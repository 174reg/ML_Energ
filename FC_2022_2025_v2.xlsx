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L_Energ\"/>
    </mc:Choice>
  </mc:AlternateContent>
  <bookViews>
    <workbookView xWindow="0" yWindow="0" windowWidth="28800" windowHeight="12000" firstSheet="4" activeTab="16"/>
  </bookViews>
  <sheets>
    <sheet name="prod_17" sheetId="20" r:id="rId1"/>
    <sheet name="prod_18" sheetId="19" r:id="rId2"/>
    <sheet name="prod_19" sheetId="18" r:id="rId3"/>
    <sheet name="prod_20" sheetId="17" r:id="rId4"/>
    <sheet name="prod_21" sheetId="16" r:id="rId5"/>
    <sheet name="prod_22" sheetId="12" r:id="rId6"/>
    <sheet name="prod_23" sheetId="13" r:id="rId7"/>
    <sheet name="prod_24" sheetId="14" r:id="rId8"/>
    <sheet name="prod_25" sheetId="15" r:id="rId9"/>
    <sheet name="el_17" sheetId="21" r:id="rId10"/>
    <sheet name="el_18" sheetId="22" r:id="rId11"/>
    <sheet name="el_19" sheetId="23" r:id="rId12"/>
    <sheet name="el_20" sheetId="24" r:id="rId13"/>
    <sheet name="el_21" sheetId="25" r:id="rId14"/>
    <sheet name="el_22" sheetId="5" r:id="rId15"/>
    <sheet name="el_23" sheetId="6" r:id="rId16"/>
    <sheet name="el_24" sheetId="7" r:id="rId17"/>
    <sheet name="el_25" sheetId="8" r:id="rId18"/>
    <sheet name="2022г" sheetId="1" r:id="rId19"/>
    <sheet name="2023г" sheetId="2" r:id="rId20"/>
    <sheet name="2024г" sheetId="3" r:id="rId21"/>
    <sheet name="2025г" sheetId="4" r:id="rId22"/>
    <sheet name="total" sheetId="10" r:id="rId23"/>
    <sheet name="total (2)" sheetId="11" r:id="rId24"/>
  </sheets>
  <externalReferences>
    <externalReference r:id="rId25"/>
  </externalReferences>
  <definedNames>
    <definedName name="Excel_BuiltIn_Print_Area" localSheetId="9">#REF!</definedName>
    <definedName name="Excel_BuiltIn_Print_Area" localSheetId="10">#REF!</definedName>
    <definedName name="Excel_BuiltIn_Print_Area" localSheetId="11">#REF!</definedName>
    <definedName name="Excel_BuiltIn_Print_Area" localSheetId="12">#REF!</definedName>
    <definedName name="Excel_BuiltIn_Print_Area" localSheetId="13">#REF!</definedName>
    <definedName name="Excel_BuiltIn_Print_Area" localSheetId="15">#REF!</definedName>
    <definedName name="Excel_BuiltIn_Print_Area" localSheetId="16">#REF!</definedName>
    <definedName name="Excel_BuiltIn_Print_Area" localSheetId="17">#REF!</definedName>
    <definedName name="Excel_BuiltIn_Print_Area" localSheetId="0">#REF!</definedName>
    <definedName name="Excel_BuiltIn_Print_Area" localSheetId="1">#REF!</definedName>
    <definedName name="Excel_BuiltIn_Print_Area" localSheetId="2">#REF!</definedName>
    <definedName name="Excel_BuiltIn_Print_Area" localSheetId="3">#REF!</definedName>
    <definedName name="Excel_BuiltIn_Print_Area" localSheetId="4">#REF!</definedName>
    <definedName name="Excel_BuiltIn_Print_Area" localSheetId="6">#REF!</definedName>
    <definedName name="Excel_BuiltIn_Print_Area" localSheetId="7">#REF!</definedName>
    <definedName name="Excel_BuiltIn_Print_Area" localSheetId="8">#REF!</definedName>
    <definedName name="Excel_BuiltIn_Print_Area" localSheetId="22">#REF!</definedName>
    <definedName name="Excel_BuiltIn_Print_Area" localSheetId="23">#REF!</definedName>
    <definedName name="Excel_BuiltIn_Print_Area">#REF!</definedName>
    <definedName name="Excel_BuiltIn_Print_Area_9" localSheetId="9">#REF!</definedName>
    <definedName name="Excel_BuiltIn_Print_Area_9" localSheetId="10">#REF!</definedName>
    <definedName name="Excel_BuiltIn_Print_Area_9" localSheetId="11">#REF!</definedName>
    <definedName name="Excel_BuiltIn_Print_Area_9" localSheetId="12">#REF!</definedName>
    <definedName name="Excel_BuiltIn_Print_Area_9" localSheetId="13">#REF!</definedName>
    <definedName name="Excel_BuiltIn_Print_Area_9" localSheetId="15">#REF!</definedName>
    <definedName name="Excel_BuiltIn_Print_Area_9" localSheetId="16">#REF!</definedName>
    <definedName name="Excel_BuiltIn_Print_Area_9" localSheetId="17">#REF!</definedName>
    <definedName name="Excel_BuiltIn_Print_Area_9" localSheetId="0">#REF!</definedName>
    <definedName name="Excel_BuiltIn_Print_Area_9" localSheetId="1">#REF!</definedName>
    <definedName name="Excel_BuiltIn_Print_Area_9" localSheetId="2">#REF!</definedName>
    <definedName name="Excel_BuiltIn_Print_Area_9" localSheetId="3">#REF!</definedName>
    <definedName name="Excel_BuiltIn_Print_Area_9" localSheetId="4">#REF!</definedName>
    <definedName name="Excel_BuiltIn_Print_Area_9" localSheetId="6">#REF!</definedName>
    <definedName name="Excel_BuiltIn_Print_Area_9" localSheetId="7">#REF!</definedName>
    <definedName name="Excel_BuiltIn_Print_Area_9" localSheetId="8">#REF!</definedName>
    <definedName name="Excel_BuiltIn_Print_Area_9" localSheetId="22">#REF!</definedName>
    <definedName name="Excel_BuiltIn_Print_Area_9" localSheetId="23">#REF!</definedName>
    <definedName name="Excel_BuiltIn_Print_Area_9">#REF!</definedName>
    <definedName name="Excel_BuiltIn_Print_Area_9_12" localSheetId="9">#REF!</definedName>
    <definedName name="Excel_BuiltIn_Print_Area_9_12" localSheetId="10">#REF!</definedName>
    <definedName name="Excel_BuiltIn_Print_Area_9_12" localSheetId="11">#REF!</definedName>
    <definedName name="Excel_BuiltIn_Print_Area_9_12" localSheetId="12">#REF!</definedName>
    <definedName name="Excel_BuiltIn_Print_Area_9_12" localSheetId="13">#REF!</definedName>
    <definedName name="Excel_BuiltIn_Print_Area_9_12" localSheetId="15">#REF!</definedName>
    <definedName name="Excel_BuiltIn_Print_Area_9_12" localSheetId="16">#REF!</definedName>
    <definedName name="Excel_BuiltIn_Print_Area_9_12" localSheetId="17">#REF!</definedName>
    <definedName name="Excel_BuiltIn_Print_Area_9_12" localSheetId="0">#REF!</definedName>
    <definedName name="Excel_BuiltIn_Print_Area_9_12" localSheetId="1">#REF!</definedName>
    <definedName name="Excel_BuiltIn_Print_Area_9_12" localSheetId="2">#REF!</definedName>
    <definedName name="Excel_BuiltIn_Print_Area_9_12" localSheetId="3">#REF!</definedName>
    <definedName name="Excel_BuiltIn_Print_Area_9_12" localSheetId="4">#REF!</definedName>
    <definedName name="Excel_BuiltIn_Print_Area_9_12" localSheetId="6">#REF!</definedName>
    <definedName name="Excel_BuiltIn_Print_Area_9_12" localSheetId="7">#REF!</definedName>
    <definedName name="Excel_BuiltIn_Print_Area_9_12" localSheetId="8">#REF!</definedName>
    <definedName name="Excel_BuiltIn_Print_Area_9_12" localSheetId="22">#REF!</definedName>
    <definedName name="Excel_BuiltIn_Print_Area_9_12" localSheetId="23">#REF!</definedName>
    <definedName name="Excel_BuiltIn_Print_Area_9_12">#REF!</definedName>
    <definedName name="Excel_BuiltIn_Print_Area_9_13" localSheetId="9">#REF!</definedName>
    <definedName name="Excel_BuiltIn_Print_Area_9_13" localSheetId="10">#REF!</definedName>
    <definedName name="Excel_BuiltIn_Print_Area_9_13" localSheetId="11">#REF!</definedName>
    <definedName name="Excel_BuiltIn_Print_Area_9_13" localSheetId="12">#REF!</definedName>
    <definedName name="Excel_BuiltIn_Print_Area_9_13" localSheetId="13">#REF!</definedName>
    <definedName name="Excel_BuiltIn_Print_Area_9_13" localSheetId="15">#REF!</definedName>
    <definedName name="Excel_BuiltIn_Print_Area_9_13" localSheetId="16">#REF!</definedName>
    <definedName name="Excel_BuiltIn_Print_Area_9_13" localSheetId="17">#REF!</definedName>
    <definedName name="Excel_BuiltIn_Print_Area_9_13" localSheetId="0">#REF!</definedName>
    <definedName name="Excel_BuiltIn_Print_Area_9_13" localSheetId="1">#REF!</definedName>
    <definedName name="Excel_BuiltIn_Print_Area_9_13" localSheetId="2">#REF!</definedName>
    <definedName name="Excel_BuiltIn_Print_Area_9_13" localSheetId="3">#REF!</definedName>
    <definedName name="Excel_BuiltIn_Print_Area_9_13" localSheetId="4">#REF!</definedName>
    <definedName name="Excel_BuiltIn_Print_Area_9_13" localSheetId="6">#REF!</definedName>
    <definedName name="Excel_BuiltIn_Print_Area_9_13" localSheetId="7">#REF!</definedName>
    <definedName name="Excel_BuiltIn_Print_Area_9_13" localSheetId="8">#REF!</definedName>
    <definedName name="Excel_BuiltIn_Print_Area_9_13" localSheetId="22">#REF!</definedName>
    <definedName name="Excel_BuiltIn_Print_Area_9_13" localSheetId="23">#REF!</definedName>
    <definedName name="Excel_BuiltIn_Print_Area_9_13">#REF!</definedName>
    <definedName name="Excel_BultLn_Print_Area_9_12_2" localSheetId="9">#REF!</definedName>
    <definedName name="Excel_BultLn_Print_Area_9_12_2" localSheetId="10">#REF!</definedName>
    <definedName name="Excel_BultLn_Print_Area_9_12_2" localSheetId="11">#REF!</definedName>
    <definedName name="Excel_BultLn_Print_Area_9_12_2" localSheetId="12">#REF!</definedName>
    <definedName name="Excel_BultLn_Print_Area_9_12_2" localSheetId="13">#REF!</definedName>
    <definedName name="Excel_BultLn_Print_Area_9_12_2" localSheetId="15">#REF!</definedName>
    <definedName name="Excel_BultLn_Print_Area_9_12_2" localSheetId="16">#REF!</definedName>
    <definedName name="Excel_BultLn_Print_Area_9_12_2" localSheetId="17">#REF!</definedName>
    <definedName name="Excel_BultLn_Print_Area_9_12_2" localSheetId="0">#REF!</definedName>
    <definedName name="Excel_BultLn_Print_Area_9_12_2" localSheetId="1">#REF!</definedName>
    <definedName name="Excel_BultLn_Print_Area_9_12_2" localSheetId="2">#REF!</definedName>
    <definedName name="Excel_BultLn_Print_Area_9_12_2" localSheetId="3">#REF!</definedName>
    <definedName name="Excel_BultLn_Print_Area_9_12_2" localSheetId="4">#REF!</definedName>
    <definedName name="Excel_BultLn_Print_Area_9_12_2" localSheetId="6">#REF!</definedName>
    <definedName name="Excel_BultLn_Print_Area_9_12_2" localSheetId="7">#REF!</definedName>
    <definedName name="Excel_BultLn_Print_Area_9_12_2" localSheetId="8">#REF!</definedName>
    <definedName name="Excel_BultLn_Print_Area_9_12_2" localSheetId="22">#REF!</definedName>
    <definedName name="Excel_BultLn_Print_Area_9_12_2" localSheetId="23">#REF!</definedName>
    <definedName name="Excel_BultLn_Print_Area_9_12_2">#REF!</definedName>
    <definedName name="Выборка_областей_суточные" localSheetId="9">#REF!</definedName>
    <definedName name="Выборка_областей_суточные" localSheetId="10">#REF!</definedName>
    <definedName name="Выборка_областей_суточные" localSheetId="11">#REF!</definedName>
    <definedName name="Выборка_областей_суточные" localSheetId="12">#REF!</definedName>
    <definedName name="Выборка_областей_суточные" localSheetId="13">#REF!</definedName>
    <definedName name="Выборка_областей_суточные" localSheetId="15">#REF!</definedName>
    <definedName name="Выборка_областей_суточные" localSheetId="16">#REF!</definedName>
    <definedName name="Выборка_областей_суточные" localSheetId="17">#REF!</definedName>
    <definedName name="Выборка_областей_суточные" localSheetId="0">#REF!</definedName>
    <definedName name="Выборка_областей_суточные" localSheetId="1">#REF!</definedName>
    <definedName name="Выборка_областей_суточные" localSheetId="2">#REF!</definedName>
    <definedName name="Выборка_областей_суточные" localSheetId="3">#REF!</definedName>
    <definedName name="Выборка_областей_суточные" localSheetId="4">#REF!</definedName>
    <definedName name="Выборка_областей_суточные" localSheetId="6">#REF!</definedName>
    <definedName name="Выборка_областей_суточные" localSheetId="7">#REF!</definedName>
    <definedName name="Выборка_областей_суточные" localSheetId="8">#REF!</definedName>
    <definedName name="Выборка_областей_суточные" localSheetId="22">#REF!</definedName>
    <definedName name="Выборка_областей_суточные" localSheetId="23">#REF!</definedName>
    <definedName name="Выборка_областей_суточные">#REF!</definedName>
    <definedName name="Выборка_областей_суточные_12" localSheetId="9">#REF!</definedName>
    <definedName name="Выборка_областей_суточные_12" localSheetId="10">#REF!</definedName>
    <definedName name="Выборка_областей_суточные_12" localSheetId="11">#REF!</definedName>
    <definedName name="Выборка_областей_суточные_12" localSheetId="12">#REF!</definedName>
    <definedName name="Выборка_областей_суточные_12" localSheetId="13">#REF!</definedName>
    <definedName name="Выборка_областей_суточные_12" localSheetId="15">#REF!</definedName>
    <definedName name="Выборка_областей_суточные_12" localSheetId="16">#REF!</definedName>
    <definedName name="Выборка_областей_суточные_12" localSheetId="17">#REF!</definedName>
    <definedName name="Выборка_областей_суточные_12" localSheetId="0">#REF!</definedName>
    <definedName name="Выборка_областей_суточные_12" localSheetId="1">#REF!</definedName>
    <definedName name="Выборка_областей_суточные_12" localSheetId="2">#REF!</definedName>
    <definedName name="Выборка_областей_суточные_12" localSheetId="3">#REF!</definedName>
    <definedName name="Выборка_областей_суточные_12" localSheetId="4">#REF!</definedName>
    <definedName name="Выборка_областей_суточные_12" localSheetId="6">#REF!</definedName>
    <definedName name="Выборка_областей_суточные_12" localSheetId="7">#REF!</definedName>
    <definedName name="Выборка_областей_суточные_12" localSheetId="8">#REF!</definedName>
    <definedName name="Выборка_областей_суточные_12" localSheetId="22">#REF!</definedName>
    <definedName name="Выборка_областей_суточные_12" localSheetId="23">#REF!</definedName>
    <definedName name="Выборка_областей_суточные_12">#REF!</definedName>
    <definedName name="Выборка_областей_суточные_13" localSheetId="9">#REF!</definedName>
    <definedName name="Выборка_областей_суточные_13" localSheetId="10">#REF!</definedName>
    <definedName name="Выборка_областей_суточные_13" localSheetId="11">#REF!</definedName>
    <definedName name="Выборка_областей_суточные_13" localSheetId="12">#REF!</definedName>
    <definedName name="Выборка_областей_суточные_13" localSheetId="13">#REF!</definedName>
    <definedName name="Выборка_областей_суточные_13" localSheetId="15">#REF!</definedName>
    <definedName name="Выборка_областей_суточные_13" localSheetId="16">#REF!</definedName>
    <definedName name="Выборка_областей_суточные_13" localSheetId="17">#REF!</definedName>
    <definedName name="Выборка_областей_суточные_13" localSheetId="0">#REF!</definedName>
    <definedName name="Выборка_областей_суточные_13" localSheetId="1">#REF!</definedName>
    <definedName name="Выборка_областей_суточные_13" localSheetId="2">#REF!</definedName>
    <definedName name="Выборка_областей_суточные_13" localSheetId="3">#REF!</definedName>
    <definedName name="Выборка_областей_суточные_13" localSheetId="4">#REF!</definedName>
    <definedName name="Выборка_областей_суточные_13" localSheetId="6">#REF!</definedName>
    <definedName name="Выборка_областей_суточные_13" localSheetId="7">#REF!</definedName>
    <definedName name="Выборка_областей_суточные_13" localSheetId="8">#REF!</definedName>
    <definedName name="Выборка_областей_суточные_13" localSheetId="22">#REF!</definedName>
    <definedName name="Выборка_областей_суточные_13" localSheetId="23">#REF!</definedName>
    <definedName name="Выборка_областей_суточные_13">#REF!</definedName>
    <definedName name="Выборка_областей_суточные_29" localSheetId="9">#REF!</definedName>
    <definedName name="Выборка_областей_суточные_29" localSheetId="10">#REF!</definedName>
    <definedName name="Выборка_областей_суточные_29" localSheetId="11">#REF!</definedName>
    <definedName name="Выборка_областей_суточные_29" localSheetId="12">#REF!</definedName>
    <definedName name="Выборка_областей_суточные_29" localSheetId="13">#REF!</definedName>
    <definedName name="Выборка_областей_суточные_29" localSheetId="15">#REF!</definedName>
    <definedName name="Выборка_областей_суточные_29" localSheetId="16">#REF!</definedName>
    <definedName name="Выборка_областей_суточные_29" localSheetId="17">#REF!</definedName>
    <definedName name="Выборка_областей_суточные_29" localSheetId="0">#REF!</definedName>
    <definedName name="Выборка_областей_суточные_29" localSheetId="1">#REF!</definedName>
    <definedName name="Выборка_областей_суточные_29" localSheetId="2">#REF!</definedName>
    <definedName name="Выборка_областей_суточные_29" localSheetId="3">#REF!</definedName>
    <definedName name="Выборка_областей_суточные_29" localSheetId="4">#REF!</definedName>
    <definedName name="Выборка_областей_суточные_29" localSheetId="6">#REF!</definedName>
    <definedName name="Выборка_областей_суточные_29" localSheetId="7">#REF!</definedName>
    <definedName name="Выборка_областей_суточные_29" localSheetId="8">#REF!</definedName>
    <definedName name="Выборка_областей_суточные_29" localSheetId="22">#REF!</definedName>
    <definedName name="Выборка_областей_суточные_29" localSheetId="23">#REF!</definedName>
    <definedName name="Выборка_областей_суточные_29">#REF!</definedName>
    <definedName name="Выборка_областей_суточные_30" localSheetId="9">#REF!</definedName>
    <definedName name="Выборка_областей_суточные_30" localSheetId="10">#REF!</definedName>
    <definedName name="Выборка_областей_суточные_30" localSheetId="11">#REF!</definedName>
    <definedName name="Выборка_областей_суточные_30" localSheetId="12">#REF!</definedName>
    <definedName name="Выборка_областей_суточные_30" localSheetId="13">#REF!</definedName>
    <definedName name="Выборка_областей_суточные_30" localSheetId="15">#REF!</definedName>
    <definedName name="Выборка_областей_суточные_30" localSheetId="16">#REF!</definedName>
    <definedName name="Выборка_областей_суточные_30" localSheetId="17">#REF!</definedName>
    <definedName name="Выборка_областей_суточные_30" localSheetId="0">#REF!</definedName>
    <definedName name="Выборка_областей_суточные_30" localSheetId="1">#REF!</definedName>
    <definedName name="Выборка_областей_суточные_30" localSheetId="2">#REF!</definedName>
    <definedName name="Выборка_областей_суточные_30" localSheetId="3">#REF!</definedName>
    <definedName name="Выборка_областей_суточные_30" localSheetId="4">#REF!</definedName>
    <definedName name="Выборка_областей_суточные_30" localSheetId="6">#REF!</definedName>
    <definedName name="Выборка_областей_суточные_30" localSheetId="7">#REF!</definedName>
    <definedName name="Выборка_областей_суточные_30" localSheetId="8">#REF!</definedName>
    <definedName name="Выборка_областей_суточные_30" localSheetId="22">#REF!</definedName>
    <definedName name="Выборка_областей_суточные_30" localSheetId="23">#REF!</definedName>
    <definedName name="Выборка_областей_суточные_30">#REF!</definedName>
    <definedName name="календарь_0">[1]календарь!$A$71:$AF$82</definedName>
    <definedName name="календарь_1">[1]календарь!$A$85:$AF$96</definedName>
    <definedName name="календарь_2">[1]календарь!$A$99:$AF$110</definedName>
    <definedName name="календарь_3">[1]календарь!$A$113:$AF$124</definedName>
    <definedName name="календарь_4">[1]календарь!$A$127:$AF$138</definedName>
    <definedName name="календарь_5">[1]календарь!$A$43:$AF$54</definedName>
    <definedName name="календарь_6">[1]календарь!$A$57:$AF$68</definedName>
    <definedName name="календарь_7">[1]календарь!$A$15:$AF$26</definedName>
    <definedName name="Лимиты" localSheetId="9">#REF!</definedName>
    <definedName name="Лимиты" localSheetId="10">#REF!</definedName>
    <definedName name="Лимиты" localSheetId="11">#REF!</definedName>
    <definedName name="Лимиты" localSheetId="12">#REF!</definedName>
    <definedName name="Лимиты" localSheetId="13">#REF!</definedName>
    <definedName name="Лимиты" localSheetId="15">#REF!</definedName>
    <definedName name="Лимиты" localSheetId="16">#REF!</definedName>
    <definedName name="Лимиты" localSheetId="17">#REF!</definedName>
    <definedName name="Лимиты" localSheetId="0">#REF!</definedName>
    <definedName name="Лимиты" localSheetId="1">#REF!</definedName>
    <definedName name="Лимиты" localSheetId="2">#REF!</definedName>
    <definedName name="Лимиты" localSheetId="3">#REF!</definedName>
    <definedName name="Лимиты" localSheetId="4">#REF!</definedName>
    <definedName name="Лимиты" localSheetId="6">#REF!</definedName>
    <definedName name="Лимиты" localSheetId="7">#REF!</definedName>
    <definedName name="Лимиты" localSheetId="8">#REF!</definedName>
    <definedName name="Лимиты" localSheetId="22">#REF!</definedName>
    <definedName name="Лимиты" localSheetId="23">#REF!</definedName>
    <definedName name="Лимиты">#REF!</definedName>
    <definedName name="Лимиты_12" localSheetId="9">#REF!</definedName>
    <definedName name="Лимиты_12" localSheetId="10">#REF!</definedName>
    <definedName name="Лимиты_12" localSheetId="11">#REF!</definedName>
    <definedName name="Лимиты_12" localSheetId="12">#REF!</definedName>
    <definedName name="Лимиты_12" localSheetId="13">#REF!</definedName>
    <definedName name="Лимиты_12" localSheetId="15">#REF!</definedName>
    <definedName name="Лимиты_12" localSheetId="16">#REF!</definedName>
    <definedName name="Лимиты_12" localSheetId="17">#REF!</definedName>
    <definedName name="Лимиты_12" localSheetId="0">#REF!</definedName>
    <definedName name="Лимиты_12" localSheetId="1">#REF!</definedName>
    <definedName name="Лимиты_12" localSheetId="2">#REF!</definedName>
    <definedName name="Лимиты_12" localSheetId="3">#REF!</definedName>
    <definedName name="Лимиты_12" localSheetId="4">#REF!</definedName>
    <definedName name="Лимиты_12" localSheetId="6">#REF!</definedName>
    <definedName name="Лимиты_12" localSheetId="7">#REF!</definedName>
    <definedName name="Лимиты_12" localSheetId="8">#REF!</definedName>
    <definedName name="Лимиты_12" localSheetId="22">#REF!</definedName>
    <definedName name="Лимиты_12" localSheetId="23">#REF!</definedName>
    <definedName name="Лимиты_12">#REF!</definedName>
    <definedName name="Лимиты_13" localSheetId="9">#REF!</definedName>
    <definedName name="Лимиты_13" localSheetId="10">#REF!</definedName>
    <definedName name="Лимиты_13" localSheetId="11">#REF!</definedName>
    <definedName name="Лимиты_13" localSheetId="12">#REF!</definedName>
    <definedName name="Лимиты_13" localSheetId="13">#REF!</definedName>
    <definedName name="Лимиты_13" localSheetId="15">#REF!</definedName>
    <definedName name="Лимиты_13" localSheetId="16">#REF!</definedName>
    <definedName name="Лимиты_13" localSheetId="17">#REF!</definedName>
    <definedName name="Лимиты_13" localSheetId="0">#REF!</definedName>
    <definedName name="Лимиты_13" localSheetId="1">#REF!</definedName>
    <definedName name="Лимиты_13" localSheetId="2">#REF!</definedName>
    <definedName name="Лимиты_13" localSheetId="3">#REF!</definedName>
    <definedName name="Лимиты_13" localSheetId="4">#REF!</definedName>
    <definedName name="Лимиты_13" localSheetId="6">#REF!</definedName>
    <definedName name="Лимиты_13" localSheetId="7">#REF!</definedName>
    <definedName name="Лимиты_13" localSheetId="8">#REF!</definedName>
    <definedName name="Лимиты_13" localSheetId="22">#REF!</definedName>
    <definedName name="Лимиты_13" localSheetId="23">#REF!</definedName>
    <definedName name="Лимиты_13">#REF!</definedName>
    <definedName name="Лимиты_29" localSheetId="9">#REF!</definedName>
    <definedName name="Лимиты_29" localSheetId="10">#REF!</definedName>
    <definedName name="Лимиты_29" localSheetId="11">#REF!</definedName>
    <definedName name="Лимиты_29" localSheetId="12">#REF!</definedName>
    <definedName name="Лимиты_29" localSheetId="13">#REF!</definedName>
    <definedName name="Лимиты_29" localSheetId="15">#REF!</definedName>
    <definedName name="Лимиты_29" localSheetId="16">#REF!</definedName>
    <definedName name="Лимиты_29" localSheetId="17">#REF!</definedName>
    <definedName name="Лимиты_29" localSheetId="0">#REF!</definedName>
    <definedName name="Лимиты_29" localSheetId="1">#REF!</definedName>
    <definedName name="Лимиты_29" localSheetId="2">#REF!</definedName>
    <definedName name="Лимиты_29" localSheetId="3">#REF!</definedName>
    <definedName name="Лимиты_29" localSheetId="4">#REF!</definedName>
    <definedName name="Лимиты_29" localSheetId="6">#REF!</definedName>
    <definedName name="Лимиты_29" localSheetId="7">#REF!</definedName>
    <definedName name="Лимиты_29" localSheetId="8">#REF!</definedName>
    <definedName name="Лимиты_29" localSheetId="22">#REF!</definedName>
    <definedName name="Лимиты_29" localSheetId="23">#REF!</definedName>
    <definedName name="Лимиты_29">#REF!</definedName>
    <definedName name="Лимиты_30" localSheetId="9">#REF!</definedName>
    <definedName name="Лимиты_30" localSheetId="10">#REF!</definedName>
    <definedName name="Лимиты_30" localSheetId="11">#REF!</definedName>
    <definedName name="Лимиты_30" localSheetId="12">#REF!</definedName>
    <definedName name="Лимиты_30" localSheetId="13">#REF!</definedName>
    <definedName name="Лимиты_30" localSheetId="15">#REF!</definedName>
    <definedName name="Лимиты_30" localSheetId="16">#REF!</definedName>
    <definedName name="Лимиты_30" localSheetId="17">#REF!</definedName>
    <definedName name="Лимиты_30" localSheetId="0">#REF!</definedName>
    <definedName name="Лимиты_30" localSheetId="1">#REF!</definedName>
    <definedName name="Лимиты_30" localSheetId="2">#REF!</definedName>
    <definedName name="Лимиты_30" localSheetId="3">#REF!</definedName>
    <definedName name="Лимиты_30" localSheetId="4">#REF!</definedName>
    <definedName name="Лимиты_30" localSheetId="6">#REF!</definedName>
    <definedName name="Лимиты_30" localSheetId="7">#REF!</definedName>
    <definedName name="Лимиты_30" localSheetId="8">#REF!</definedName>
    <definedName name="Лимиты_30" localSheetId="22">#REF!</definedName>
    <definedName name="Лимиты_30" localSheetId="23">#REF!</definedName>
    <definedName name="Лимиты_30">#REF!</definedName>
    <definedName name="ол" localSheetId="9">#REF!</definedName>
    <definedName name="ол" localSheetId="10">#REF!</definedName>
    <definedName name="ол" localSheetId="11">#REF!</definedName>
    <definedName name="ол" localSheetId="12">#REF!</definedName>
    <definedName name="ол" localSheetId="13">#REF!</definedName>
    <definedName name="ол" localSheetId="15">#REF!</definedName>
    <definedName name="ол" localSheetId="16">#REF!</definedName>
    <definedName name="ол" localSheetId="17">#REF!</definedName>
    <definedName name="ол" localSheetId="0">#REF!</definedName>
    <definedName name="ол" localSheetId="1">#REF!</definedName>
    <definedName name="ол" localSheetId="2">#REF!</definedName>
    <definedName name="ол" localSheetId="3">#REF!</definedName>
    <definedName name="ол" localSheetId="4">#REF!</definedName>
    <definedName name="ол" localSheetId="6">#REF!</definedName>
    <definedName name="ол" localSheetId="7">#REF!</definedName>
    <definedName name="ол" localSheetId="8">#REF!</definedName>
    <definedName name="ол" localSheetId="22">#REF!</definedName>
    <definedName name="ол" localSheetId="23">#REF!</definedName>
    <definedName name="ол">#REF!</definedName>
    <definedName name="ол_12" localSheetId="9">#REF!</definedName>
    <definedName name="ол_12" localSheetId="10">#REF!</definedName>
    <definedName name="ол_12" localSheetId="11">#REF!</definedName>
    <definedName name="ол_12" localSheetId="12">#REF!</definedName>
    <definedName name="ол_12" localSheetId="13">#REF!</definedName>
    <definedName name="ол_12" localSheetId="15">#REF!</definedName>
    <definedName name="ол_12" localSheetId="16">#REF!</definedName>
    <definedName name="ол_12" localSheetId="17">#REF!</definedName>
    <definedName name="ол_12" localSheetId="0">#REF!</definedName>
    <definedName name="ол_12" localSheetId="1">#REF!</definedName>
    <definedName name="ол_12" localSheetId="2">#REF!</definedName>
    <definedName name="ол_12" localSheetId="3">#REF!</definedName>
    <definedName name="ол_12" localSheetId="4">#REF!</definedName>
    <definedName name="ол_12" localSheetId="6">#REF!</definedName>
    <definedName name="ол_12" localSheetId="7">#REF!</definedName>
    <definedName name="ол_12" localSheetId="8">#REF!</definedName>
    <definedName name="ол_12" localSheetId="22">#REF!</definedName>
    <definedName name="ол_12" localSheetId="23">#REF!</definedName>
    <definedName name="ол_12">#REF!</definedName>
    <definedName name="ол_13" localSheetId="9">#REF!</definedName>
    <definedName name="ол_13" localSheetId="10">#REF!</definedName>
    <definedName name="ол_13" localSheetId="11">#REF!</definedName>
    <definedName name="ол_13" localSheetId="12">#REF!</definedName>
    <definedName name="ол_13" localSheetId="13">#REF!</definedName>
    <definedName name="ол_13" localSheetId="15">#REF!</definedName>
    <definedName name="ол_13" localSheetId="16">#REF!</definedName>
    <definedName name="ол_13" localSheetId="17">#REF!</definedName>
    <definedName name="ол_13" localSheetId="0">#REF!</definedName>
    <definedName name="ол_13" localSheetId="1">#REF!</definedName>
    <definedName name="ол_13" localSheetId="2">#REF!</definedName>
    <definedName name="ол_13" localSheetId="3">#REF!</definedName>
    <definedName name="ол_13" localSheetId="4">#REF!</definedName>
    <definedName name="ол_13" localSheetId="6">#REF!</definedName>
    <definedName name="ол_13" localSheetId="7">#REF!</definedName>
    <definedName name="ол_13" localSheetId="8">#REF!</definedName>
    <definedName name="ол_13" localSheetId="22">#REF!</definedName>
    <definedName name="ол_13" localSheetId="23">#REF!</definedName>
    <definedName name="ол_13">#REF!</definedName>
    <definedName name="ол_5" localSheetId="9">#REF!</definedName>
    <definedName name="ол_5" localSheetId="10">#REF!</definedName>
    <definedName name="ол_5" localSheetId="11">#REF!</definedName>
    <definedName name="ол_5" localSheetId="12">#REF!</definedName>
    <definedName name="ол_5" localSheetId="13">#REF!</definedName>
    <definedName name="ол_5" localSheetId="15">#REF!</definedName>
    <definedName name="ол_5" localSheetId="16">#REF!</definedName>
    <definedName name="ол_5" localSheetId="17">#REF!</definedName>
    <definedName name="ол_5" localSheetId="0">#REF!</definedName>
    <definedName name="ол_5" localSheetId="1">#REF!</definedName>
    <definedName name="ол_5" localSheetId="2">#REF!</definedName>
    <definedName name="ол_5" localSheetId="3">#REF!</definedName>
    <definedName name="ол_5" localSheetId="4">#REF!</definedName>
    <definedName name="ол_5" localSheetId="6">#REF!</definedName>
    <definedName name="ол_5" localSheetId="7">#REF!</definedName>
    <definedName name="ол_5" localSheetId="8">#REF!</definedName>
    <definedName name="ол_5" localSheetId="22">#REF!</definedName>
    <definedName name="ол_5" localSheetId="23">#REF!</definedName>
    <definedName name="ол_5">#REF!</definedName>
    <definedName name="олд" localSheetId="9">#REF!</definedName>
    <definedName name="олд" localSheetId="10">#REF!</definedName>
    <definedName name="олд" localSheetId="11">#REF!</definedName>
    <definedName name="олд" localSheetId="12">#REF!</definedName>
    <definedName name="олд" localSheetId="13">#REF!</definedName>
    <definedName name="олд" localSheetId="15">#REF!</definedName>
    <definedName name="олд" localSheetId="16">#REF!</definedName>
    <definedName name="олд" localSheetId="17">#REF!</definedName>
    <definedName name="олд" localSheetId="0">#REF!</definedName>
    <definedName name="олд" localSheetId="1">#REF!</definedName>
    <definedName name="олд" localSheetId="2">#REF!</definedName>
    <definedName name="олд" localSheetId="3">#REF!</definedName>
    <definedName name="олд" localSheetId="4">#REF!</definedName>
    <definedName name="олд" localSheetId="6">#REF!</definedName>
    <definedName name="олд" localSheetId="7">#REF!</definedName>
    <definedName name="олд" localSheetId="8">#REF!</definedName>
    <definedName name="олд" localSheetId="22">#REF!</definedName>
    <definedName name="олд" localSheetId="23">#REF!</definedName>
    <definedName name="олд">#REF!</definedName>
    <definedName name="олд_12" localSheetId="9">#REF!</definedName>
    <definedName name="олд_12" localSheetId="10">#REF!</definedName>
    <definedName name="олд_12" localSheetId="11">#REF!</definedName>
    <definedName name="олд_12" localSheetId="12">#REF!</definedName>
    <definedName name="олд_12" localSheetId="13">#REF!</definedName>
    <definedName name="олд_12" localSheetId="15">#REF!</definedName>
    <definedName name="олд_12" localSheetId="16">#REF!</definedName>
    <definedName name="олд_12" localSheetId="17">#REF!</definedName>
    <definedName name="олд_12" localSheetId="0">#REF!</definedName>
    <definedName name="олд_12" localSheetId="1">#REF!</definedName>
    <definedName name="олд_12" localSheetId="2">#REF!</definedName>
    <definedName name="олд_12" localSheetId="3">#REF!</definedName>
    <definedName name="олд_12" localSheetId="4">#REF!</definedName>
    <definedName name="олд_12" localSheetId="6">#REF!</definedName>
    <definedName name="олд_12" localSheetId="7">#REF!</definedName>
    <definedName name="олд_12" localSheetId="8">#REF!</definedName>
    <definedName name="олд_12" localSheetId="22">#REF!</definedName>
    <definedName name="олд_12" localSheetId="23">#REF!</definedName>
    <definedName name="олд_12">#REF!</definedName>
    <definedName name="олд_13" localSheetId="9">#REF!</definedName>
    <definedName name="олд_13" localSheetId="10">#REF!</definedName>
    <definedName name="олд_13" localSheetId="11">#REF!</definedName>
    <definedName name="олд_13" localSheetId="12">#REF!</definedName>
    <definedName name="олд_13" localSheetId="13">#REF!</definedName>
    <definedName name="олд_13" localSheetId="15">#REF!</definedName>
    <definedName name="олд_13" localSheetId="16">#REF!</definedName>
    <definedName name="олд_13" localSheetId="17">#REF!</definedName>
    <definedName name="олд_13" localSheetId="0">#REF!</definedName>
    <definedName name="олд_13" localSheetId="1">#REF!</definedName>
    <definedName name="олд_13" localSheetId="2">#REF!</definedName>
    <definedName name="олд_13" localSheetId="3">#REF!</definedName>
    <definedName name="олд_13" localSheetId="4">#REF!</definedName>
    <definedName name="олд_13" localSheetId="6">#REF!</definedName>
    <definedName name="олд_13" localSheetId="7">#REF!</definedName>
    <definedName name="олд_13" localSheetId="8">#REF!</definedName>
    <definedName name="олд_13" localSheetId="22">#REF!</definedName>
    <definedName name="олд_13" localSheetId="23">#REF!</definedName>
    <definedName name="олд_13">#REF!</definedName>
    <definedName name="олд_5" localSheetId="9">#REF!</definedName>
    <definedName name="олд_5" localSheetId="10">#REF!</definedName>
    <definedName name="олд_5" localSheetId="11">#REF!</definedName>
    <definedName name="олд_5" localSheetId="12">#REF!</definedName>
    <definedName name="олд_5" localSheetId="13">#REF!</definedName>
    <definedName name="олд_5" localSheetId="15">#REF!</definedName>
    <definedName name="олд_5" localSheetId="16">#REF!</definedName>
    <definedName name="олд_5" localSheetId="17">#REF!</definedName>
    <definedName name="олд_5" localSheetId="0">#REF!</definedName>
    <definedName name="олд_5" localSheetId="1">#REF!</definedName>
    <definedName name="олд_5" localSheetId="2">#REF!</definedName>
    <definedName name="олд_5" localSheetId="3">#REF!</definedName>
    <definedName name="олд_5" localSheetId="4">#REF!</definedName>
    <definedName name="олд_5" localSheetId="6">#REF!</definedName>
    <definedName name="олд_5" localSheetId="7">#REF!</definedName>
    <definedName name="олд_5" localSheetId="8">#REF!</definedName>
    <definedName name="олд_5" localSheetId="22">#REF!</definedName>
    <definedName name="олд_5" localSheetId="23">#REF!</definedName>
    <definedName name="олд_5">#REF!</definedName>
    <definedName name="пол" localSheetId="9">#REF!</definedName>
    <definedName name="пол" localSheetId="10">#REF!</definedName>
    <definedName name="пол" localSheetId="11">#REF!</definedName>
    <definedName name="пол" localSheetId="12">#REF!</definedName>
    <definedName name="пол" localSheetId="13">#REF!</definedName>
    <definedName name="пол" localSheetId="15">#REF!</definedName>
    <definedName name="пол" localSheetId="16">#REF!</definedName>
    <definedName name="пол" localSheetId="17">#REF!</definedName>
    <definedName name="пол" localSheetId="0">#REF!</definedName>
    <definedName name="пол" localSheetId="1">#REF!</definedName>
    <definedName name="пол" localSheetId="2">#REF!</definedName>
    <definedName name="пол" localSheetId="3">#REF!</definedName>
    <definedName name="пол" localSheetId="4">#REF!</definedName>
    <definedName name="пол" localSheetId="6">#REF!</definedName>
    <definedName name="пол" localSheetId="7">#REF!</definedName>
    <definedName name="пол" localSheetId="8">#REF!</definedName>
    <definedName name="пол" localSheetId="22">#REF!</definedName>
    <definedName name="пол" localSheetId="23">#REF!</definedName>
    <definedName name="пол">#REF!</definedName>
    <definedName name="ффф" localSheetId="9">#REF!</definedName>
    <definedName name="ффф" localSheetId="10">#REF!</definedName>
    <definedName name="ффф" localSheetId="11">#REF!</definedName>
    <definedName name="ффф" localSheetId="12">#REF!</definedName>
    <definedName name="ффф" localSheetId="13">#REF!</definedName>
    <definedName name="ффф" localSheetId="15">#REF!</definedName>
    <definedName name="ффф" localSheetId="16">#REF!</definedName>
    <definedName name="ффф" localSheetId="17">#REF!</definedName>
    <definedName name="ффф" localSheetId="0">#REF!</definedName>
    <definedName name="ффф" localSheetId="1">#REF!</definedName>
    <definedName name="ффф" localSheetId="2">#REF!</definedName>
    <definedName name="ффф" localSheetId="3">#REF!</definedName>
    <definedName name="ффф" localSheetId="4">#REF!</definedName>
    <definedName name="ффф" localSheetId="6">#REF!</definedName>
    <definedName name="ффф" localSheetId="7">#REF!</definedName>
    <definedName name="ффф" localSheetId="8">#REF!</definedName>
    <definedName name="ффф" localSheetId="22">#REF!</definedName>
    <definedName name="ффф" localSheetId="23">#REF!</definedName>
    <definedName name="ффф">#REF!</definedName>
    <definedName name="ффф_12" localSheetId="9">#REF!</definedName>
    <definedName name="ффф_12" localSheetId="10">#REF!</definedName>
    <definedName name="ффф_12" localSheetId="11">#REF!</definedName>
    <definedName name="ффф_12" localSheetId="12">#REF!</definedName>
    <definedName name="ффф_12" localSheetId="13">#REF!</definedName>
    <definedName name="ффф_12" localSheetId="15">#REF!</definedName>
    <definedName name="ффф_12" localSheetId="16">#REF!</definedName>
    <definedName name="ффф_12" localSheetId="17">#REF!</definedName>
    <definedName name="ффф_12" localSheetId="0">#REF!</definedName>
    <definedName name="ффф_12" localSheetId="1">#REF!</definedName>
    <definedName name="ффф_12" localSheetId="2">#REF!</definedName>
    <definedName name="ффф_12" localSheetId="3">#REF!</definedName>
    <definedName name="ффф_12" localSheetId="4">#REF!</definedName>
    <definedName name="ффф_12" localSheetId="6">#REF!</definedName>
    <definedName name="ффф_12" localSheetId="7">#REF!</definedName>
    <definedName name="ффф_12" localSheetId="8">#REF!</definedName>
    <definedName name="ффф_12" localSheetId="22">#REF!</definedName>
    <definedName name="ффф_12" localSheetId="23">#REF!</definedName>
    <definedName name="ффф_12">#REF!</definedName>
    <definedName name="ффф_13" localSheetId="9">#REF!</definedName>
    <definedName name="ффф_13" localSheetId="10">#REF!</definedName>
    <definedName name="ффф_13" localSheetId="11">#REF!</definedName>
    <definedName name="ффф_13" localSheetId="12">#REF!</definedName>
    <definedName name="ффф_13" localSheetId="13">#REF!</definedName>
    <definedName name="ффф_13" localSheetId="15">#REF!</definedName>
    <definedName name="ффф_13" localSheetId="16">#REF!</definedName>
    <definedName name="ффф_13" localSheetId="17">#REF!</definedName>
    <definedName name="ффф_13" localSheetId="0">#REF!</definedName>
    <definedName name="ффф_13" localSheetId="1">#REF!</definedName>
    <definedName name="ффф_13" localSheetId="2">#REF!</definedName>
    <definedName name="ффф_13" localSheetId="3">#REF!</definedName>
    <definedName name="ффф_13" localSheetId="4">#REF!</definedName>
    <definedName name="ффф_13" localSheetId="6">#REF!</definedName>
    <definedName name="ффф_13" localSheetId="7">#REF!</definedName>
    <definedName name="ффф_13" localSheetId="8">#REF!</definedName>
    <definedName name="ффф_13" localSheetId="22">#REF!</definedName>
    <definedName name="ффф_13" localSheetId="23">#REF!</definedName>
    <definedName name="ффф_13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71" i="24" l="1"/>
  <c r="I371" i="25"/>
  <c r="A3" i="25"/>
  <c r="A4" i="25" s="1"/>
  <c r="A5" i="25" s="1"/>
  <c r="A6" i="25" s="1"/>
  <c r="A7" i="25" s="1"/>
  <c r="A8" i="25" s="1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A35" i="25" s="1"/>
  <c r="A36" i="25" s="1"/>
  <c r="A37" i="25" s="1"/>
  <c r="A38" i="25" s="1"/>
  <c r="A39" i="25" s="1"/>
  <c r="A40" i="25" s="1"/>
  <c r="A41" i="25" s="1"/>
  <c r="A42" i="25" s="1"/>
  <c r="A43" i="25" s="1"/>
  <c r="A44" i="25" s="1"/>
  <c r="A45" i="25" s="1"/>
  <c r="A46" i="25" s="1"/>
  <c r="A47" i="25" s="1"/>
  <c r="A48" i="25" s="1"/>
  <c r="A49" i="25" s="1"/>
  <c r="A50" i="25" s="1"/>
  <c r="A51" i="25" s="1"/>
  <c r="A52" i="25" s="1"/>
  <c r="A53" i="25" s="1"/>
  <c r="A54" i="25" s="1"/>
  <c r="A55" i="25" s="1"/>
  <c r="A56" i="25" s="1"/>
  <c r="A57" i="25" s="1"/>
  <c r="A58" i="25" s="1"/>
  <c r="A59" i="25" s="1"/>
  <c r="A60" i="25" s="1"/>
  <c r="A61" i="25" s="1"/>
  <c r="A62" i="25" s="1"/>
  <c r="A63" i="25" s="1"/>
  <c r="A64" i="25" s="1"/>
  <c r="A65" i="25" s="1"/>
  <c r="A66" i="25" s="1"/>
  <c r="A67" i="25" s="1"/>
  <c r="A68" i="25" s="1"/>
  <c r="A69" i="25" s="1"/>
  <c r="A70" i="25" s="1"/>
  <c r="A71" i="25" s="1"/>
  <c r="A72" i="25" s="1"/>
  <c r="A73" i="25" s="1"/>
  <c r="A74" i="25" s="1"/>
  <c r="A75" i="25" s="1"/>
  <c r="A76" i="25" s="1"/>
  <c r="A77" i="25" s="1"/>
  <c r="A78" i="25" s="1"/>
  <c r="A79" i="25" s="1"/>
  <c r="A80" i="25" s="1"/>
  <c r="A81" i="25" s="1"/>
  <c r="A82" i="25" s="1"/>
  <c r="A83" i="25" s="1"/>
  <c r="A84" i="25" s="1"/>
  <c r="A85" i="25" s="1"/>
  <c r="A86" i="25" s="1"/>
  <c r="A87" i="25" s="1"/>
  <c r="A88" i="25" s="1"/>
  <c r="A89" i="25" s="1"/>
  <c r="A90" i="25" s="1"/>
  <c r="A91" i="25" s="1"/>
  <c r="A92" i="25" s="1"/>
  <c r="A93" i="25" s="1"/>
  <c r="A94" i="25" s="1"/>
  <c r="A95" i="25" s="1"/>
  <c r="A96" i="25" s="1"/>
  <c r="A97" i="25" s="1"/>
  <c r="A98" i="25" s="1"/>
  <c r="A99" i="25" s="1"/>
  <c r="A100" i="25" s="1"/>
  <c r="A101" i="25" s="1"/>
  <c r="A102" i="25" s="1"/>
  <c r="A103" i="25" s="1"/>
  <c r="A104" i="25" s="1"/>
  <c r="A105" i="25" s="1"/>
  <c r="A106" i="25" s="1"/>
  <c r="A107" i="25" s="1"/>
  <c r="A108" i="25" s="1"/>
  <c r="A109" i="25" s="1"/>
  <c r="A110" i="25" s="1"/>
  <c r="A111" i="25" s="1"/>
  <c r="A112" i="25" s="1"/>
  <c r="A113" i="25" s="1"/>
  <c r="A114" i="25" s="1"/>
  <c r="A115" i="25" s="1"/>
  <c r="A116" i="25" s="1"/>
  <c r="A117" i="25" s="1"/>
  <c r="A118" i="25" s="1"/>
  <c r="A119" i="25" s="1"/>
  <c r="A120" i="25" s="1"/>
  <c r="A121" i="25" s="1"/>
  <c r="A122" i="25" s="1"/>
  <c r="A123" i="25" s="1"/>
  <c r="A124" i="25" s="1"/>
  <c r="A125" i="25" s="1"/>
  <c r="A126" i="25" s="1"/>
  <c r="A127" i="25" s="1"/>
  <c r="A128" i="25" s="1"/>
  <c r="A129" i="25" s="1"/>
  <c r="A130" i="25" s="1"/>
  <c r="A131" i="25" s="1"/>
  <c r="A132" i="25" s="1"/>
  <c r="A133" i="25" s="1"/>
  <c r="A134" i="25" s="1"/>
  <c r="A135" i="25" s="1"/>
  <c r="A136" i="25" s="1"/>
  <c r="A137" i="25" s="1"/>
  <c r="A138" i="25" s="1"/>
  <c r="A139" i="25" s="1"/>
  <c r="A140" i="25" s="1"/>
  <c r="A141" i="25" s="1"/>
  <c r="A142" i="25" s="1"/>
  <c r="A143" i="25" s="1"/>
  <c r="A144" i="25" s="1"/>
  <c r="A145" i="25" s="1"/>
  <c r="A146" i="25" s="1"/>
  <c r="A147" i="25" s="1"/>
  <c r="A148" i="25" s="1"/>
  <c r="A149" i="25" s="1"/>
  <c r="A150" i="25" s="1"/>
  <c r="A151" i="25" s="1"/>
  <c r="A152" i="25" s="1"/>
  <c r="A153" i="25" s="1"/>
  <c r="A154" i="25" s="1"/>
  <c r="A155" i="25" s="1"/>
  <c r="A156" i="25" s="1"/>
  <c r="A157" i="25" s="1"/>
  <c r="A158" i="25" s="1"/>
  <c r="A159" i="25" s="1"/>
  <c r="A160" i="25" s="1"/>
  <c r="A161" i="25" s="1"/>
  <c r="A162" i="25" s="1"/>
  <c r="A163" i="25" s="1"/>
  <c r="A164" i="25" s="1"/>
  <c r="A165" i="25" s="1"/>
  <c r="A166" i="25" s="1"/>
  <c r="A167" i="25" s="1"/>
  <c r="A168" i="25" s="1"/>
  <c r="A169" i="25" s="1"/>
  <c r="A170" i="25" s="1"/>
  <c r="A171" i="25" s="1"/>
  <c r="A172" i="25" s="1"/>
  <c r="A173" i="25" s="1"/>
  <c r="A174" i="25" s="1"/>
  <c r="A175" i="25" s="1"/>
  <c r="A176" i="25" s="1"/>
  <c r="A177" i="25" s="1"/>
  <c r="A178" i="25" s="1"/>
  <c r="A179" i="25" s="1"/>
  <c r="A180" i="25" s="1"/>
  <c r="A181" i="25" s="1"/>
  <c r="A182" i="25" s="1"/>
  <c r="A183" i="25" s="1"/>
  <c r="A184" i="25" s="1"/>
  <c r="A185" i="25" s="1"/>
  <c r="A186" i="25" s="1"/>
  <c r="A187" i="25" s="1"/>
  <c r="A188" i="25" s="1"/>
  <c r="A189" i="25" s="1"/>
  <c r="A190" i="25" s="1"/>
  <c r="A191" i="25" s="1"/>
  <c r="A192" i="25" s="1"/>
  <c r="A193" i="25" s="1"/>
  <c r="A194" i="25" s="1"/>
  <c r="A195" i="25" s="1"/>
  <c r="A196" i="25" s="1"/>
  <c r="A197" i="25" s="1"/>
  <c r="A198" i="25" s="1"/>
  <c r="A199" i="25" s="1"/>
  <c r="A200" i="25" s="1"/>
  <c r="A201" i="25" s="1"/>
  <c r="A202" i="25" s="1"/>
  <c r="A203" i="25" s="1"/>
  <c r="A204" i="25" s="1"/>
  <c r="A205" i="25" s="1"/>
  <c r="A206" i="25" s="1"/>
  <c r="A207" i="25" s="1"/>
  <c r="A208" i="25" s="1"/>
  <c r="A209" i="25" s="1"/>
  <c r="A210" i="25" s="1"/>
  <c r="A211" i="25" s="1"/>
  <c r="A212" i="25" s="1"/>
  <c r="A213" i="25" s="1"/>
  <c r="A214" i="25" s="1"/>
  <c r="A215" i="25" s="1"/>
  <c r="A216" i="25" s="1"/>
  <c r="A217" i="25" s="1"/>
  <c r="A218" i="25" s="1"/>
  <c r="A219" i="25" s="1"/>
  <c r="A220" i="25" s="1"/>
  <c r="A221" i="25" s="1"/>
  <c r="A222" i="25" s="1"/>
  <c r="A223" i="25" s="1"/>
  <c r="A224" i="25" s="1"/>
  <c r="A225" i="25" s="1"/>
  <c r="A226" i="25" s="1"/>
  <c r="A227" i="25" s="1"/>
  <c r="A228" i="25" s="1"/>
  <c r="A229" i="25" s="1"/>
  <c r="A230" i="25" s="1"/>
  <c r="A231" i="25" s="1"/>
  <c r="A232" i="25" s="1"/>
  <c r="A233" i="25" s="1"/>
  <c r="A234" i="25" s="1"/>
  <c r="A235" i="25" s="1"/>
  <c r="A236" i="25" s="1"/>
  <c r="A237" i="25" s="1"/>
  <c r="A238" i="25" s="1"/>
  <c r="A239" i="25" s="1"/>
  <c r="A240" i="25" s="1"/>
  <c r="A241" i="25" s="1"/>
  <c r="A242" i="25" s="1"/>
  <c r="A243" i="25" s="1"/>
  <c r="A244" i="25" s="1"/>
  <c r="A245" i="25" s="1"/>
  <c r="A246" i="25" s="1"/>
  <c r="A247" i="25" s="1"/>
  <c r="A248" i="25" s="1"/>
  <c r="A249" i="25" s="1"/>
  <c r="A250" i="25" s="1"/>
  <c r="A251" i="25" s="1"/>
  <c r="A252" i="25" s="1"/>
  <c r="A253" i="25" s="1"/>
  <c r="A254" i="25" s="1"/>
  <c r="A255" i="25" s="1"/>
  <c r="A256" i="25" s="1"/>
  <c r="A257" i="25" s="1"/>
  <c r="A258" i="25" s="1"/>
  <c r="A259" i="25" s="1"/>
  <c r="A260" i="25" s="1"/>
  <c r="A261" i="25" s="1"/>
  <c r="A262" i="25" s="1"/>
  <c r="A263" i="25" s="1"/>
  <c r="A264" i="25" s="1"/>
  <c r="A265" i="25" s="1"/>
  <c r="A266" i="25" s="1"/>
  <c r="A267" i="25" s="1"/>
  <c r="A268" i="25" s="1"/>
  <c r="A269" i="25" s="1"/>
  <c r="A270" i="25" s="1"/>
  <c r="A271" i="25" s="1"/>
  <c r="A272" i="25" s="1"/>
  <c r="A273" i="25" s="1"/>
  <c r="A274" i="25" s="1"/>
  <c r="A275" i="25" s="1"/>
  <c r="A276" i="25" s="1"/>
  <c r="A277" i="25" s="1"/>
  <c r="A278" i="25" s="1"/>
  <c r="A279" i="25" s="1"/>
  <c r="A280" i="25" s="1"/>
  <c r="A281" i="25" s="1"/>
  <c r="A282" i="25" s="1"/>
  <c r="A283" i="25" s="1"/>
  <c r="A284" i="25" s="1"/>
  <c r="A285" i="25" s="1"/>
  <c r="A286" i="25" s="1"/>
  <c r="A287" i="25" s="1"/>
  <c r="A288" i="25" s="1"/>
  <c r="A289" i="25" s="1"/>
  <c r="A290" i="25" s="1"/>
  <c r="A291" i="25" s="1"/>
  <c r="A292" i="25" s="1"/>
  <c r="A293" i="25" s="1"/>
  <c r="A294" i="25" s="1"/>
  <c r="A295" i="25" s="1"/>
  <c r="A296" i="25" s="1"/>
  <c r="A297" i="25" s="1"/>
  <c r="A298" i="25" s="1"/>
  <c r="A299" i="25" s="1"/>
  <c r="A300" i="25" s="1"/>
  <c r="A301" i="25" s="1"/>
  <c r="A302" i="25" s="1"/>
  <c r="A303" i="25" s="1"/>
  <c r="A304" i="25" s="1"/>
  <c r="A305" i="25" s="1"/>
  <c r="A306" i="25" s="1"/>
  <c r="A307" i="25" s="1"/>
  <c r="A308" i="25" s="1"/>
  <c r="A309" i="25" s="1"/>
  <c r="A310" i="25" s="1"/>
  <c r="A311" i="25" s="1"/>
  <c r="A312" i="25" s="1"/>
  <c r="A313" i="25" s="1"/>
  <c r="A314" i="25" s="1"/>
  <c r="A315" i="25" s="1"/>
  <c r="A316" i="25" s="1"/>
  <c r="A317" i="25" s="1"/>
  <c r="A318" i="25" s="1"/>
  <c r="A319" i="25" s="1"/>
  <c r="A320" i="25" s="1"/>
  <c r="A321" i="25" s="1"/>
  <c r="A322" i="25" s="1"/>
  <c r="A323" i="25" s="1"/>
  <c r="A324" i="25" s="1"/>
  <c r="A325" i="25" s="1"/>
  <c r="A326" i="25" s="1"/>
  <c r="A327" i="25" s="1"/>
  <c r="A328" i="25" s="1"/>
  <c r="A329" i="25" s="1"/>
  <c r="A330" i="25" s="1"/>
  <c r="A331" i="25" s="1"/>
  <c r="A332" i="25" s="1"/>
  <c r="A333" i="25" s="1"/>
  <c r="A334" i="25" s="1"/>
  <c r="A335" i="25" s="1"/>
  <c r="A336" i="25" s="1"/>
  <c r="A337" i="25" s="1"/>
  <c r="A338" i="25" s="1"/>
  <c r="A339" i="25" s="1"/>
  <c r="A340" i="25" s="1"/>
  <c r="A341" i="25" s="1"/>
  <c r="A342" i="25" s="1"/>
  <c r="A343" i="25" s="1"/>
  <c r="A344" i="25" s="1"/>
  <c r="A345" i="25" s="1"/>
  <c r="A346" i="25" s="1"/>
  <c r="A347" i="25" s="1"/>
  <c r="A348" i="25" s="1"/>
  <c r="A349" i="25" s="1"/>
  <c r="A350" i="25" s="1"/>
  <c r="A351" i="25" s="1"/>
  <c r="A352" i="25" s="1"/>
  <c r="A353" i="25" s="1"/>
  <c r="A354" i="25" s="1"/>
  <c r="A355" i="25" s="1"/>
  <c r="A356" i="25" s="1"/>
  <c r="A357" i="25" s="1"/>
  <c r="A358" i="25" s="1"/>
  <c r="A359" i="25" s="1"/>
  <c r="A360" i="25" s="1"/>
  <c r="A361" i="25" s="1"/>
  <c r="A362" i="25" s="1"/>
  <c r="A363" i="25" s="1"/>
  <c r="A364" i="25" s="1"/>
  <c r="A365" i="25" s="1"/>
  <c r="A366" i="25" s="1"/>
  <c r="A3" i="24"/>
  <c r="A4" i="24" s="1"/>
  <c r="A5" i="24" s="1"/>
  <c r="A6" i="24" s="1"/>
  <c r="A7" i="24" s="1"/>
  <c r="A8" i="24" s="1"/>
  <c r="A9" i="24" s="1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34" i="24" s="1"/>
  <c r="A35" i="24" s="1"/>
  <c r="A36" i="24" s="1"/>
  <c r="A37" i="24" s="1"/>
  <c r="A38" i="24" s="1"/>
  <c r="A39" i="24" s="1"/>
  <c r="A40" i="24" s="1"/>
  <c r="A41" i="24" s="1"/>
  <c r="A42" i="24" s="1"/>
  <c r="A43" i="24" s="1"/>
  <c r="A44" i="24" s="1"/>
  <c r="A45" i="24" s="1"/>
  <c r="A46" i="24" s="1"/>
  <c r="A47" i="24" s="1"/>
  <c r="A48" i="24" s="1"/>
  <c r="A49" i="24" s="1"/>
  <c r="A50" i="24" s="1"/>
  <c r="A51" i="24" s="1"/>
  <c r="A52" i="24" s="1"/>
  <c r="A53" i="24" s="1"/>
  <c r="A54" i="24" s="1"/>
  <c r="A55" i="24" s="1"/>
  <c r="A56" i="24" s="1"/>
  <c r="A57" i="24" s="1"/>
  <c r="A58" i="24" s="1"/>
  <c r="A59" i="24" s="1"/>
  <c r="A60" i="24" s="1"/>
  <c r="A61" i="24" s="1"/>
  <c r="A62" i="24" s="1"/>
  <c r="A63" i="24" s="1"/>
  <c r="A64" i="24" s="1"/>
  <c r="A65" i="24" s="1"/>
  <c r="A66" i="24" s="1"/>
  <c r="A67" i="24" s="1"/>
  <c r="A68" i="24" s="1"/>
  <c r="A69" i="24" s="1"/>
  <c r="A70" i="24" s="1"/>
  <c r="A71" i="24" s="1"/>
  <c r="A72" i="24" s="1"/>
  <c r="A73" i="24" s="1"/>
  <c r="A74" i="24" s="1"/>
  <c r="A75" i="24" s="1"/>
  <c r="A76" i="24" s="1"/>
  <c r="A77" i="24" s="1"/>
  <c r="A78" i="24" s="1"/>
  <c r="A79" i="24" s="1"/>
  <c r="A80" i="24" s="1"/>
  <c r="A81" i="24" s="1"/>
  <c r="A82" i="24" s="1"/>
  <c r="A83" i="24" s="1"/>
  <c r="A84" i="24" s="1"/>
  <c r="A85" i="24" s="1"/>
  <c r="A86" i="24" s="1"/>
  <c r="A87" i="24" s="1"/>
  <c r="A88" i="24" s="1"/>
  <c r="A89" i="24" s="1"/>
  <c r="A90" i="24" s="1"/>
  <c r="A91" i="24" s="1"/>
  <c r="A92" i="24" s="1"/>
  <c r="A93" i="24" s="1"/>
  <c r="A94" i="24" s="1"/>
  <c r="A95" i="24" s="1"/>
  <c r="A96" i="24" s="1"/>
  <c r="A97" i="24" s="1"/>
  <c r="A98" i="24" s="1"/>
  <c r="A99" i="24" s="1"/>
  <c r="A100" i="24" s="1"/>
  <c r="A101" i="24" s="1"/>
  <c r="A102" i="24" s="1"/>
  <c r="A103" i="24" s="1"/>
  <c r="A104" i="24" s="1"/>
  <c r="A105" i="24" s="1"/>
  <c r="A106" i="24" s="1"/>
  <c r="A107" i="24" s="1"/>
  <c r="A108" i="24" s="1"/>
  <c r="A109" i="24" s="1"/>
  <c r="A110" i="24" s="1"/>
  <c r="A111" i="24" s="1"/>
  <c r="A112" i="24" s="1"/>
  <c r="A113" i="24" s="1"/>
  <c r="A114" i="24" s="1"/>
  <c r="A115" i="24" s="1"/>
  <c r="A116" i="24" s="1"/>
  <c r="A117" i="24" s="1"/>
  <c r="A118" i="24" s="1"/>
  <c r="A119" i="24" s="1"/>
  <c r="A120" i="24" s="1"/>
  <c r="A121" i="24" s="1"/>
  <c r="A122" i="24" s="1"/>
  <c r="A123" i="24" s="1"/>
  <c r="A124" i="24" s="1"/>
  <c r="A125" i="24" s="1"/>
  <c r="A126" i="24" s="1"/>
  <c r="A127" i="24" s="1"/>
  <c r="A128" i="24" s="1"/>
  <c r="A129" i="24" s="1"/>
  <c r="A130" i="24" s="1"/>
  <c r="A131" i="24" s="1"/>
  <c r="A132" i="24" s="1"/>
  <c r="A133" i="24" s="1"/>
  <c r="A134" i="24" s="1"/>
  <c r="A135" i="24" s="1"/>
  <c r="A136" i="24" s="1"/>
  <c r="A137" i="24" s="1"/>
  <c r="A138" i="24" s="1"/>
  <c r="A139" i="24" s="1"/>
  <c r="A140" i="24" s="1"/>
  <c r="A141" i="24" s="1"/>
  <c r="A142" i="24" s="1"/>
  <c r="A143" i="24" s="1"/>
  <c r="A144" i="24" s="1"/>
  <c r="A145" i="24" s="1"/>
  <c r="A146" i="24" s="1"/>
  <c r="A147" i="24" s="1"/>
  <c r="A148" i="24" s="1"/>
  <c r="A149" i="24" s="1"/>
  <c r="A150" i="24" s="1"/>
  <c r="A151" i="24" s="1"/>
  <c r="A152" i="24" s="1"/>
  <c r="A153" i="24" s="1"/>
  <c r="A154" i="24" s="1"/>
  <c r="A155" i="24" s="1"/>
  <c r="A156" i="24" s="1"/>
  <c r="A157" i="24" s="1"/>
  <c r="A158" i="24" s="1"/>
  <c r="A159" i="24" s="1"/>
  <c r="A160" i="24" s="1"/>
  <c r="A161" i="24" s="1"/>
  <c r="A162" i="24" s="1"/>
  <c r="A163" i="24" s="1"/>
  <c r="A164" i="24" s="1"/>
  <c r="A165" i="24" s="1"/>
  <c r="A166" i="24" s="1"/>
  <c r="A167" i="24" s="1"/>
  <c r="A168" i="24" s="1"/>
  <c r="A169" i="24" s="1"/>
  <c r="A170" i="24" s="1"/>
  <c r="A171" i="24" s="1"/>
  <c r="A172" i="24" s="1"/>
  <c r="A173" i="24" s="1"/>
  <c r="A174" i="24" s="1"/>
  <c r="A175" i="24" s="1"/>
  <c r="A176" i="24" s="1"/>
  <c r="A177" i="24" s="1"/>
  <c r="A178" i="24" s="1"/>
  <c r="A179" i="24" s="1"/>
  <c r="A180" i="24" s="1"/>
  <c r="A181" i="24" s="1"/>
  <c r="A182" i="24" s="1"/>
  <c r="A183" i="24" s="1"/>
  <c r="A184" i="24" s="1"/>
  <c r="A185" i="24" s="1"/>
  <c r="A186" i="24" s="1"/>
  <c r="A187" i="24" s="1"/>
  <c r="A188" i="24" s="1"/>
  <c r="A189" i="24" s="1"/>
  <c r="A190" i="24" s="1"/>
  <c r="A191" i="24" s="1"/>
  <c r="A192" i="24" s="1"/>
  <c r="A193" i="24" s="1"/>
  <c r="A194" i="24" s="1"/>
  <c r="A195" i="24" s="1"/>
  <c r="A196" i="24" s="1"/>
  <c r="A197" i="24" s="1"/>
  <c r="A198" i="24" s="1"/>
  <c r="A199" i="24" s="1"/>
  <c r="A200" i="24" s="1"/>
  <c r="A201" i="24" s="1"/>
  <c r="A202" i="24" s="1"/>
  <c r="A203" i="24" s="1"/>
  <c r="A204" i="24" s="1"/>
  <c r="A205" i="24" s="1"/>
  <c r="A206" i="24" s="1"/>
  <c r="A207" i="24" s="1"/>
  <c r="A208" i="24" s="1"/>
  <c r="A209" i="24" s="1"/>
  <c r="A210" i="24" s="1"/>
  <c r="A211" i="24" s="1"/>
  <c r="A212" i="24" s="1"/>
  <c r="A213" i="24" s="1"/>
  <c r="A214" i="24" s="1"/>
  <c r="A215" i="24" s="1"/>
  <c r="A216" i="24" s="1"/>
  <c r="A217" i="24" s="1"/>
  <c r="A218" i="24" s="1"/>
  <c r="A219" i="24" s="1"/>
  <c r="A220" i="24" s="1"/>
  <c r="A221" i="24" s="1"/>
  <c r="A222" i="24" s="1"/>
  <c r="A223" i="24" s="1"/>
  <c r="A224" i="24" s="1"/>
  <c r="A225" i="24" s="1"/>
  <c r="A226" i="24" s="1"/>
  <c r="A227" i="24" s="1"/>
  <c r="A228" i="24" s="1"/>
  <c r="A229" i="24" s="1"/>
  <c r="A230" i="24" s="1"/>
  <c r="A231" i="24" s="1"/>
  <c r="A232" i="24" s="1"/>
  <c r="A233" i="24" s="1"/>
  <c r="A234" i="24" s="1"/>
  <c r="A235" i="24" s="1"/>
  <c r="A236" i="24" s="1"/>
  <c r="A237" i="24" s="1"/>
  <c r="A238" i="24" s="1"/>
  <c r="A239" i="24" s="1"/>
  <c r="A240" i="24" s="1"/>
  <c r="A241" i="24" s="1"/>
  <c r="A242" i="24" s="1"/>
  <c r="A243" i="24" s="1"/>
  <c r="A244" i="24" s="1"/>
  <c r="A245" i="24" s="1"/>
  <c r="A246" i="24" s="1"/>
  <c r="A247" i="24" s="1"/>
  <c r="A248" i="24" s="1"/>
  <c r="A249" i="24" s="1"/>
  <c r="A250" i="24" s="1"/>
  <c r="A251" i="24" s="1"/>
  <c r="A252" i="24" s="1"/>
  <c r="A253" i="24" s="1"/>
  <c r="A254" i="24" s="1"/>
  <c r="A255" i="24" s="1"/>
  <c r="A256" i="24" s="1"/>
  <c r="A257" i="24" s="1"/>
  <c r="A258" i="24" s="1"/>
  <c r="A259" i="24" s="1"/>
  <c r="A260" i="24" s="1"/>
  <c r="A261" i="24" s="1"/>
  <c r="A262" i="24" s="1"/>
  <c r="A263" i="24" s="1"/>
  <c r="A264" i="24" s="1"/>
  <c r="A265" i="24" s="1"/>
  <c r="A266" i="24" s="1"/>
  <c r="A267" i="24" s="1"/>
  <c r="A268" i="24" s="1"/>
  <c r="A269" i="24" s="1"/>
  <c r="A270" i="24" s="1"/>
  <c r="A271" i="24" s="1"/>
  <c r="A272" i="24" s="1"/>
  <c r="A273" i="24" s="1"/>
  <c r="A274" i="24" s="1"/>
  <c r="A275" i="24" s="1"/>
  <c r="A276" i="24" s="1"/>
  <c r="A277" i="24" s="1"/>
  <c r="A278" i="24" s="1"/>
  <c r="A279" i="24" s="1"/>
  <c r="A280" i="24" s="1"/>
  <c r="A281" i="24" s="1"/>
  <c r="A282" i="24" s="1"/>
  <c r="A283" i="24" s="1"/>
  <c r="A284" i="24" s="1"/>
  <c r="A285" i="24" s="1"/>
  <c r="A286" i="24" s="1"/>
  <c r="A287" i="24" s="1"/>
  <c r="A288" i="24" s="1"/>
  <c r="A289" i="24" s="1"/>
  <c r="A290" i="24" s="1"/>
  <c r="A291" i="24" s="1"/>
  <c r="A292" i="24" s="1"/>
  <c r="A293" i="24" s="1"/>
  <c r="A294" i="24" s="1"/>
  <c r="A295" i="24" s="1"/>
  <c r="A296" i="24" s="1"/>
  <c r="A297" i="24" s="1"/>
  <c r="A298" i="24" s="1"/>
  <c r="A299" i="24" s="1"/>
  <c r="A300" i="24" s="1"/>
  <c r="A301" i="24" s="1"/>
  <c r="A302" i="24" s="1"/>
  <c r="A303" i="24" s="1"/>
  <c r="A304" i="24" s="1"/>
  <c r="A305" i="24" s="1"/>
  <c r="A306" i="24" s="1"/>
  <c r="A307" i="24" s="1"/>
  <c r="A308" i="24" s="1"/>
  <c r="A309" i="24" s="1"/>
  <c r="A310" i="24" s="1"/>
  <c r="A311" i="24" s="1"/>
  <c r="A312" i="24" s="1"/>
  <c r="A313" i="24" s="1"/>
  <c r="A314" i="24" s="1"/>
  <c r="A315" i="24" s="1"/>
  <c r="A316" i="24" s="1"/>
  <c r="A317" i="24" s="1"/>
  <c r="A318" i="24" s="1"/>
  <c r="A319" i="24" s="1"/>
  <c r="A320" i="24" s="1"/>
  <c r="A321" i="24" s="1"/>
  <c r="A322" i="24" s="1"/>
  <c r="A323" i="24" s="1"/>
  <c r="A324" i="24" s="1"/>
  <c r="A325" i="24" s="1"/>
  <c r="A326" i="24" s="1"/>
  <c r="A327" i="24" s="1"/>
  <c r="A328" i="24" s="1"/>
  <c r="A329" i="24" s="1"/>
  <c r="A330" i="24" s="1"/>
  <c r="A331" i="24" s="1"/>
  <c r="A332" i="24" s="1"/>
  <c r="A333" i="24" s="1"/>
  <c r="A334" i="24" s="1"/>
  <c r="A335" i="24" s="1"/>
  <c r="A336" i="24" s="1"/>
  <c r="A337" i="24" s="1"/>
  <c r="A338" i="24" s="1"/>
  <c r="A339" i="24" s="1"/>
  <c r="A340" i="24" s="1"/>
  <c r="A341" i="24" s="1"/>
  <c r="A342" i="24" s="1"/>
  <c r="A343" i="24" s="1"/>
  <c r="A344" i="24" s="1"/>
  <c r="A345" i="24" s="1"/>
  <c r="A346" i="24" s="1"/>
  <c r="A347" i="24" s="1"/>
  <c r="A348" i="24" s="1"/>
  <c r="A349" i="24" s="1"/>
  <c r="A350" i="24" s="1"/>
  <c r="A351" i="24" s="1"/>
  <c r="A352" i="24" s="1"/>
  <c r="A353" i="24" s="1"/>
  <c r="A354" i="24" s="1"/>
  <c r="A355" i="24" s="1"/>
  <c r="A356" i="24" s="1"/>
  <c r="A357" i="24" s="1"/>
  <c r="A358" i="24" s="1"/>
  <c r="A359" i="24" s="1"/>
  <c r="A360" i="24" s="1"/>
  <c r="A361" i="24" s="1"/>
  <c r="A362" i="24" s="1"/>
  <c r="A363" i="24" s="1"/>
  <c r="A364" i="24" s="1"/>
  <c r="A365" i="24" s="1"/>
  <c r="A366" i="24" s="1"/>
  <c r="A367" i="24" s="1"/>
  <c r="I371" i="23"/>
  <c r="A3" i="23"/>
  <c r="A4" i="23" s="1"/>
  <c r="A5" i="23" s="1"/>
  <c r="A6" i="23" s="1"/>
  <c r="A7" i="23" s="1"/>
  <c r="A8" i="23" s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A43" i="23" s="1"/>
  <c r="A44" i="23" s="1"/>
  <c r="A45" i="23" s="1"/>
  <c r="A46" i="23" s="1"/>
  <c r="A47" i="23" s="1"/>
  <c r="A48" i="23" s="1"/>
  <c r="A49" i="23" s="1"/>
  <c r="A50" i="23" s="1"/>
  <c r="A51" i="23" s="1"/>
  <c r="A52" i="23" s="1"/>
  <c r="A53" i="23" s="1"/>
  <c r="A54" i="23" s="1"/>
  <c r="A55" i="23" s="1"/>
  <c r="A56" i="23" s="1"/>
  <c r="A57" i="23" s="1"/>
  <c r="A58" i="23" s="1"/>
  <c r="A59" i="23" s="1"/>
  <c r="A60" i="23" s="1"/>
  <c r="A61" i="23" s="1"/>
  <c r="A62" i="23" s="1"/>
  <c r="A63" i="23" s="1"/>
  <c r="A64" i="23" s="1"/>
  <c r="A65" i="23" s="1"/>
  <c r="A66" i="23" s="1"/>
  <c r="A67" i="23" s="1"/>
  <c r="A68" i="23" s="1"/>
  <c r="A69" i="23" s="1"/>
  <c r="A70" i="23" s="1"/>
  <c r="A71" i="23" s="1"/>
  <c r="A72" i="23" s="1"/>
  <c r="A73" i="23" s="1"/>
  <c r="A74" i="23" s="1"/>
  <c r="A75" i="23" s="1"/>
  <c r="A76" i="23" s="1"/>
  <c r="A77" i="23" s="1"/>
  <c r="A78" i="23" s="1"/>
  <c r="A79" i="23" s="1"/>
  <c r="A80" i="23" s="1"/>
  <c r="A81" i="23" s="1"/>
  <c r="A82" i="23" s="1"/>
  <c r="A83" i="23" s="1"/>
  <c r="A84" i="23" s="1"/>
  <c r="A85" i="23" s="1"/>
  <c r="A86" i="23" s="1"/>
  <c r="A87" i="23" s="1"/>
  <c r="A88" i="23" s="1"/>
  <c r="A89" i="23" s="1"/>
  <c r="A90" i="23" s="1"/>
  <c r="A91" i="23" s="1"/>
  <c r="A92" i="23" s="1"/>
  <c r="A93" i="23" s="1"/>
  <c r="A94" i="23" s="1"/>
  <c r="A95" i="23" s="1"/>
  <c r="A96" i="23" s="1"/>
  <c r="A97" i="23" s="1"/>
  <c r="A98" i="23" s="1"/>
  <c r="A99" i="23" s="1"/>
  <c r="A100" i="23" s="1"/>
  <c r="A101" i="23" s="1"/>
  <c r="A102" i="23" s="1"/>
  <c r="A103" i="23" s="1"/>
  <c r="A104" i="23" s="1"/>
  <c r="A105" i="23" s="1"/>
  <c r="A106" i="23" s="1"/>
  <c r="A107" i="23" s="1"/>
  <c r="A108" i="23" s="1"/>
  <c r="A109" i="23" s="1"/>
  <c r="A110" i="23" s="1"/>
  <c r="A111" i="23" s="1"/>
  <c r="A112" i="23" s="1"/>
  <c r="A113" i="23" s="1"/>
  <c r="A114" i="23" s="1"/>
  <c r="A115" i="23" s="1"/>
  <c r="A116" i="23" s="1"/>
  <c r="A117" i="23" s="1"/>
  <c r="A118" i="23" s="1"/>
  <c r="A119" i="23" s="1"/>
  <c r="A120" i="23" s="1"/>
  <c r="A121" i="23" s="1"/>
  <c r="A122" i="23" s="1"/>
  <c r="A123" i="23" s="1"/>
  <c r="A124" i="23" s="1"/>
  <c r="A125" i="23" s="1"/>
  <c r="A126" i="23" s="1"/>
  <c r="A127" i="23" s="1"/>
  <c r="A128" i="23" s="1"/>
  <c r="A129" i="23" s="1"/>
  <c r="A130" i="23" s="1"/>
  <c r="A131" i="23" s="1"/>
  <c r="A132" i="23" s="1"/>
  <c r="A133" i="23" s="1"/>
  <c r="A134" i="23" s="1"/>
  <c r="A135" i="23" s="1"/>
  <c r="A136" i="23" s="1"/>
  <c r="A137" i="23" s="1"/>
  <c r="A138" i="23" s="1"/>
  <c r="A139" i="23" s="1"/>
  <c r="A140" i="23" s="1"/>
  <c r="A141" i="23" s="1"/>
  <c r="A142" i="23" s="1"/>
  <c r="A143" i="23" s="1"/>
  <c r="A144" i="23" s="1"/>
  <c r="A145" i="23" s="1"/>
  <c r="A146" i="23" s="1"/>
  <c r="A147" i="23" s="1"/>
  <c r="A148" i="23" s="1"/>
  <c r="A149" i="23" s="1"/>
  <c r="A150" i="23" s="1"/>
  <c r="A151" i="23" s="1"/>
  <c r="A152" i="23" s="1"/>
  <c r="A153" i="23" s="1"/>
  <c r="A154" i="23" s="1"/>
  <c r="A155" i="23" s="1"/>
  <c r="A156" i="23" s="1"/>
  <c r="A157" i="23" s="1"/>
  <c r="A158" i="23" s="1"/>
  <c r="A159" i="23" s="1"/>
  <c r="A160" i="23" s="1"/>
  <c r="A161" i="23" s="1"/>
  <c r="A162" i="23" s="1"/>
  <c r="A163" i="23" s="1"/>
  <c r="A164" i="23" s="1"/>
  <c r="A165" i="23" s="1"/>
  <c r="A166" i="23" s="1"/>
  <c r="A167" i="23" s="1"/>
  <c r="A168" i="23" s="1"/>
  <c r="A169" i="23" s="1"/>
  <c r="A170" i="23" s="1"/>
  <c r="A171" i="23" s="1"/>
  <c r="A172" i="23" s="1"/>
  <c r="A173" i="23" s="1"/>
  <c r="A174" i="23" s="1"/>
  <c r="A175" i="23" s="1"/>
  <c r="A176" i="23" s="1"/>
  <c r="A177" i="23" s="1"/>
  <c r="A178" i="23" s="1"/>
  <c r="A179" i="23" s="1"/>
  <c r="A180" i="23" s="1"/>
  <c r="A181" i="23" s="1"/>
  <c r="A182" i="23" s="1"/>
  <c r="A183" i="23" s="1"/>
  <c r="A184" i="23" s="1"/>
  <c r="A185" i="23" s="1"/>
  <c r="A186" i="23" s="1"/>
  <c r="A187" i="23" s="1"/>
  <c r="A188" i="23" s="1"/>
  <c r="A189" i="23" s="1"/>
  <c r="A190" i="23" s="1"/>
  <c r="A191" i="23" s="1"/>
  <c r="A192" i="23" s="1"/>
  <c r="A193" i="23" s="1"/>
  <c r="A194" i="23" s="1"/>
  <c r="A195" i="23" s="1"/>
  <c r="A196" i="23" s="1"/>
  <c r="A197" i="23" s="1"/>
  <c r="A198" i="23" s="1"/>
  <c r="A199" i="23" s="1"/>
  <c r="A200" i="23" s="1"/>
  <c r="A201" i="23" s="1"/>
  <c r="A202" i="23" s="1"/>
  <c r="A203" i="23" s="1"/>
  <c r="A204" i="23" s="1"/>
  <c r="A205" i="23" s="1"/>
  <c r="A206" i="23" s="1"/>
  <c r="A207" i="23" s="1"/>
  <c r="A208" i="23" s="1"/>
  <c r="A209" i="23" s="1"/>
  <c r="A210" i="23" s="1"/>
  <c r="A211" i="23" s="1"/>
  <c r="A212" i="23" s="1"/>
  <c r="A213" i="23" s="1"/>
  <c r="A214" i="23" s="1"/>
  <c r="A215" i="23" s="1"/>
  <c r="A216" i="23" s="1"/>
  <c r="A217" i="23" s="1"/>
  <c r="A218" i="23" s="1"/>
  <c r="A219" i="23" s="1"/>
  <c r="A220" i="23" s="1"/>
  <c r="A221" i="23" s="1"/>
  <c r="A222" i="23" s="1"/>
  <c r="A223" i="23" s="1"/>
  <c r="A224" i="23" s="1"/>
  <c r="A225" i="23" s="1"/>
  <c r="A226" i="23" s="1"/>
  <c r="A227" i="23" s="1"/>
  <c r="A228" i="23" s="1"/>
  <c r="A229" i="23" s="1"/>
  <c r="A230" i="23" s="1"/>
  <c r="A231" i="23" s="1"/>
  <c r="A232" i="23" s="1"/>
  <c r="A233" i="23" s="1"/>
  <c r="A234" i="23" s="1"/>
  <c r="A235" i="23" s="1"/>
  <c r="A236" i="23" s="1"/>
  <c r="A237" i="23" s="1"/>
  <c r="A238" i="23" s="1"/>
  <c r="A239" i="23" s="1"/>
  <c r="A240" i="23" s="1"/>
  <c r="A241" i="23" s="1"/>
  <c r="A242" i="23" s="1"/>
  <c r="A243" i="23" s="1"/>
  <c r="A244" i="23" s="1"/>
  <c r="A245" i="23" s="1"/>
  <c r="A246" i="23" s="1"/>
  <c r="A247" i="23" s="1"/>
  <c r="A248" i="23" s="1"/>
  <c r="A249" i="23" s="1"/>
  <c r="A250" i="23" s="1"/>
  <c r="A251" i="23" s="1"/>
  <c r="A252" i="23" s="1"/>
  <c r="A253" i="23" s="1"/>
  <c r="A254" i="23" s="1"/>
  <c r="A255" i="23" s="1"/>
  <c r="A256" i="23" s="1"/>
  <c r="A257" i="23" s="1"/>
  <c r="A258" i="23" s="1"/>
  <c r="A259" i="23" s="1"/>
  <c r="A260" i="23" s="1"/>
  <c r="A261" i="23" s="1"/>
  <c r="A262" i="23" s="1"/>
  <c r="A263" i="23" s="1"/>
  <c r="A264" i="23" s="1"/>
  <c r="A265" i="23" s="1"/>
  <c r="A266" i="23" s="1"/>
  <c r="A267" i="23" s="1"/>
  <c r="A268" i="23" s="1"/>
  <c r="A269" i="23" s="1"/>
  <c r="A270" i="23" s="1"/>
  <c r="A271" i="23" s="1"/>
  <c r="A272" i="23" s="1"/>
  <c r="A273" i="23" s="1"/>
  <c r="A274" i="23" s="1"/>
  <c r="A275" i="23" s="1"/>
  <c r="A276" i="23" s="1"/>
  <c r="A277" i="23" s="1"/>
  <c r="A278" i="23" s="1"/>
  <c r="A279" i="23" s="1"/>
  <c r="A280" i="23" s="1"/>
  <c r="A281" i="23" s="1"/>
  <c r="A282" i="23" s="1"/>
  <c r="A283" i="23" s="1"/>
  <c r="A284" i="23" s="1"/>
  <c r="A285" i="23" s="1"/>
  <c r="A286" i="23" s="1"/>
  <c r="A287" i="23" s="1"/>
  <c r="A288" i="23" s="1"/>
  <c r="A289" i="23" s="1"/>
  <c r="A290" i="23" s="1"/>
  <c r="A291" i="23" s="1"/>
  <c r="A292" i="23" s="1"/>
  <c r="A293" i="23" s="1"/>
  <c r="A294" i="23" s="1"/>
  <c r="A295" i="23" s="1"/>
  <c r="A296" i="23" s="1"/>
  <c r="A297" i="23" s="1"/>
  <c r="A298" i="23" s="1"/>
  <c r="A299" i="23" s="1"/>
  <c r="A300" i="23" s="1"/>
  <c r="A301" i="23" s="1"/>
  <c r="A302" i="23" s="1"/>
  <c r="A303" i="23" s="1"/>
  <c r="A304" i="23" s="1"/>
  <c r="A305" i="23" s="1"/>
  <c r="A306" i="23" s="1"/>
  <c r="A307" i="23" s="1"/>
  <c r="A308" i="23" s="1"/>
  <c r="A309" i="23" s="1"/>
  <c r="A310" i="23" s="1"/>
  <c r="A311" i="23" s="1"/>
  <c r="A312" i="23" s="1"/>
  <c r="A313" i="23" s="1"/>
  <c r="A314" i="23" s="1"/>
  <c r="A315" i="23" s="1"/>
  <c r="A316" i="23" s="1"/>
  <c r="A317" i="23" s="1"/>
  <c r="A318" i="23" s="1"/>
  <c r="A319" i="23" s="1"/>
  <c r="A320" i="23" s="1"/>
  <c r="A321" i="23" s="1"/>
  <c r="A322" i="23" s="1"/>
  <c r="A323" i="23" s="1"/>
  <c r="A324" i="23" s="1"/>
  <c r="A325" i="23" s="1"/>
  <c r="A326" i="23" s="1"/>
  <c r="A327" i="23" s="1"/>
  <c r="A328" i="23" s="1"/>
  <c r="A329" i="23" s="1"/>
  <c r="A330" i="23" s="1"/>
  <c r="A331" i="23" s="1"/>
  <c r="A332" i="23" s="1"/>
  <c r="A333" i="23" s="1"/>
  <c r="A334" i="23" s="1"/>
  <c r="A335" i="23" s="1"/>
  <c r="A336" i="23" s="1"/>
  <c r="A337" i="23" s="1"/>
  <c r="A338" i="23" s="1"/>
  <c r="A339" i="23" s="1"/>
  <c r="A340" i="23" s="1"/>
  <c r="A341" i="23" s="1"/>
  <c r="A342" i="23" s="1"/>
  <c r="A343" i="23" s="1"/>
  <c r="A344" i="23" s="1"/>
  <c r="A345" i="23" s="1"/>
  <c r="A346" i="23" s="1"/>
  <c r="A347" i="23" s="1"/>
  <c r="A348" i="23" s="1"/>
  <c r="A349" i="23" s="1"/>
  <c r="A350" i="23" s="1"/>
  <c r="A351" i="23" s="1"/>
  <c r="A352" i="23" s="1"/>
  <c r="A353" i="23" s="1"/>
  <c r="A354" i="23" s="1"/>
  <c r="A355" i="23" s="1"/>
  <c r="A356" i="23" s="1"/>
  <c r="A357" i="23" s="1"/>
  <c r="A358" i="23" s="1"/>
  <c r="A359" i="23" s="1"/>
  <c r="A360" i="23" s="1"/>
  <c r="A361" i="23" s="1"/>
  <c r="A362" i="23" s="1"/>
  <c r="A363" i="23" s="1"/>
  <c r="A364" i="23" s="1"/>
  <c r="A365" i="23" s="1"/>
  <c r="A366" i="23" s="1"/>
  <c r="I371" i="22"/>
  <c r="A3" i="22"/>
  <c r="A4" i="22" s="1"/>
  <c r="A5" i="22" s="1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A39" i="22" s="1"/>
  <c r="A40" i="22" s="1"/>
  <c r="A41" i="22" s="1"/>
  <c r="A42" i="22" s="1"/>
  <c r="A43" i="22" s="1"/>
  <c r="A44" i="22" s="1"/>
  <c r="A45" i="22" s="1"/>
  <c r="A46" i="22" s="1"/>
  <c r="A47" i="22" s="1"/>
  <c r="A48" i="22" s="1"/>
  <c r="A49" i="22" s="1"/>
  <c r="A50" i="22" s="1"/>
  <c r="A51" i="22" s="1"/>
  <c r="A52" i="22" s="1"/>
  <c r="A53" i="22" s="1"/>
  <c r="A54" i="22" s="1"/>
  <c r="A55" i="22" s="1"/>
  <c r="A56" i="22" s="1"/>
  <c r="A57" i="22" s="1"/>
  <c r="A58" i="22" s="1"/>
  <c r="A59" i="22" s="1"/>
  <c r="A60" i="22" s="1"/>
  <c r="A61" i="22" s="1"/>
  <c r="A62" i="22" s="1"/>
  <c r="A63" i="22" s="1"/>
  <c r="A64" i="22" s="1"/>
  <c r="A65" i="22" s="1"/>
  <c r="A66" i="22" s="1"/>
  <c r="A67" i="22" s="1"/>
  <c r="A68" i="22" s="1"/>
  <c r="A69" i="22" s="1"/>
  <c r="A70" i="22" s="1"/>
  <c r="A71" i="22" s="1"/>
  <c r="A72" i="22" s="1"/>
  <c r="A73" i="22" s="1"/>
  <c r="A74" i="22" s="1"/>
  <c r="A75" i="22" s="1"/>
  <c r="A76" i="22" s="1"/>
  <c r="A77" i="22" s="1"/>
  <c r="A78" i="22" s="1"/>
  <c r="A79" i="22" s="1"/>
  <c r="A80" i="22" s="1"/>
  <c r="A81" i="22" s="1"/>
  <c r="A82" i="22" s="1"/>
  <c r="A83" i="22" s="1"/>
  <c r="A84" i="22" s="1"/>
  <c r="A85" i="22" s="1"/>
  <c r="A86" i="22" s="1"/>
  <c r="A87" i="22" s="1"/>
  <c r="A88" i="22" s="1"/>
  <c r="A89" i="22" s="1"/>
  <c r="A90" i="22" s="1"/>
  <c r="A91" i="22" s="1"/>
  <c r="A92" i="22" s="1"/>
  <c r="A93" i="22" s="1"/>
  <c r="A94" i="22" s="1"/>
  <c r="A95" i="22" s="1"/>
  <c r="A96" i="22" s="1"/>
  <c r="A97" i="22" s="1"/>
  <c r="A98" i="22" s="1"/>
  <c r="A99" i="22" s="1"/>
  <c r="A100" i="22" s="1"/>
  <c r="A101" i="22" s="1"/>
  <c r="A102" i="22" s="1"/>
  <c r="A103" i="22" s="1"/>
  <c r="A104" i="22" s="1"/>
  <c r="A105" i="22" s="1"/>
  <c r="A106" i="22" s="1"/>
  <c r="A107" i="22" s="1"/>
  <c r="A108" i="22" s="1"/>
  <c r="A109" i="22" s="1"/>
  <c r="A110" i="22" s="1"/>
  <c r="A111" i="22" s="1"/>
  <c r="A112" i="22" s="1"/>
  <c r="A113" i="22" s="1"/>
  <c r="A114" i="22" s="1"/>
  <c r="A115" i="22" s="1"/>
  <c r="A116" i="22" s="1"/>
  <c r="A117" i="22" s="1"/>
  <c r="A118" i="22" s="1"/>
  <c r="A119" i="22" s="1"/>
  <c r="A120" i="22" s="1"/>
  <c r="A121" i="22" s="1"/>
  <c r="A122" i="22" s="1"/>
  <c r="A123" i="22" s="1"/>
  <c r="A124" i="22" s="1"/>
  <c r="A125" i="22" s="1"/>
  <c r="A126" i="22" s="1"/>
  <c r="A127" i="22" s="1"/>
  <c r="A128" i="22" s="1"/>
  <c r="A129" i="22" s="1"/>
  <c r="A130" i="22" s="1"/>
  <c r="A131" i="22" s="1"/>
  <c r="A132" i="22" s="1"/>
  <c r="A133" i="22" s="1"/>
  <c r="A134" i="22" s="1"/>
  <c r="A135" i="22" s="1"/>
  <c r="A136" i="22" s="1"/>
  <c r="A137" i="22" s="1"/>
  <c r="A138" i="22" s="1"/>
  <c r="A139" i="22" s="1"/>
  <c r="A140" i="22" s="1"/>
  <c r="A141" i="22" s="1"/>
  <c r="A142" i="22" s="1"/>
  <c r="A143" i="22" s="1"/>
  <c r="A144" i="22" s="1"/>
  <c r="A145" i="22" s="1"/>
  <c r="A146" i="22" s="1"/>
  <c r="A147" i="22" s="1"/>
  <c r="A148" i="22" s="1"/>
  <c r="A149" i="22" s="1"/>
  <c r="A150" i="22" s="1"/>
  <c r="A151" i="22" s="1"/>
  <c r="A152" i="22" s="1"/>
  <c r="A153" i="22" s="1"/>
  <c r="A154" i="22" s="1"/>
  <c r="A155" i="22" s="1"/>
  <c r="A156" i="22" s="1"/>
  <c r="A157" i="22" s="1"/>
  <c r="A158" i="22" s="1"/>
  <c r="A159" i="22" s="1"/>
  <c r="A160" i="22" s="1"/>
  <c r="A161" i="22" s="1"/>
  <c r="A162" i="22" s="1"/>
  <c r="A163" i="22" s="1"/>
  <c r="A164" i="22" s="1"/>
  <c r="A165" i="22" s="1"/>
  <c r="A166" i="22" s="1"/>
  <c r="A167" i="22" s="1"/>
  <c r="A168" i="22" s="1"/>
  <c r="A169" i="22" s="1"/>
  <c r="A170" i="22" s="1"/>
  <c r="A171" i="22" s="1"/>
  <c r="A172" i="22" s="1"/>
  <c r="A173" i="22" s="1"/>
  <c r="A174" i="22" s="1"/>
  <c r="A175" i="22" s="1"/>
  <c r="A176" i="22" s="1"/>
  <c r="A177" i="22" s="1"/>
  <c r="A178" i="22" s="1"/>
  <c r="A179" i="22" s="1"/>
  <c r="A180" i="22" s="1"/>
  <c r="A181" i="22" s="1"/>
  <c r="A182" i="22" s="1"/>
  <c r="A183" i="22" s="1"/>
  <c r="A184" i="22" s="1"/>
  <c r="A185" i="22" s="1"/>
  <c r="A186" i="22" s="1"/>
  <c r="A187" i="22" s="1"/>
  <c r="A188" i="22" s="1"/>
  <c r="A189" i="22" s="1"/>
  <c r="A190" i="22" s="1"/>
  <c r="A191" i="22" s="1"/>
  <c r="A192" i="22" s="1"/>
  <c r="A193" i="22" s="1"/>
  <c r="A194" i="22" s="1"/>
  <c r="A195" i="22" s="1"/>
  <c r="A196" i="22" s="1"/>
  <c r="A197" i="22" s="1"/>
  <c r="A198" i="22" s="1"/>
  <c r="A199" i="22" s="1"/>
  <c r="A200" i="22" s="1"/>
  <c r="A201" i="22" s="1"/>
  <c r="A202" i="22" s="1"/>
  <c r="A203" i="22" s="1"/>
  <c r="A204" i="22" s="1"/>
  <c r="A205" i="22" s="1"/>
  <c r="A206" i="22" s="1"/>
  <c r="A207" i="22" s="1"/>
  <c r="A208" i="22" s="1"/>
  <c r="A209" i="22" s="1"/>
  <c r="A210" i="22" s="1"/>
  <c r="A211" i="22" s="1"/>
  <c r="A212" i="22" s="1"/>
  <c r="A213" i="22" s="1"/>
  <c r="A214" i="22" s="1"/>
  <c r="A215" i="22" s="1"/>
  <c r="A216" i="22" s="1"/>
  <c r="A217" i="22" s="1"/>
  <c r="A218" i="22" s="1"/>
  <c r="A219" i="22" s="1"/>
  <c r="A220" i="22" s="1"/>
  <c r="A221" i="22" s="1"/>
  <c r="A222" i="22" s="1"/>
  <c r="A223" i="22" s="1"/>
  <c r="A224" i="22" s="1"/>
  <c r="A225" i="22" s="1"/>
  <c r="A226" i="22" s="1"/>
  <c r="A227" i="22" s="1"/>
  <c r="A228" i="22" s="1"/>
  <c r="A229" i="22" s="1"/>
  <c r="A230" i="22" s="1"/>
  <c r="A231" i="22" s="1"/>
  <c r="A232" i="22" s="1"/>
  <c r="A233" i="22" s="1"/>
  <c r="A234" i="22" s="1"/>
  <c r="A235" i="22" s="1"/>
  <c r="A236" i="22" s="1"/>
  <c r="A237" i="22" s="1"/>
  <c r="A238" i="22" s="1"/>
  <c r="A239" i="22" s="1"/>
  <c r="A240" i="22" s="1"/>
  <c r="A241" i="22" s="1"/>
  <c r="A242" i="22" s="1"/>
  <c r="A243" i="22" s="1"/>
  <c r="A244" i="22" s="1"/>
  <c r="A245" i="22" s="1"/>
  <c r="A246" i="22" s="1"/>
  <c r="A247" i="22" s="1"/>
  <c r="A248" i="22" s="1"/>
  <c r="A249" i="22" s="1"/>
  <c r="A250" i="22" s="1"/>
  <c r="A251" i="22" s="1"/>
  <c r="A252" i="22" s="1"/>
  <c r="A253" i="22" s="1"/>
  <c r="A254" i="22" s="1"/>
  <c r="A255" i="22" s="1"/>
  <c r="A256" i="22" s="1"/>
  <c r="A257" i="22" s="1"/>
  <c r="A258" i="22" s="1"/>
  <c r="A259" i="22" s="1"/>
  <c r="A260" i="22" s="1"/>
  <c r="A261" i="22" s="1"/>
  <c r="A262" i="22" s="1"/>
  <c r="A263" i="22" s="1"/>
  <c r="A264" i="22" s="1"/>
  <c r="A265" i="22" s="1"/>
  <c r="A266" i="22" s="1"/>
  <c r="A267" i="22" s="1"/>
  <c r="A268" i="22" s="1"/>
  <c r="A269" i="22" s="1"/>
  <c r="A270" i="22" s="1"/>
  <c r="A271" i="22" s="1"/>
  <c r="A272" i="22" s="1"/>
  <c r="A273" i="22" s="1"/>
  <c r="A274" i="22" s="1"/>
  <c r="A275" i="22" s="1"/>
  <c r="A276" i="22" s="1"/>
  <c r="A277" i="22" s="1"/>
  <c r="A278" i="22" s="1"/>
  <c r="A279" i="22" s="1"/>
  <c r="A280" i="22" s="1"/>
  <c r="A281" i="22" s="1"/>
  <c r="A282" i="22" s="1"/>
  <c r="A283" i="22" s="1"/>
  <c r="A284" i="22" s="1"/>
  <c r="A285" i="22" s="1"/>
  <c r="A286" i="22" s="1"/>
  <c r="A287" i="22" s="1"/>
  <c r="A288" i="22" s="1"/>
  <c r="A289" i="22" s="1"/>
  <c r="A290" i="22" s="1"/>
  <c r="A291" i="22" s="1"/>
  <c r="A292" i="22" s="1"/>
  <c r="A293" i="22" s="1"/>
  <c r="A294" i="22" s="1"/>
  <c r="A295" i="22" s="1"/>
  <c r="A296" i="22" s="1"/>
  <c r="A297" i="22" s="1"/>
  <c r="A298" i="22" s="1"/>
  <c r="A299" i="22" s="1"/>
  <c r="A300" i="22" s="1"/>
  <c r="A301" i="22" s="1"/>
  <c r="A302" i="22" s="1"/>
  <c r="A303" i="22" s="1"/>
  <c r="A304" i="22" s="1"/>
  <c r="A305" i="22" s="1"/>
  <c r="A306" i="22" s="1"/>
  <c r="A307" i="22" s="1"/>
  <c r="A308" i="22" s="1"/>
  <c r="A309" i="22" s="1"/>
  <c r="A310" i="22" s="1"/>
  <c r="A311" i="22" s="1"/>
  <c r="A312" i="22" s="1"/>
  <c r="A313" i="22" s="1"/>
  <c r="A314" i="22" s="1"/>
  <c r="A315" i="22" s="1"/>
  <c r="A316" i="22" s="1"/>
  <c r="A317" i="22" s="1"/>
  <c r="A318" i="22" s="1"/>
  <c r="A319" i="22" s="1"/>
  <c r="A320" i="22" s="1"/>
  <c r="A321" i="22" s="1"/>
  <c r="A322" i="22" s="1"/>
  <c r="A323" i="22" s="1"/>
  <c r="A324" i="22" s="1"/>
  <c r="A325" i="22" s="1"/>
  <c r="A326" i="22" s="1"/>
  <c r="A327" i="22" s="1"/>
  <c r="A328" i="22" s="1"/>
  <c r="A329" i="22" s="1"/>
  <c r="A330" i="22" s="1"/>
  <c r="A331" i="22" s="1"/>
  <c r="A332" i="22" s="1"/>
  <c r="A333" i="22" s="1"/>
  <c r="A334" i="22" s="1"/>
  <c r="A335" i="22" s="1"/>
  <c r="A336" i="22" s="1"/>
  <c r="A337" i="22" s="1"/>
  <c r="A338" i="22" s="1"/>
  <c r="A339" i="22" s="1"/>
  <c r="A340" i="22" s="1"/>
  <c r="A341" i="22" s="1"/>
  <c r="A342" i="22" s="1"/>
  <c r="A343" i="22" s="1"/>
  <c r="A344" i="22" s="1"/>
  <c r="A345" i="22" s="1"/>
  <c r="A346" i="22" s="1"/>
  <c r="A347" i="22" s="1"/>
  <c r="A348" i="22" s="1"/>
  <c r="A349" i="22" s="1"/>
  <c r="A350" i="22" s="1"/>
  <c r="A351" i="22" s="1"/>
  <c r="A352" i="22" s="1"/>
  <c r="A353" i="22" s="1"/>
  <c r="A354" i="22" s="1"/>
  <c r="A355" i="22" s="1"/>
  <c r="A356" i="22" s="1"/>
  <c r="A357" i="22" s="1"/>
  <c r="A358" i="22" s="1"/>
  <c r="A359" i="22" s="1"/>
  <c r="A360" i="22" s="1"/>
  <c r="A361" i="22" s="1"/>
  <c r="A362" i="22" s="1"/>
  <c r="A363" i="22" s="1"/>
  <c r="A364" i="22" s="1"/>
  <c r="A365" i="22" s="1"/>
  <c r="A366" i="22" s="1"/>
  <c r="I371" i="21"/>
  <c r="A3" i="21"/>
  <c r="A4" i="21" s="1"/>
  <c r="A5" i="21" s="1"/>
  <c r="A6" i="21" s="1"/>
  <c r="A7" i="21" s="1"/>
  <c r="A8" i="21" s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A47" i="21" s="1"/>
  <c r="A48" i="21" s="1"/>
  <c r="A49" i="21" s="1"/>
  <c r="A50" i="21" s="1"/>
  <c r="A51" i="21" s="1"/>
  <c r="A52" i="21" s="1"/>
  <c r="A53" i="21" s="1"/>
  <c r="A54" i="21" s="1"/>
  <c r="A55" i="21" s="1"/>
  <c r="A56" i="21" s="1"/>
  <c r="A57" i="21" s="1"/>
  <c r="A58" i="21" s="1"/>
  <c r="A59" i="21" s="1"/>
  <c r="A60" i="21" s="1"/>
  <c r="A61" i="21" s="1"/>
  <c r="A62" i="21" s="1"/>
  <c r="A63" i="21" s="1"/>
  <c r="A64" i="21" s="1"/>
  <c r="A65" i="21" s="1"/>
  <c r="A66" i="21" s="1"/>
  <c r="A67" i="21" s="1"/>
  <c r="A68" i="21" s="1"/>
  <c r="A69" i="21" s="1"/>
  <c r="A70" i="21" s="1"/>
  <c r="A71" i="21" s="1"/>
  <c r="A72" i="21" s="1"/>
  <c r="A73" i="21" s="1"/>
  <c r="A74" i="21" s="1"/>
  <c r="A75" i="21" s="1"/>
  <c r="A76" i="21" s="1"/>
  <c r="A77" i="21" s="1"/>
  <c r="A78" i="21" s="1"/>
  <c r="A79" i="21" s="1"/>
  <c r="A80" i="21" s="1"/>
  <c r="A81" i="21" s="1"/>
  <c r="A82" i="21" s="1"/>
  <c r="A83" i="21" s="1"/>
  <c r="A84" i="21" s="1"/>
  <c r="A85" i="21" s="1"/>
  <c r="A86" i="21" s="1"/>
  <c r="A87" i="21" s="1"/>
  <c r="A88" i="21" s="1"/>
  <c r="A89" i="21" s="1"/>
  <c r="A90" i="21" s="1"/>
  <c r="A91" i="21" s="1"/>
  <c r="A92" i="21" s="1"/>
  <c r="A93" i="21" s="1"/>
  <c r="A94" i="21" s="1"/>
  <c r="A95" i="21" s="1"/>
  <c r="A96" i="21" s="1"/>
  <c r="A97" i="21" s="1"/>
  <c r="A98" i="21" s="1"/>
  <c r="A99" i="21" s="1"/>
  <c r="A100" i="21" s="1"/>
  <c r="A101" i="21" s="1"/>
  <c r="A102" i="21" s="1"/>
  <c r="A103" i="21" s="1"/>
  <c r="A104" i="21" s="1"/>
  <c r="A105" i="21" s="1"/>
  <c r="A106" i="21" s="1"/>
  <c r="A107" i="21" s="1"/>
  <c r="A108" i="21" s="1"/>
  <c r="A109" i="21" s="1"/>
  <c r="A110" i="21" s="1"/>
  <c r="A111" i="21" s="1"/>
  <c r="A112" i="21" s="1"/>
  <c r="A113" i="21" s="1"/>
  <c r="A114" i="21" s="1"/>
  <c r="A115" i="21" s="1"/>
  <c r="A116" i="21" s="1"/>
  <c r="A117" i="21" s="1"/>
  <c r="A118" i="21" s="1"/>
  <c r="A119" i="21" s="1"/>
  <c r="A120" i="21" s="1"/>
  <c r="A121" i="21" s="1"/>
  <c r="A122" i="21" s="1"/>
  <c r="A123" i="21" s="1"/>
  <c r="A124" i="21" s="1"/>
  <c r="A125" i="21" s="1"/>
  <c r="A126" i="21" s="1"/>
  <c r="A127" i="21" s="1"/>
  <c r="A128" i="21" s="1"/>
  <c r="A129" i="21" s="1"/>
  <c r="A130" i="21" s="1"/>
  <c r="A131" i="21" s="1"/>
  <c r="A132" i="21" s="1"/>
  <c r="A133" i="21" s="1"/>
  <c r="A134" i="21" s="1"/>
  <c r="A135" i="21" s="1"/>
  <c r="A136" i="21" s="1"/>
  <c r="A137" i="21" s="1"/>
  <c r="A138" i="21" s="1"/>
  <c r="A139" i="21" s="1"/>
  <c r="A140" i="21" s="1"/>
  <c r="A141" i="21" s="1"/>
  <c r="A142" i="21" s="1"/>
  <c r="A143" i="21" s="1"/>
  <c r="A144" i="21" s="1"/>
  <c r="A145" i="21" s="1"/>
  <c r="A146" i="21" s="1"/>
  <c r="A147" i="21" s="1"/>
  <c r="A148" i="21" s="1"/>
  <c r="A149" i="21" s="1"/>
  <c r="A150" i="21" s="1"/>
  <c r="A151" i="21" s="1"/>
  <c r="A152" i="21" s="1"/>
  <c r="A153" i="21" s="1"/>
  <c r="A154" i="21" s="1"/>
  <c r="A155" i="21" s="1"/>
  <c r="A156" i="21" s="1"/>
  <c r="A157" i="21" s="1"/>
  <c r="A158" i="21" s="1"/>
  <c r="A159" i="21" s="1"/>
  <c r="A160" i="21" s="1"/>
  <c r="A161" i="21" s="1"/>
  <c r="A162" i="21" s="1"/>
  <c r="A163" i="21" s="1"/>
  <c r="A164" i="21" s="1"/>
  <c r="A165" i="21" s="1"/>
  <c r="A166" i="21" s="1"/>
  <c r="A167" i="21" s="1"/>
  <c r="A168" i="21" s="1"/>
  <c r="A169" i="21" s="1"/>
  <c r="A170" i="21" s="1"/>
  <c r="A171" i="21" s="1"/>
  <c r="A172" i="21" s="1"/>
  <c r="A173" i="21" s="1"/>
  <c r="A174" i="21" s="1"/>
  <c r="A175" i="21" s="1"/>
  <c r="A176" i="21" s="1"/>
  <c r="A177" i="21" s="1"/>
  <c r="A178" i="21" s="1"/>
  <c r="A179" i="21" s="1"/>
  <c r="A180" i="21" s="1"/>
  <c r="A181" i="21" s="1"/>
  <c r="A182" i="21" s="1"/>
  <c r="A183" i="21" s="1"/>
  <c r="A184" i="21" s="1"/>
  <c r="A185" i="21" s="1"/>
  <c r="A186" i="21" s="1"/>
  <c r="A187" i="21" s="1"/>
  <c r="A188" i="21" s="1"/>
  <c r="A189" i="21" s="1"/>
  <c r="A190" i="21" s="1"/>
  <c r="A191" i="21" s="1"/>
  <c r="A192" i="21" s="1"/>
  <c r="A193" i="21" s="1"/>
  <c r="A194" i="21" s="1"/>
  <c r="A195" i="21" s="1"/>
  <c r="A196" i="21" s="1"/>
  <c r="A197" i="21" s="1"/>
  <c r="A198" i="21" s="1"/>
  <c r="A199" i="21" s="1"/>
  <c r="A200" i="21" s="1"/>
  <c r="A201" i="21" s="1"/>
  <c r="A202" i="21" s="1"/>
  <c r="A203" i="21" s="1"/>
  <c r="A204" i="21" s="1"/>
  <c r="A205" i="21" s="1"/>
  <c r="A206" i="21" s="1"/>
  <c r="A207" i="21" s="1"/>
  <c r="A208" i="21" s="1"/>
  <c r="A209" i="21" s="1"/>
  <c r="A210" i="21" s="1"/>
  <c r="A211" i="21" s="1"/>
  <c r="A212" i="21" s="1"/>
  <c r="A213" i="21" s="1"/>
  <c r="A214" i="21" s="1"/>
  <c r="A215" i="21" s="1"/>
  <c r="A216" i="21" s="1"/>
  <c r="A217" i="21" s="1"/>
  <c r="A218" i="21" s="1"/>
  <c r="A219" i="21" s="1"/>
  <c r="A220" i="21" s="1"/>
  <c r="A221" i="21" s="1"/>
  <c r="A222" i="21" s="1"/>
  <c r="A223" i="21" s="1"/>
  <c r="A224" i="21" s="1"/>
  <c r="A225" i="21" s="1"/>
  <c r="A226" i="21" s="1"/>
  <c r="A227" i="21" s="1"/>
  <c r="A228" i="21" s="1"/>
  <c r="A229" i="21" s="1"/>
  <c r="A230" i="21" s="1"/>
  <c r="A231" i="21" s="1"/>
  <c r="A232" i="21" s="1"/>
  <c r="A233" i="21" s="1"/>
  <c r="A234" i="21" s="1"/>
  <c r="A235" i="21" s="1"/>
  <c r="A236" i="21" s="1"/>
  <c r="A237" i="21" s="1"/>
  <c r="A238" i="21" s="1"/>
  <c r="A239" i="21" s="1"/>
  <c r="A240" i="21" s="1"/>
  <c r="A241" i="21" s="1"/>
  <c r="A242" i="21" s="1"/>
  <c r="A243" i="21" s="1"/>
  <c r="A244" i="21" s="1"/>
  <c r="A245" i="21" s="1"/>
  <c r="A246" i="21" s="1"/>
  <c r="A247" i="21" s="1"/>
  <c r="A248" i="21" s="1"/>
  <c r="A249" i="21" s="1"/>
  <c r="A250" i="21" s="1"/>
  <c r="A251" i="21" s="1"/>
  <c r="A252" i="21" s="1"/>
  <c r="A253" i="21" s="1"/>
  <c r="A254" i="21" s="1"/>
  <c r="A255" i="21" s="1"/>
  <c r="A256" i="21" s="1"/>
  <c r="A257" i="21" s="1"/>
  <c r="A258" i="21" s="1"/>
  <c r="A259" i="21" s="1"/>
  <c r="A260" i="21" s="1"/>
  <c r="A261" i="21" s="1"/>
  <c r="A262" i="21" s="1"/>
  <c r="A263" i="21" s="1"/>
  <c r="A264" i="21" s="1"/>
  <c r="A265" i="21" s="1"/>
  <c r="A266" i="21" s="1"/>
  <c r="A267" i="21" s="1"/>
  <c r="A268" i="21" s="1"/>
  <c r="A269" i="21" s="1"/>
  <c r="A270" i="21" s="1"/>
  <c r="A271" i="21" s="1"/>
  <c r="A272" i="21" s="1"/>
  <c r="A273" i="21" s="1"/>
  <c r="A274" i="21" s="1"/>
  <c r="A275" i="21" s="1"/>
  <c r="A276" i="21" s="1"/>
  <c r="A277" i="21" s="1"/>
  <c r="A278" i="21" s="1"/>
  <c r="A279" i="21" s="1"/>
  <c r="A280" i="21" s="1"/>
  <c r="A281" i="21" s="1"/>
  <c r="A282" i="21" s="1"/>
  <c r="A283" i="21" s="1"/>
  <c r="A284" i="21" s="1"/>
  <c r="A285" i="21" s="1"/>
  <c r="A286" i="21" s="1"/>
  <c r="A287" i="21" s="1"/>
  <c r="A288" i="21" s="1"/>
  <c r="A289" i="21" s="1"/>
  <c r="A290" i="21" s="1"/>
  <c r="A291" i="21" s="1"/>
  <c r="A292" i="21" s="1"/>
  <c r="A293" i="21" s="1"/>
  <c r="A294" i="21" s="1"/>
  <c r="A295" i="21" s="1"/>
  <c r="A296" i="21" s="1"/>
  <c r="A297" i="21" s="1"/>
  <c r="A298" i="21" s="1"/>
  <c r="A299" i="21" s="1"/>
  <c r="A300" i="21" s="1"/>
  <c r="A301" i="21" s="1"/>
  <c r="A302" i="21" s="1"/>
  <c r="A303" i="21" s="1"/>
  <c r="A304" i="21" s="1"/>
  <c r="A305" i="21" s="1"/>
  <c r="A306" i="21" s="1"/>
  <c r="A307" i="21" s="1"/>
  <c r="A308" i="21" s="1"/>
  <c r="A309" i="21" s="1"/>
  <c r="A310" i="21" s="1"/>
  <c r="A311" i="21" s="1"/>
  <c r="A312" i="21" s="1"/>
  <c r="A313" i="21" s="1"/>
  <c r="A314" i="21" s="1"/>
  <c r="A315" i="21" s="1"/>
  <c r="A316" i="21" s="1"/>
  <c r="A317" i="21" s="1"/>
  <c r="A318" i="21" s="1"/>
  <c r="A319" i="21" s="1"/>
  <c r="A320" i="21" s="1"/>
  <c r="A321" i="21" s="1"/>
  <c r="A322" i="21" s="1"/>
  <c r="A323" i="21" s="1"/>
  <c r="A324" i="21" s="1"/>
  <c r="A325" i="21" s="1"/>
  <c r="A326" i="21" s="1"/>
  <c r="A327" i="21" s="1"/>
  <c r="A328" i="21" s="1"/>
  <c r="A329" i="21" s="1"/>
  <c r="A330" i="21" s="1"/>
  <c r="A331" i="21" s="1"/>
  <c r="A332" i="21" s="1"/>
  <c r="A333" i="21" s="1"/>
  <c r="A334" i="21" s="1"/>
  <c r="A335" i="21" s="1"/>
  <c r="A336" i="21" s="1"/>
  <c r="A337" i="21" s="1"/>
  <c r="A338" i="21" s="1"/>
  <c r="A339" i="21" s="1"/>
  <c r="A340" i="21" s="1"/>
  <c r="A341" i="21" s="1"/>
  <c r="A342" i="21" s="1"/>
  <c r="A343" i="21" s="1"/>
  <c r="A344" i="21" s="1"/>
  <c r="A345" i="21" s="1"/>
  <c r="A346" i="21" s="1"/>
  <c r="A347" i="21" s="1"/>
  <c r="A348" i="21" s="1"/>
  <c r="A349" i="21" s="1"/>
  <c r="A350" i="21" s="1"/>
  <c r="A351" i="21" s="1"/>
  <c r="A352" i="21" s="1"/>
  <c r="A353" i="21" s="1"/>
  <c r="A354" i="21" s="1"/>
  <c r="A355" i="21" s="1"/>
  <c r="A356" i="21" s="1"/>
  <c r="A357" i="21" s="1"/>
  <c r="A358" i="21" s="1"/>
  <c r="A359" i="21" s="1"/>
  <c r="A360" i="21" s="1"/>
  <c r="A361" i="21" s="1"/>
  <c r="A362" i="21" s="1"/>
  <c r="A363" i="21" s="1"/>
  <c r="A364" i="21" s="1"/>
  <c r="A365" i="21" s="1"/>
  <c r="A366" i="21" s="1"/>
  <c r="A367" i="17"/>
  <c r="A5" i="20" l="1"/>
  <c r="A6" i="20" s="1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A68" i="20" s="1"/>
  <c r="A69" i="20" s="1"/>
  <c r="A70" i="20" s="1"/>
  <c r="A71" i="20" s="1"/>
  <c r="A72" i="20" s="1"/>
  <c r="A73" i="20" s="1"/>
  <c r="A74" i="20" s="1"/>
  <c r="A75" i="20" s="1"/>
  <c r="A76" i="20" s="1"/>
  <c r="A77" i="20" s="1"/>
  <c r="A78" i="20" s="1"/>
  <c r="A79" i="20" s="1"/>
  <c r="A80" i="20" s="1"/>
  <c r="A81" i="20" s="1"/>
  <c r="A82" i="20" s="1"/>
  <c r="A83" i="20" s="1"/>
  <c r="A84" i="20" s="1"/>
  <c r="A85" i="20" s="1"/>
  <c r="A86" i="20" s="1"/>
  <c r="A87" i="20" s="1"/>
  <c r="A88" i="20" s="1"/>
  <c r="A89" i="20" s="1"/>
  <c r="A90" i="20" s="1"/>
  <c r="A91" i="20" s="1"/>
  <c r="A92" i="20" s="1"/>
  <c r="A93" i="20" s="1"/>
  <c r="A94" i="20" s="1"/>
  <c r="A95" i="20" s="1"/>
  <c r="A96" i="20" s="1"/>
  <c r="A97" i="20" s="1"/>
  <c r="A98" i="20" s="1"/>
  <c r="A99" i="20" s="1"/>
  <c r="A100" i="20" s="1"/>
  <c r="A101" i="20" s="1"/>
  <c r="A102" i="20" s="1"/>
  <c r="A103" i="20" s="1"/>
  <c r="A104" i="20" s="1"/>
  <c r="A105" i="20" s="1"/>
  <c r="A106" i="20" s="1"/>
  <c r="A107" i="20" s="1"/>
  <c r="A108" i="20" s="1"/>
  <c r="A109" i="20" s="1"/>
  <c r="A110" i="20" s="1"/>
  <c r="A111" i="20" s="1"/>
  <c r="A112" i="20" s="1"/>
  <c r="A113" i="20" s="1"/>
  <c r="A114" i="20" s="1"/>
  <c r="A115" i="20" s="1"/>
  <c r="A116" i="20" s="1"/>
  <c r="A117" i="20" s="1"/>
  <c r="A118" i="20" s="1"/>
  <c r="A119" i="20" s="1"/>
  <c r="A120" i="20" s="1"/>
  <c r="A121" i="20" s="1"/>
  <c r="A122" i="20" s="1"/>
  <c r="A123" i="20" s="1"/>
  <c r="A124" i="20" s="1"/>
  <c r="A125" i="20" s="1"/>
  <c r="A126" i="20" s="1"/>
  <c r="A127" i="20" s="1"/>
  <c r="A128" i="20" s="1"/>
  <c r="A129" i="20" s="1"/>
  <c r="A130" i="20" s="1"/>
  <c r="A131" i="20" s="1"/>
  <c r="A132" i="20" s="1"/>
  <c r="A133" i="20" s="1"/>
  <c r="A134" i="20" s="1"/>
  <c r="A135" i="20" s="1"/>
  <c r="A136" i="20" s="1"/>
  <c r="A137" i="20" s="1"/>
  <c r="A138" i="20" s="1"/>
  <c r="A139" i="20" s="1"/>
  <c r="A140" i="20" s="1"/>
  <c r="A141" i="20" s="1"/>
  <c r="A142" i="20" s="1"/>
  <c r="A143" i="20" s="1"/>
  <c r="A144" i="20" s="1"/>
  <c r="A145" i="20" s="1"/>
  <c r="A146" i="20" s="1"/>
  <c r="A147" i="20" s="1"/>
  <c r="A148" i="20" s="1"/>
  <c r="A149" i="20" s="1"/>
  <c r="A150" i="20" s="1"/>
  <c r="A151" i="20" s="1"/>
  <c r="A152" i="20" s="1"/>
  <c r="A153" i="20" s="1"/>
  <c r="A154" i="20" s="1"/>
  <c r="A155" i="20" s="1"/>
  <c r="A156" i="20" s="1"/>
  <c r="A157" i="20" s="1"/>
  <c r="A158" i="20" s="1"/>
  <c r="A159" i="20" s="1"/>
  <c r="A160" i="20" s="1"/>
  <c r="A161" i="20" s="1"/>
  <c r="A162" i="20" s="1"/>
  <c r="A163" i="20" s="1"/>
  <c r="A164" i="20" s="1"/>
  <c r="A165" i="20" s="1"/>
  <c r="A166" i="20" s="1"/>
  <c r="A167" i="20" s="1"/>
  <c r="A168" i="20" s="1"/>
  <c r="A169" i="20" s="1"/>
  <c r="A170" i="20" s="1"/>
  <c r="A171" i="20" s="1"/>
  <c r="A172" i="20" s="1"/>
  <c r="A173" i="20" s="1"/>
  <c r="A174" i="20" s="1"/>
  <c r="A175" i="20" s="1"/>
  <c r="A176" i="20" s="1"/>
  <c r="A177" i="20" s="1"/>
  <c r="A178" i="20" s="1"/>
  <c r="A179" i="20" s="1"/>
  <c r="A180" i="20" s="1"/>
  <c r="A181" i="20" s="1"/>
  <c r="A182" i="20" s="1"/>
  <c r="A183" i="20" s="1"/>
  <c r="A184" i="20" s="1"/>
  <c r="A185" i="20" s="1"/>
  <c r="A186" i="20" s="1"/>
  <c r="A187" i="20" s="1"/>
  <c r="A188" i="20" s="1"/>
  <c r="A189" i="20" s="1"/>
  <c r="A190" i="20" s="1"/>
  <c r="A191" i="20" s="1"/>
  <c r="A192" i="20" s="1"/>
  <c r="A193" i="20" s="1"/>
  <c r="A194" i="20" s="1"/>
  <c r="A195" i="20" s="1"/>
  <c r="A196" i="20" s="1"/>
  <c r="A197" i="20" s="1"/>
  <c r="A198" i="20" s="1"/>
  <c r="A199" i="20" s="1"/>
  <c r="A200" i="20" s="1"/>
  <c r="A201" i="20" s="1"/>
  <c r="A202" i="20" s="1"/>
  <c r="A203" i="20" s="1"/>
  <c r="A204" i="20" s="1"/>
  <c r="A205" i="20" s="1"/>
  <c r="A206" i="20" s="1"/>
  <c r="A207" i="20" s="1"/>
  <c r="A208" i="20" s="1"/>
  <c r="A209" i="20" s="1"/>
  <c r="A210" i="20" s="1"/>
  <c r="A211" i="20" s="1"/>
  <c r="A212" i="20" s="1"/>
  <c r="A213" i="20" s="1"/>
  <c r="A214" i="20" s="1"/>
  <c r="A215" i="20" s="1"/>
  <c r="A216" i="20" s="1"/>
  <c r="A217" i="20" s="1"/>
  <c r="A218" i="20" s="1"/>
  <c r="A219" i="20" s="1"/>
  <c r="A220" i="20" s="1"/>
  <c r="A221" i="20" s="1"/>
  <c r="A222" i="20" s="1"/>
  <c r="A223" i="20" s="1"/>
  <c r="A224" i="20" s="1"/>
  <c r="A225" i="20" s="1"/>
  <c r="A226" i="20" s="1"/>
  <c r="A227" i="20" s="1"/>
  <c r="A228" i="20" s="1"/>
  <c r="A229" i="20" s="1"/>
  <c r="A230" i="20" s="1"/>
  <c r="A231" i="20" s="1"/>
  <c r="A232" i="20" s="1"/>
  <c r="A233" i="20" s="1"/>
  <c r="A234" i="20" s="1"/>
  <c r="A235" i="20" s="1"/>
  <c r="A236" i="20" s="1"/>
  <c r="A237" i="20" s="1"/>
  <c r="A238" i="20" s="1"/>
  <c r="A239" i="20" s="1"/>
  <c r="A240" i="20" s="1"/>
  <c r="A241" i="20" s="1"/>
  <c r="A242" i="20" s="1"/>
  <c r="A243" i="20" s="1"/>
  <c r="A244" i="20" s="1"/>
  <c r="A245" i="20" s="1"/>
  <c r="A246" i="20" s="1"/>
  <c r="A247" i="20" s="1"/>
  <c r="A248" i="20" s="1"/>
  <c r="A249" i="20" s="1"/>
  <c r="A250" i="20" s="1"/>
  <c r="A251" i="20" s="1"/>
  <c r="A252" i="20" s="1"/>
  <c r="A253" i="20" s="1"/>
  <c r="A254" i="20" s="1"/>
  <c r="A255" i="20" s="1"/>
  <c r="A256" i="20" s="1"/>
  <c r="A257" i="20" s="1"/>
  <c r="A258" i="20" s="1"/>
  <c r="A259" i="20" s="1"/>
  <c r="A260" i="20" s="1"/>
  <c r="A261" i="20" s="1"/>
  <c r="A262" i="20" s="1"/>
  <c r="A263" i="20" s="1"/>
  <c r="A264" i="20" s="1"/>
  <c r="A265" i="20" s="1"/>
  <c r="A266" i="20" s="1"/>
  <c r="A267" i="20" s="1"/>
  <c r="A268" i="20" s="1"/>
  <c r="A269" i="20" s="1"/>
  <c r="A270" i="20" s="1"/>
  <c r="A271" i="20" s="1"/>
  <c r="A272" i="20" s="1"/>
  <c r="A273" i="20" s="1"/>
  <c r="A274" i="20" s="1"/>
  <c r="A275" i="20" s="1"/>
  <c r="A276" i="20" s="1"/>
  <c r="A277" i="20" s="1"/>
  <c r="A278" i="20" s="1"/>
  <c r="A279" i="20" s="1"/>
  <c r="A280" i="20" s="1"/>
  <c r="A281" i="20" s="1"/>
  <c r="A282" i="20" s="1"/>
  <c r="A283" i="20" s="1"/>
  <c r="A284" i="20" s="1"/>
  <c r="A285" i="20" s="1"/>
  <c r="A286" i="20" s="1"/>
  <c r="A287" i="20" s="1"/>
  <c r="A288" i="20" s="1"/>
  <c r="A289" i="20" s="1"/>
  <c r="A290" i="20" s="1"/>
  <c r="A291" i="20" s="1"/>
  <c r="A292" i="20" s="1"/>
  <c r="A293" i="20" s="1"/>
  <c r="A294" i="20" s="1"/>
  <c r="A295" i="20" s="1"/>
  <c r="A296" i="20" s="1"/>
  <c r="A297" i="20" s="1"/>
  <c r="A298" i="20" s="1"/>
  <c r="A299" i="20" s="1"/>
  <c r="A300" i="20" s="1"/>
  <c r="A301" i="20" s="1"/>
  <c r="A302" i="20" s="1"/>
  <c r="A303" i="20" s="1"/>
  <c r="A304" i="20" s="1"/>
  <c r="A305" i="20" s="1"/>
  <c r="A306" i="20" s="1"/>
  <c r="A307" i="20" s="1"/>
  <c r="A308" i="20" s="1"/>
  <c r="A309" i="20" s="1"/>
  <c r="A310" i="20" s="1"/>
  <c r="A311" i="20" s="1"/>
  <c r="A312" i="20" s="1"/>
  <c r="A313" i="20" s="1"/>
  <c r="A314" i="20" s="1"/>
  <c r="A315" i="20" s="1"/>
  <c r="A316" i="20" s="1"/>
  <c r="A317" i="20" s="1"/>
  <c r="A318" i="20" s="1"/>
  <c r="A319" i="20" s="1"/>
  <c r="A320" i="20" s="1"/>
  <c r="A321" i="20" s="1"/>
  <c r="A322" i="20" s="1"/>
  <c r="A323" i="20" s="1"/>
  <c r="A324" i="20" s="1"/>
  <c r="A325" i="20" s="1"/>
  <c r="A326" i="20" s="1"/>
  <c r="A327" i="20" s="1"/>
  <c r="A328" i="20" s="1"/>
  <c r="A329" i="20" s="1"/>
  <c r="A330" i="20" s="1"/>
  <c r="A331" i="20" s="1"/>
  <c r="A332" i="20" s="1"/>
  <c r="A333" i="20" s="1"/>
  <c r="A334" i="20" s="1"/>
  <c r="A335" i="20" s="1"/>
  <c r="A336" i="20" s="1"/>
  <c r="A337" i="20" s="1"/>
  <c r="A338" i="20" s="1"/>
  <c r="A339" i="20" s="1"/>
  <c r="A340" i="20" s="1"/>
  <c r="A341" i="20" s="1"/>
  <c r="A342" i="20" s="1"/>
  <c r="A343" i="20" s="1"/>
  <c r="A344" i="20" s="1"/>
  <c r="A345" i="20" s="1"/>
  <c r="A346" i="20" s="1"/>
  <c r="A347" i="20" s="1"/>
  <c r="A348" i="20" s="1"/>
  <c r="A349" i="20" s="1"/>
  <c r="A350" i="20" s="1"/>
  <c r="A351" i="20" s="1"/>
  <c r="A352" i="20" s="1"/>
  <c r="A353" i="20" s="1"/>
  <c r="A354" i="20" s="1"/>
  <c r="A355" i="20" s="1"/>
  <c r="A356" i="20" s="1"/>
  <c r="A357" i="20" s="1"/>
  <c r="A358" i="20" s="1"/>
  <c r="A359" i="20" s="1"/>
  <c r="A360" i="20" s="1"/>
  <c r="A361" i="20" s="1"/>
  <c r="A362" i="20" s="1"/>
  <c r="A363" i="20" s="1"/>
  <c r="A364" i="20" s="1"/>
  <c r="A365" i="20" s="1"/>
  <c r="A366" i="20" s="1"/>
  <c r="A3" i="20"/>
  <c r="A4" i="20" s="1"/>
  <c r="A3" i="19"/>
  <c r="A4" i="19" s="1"/>
  <c r="A5" i="19" s="1"/>
  <c r="A6" i="19" s="1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A61" i="19" s="1"/>
  <c r="A62" i="19" s="1"/>
  <c r="A63" i="19" s="1"/>
  <c r="A64" i="19" s="1"/>
  <c r="A65" i="19" s="1"/>
  <c r="A66" i="19" s="1"/>
  <c r="A67" i="19" s="1"/>
  <c r="A68" i="19" s="1"/>
  <c r="A69" i="19" s="1"/>
  <c r="A70" i="19" s="1"/>
  <c r="A71" i="19" s="1"/>
  <c r="A72" i="19" s="1"/>
  <c r="A73" i="19" s="1"/>
  <c r="A74" i="19" s="1"/>
  <c r="A75" i="19" s="1"/>
  <c r="A76" i="19" s="1"/>
  <c r="A77" i="19" s="1"/>
  <c r="A78" i="19" s="1"/>
  <c r="A79" i="19" s="1"/>
  <c r="A80" i="19" s="1"/>
  <c r="A81" i="19" s="1"/>
  <c r="A82" i="19" s="1"/>
  <c r="A83" i="19" s="1"/>
  <c r="A84" i="19" s="1"/>
  <c r="A85" i="19" s="1"/>
  <c r="A86" i="19" s="1"/>
  <c r="A87" i="19" s="1"/>
  <c r="A88" i="19" s="1"/>
  <c r="A89" i="19" s="1"/>
  <c r="A90" i="19" s="1"/>
  <c r="A91" i="19" s="1"/>
  <c r="A92" i="19" s="1"/>
  <c r="A93" i="19" s="1"/>
  <c r="A94" i="19" s="1"/>
  <c r="A95" i="19" s="1"/>
  <c r="A96" i="19" s="1"/>
  <c r="A97" i="19" s="1"/>
  <c r="A98" i="19" s="1"/>
  <c r="A99" i="19" s="1"/>
  <c r="A100" i="19" s="1"/>
  <c r="A101" i="19" s="1"/>
  <c r="A102" i="19" s="1"/>
  <c r="A103" i="19" s="1"/>
  <c r="A104" i="19" s="1"/>
  <c r="A105" i="19" s="1"/>
  <c r="A106" i="19" s="1"/>
  <c r="A107" i="19" s="1"/>
  <c r="A108" i="19" s="1"/>
  <c r="A109" i="19" s="1"/>
  <c r="A110" i="19" s="1"/>
  <c r="A111" i="19" s="1"/>
  <c r="A112" i="19" s="1"/>
  <c r="A113" i="19" s="1"/>
  <c r="A114" i="19" s="1"/>
  <c r="A115" i="19" s="1"/>
  <c r="A116" i="19" s="1"/>
  <c r="A117" i="19" s="1"/>
  <c r="A118" i="19" s="1"/>
  <c r="A119" i="19" s="1"/>
  <c r="A120" i="19" s="1"/>
  <c r="A121" i="19" s="1"/>
  <c r="A122" i="19" s="1"/>
  <c r="A123" i="19" s="1"/>
  <c r="A124" i="19" s="1"/>
  <c r="A125" i="19" s="1"/>
  <c r="A126" i="19" s="1"/>
  <c r="A127" i="19" s="1"/>
  <c r="A128" i="19" s="1"/>
  <c r="A129" i="19" s="1"/>
  <c r="A130" i="19" s="1"/>
  <c r="A131" i="19" s="1"/>
  <c r="A132" i="19" s="1"/>
  <c r="A133" i="19" s="1"/>
  <c r="A134" i="19" s="1"/>
  <c r="A135" i="19" s="1"/>
  <c r="A136" i="19" s="1"/>
  <c r="A137" i="19" s="1"/>
  <c r="A138" i="19" s="1"/>
  <c r="A139" i="19" s="1"/>
  <c r="A140" i="19" s="1"/>
  <c r="A141" i="19" s="1"/>
  <c r="A142" i="19" s="1"/>
  <c r="A143" i="19" s="1"/>
  <c r="A144" i="19" s="1"/>
  <c r="A145" i="19" s="1"/>
  <c r="A146" i="19" s="1"/>
  <c r="A147" i="19" s="1"/>
  <c r="A148" i="19" s="1"/>
  <c r="A149" i="19" s="1"/>
  <c r="A150" i="19" s="1"/>
  <c r="A151" i="19" s="1"/>
  <c r="A152" i="19" s="1"/>
  <c r="A153" i="19" s="1"/>
  <c r="A154" i="19" s="1"/>
  <c r="A155" i="19" s="1"/>
  <c r="A156" i="19" s="1"/>
  <c r="A157" i="19" s="1"/>
  <c r="A158" i="19" s="1"/>
  <c r="A159" i="19" s="1"/>
  <c r="A160" i="19" s="1"/>
  <c r="A161" i="19" s="1"/>
  <c r="A162" i="19" s="1"/>
  <c r="A163" i="19" s="1"/>
  <c r="A164" i="19" s="1"/>
  <c r="A165" i="19" s="1"/>
  <c r="A166" i="19" s="1"/>
  <c r="A167" i="19" s="1"/>
  <c r="A168" i="19" s="1"/>
  <c r="A169" i="19" s="1"/>
  <c r="A170" i="19" s="1"/>
  <c r="A171" i="19" s="1"/>
  <c r="A172" i="19" s="1"/>
  <c r="A173" i="19" s="1"/>
  <c r="A174" i="19" s="1"/>
  <c r="A175" i="19" s="1"/>
  <c r="A176" i="19" s="1"/>
  <c r="A177" i="19" s="1"/>
  <c r="A178" i="19" s="1"/>
  <c r="A179" i="19" s="1"/>
  <c r="A180" i="19" s="1"/>
  <c r="A181" i="19" s="1"/>
  <c r="A182" i="19" s="1"/>
  <c r="A183" i="19" s="1"/>
  <c r="A184" i="19" s="1"/>
  <c r="A185" i="19" s="1"/>
  <c r="A186" i="19" s="1"/>
  <c r="A187" i="19" s="1"/>
  <c r="A188" i="19" s="1"/>
  <c r="A189" i="19" s="1"/>
  <c r="A190" i="19" s="1"/>
  <c r="A191" i="19" s="1"/>
  <c r="A192" i="19" s="1"/>
  <c r="A193" i="19" s="1"/>
  <c r="A194" i="19" s="1"/>
  <c r="A195" i="19" s="1"/>
  <c r="A196" i="19" s="1"/>
  <c r="A197" i="19" s="1"/>
  <c r="A198" i="19" s="1"/>
  <c r="A199" i="19" s="1"/>
  <c r="A200" i="19" s="1"/>
  <c r="A201" i="19" s="1"/>
  <c r="A202" i="19" s="1"/>
  <c r="A203" i="19" s="1"/>
  <c r="A204" i="19" s="1"/>
  <c r="A205" i="19" s="1"/>
  <c r="A206" i="19" s="1"/>
  <c r="A207" i="19" s="1"/>
  <c r="A208" i="19" s="1"/>
  <c r="A209" i="19" s="1"/>
  <c r="A210" i="19" s="1"/>
  <c r="A211" i="19" s="1"/>
  <c r="A212" i="19" s="1"/>
  <c r="A213" i="19" s="1"/>
  <c r="A214" i="19" s="1"/>
  <c r="A215" i="19" s="1"/>
  <c r="A216" i="19" s="1"/>
  <c r="A217" i="19" s="1"/>
  <c r="A218" i="19" s="1"/>
  <c r="A219" i="19" s="1"/>
  <c r="A220" i="19" s="1"/>
  <c r="A221" i="19" s="1"/>
  <c r="A222" i="19" s="1"/>
  <c r="A223" i="19" s="1"/>
  <c r="A224" i="19" s="1"/>
  <c r="A225" i="19" s="1"/>
  <c r="A226" i="19" s="1"/>
  <c r="A227" i="19" s="1"/>
  <c r="A228" i="19" s="1"/>
  <c r="A229" i="19" s="1"/>
  <c r="A230" i="19" s="1"/>
  <c r="A231" i="19" s="1"/>
  <c r="A232" i="19" s="1"/>
  <c r="A233" i="19" s="1"/>
  <c r="A234" i="19" s="1"/>
  <c r="A235" i="19" s="1"/>
  <c r="A236" i="19" s="1"/>
  <c r="A237" i="19" s="1"/>
  <c r="A238" i="19" s="1"/>
  <c r="A239" i="19" s="1"/>
  <c r="A240" i="19" s="1"/>
  <c r="A241" i="19" s="1"/>
  <c r="A242" i="19" s="1"/>
  <c r="A243" i="19" s="1"/>
  <c r="A244" i="19" s="1"/>
  <c r="A245" i="19" s="1"/>
  <c r="A246" i="19" s="1"/>
  <c r="A247" i="19" s="1"/>
  <c r="A248" i="19" s="1"/>
  <c r="A249" i="19" s="1"/>
  <c r="A250" i="19" s="1"/>
  <c r="A251" i="19" s="1"/>
  <c r="A252" i="19" s="1"/>
  <c r="A253" i="19" s="1"/>
  <c r="A254" i="19" s="1"/>
  <c r="A255" i="19" s="1"/>
  <c r="A256" i="19" s="1"/>
  <c r="A257" i="19" s="1"/>
  <c r="A258" i="19" s="1"/>
  <c r="A259" i="19" s="1"/>
  <c r="A260" i="19" s="1"/>
  <c r="A261" i="19" s="1"/>
  <c r="A262" i="19" s="1"/>
  <c r="A263" i="19" s="1"/>
  <c r="A264" i="19" s="1"/>
  <c r="A265" i="19" s="1"/>
  <c r="A266" i="19" s="1"/>
  <c r="A267" i="19" s="1"/>
  <c r="A268" i="19" s="1"/>
  <c r="A269" i="19" s="1"/>
  <c r="A270" i="19" s="1"/>
  <c r="A271" i="19" s="1"/>
  <c r="A272" i="19" s="1"/>
  <c r="A273" i="19" s="1"/>
  <c r="A274" i="19" s="1"/>
  <c r="A275" i="19" s="1"/>
  <c r="A276" i="19" s="1"/>
  <c r="A277" i="19" s="1"/>
  <c r="A278" i="19" s="1"/>
  <c r="A279" i="19" s="1"/>
  <c r="A280" i="19" s="1"/>
  <c r="A281" i="19" s="1"/>
  <c r="A282" i="19" s="1"/>
  <c r="A283" i="19" s="1"/>
  <c r="A284" i="19" s="1"/>
  <c r="A285" i="19" s="1"/>
  <c r="A286" i="19" s="1"/>
  <c r="A287" i="19" s="1"/>
  <c r="A288" i="19" s="1"/>
  <c r="A289" i="19" s="1"/>
  <c r="A290" i="19" s="1"/>
  <c r="A291" i="19" s="1"/>
  <c r="A292" i="19" s="1"/>
  <c r="A293" i="19" s="1"/>
  <c r="A294" i="19" s="1"/>
  <c r="A295" i="19" s="1"/>
  <c r="A296" i="19" s="1"/>
  <c r="A297" i="19" s="1"/>
  <c r="A298" i="19" s="1"/>
  <c r="A299" i="19" s="1"/>
  <c r="A300" i="19" s="1"/>
  <c r="A301" i="19" s="1"/>
  <c r="A302" i="19" s="1"/>
  <c r="A303" i="19" s="1"/>
  <c r="A304" i="19" s="1"/>
  <c r="A305" i="19" s="1"/>
  <c r="A306" i="19" s="1"/>
  <c r="A307" i="19" s="1"/>
  <c r="A308" i="19" s="1"/>
  <c r="A309" i="19" s="1"/>
  <c r="A310" i="19" s="1"/>
  <c r="A311" i="19" s="1"/>
  <c r="A312" i="19" s="1"/>
  <c r="A313" i="19" s="1"/>
  <c r="A314" i="19" s="1"/>
  <c r="A315" i="19" s="1"/>
  <c r="A316" i="19" s="1"/>
  <c r="A317" i="19" s="1"/>
  <c r="A318" i="19" s="1"/>
  <c r="A319" i="19" s="1"/>
  <c r="A320" i="19" s="1"/>
  <c r="A321" i="19" s="1"/>
  <c r="A322" i="19" s="1"/>
  <c r="A323" i="19" s="1"/>
  <c r="A324" i="19" s="1"/>
  <c r="A325" i="19" s="1"/>
  <c r="A326" i="19" s="1"/>
  <c r="A327" i="19" s="1"/>
  <c r="A328" i="19" s="1"/>
  <c r="A329" i="19" s="1"/>
  <c r="A330" i="19" s="1"/>
  <c r="A331" i="19" s="1"/>
  <c r="A332" i="19" s="1"/>
  <c r="A333" i="19" s="1"/>
  <c r="A334" i="19" s="1"/>
  <c r="A335" i="19" s="1"/>
  <c r="A336" i="19" s="1"/>
  <c r="A337" i="19" s="1"/>
  <c r="A338" i="19" s="1"/>
  <c r="A339" i="19" s="1"/>
  <c r="A340" i="19" s="1"/>
  <c r="A341" i="19" s="1"/>
  <c r="A342" i="19" s="1"/>
  <c r="A343" i="19" s="1"/>
  <c r="A344" i="19" s="1"/>
  <c r="A345" i="19" s="1"/>
  <c r="A346" i="19" s="1"/>
  <c r="A347" i="19" s="1"/>
  <c r="A348" i="19" s="1"/>
  <c r="A349" i="19" s="1"/>
  <c r="A350" i="19" s="1"/>
  <c r="A351" i="19" s="1"/>
  <c r="A352" i="19" s="1"/>
  <c r="A353" i="19" s="1"/>
  <c r="A354" i="19" s="1"/>
  <c r="A355" i="19" s="1"/>
  <c r="A356" i="19" s="1"/>
  <c r="A357" i="19" s="1"/>
  <c r="A358" i="19" s="1"/>
  <c r="A359" i="19" s="1"/>
  <c r="A360" i="19" s="1"/>
  <c r="A361" i="19" s="1"/>
  <c r="A362" i="19" s="1"/>
  <c r="A363" i="19" s="1"/>
  <c r="A364" i="19" s="1"/>
  <c r="A365" i="19" s="1"/>
  <c r="A366" i="19" s="1"/>
  <c r="A3" i="18"/>
  <c r="A4" i="18" s="1"/>
  <c r="A5" i="18" s="1"/>
  <c r="A6" i="18" s="1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A56" i="18" s="1"/>
  <c r="A57" i="18" s="1"/>
  <c r="A58" i="18" s="1"/>
  <c r="A59" i="18" s="1"/>
  <c r="A60" i="18" s="1"/>
  <c r="A61" i="18" s="1"/>
  <c r="A62" i="18" s="1"/>
  <c r="A63" i="18" s="1"/>
  <c r="A64" i="18" s="1"/>
  <c r="A65" i="18" s="1"/>
  <c r="A66" i="18" s="1"/>
  <c r="A67" i="18" s="1"/>
  <c r="A68" i="18" s="1"/>
  <c r="A69" i="18" s="1"/>
  <c r="A70" i="18" s="1"/>
  <c r="A71" i="18" s="1"/>
  <c r="A72" i="18" s="1"/>
  <c r="A73" i="18" s="1"/>
  <c r="A74" i="18" s="1"/>
  <c r="A75" i="18" s="1"/>
  <c r="A76" i="18" s="1"/>
  <c r="A77" i="18" s="1"/>
  <c r="A78" i="18" s="1"/>
  <c r="A79" i="18" s="1"/>
  <c r="A80" i="18" s="1"/>
  <c r="A81" i="18" s="1"/>
  <c r="A82" i="18" s="1"/>
  <c r="A83" i="18" s="1"/>
  <c r="A84" i="18" s="1"/>
  <c r="A85" i="18" s="1"/>
  <c r="A86" i="18" s="1"/>
  <c r="A87" i="18" s="1"/>
  <c r="A88" i="18" s="1"/>
  <c r="A89" i="18" s="1"/>
  <c r="A90" i="18" s="1"/>
  <c r="A91" i="18" s="1"/>
  <c r="A92" i="18" s="1"/>
  <c r="A93" i="18" s="1"/>
  <c r="A94" i="18" s="1"/>
  <c r="A95" i="18" s="1"/>
  <c r="A96" i="18" s="1"/>
  <c r="A97" i="18" s="1"/>
  <c r="A98" i="18" s="1"/>
  <c r="A99" i="18" s="1"/>
  <c r="A100" i="18" s="1"/>
  <c r="A101" i="18" s="1"/>
  <c r="A102" i="18" s="1"/>
  <c r="A103" i="18" s="1"/>
  <c r="A104" i="18" s="1"/>
  <c r="A105" i="18" s="1"/>
  <c r="A106" i="18" s="1"/>
  <c r="A107" i="18" s="1"/>
  <c r="A108" i="18" s="1"/>
  <c r="A109" i="18" s="1"/>
  <c r="A110" i="18" s="1"/>
  <c r="A111" i="18" s="1"/>
  <c r="A112" i="18" s="1"/>
  <c r="A113" i="18" s="1"/>
  <c r="A114" i="18" s="1"/>
  <c r="A115" i="18" s="1"/>
  <c r="A116" i="18" s="1"/>
  <c r="A117" i="18" s="1"/>
  <c r="A118" i="18" s="1"/>
  <c r="A119" i="18" s="1"/>
  <c r="A120" i="18" s="1"/>
  <c r="A121" i="18" s="1"/>
  <c r="A122" i="18" s="1"/>
  <c r="A123" i="18" s="1"/>
  <c r="A124" i="18" s="1"/>
  <c r="A125" i="18" s="1"/>
  <c r="A126" i="18" s="1"/>
  <c r="A127" i="18" s="1"/>
  <c r="A128" i="18" s="1"/>
  <c r="A129" i="18" s="1"/>
  <c r="A130" i="18" s="1"/>
  <c r="A131" i="18" s="1"/>
  <c r="A132" i="18" s="1"/>
  <c r="A133" i="18" s="1"/>
  <c r="A134" i="18" s="1"/>
  <c r="A135" i="18" s="1"/>
  <c r="A136" i="18" s="1"/>
  <c r="A137" i="18" s="1"/>
  <c r="A138" i="18" s="1"/>
  <c r="A139" i="18" s="1"/>
  <c r="A140" i="18" s="1"/>
  <c r="A141" i="18" s="1"/>
  <c r="A142" i="18" s="1"/>
  <c r="A143" i="18" s="1"/>
  <c r="A144" i="18" s="1"/>
  <c r="A145" i="18" s="1"/>
  <c r="A146" i="18" s="1"/>
  <c r="A147" i="18" s="1"/>
  <c r="A148" i="18" s="1"/>
  <c r="A149" i="18" s="1"/>
  <c r="A150" i="18" s="1"/>
  <c r="A151" i="18" s="1"/>
  <c r="A152" i="18" s="1"/>
  <c r="A153" i="18" s="1"/>
  <c r="A154" i="18" s="1"/>
  <c r="A155" i="18" s="1"/>
  <c r="A156" i="18" s="1"/>
  <c r="A157" i="18" s="1"/>
  <c r="A158" i="18" s="1"/>
  <c r="A159" i="18" s="1"/>
  <c r="A160" i="18" s="1"/>
  <c r="A161" i="18" s="1"/>
  <c r="A162" i="18" s="1"/>
  <c r="A163" i="18" s="1"/>
  <c r="A164" i="18" s="1"/>
  <c r="A165" i="18" s="1"/>
  <c r="A166" i="18" s="1"/>
  <c r="A167" i="18" s="1"/>
  <c r="A168" i="18" s="1"/>
  <c r="A169" i="18" s="1"/>
  <c r="A170" i="18" s="1"/>
  <c r="A171" i="18" s="1"/>
  <c r="A172" i="18" s="1"/>
  <c r="A173" i="18" s="1"/>
  <c r="A174" i="18" s="1"/>
  <c r="A175" i="18" s="1"/>
  <c r="A176" i="18" s="1"/>
  <c r="A177" i="18" s="1"/>
  <c r="A178" i="18" s="1"/>
  <c r="A179" i="18" s="1"/>
  <c r="A180" i="18" s="1"/>
  <c r="A181" i="18" s="1"/>
  <c r="A182" i="18" s="1"/>
  <c r="A183" i="18" s="1"/>
  <c r="A184" i="18" s="1"/>
  <c r="A185" i="18" s="1"/>
  <c r="A186" i="18" s="1"/>
  <c r="A187" i="18" s="1"/>
  <c r="A188" i="18" s="1"/>
  <c r="A189" i="18" s="1"/>
  <c r="A190" i="18" s="1"/>
  <c r="A191" i="18" s="1"/>
  <c r="A192" i="18" s="1"/>
  <c r="A193" i="18" s="1"/>
  <c r="A194" i="18" s="1"/>
  <c r="A195" i="18" s="1"/>
  <c r="A196" i="18" s="1"/>
  <c r="A197" i="18" s="1"/>
  <c r="A198" i="18" s="1"/>
  <c r="A199" i="18" s="1"/>
  <c r="A200" i="18" s="1"/>
  <c r="A201" i="18" s="1"/>
  <c r="A202" i="18" s="1"/>
  <c r="A203" i="18" s="1"/>
  <c r="A204" i="18" s="1"/>
  <c r="A205" i="18" s="1"/>
  <c r="A206" i="18" s="1"/>
  <c r="A207" i="18" s="1"/>
  <c r="A208" i="18" s="1"/>
  <c r="A209" i="18" s="1"/>
  <c r="A210" i="18" s="1"/>
  <c r="A211" i="18" s="1"/>
  <c r="A212" i="18" s="1"/>
  <c r="A213" i="18" s="1"/>
  <c r="A214" i="18" s="1"/>
  <c r="A215" i="18" s="1"/>
  <c r="A216" i="18" s="1"/>
  <c r="A217" i="18" s="1"/>
  <c r="A218" i="18" s="1"/>
  <c r="A219" i="18" s="1"/>
  <c r="A220" i="18" s="1"/>
  <c r="A221" i="18" s="1"/>
  <c r="A222" i="18" s="1"/>
  <c r="A223" i="18" s="1"/>
  <c r="A224" i="18" s="1"/>
  <c r="A225" i="18" s="1"/>
  <c r="A226" i="18" s="1"/>
  <c r="A227" i="18" s="1"/>
  <c r="A228" i="18" s="1"/>
  <c r="A229" i="18" s="1"/>
  <c r="A230" i="18" s="1"/>
  <c r="A231" i="18" s="1"/>
  <c r="A232" i="18" s="1"/>
  <c r="A233" i="18" s="1"/>
  <c r="A234" i="18" s="1"/>
  <c r="A235" i="18" s="1"/>
  <c r="A236" i="18" s="1"/>
  <c r="A237" i="18" s="1"/>
  <c r="A238" i="18" s="1"/>
  <c r="A239" i="18" s="1"/>
  <c r="A240" i="18" s="1"/>
  <c r="A241" i="18" s="1"/>
  <c r="A242" i="18" s="1"/>
  <c r="A243" i="18" s="1"/>
  <c r="A244" i="18" s="1"/>
  <c r="A245" i="18" s="1"/>
  <c r="A246" i="18" s="1"/>
  <c r="A247" i="18" s="1"/>
  <c r="A248" i="18" s="1"/>
  <c r="A249" i="18" s="1"/>
  <c r="A250" i="18" s="1"/>
  <c r="A251" i="18" s="1"/>
  <c r="A252" i="18" s="1"/>
  <c r="A253" i="18" s="1"/>
  <c r="A254" i="18" s="1"/>
  <c r="A255" i="18" s="1"/>
  <c r="A256" i="18" s="1"/>
  <c r="A257" i="18" s="1"/>
  <c r="A258" i="18" s="1"/>
  <c r="A259" i="18" s="1"/>
  <c r="A260" i="18" s="1"/>
  <c r="A261" i="18" s="1"/>
  <c r="A262" i="18" s="1"/>
  <c r="A263" i="18" s="1"/>
  <c r="A264" i="18" s="1"/>
  <c r="A265" i="18" s="1"/>
  <c r="A266" i="18" s="1"/>
  <c r="A267" i="18" s="1"/>
  <c r="A268" i="18" s="1"/>
  <c r="A269" i="18" s="1"/>
  <c r="A270" i="18" s="1"/>
  <c r="A271" i="18" s="1"/>
  <c r="A272" i="18" s="1"/>
  <c r="A273" i="18" s="1"/>
  <c r="A274" i="18" s="1"/>
  <c r="A275" i="18" s="1"/>
  <c r="A276" i="18" s="1"/>
  <c r="A277" i="18" s="1"/>
  <c r="A278" i="18" s="1"/>
  <c r="A279" i="18" s="1"/>
  <c r="A280" i="18" s="1"/>
  <c r="A281" i="18" s="1"/>
  <c r="A282" i="18" s="1"/>
  <c r="A283" i="18" s="1"/>
  <c r="A284" i="18" s="1"/>
  <c r="A285" i="18" s="1"/>
  <c r="A286" i="18" s="1"/>
  <c r="A287" i="18" s="1"/>
  <c r="A288" i="18" s="1"/>
  <c r="A289" i="18" s="1"/>
  <c r="A290" i="18" s="1"/>
  <c r="A291" i="18" s="1"/>
  <c r="A292" i="18" s="1"/>
  <c r="A293" i="18" s="1"/>
  <c r="A294" i="18" s="1"/>
  <c r="A295" i="18" s="1"/>
  <c r="A296" i="18" s="1"/>
  <c r="A297" i="18" s="1"/>
  <c r="A298" i="18" s="1"/>
  <c r="A299" i="18" s="1"/>
  <c r="A300" i="18" s="1"/>
  <c r="A301" i="18" s="1"/>
  <c r="A302" i="18" s="1"/>
  <c r="A303" i="18" s="1"/>
  <c r="A304" i="18" s="1"/>
  <c r="A305" i="18" s="1"/>
  <c r="A306" i="18" s="1"/>
  <c r="A307" i="18" s="1"/>
  <c r="A308" i="18" s="1"/>
  <c r="A309" i="18" s="1"/>
  <c r="A310" i="18" s="1"/>
  <c r="A311" i="18" s="1"/>
  <c r="A312" i="18" s="1"/>
  <c r="A313" i="18" s="1"/>
  <c r="A314" i="18" s="1"/>
  <c r="A315" i="18" s="1"/>
  <c r="A316" i="18" s="1"/>
  <c r="A317" i="18" s="1"/>
  <c r="A318" i="18" s="1"/>
  <c r="A319" i="18" s="1"/>
  <c r="A320" i="18" s="1"/>
  <c r="A321" i="18" s="1"/>
  <c r="A322" i="18" s="1"/>
  <c r="A323" i="18" s="1"/>
  <c r="A324" i="18" s="1"/>
  <c r="A325" i="18" s="1"/>
  <c r="A326" i="18" s="1"/>
  <c r="A327" i="18" s="1"/>
  <c r="A328" i="18" s="1"/>
  <c r="A329" i="18" s="1"/>
  <c r="A330" i="18" s="1"/>
  <c r="A331" i="18" s="1"/>
  <c r="A332" i="18" s="1"/>
  <c r="A333" i="18" s="1"/>
  <c r="A334" i="18" s="1"/>
  <c r="A335" i="18" s="1"/>
  <c r="A336" i="18" s="1"/>
  <c r="A337" i="18" s="1"/>
  <c r="A338" i="18" s="1"/>
  <c r="A339" i="18" s="1"/>
  <c r="A340" i="18" s="1"/>
  <c r="A341" i="18" s="1"/>
  <c r="A342" i="18" s="1"/>
  <c r="A343" i="18" s="1"/>
  <c r="A344" i="18" s="1"/>
  <c r="A345" i="18" s="1"/>
  <c r="A346" i="18" s="1"/>
  <c r="A347" i="18" s="1"/>
  <c r="A348" i="18" s="1"/>
  <c r="A349" i="18" s="1"/>
  <c r="A350" i="18" s="1"/>
  <c r="A351" i="18" s="1"/>
  <c r="A352" i="18" s="1"/>
  <c r="A353" i="18" s="1"/>
  <c r="A354" i="18" s="1"/>
  <c r="A355" i="18" s="1"/>
  <c r="A356" i="18" s="1"/>
  <c r="A357" i="18" s="1"/>
  <c r="A358" i="18" s="1"/>
  <c r="A359" i="18" s="1"/>
  <c r="A360" i="18" s="1"/>
  <c r="A361" i="18" s="1"/>
  <c r="A362" i="18" s="1"/>
  <c r="A363" i="18" s="1"/>
  <c r="A364" i="18" s="1"/>
  <c r="A365" i="18" s="1"/>
  <c r="A366" i="18" s="1"/>
  <c r="A3" i="17"/>
  <c r="A4" i="17" s="1"/>
  <c r="A5" i="17" s="1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A87" i="17" s="1"/>
  <c r="A88" i="17" s="1"/>
  <c r="A89" i="17" s="1"/>
  <c r="A90" i="17" s="1"/>
  <c r="A91" i="17" s="1"/>
  <c r="A92" i="17" s="1"/>
  <c r="A93" i="17" s="1"/>
  <c r="A94" i="17" s="1"/>
  <c r="A95" i="17" s="1"/>
  <c r="A96" i="17" s="1"/>
  <c r="A97" i="17" s="1"/>
  <c r="A98" i="17" s="1"/>
  <c r="A99" i="17" s="1"/>
  <c r="A100" i="17" s="1"/>
  <c r="A101" i="17" s="1"/>
  <c r="A102" i="17" s="1"/>
  <c r="A103" i="17" s="1"/>
  <c r="A104" i="17" s="1"/>
  <c r="A105" i="17" s="1"/>
  <c r="A106" i="17" s="1"/>
  <c r="A107" i="17" s="1"/>
  <c r="A108" i="17" s="1"/>
  <c r="A109" i="17" s="1"/>
  <c r="A110" i="17" s="1"/>
  <c r="A111" i="17" s="1"/>
  <c r="A112" i="17" s="1"/>
  <c r="A113" i="17" s="1"/>
  <c r="A114" i="17" s="1"/>
  <c r="A115" i="17" s="1"/>
  <c r="A116" i="17" s="1"/>
  <c r="A117" i="17" s="1"/>
  <c r="A118" i="17" s="1"/>
  <c r="A119" i="17" s="1"/>
  <c r="A120" i="17" s="1"/>
  <c r="A121" i="17" s="1"/>
  <c r="A122" i="17" s="1"/>
  <c r="A123" i="17" s="1"/>
  <c r="A124" i="17" s="1"/>
  <c r="A125" i="17" s="1"/>
  <c r="A126" i="17" s="1"/>
  <c r="A127" i="17" s="1"/>
  <c r="A128" i="17" s="1"/>
  <c r="A129" i="17" s="1"/>
  <c r="A130" i="17" s="1"/>
  <c r="A131" i="17" s="1"/>
  <c r="A132" i="17" s="1"/>
  <c r="A133" i="17" s="1"/>
  <c r="A134" i="17" s="1"/>
  <c r="A135" i="17" s="1"/>
  <c r="A136" i="17" s="1"/>
  <c r="A137" i="17" s="1"/>
  <c r="A138" i="17" s="1"/>
  <c r="A139" i="17" s="1"/>
  <c r="A140" i="17" s="1"/>
  <c r="A141" i="17" s="1"/>
  <c r="A142" i="17" s="1"/>
  <c r="A143" i="17" s="1"/>
  <c r="A144" i="17" s="1"/>
  <c r="A145" i="17" s="1"/>
  <c r="A146" i="17" s="1"/>
  <c r="A147" i="17" s="1"/>
  <c r="A148" i="17" s="1"/>
  <c r="A149" i="17" s="1"/>
  <c r="A150" i="17" s="1"/>
  <c r="A151" i="17" s="1"/>
  <c r="A152" i="17" s="1"/>
  <c r="A153" i="17" s="1"/>
  <c r="A154" i="17" s="1"/>
  <c r="A155" i="17" s="1"/>
  <c r="A156" i="17" s="1"/>
  <c r="A157" i="17" s="1"/>
  <c r="A158" i="17" s="1"/>
  <c r="A159" i="17" s="1"/>
  <c r="A160" i="17" s="1"/>
  <c r="A161" i="17" s="1"/>
  <c r="A162" i="17" s="1"/>
  <c r="A163" i="17" s="1"/>
  <c r="A164" i="17" s="1"/>
  <c r="A165" i="17" s="1"/>
  <c r="A166" i="17" s="1"/>
  <c r="A167" i="17" s="1"/>
  <c r="A168" i="17" s="1"/>
  <c r="A169" i="17" s="1"/>
  <c r="A170" i="17" s="1"/>
  <c r="A171" i="17" s="1"/>
  <c r="A172" i="17" s="1"/>
  <c r="A173" i="17" s="1"/>
  <c r="A174" i="17" s="1"/>
  <c r="A175" i="17" s="1"/>
  <c r="A176" i="17" s="1"/>
  <c r="A177" i="17" s="1"/>
  <c r="A178" i="17" s="1"/>
  <c r="A179" i="17" s="1"/>
  <c r="A180" i="17" s="1"/>
  <c r="A181" i="17" s="1"/>
  <c r="A182" i="17" s="1"/>
  <c r="A183" i="17" s="1"/>
  <c r="A184" i="17" s="1"/>
  <c r="A185" i="17" s="1"/>
  <c r="A186" i="17" s="1"/>
  <c r="A187" i="17" s="1"/>
  <c r="A188" i="17" s="1"/>
  <c r="A189" i="17" s="1"/>
  <c r="A190" i="17" s="1"/>
  <c r="A191" i="17" s="1"/>
  <c r="A192" i="17" s="1"/>
  <c r="A193" i="17" s="1"/>
  <c r="A194" i="17" s="1"/>
  <c r="A195" i="17" s="1"/>
  <c r="A196" i="17" s="1"/>
  <c r="A197" i="17" s="1"/>
  <c r="A198" i="17" s="1"/>
  <c r="A199" i="17" s="1"/>
  <c r="A200" i="17" s="1"/>
  <c r="A201" i="17" s="1"/>
  <c r="A202" i="17" s="1"/>
  <c r="A203" i="17" s="1"/>
  <c r="A204" i="17" s="1"/>
  <c r="A205" i="17" s="1"/>
  <c r="A206" i="17" s="1"/>
  <c r="A207" i="17" s="1"/>
  <c r="A208" i="17" s="1"/>
  <c r="A209" i="17" s="1"/>
  <c r="A210" i="17" s="1"/>
  <c r="A211" i="17" s="1"/>
  <c r="A212" i="17" s="1"/>
  <c r="A213" i="17" s="1"/>
  <c r="A214" i="17" s="1"/>
  <c r="A215" i="17" s="1"/>
  <c r="A216" i="17" s="1"/>
  <c r="A217" i="17" s="1"/>
  <c r="A218" i="17" s="1"/>
  <c r="A219" i="17" s="1"/>
  <c r="A220" i="17" s="1"/>
  <c r="A221" i="17" s="1"/>
  <c r="A222" i="17" s="1"/>
  <c r="A223" i="17" s="1"/>
  <c r="A224" i="17" s="1"/>
  <c r="A225" i="17" s="1"/>
  <c r="A226" i="17" s="1"/>
  <c r="A227" i="17" s="1"/>
  <c r="A228" i="17" s="1"/>
  <c r="A229" i="17" s="1"/>
  <c r="A230" i="17" s="1"/>
  <c r="A231" i="17" s="1"/>
  <c r="A232" i="17" s="1"/>
  <c r="A233" i="17" s="1"/>
  <c r="A234" i="17" s="1"/>
  <c r="A235" i="17" s="1"/>
  <c r="A236" i="17" s="1"/>
  <c r="A237" i="17" s="1"/>
  <c r="A238" i="17" s="1"/>
  <c r="A239" i="17" s="1"/>
  <c r="A240" i="17" s="1"/>
  <c r="A241" i="17" s="1"/>
  <c r="A242" i="17" s="1"/>
  <c r="A243" i="17" s="1"/>
  <c r="A244" i="17" s="1"/>
  <c r="A245" i="17" s="1"/>
  <c r="A246" i="17" s="1"/>
  <c r="A247" i="17" s="1"/>
  <c r="A248" i="17" s="1"/>
  <c r="A249" i="17" s="1"/>
  <c r="A250" i="17" s="1"/>
  <c r="A251" i="17" s="1"/>
  <c r="A252" i="17" s="1"/>
  <c r="A253" i="17" s="1"/>
  <c r="A254" i="17" s="1"/>
  <c r="A255" i="17" s="1"/>
  <c r="A256" i="17" s="1"/>
  <c r="A257" i="17" s="1"/>
  <c r="A258" i="17" s="1"/>
  <c r="A259" i="17" s="1"/>
  <c r="A260" i="17" s="1"/>
  <c r="A261" i="17" s="1"/>
  <c r="A262" i="17" s="1"/>
  <c r="A263" i="17" s="1"/>
  <c r="A264" i="17" s="1"/>
  <c r="A265" i="17" s="1"/>
  <c r="A266" i="17" s="1"/>
  <c r="A267" i="17" s="1"/>
  <c r="A268" i="17" s="1"/>
  <c r="A269" i="17" s="1"/>
  <c r="A270" i="17" s="1"/>
  <c r="A271" i="17" s="1"/>
  <c r="A272" i="17" s="1"/>
  <c r="A273" i="17" s="1"/>
  <c r="A274" i="17" s="1"/>
  <c r="A275" i="17" s="1"/>
  <c r="A276" i="17" s="1"/>
  <c r="A277" i="17" s="1"/>
  <c r="A278" i="17" s="1"/>
  <c r="A279" i="17" s="1"/>
  <c r="A280" i="17" s="1"/>
  <c r="A281" i="17" s="1"/>
  <c r="A282" i="17" s="1"/>
  <c r="A283" i="17" s="1"/>
  <c r="A284" i="17" s="1"/>
  <c r="A285" i="17" s="1"/>
  <c r="A286" i="17" s="1"/>
  <c r="A287" i="17" s="1"/>
  <c r="A288" i="17" s="1"/>
  <c r="A289" i="17" s="1"/>
  <c r="A290" i="17" s="1"/>
  <c r="A291" i="17" s="1"/>
  <c r="A292" i="17" s="1"/>
  <c r="A293" i="17" s="1"/>
  <c r="A294" i="17" s="1"/>
  <c r="A295" i="17" s="1"/>
  <c r="A296" i="17" s="1"/>
  <c r="A297" i="17" s="1"/>
  <c r="A298" i="17" s="1"/>
  <c r="A299" i="17" s="1"/>
  <c r="A300" i="17" s="1"/>
  <c r="A301" i="17" s="1"/>
  <c r="A302" i="17" s="1"/>
  <c r="A303" i="17" s="1"/>
  <c r="A304" i="17" s="1"/>
  <c r="A305" i="17" s="1"/>
  <c r="A306" i="17" s="1"/>
  <c r="A307" i="17" s="1"/>
  <c r="A308" i="17" s="1"/>
  <c r="A309" i="17" s="1"/>
  <c r="A310" i="17" s="1"/>
  <c r="A311" i="17" s="1"/>
  <c r="A312" i="17" s="1"/>
  <c r="A313" i="17" s="1"/>
  <c r="A314" i="17" s="1"/>
  <c r="A315" i="17" s="1"/>
  <c r="A316" i="17" s="1"/>
  <c r="A317" i="17" s="1"/>
  <c r="A318" i="17" s="1"/>
  <c r="A319" i="17" s="1"/>
  <c r="A320" i="17" s="1"/>
  <c r="A321" i="17" s="1"/>
  <c r="A322" i="17" s="1"/>
  <c r="A323" i="17" s="1"/>
  <c r="A324" i="17" s="1"/>
  <c r="A325" i="17" s="1"/>
  <c r="A326" i="17" s="1"/>
  <c r="A327" i="17" s="1"/>
  <c r="A328" i="17" s="1"/>
  <c r="A329" i="17" s="1"/>
  <c r="A330" i="17" s="1"/>
  <c r="A331" i="17" s="1"/>
  <c r="A332" i="17" s="1"/>
  <c r="A333" i="17" s="1"/>
  <c r="A334" i="17" s="1"/>
  <c r="A335" i="17" s="1"/>
  <c r="A336" i="17" s="1"/>
  <c r="A337" i="17" s="1"/>
  <c r="A338" i="17" s="1"/>
  <c r="A339" i="17" s="1"/>
  <c r="A340" i="17" s="1"/>
  <c r="A341" i="17" s="1"/>
  <c r="A342" i="17" s="1"/>
  <c r="A343" i="17" s="1"/>
  <c r="A344" i="17" s="1"/>
  <c r="A345" i="17" s="1"/>
  <c r="A346" i="17" s="1"/>
  <c r="A347" i="17" s="1"/>
  <c r="A348" i="17" s="1"/>
  <c r="A349" i="17" s="1"/>
  <c r="A350" i="17" s="1"/>
  <c r="A351" i="17" s="1"/>
  <c r="A352" i="17" s="1"/>
  <c r="A353" i="17" s="1"/>
  <c r="A354" i="17" s="1"/>
  <c r="A355" i="17" s="1"/>
  <c r="A356" i="17" s="1"/>
  <c r="A357" i="17" s="1"/>
  <c r="A358" i="17" s="1"/>
  <c r="A359" i="17" s="1"/>
  <c r="A360" i="17" s="1"/>
  <c r="A361" i="17" s="1"/>
  <c r="A362" i="17" s="1"/>
  <c r="A363" i="17" s="1"/>
  <c r="A364" i="17" s="1"/>
  <c r="A365" i="17" s="1"/>
  <c r="A366" i="17" s="1"/>
  <c r="A3" i="16"/>
  <c r="A4" i="16" s="1"/>
  <c r="A5" i="16" s="1"/>
  <c r="A6" i="16" s="1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A134" i="16" s="1"/>
  <c r="A135" i="16" s="1"/>
  <c r="A136" i="16" s="1"/>
  <c r="A137" i="16" s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A152" i="16" s="1"/>
  <c r="A153" i="16" s="1"/>
  <c r="A154" i="16" s="1"/>
  <c r="A155" i="16" s="1"/>
  <c r="A156" i="16" s="1"/>
  <c r="A157" i="16" s="1"/>
  <c r="A158" i="16" s="1"/>
  <c r="A159" i="16" s="1"/>
  <c r="A160" i="16" s="1"/>
  <c r="A161" i="16" s="1"/>
  <c r="A162" i="16" s="1"/>
  <c r="A163" i="16" s="1"/>
  <c r="A164" i="16" s="1"/>
  <c r="A165" i="16" s="1"/>
  <c r="A166" i="16" s="1"/>
  <c r="A167" i="16" s="1"/>
  <c r="A168" i="16" s="1"/>
  <c r="A169" i="16" s="1"/>
  <c r="A170" i="16" s="1"/>
  <c r="A171" i="16" s="1"/>
  <c r="A172" i="16" s="1"/>
  <c r="A173" i="16" s="1"/>
  <c r="A174" i="16" s="1"/>
  <c r="A175" i="16" s="1"/>
  <c r="A176" i="16" s="1"/>
  <c r="A177" i="16" s="1"/>
  <c r="A178" i="16" s="1"/>
  <c r="A179" i="16" s="1"/>
  <c r="A180" i="16" s="1"/>
  <c r="A181" i="16" s="1"/>
  <c r="A182" i="16" s="1"/>
  <c r="A183" i="16" s="1"/>
  <c r="A184" i="16" s="1"/>
  <c r="A185" i="16" s="1"/>
  <c r="A186" i="16" s="1"/>
  <c r="A187" i="16" s="1"/>
  <c r="A188" i="16" s="1"/>
  <c r="A189" i="16" s="1"/>
  <c r="A190" i="16" s="1"/>
  <c r="A191" i="16" s="1"/>
  <c r="A192" i="16" s="1"/>
  <c r="A193" i="16" s="1"/>
  <c r="A194" i="16" s="1"/>
  <c r="A195" i="16" s="1"/>
  <c r="A196" i="16" s="1"/>
  <c r="A197" i="16" s="1"/>
  <c r="A198" i="16" s="1"/>
  <c r="A199" i="16" s="1"/>
  <c r="A200" i="16" s="1"/>
  <c r="A201" i="16" s="1"/>
  <c r="A202" i="16" s="1"/>
  <c r="A203" i="16" s="1"/>
  <c r="A204" i="16" s="1"/>
  <c r="A205" i="16" s="1"/>
  <c r="A206" i="16" s="1"/>
  <c r="A207" i="16" s="1"/>
  <c r="A208" i="16" s="1"/>
  <c r="A209" i="16" s="1"/>
  <c r="A210" i="16" s="1"/>
  <c r="A211" i="16" s="1"/>
  <c r="A212" i="16" s="1"/>
  <c r="A213" i="16" s="1"/>
  <c r="A214" i="16" s="1"/>
  <c r="A215" i="16" s="1"/>
  <c r="A216" i="16" s="1"/>
  <c r="A217" i="16" s="1"/>
  <c r="A218" i="16" s="1"/>
  <c r="A219" i="16" s="1"/>
  <c r="A220" i="16" s="1"/>
  <c r="A221" i="16" s="1"/>
  <c r="A222" i="16" s="1"/>
  <c r="A223" i="16" s="1"/>
  <c r="A224" i="16" s="1"/>
  <c r="A225" i="16" s="1"/>
  <c r="A226" i="16" s="1"/>
  <c r="A227" i="16" s="1"/>
  <c r="A228" i="16" s="1"/>
  <c r="A229" i="16" s="1"/>
  <c r="A230" i="16" s="1"/>
  <c r="A231" i="16" s="1"/>
  <c r="A232" i="16" s="1"/>
  <c r="A233" i="16" s="1"/>
  <c r="A234" i="16" s="1"/>
  <c r="A235" i="16" s="1"/>
  <c r="A236" i="16" s="1"/>
  <c r="A237" i="16" s="1"/>
  <c r="A238" i="16" s="1"/>
  <c r="A239" i="16" s="1"/>
  <c r="A240" i="16" s="1"/>
  <c r="A241" i="16" s="1"/>
  <c r="A242" i="16" s="1"/>
  <c r="A243" i="16" s="1"/>
  <c r="A244" i="16" s="1"/>
  <c r="A245" i="16" s="1"/>
  <c r="A246" i="16" s="1"/>
  <c r="A247" i="16" s="1"/>
  <c r="A248" i="16" s="1"/>
  <c r="A249" i="16" s="1"/>
  <c r="A250" i="16" s="1"/>
  <c r="A251" i="16" s="1"/>
  <c r="A252" i="16" s="1"/>
  <c r="A253" i="16" s="1"/>
  <c r="A254" i="16" s="1"/>
  <c r="A255" i="16" s="1"/>
  <c r="A256" i="16" s="1"/>
  <c r="A257" i="16" s="1"/>
  <c r="A258" i="16" s="1"/>
  <c r="A259" i="16" s="1"/>
  <c r="A260" i="16" s="1"/>
  <c r="A261" i="16" s="1"/>
  <c r="A262" i="16" s="1"/>
  <c r="A263" i="16" s="1"/>
  <c r="A264" i="16" s="1"/>
  <c r="A265" i="16" s="1"/>
  <c r="A266" i="16" s="1"/>
  <c r="A267" i="16" s="1"/>
  <c r="A268" i="16" s="1"/>
  <c r="A269" i="16" s="1"/>
  <c r="A270" i="16" s="1"/>
  <c r="A271" i="16" s="1"/>
  <c r="A272" i="16" s="1"/>
  <c r="A273" i="16" s="1"/>
  <c r="A274" i="16" s="1"/>
  <c r="A275" i="16" s="1"/>
  <c r="A276" i="16" s="1"/>
  <c r="A277" i="16" s="1"/>
  <c r="A278" i="16" s="1"/>
  <c r="A279" i="16" s="1"/>
  <c r="A280" i="16" s="1"/>
  <c r="A281" i="16" s="1"/>
  <c r="A282" i="16" s="1"/>
  <c r="A283" i="16" s="1"/>
  <c r="A284" i="16" s="1"/>
  <c r="A285" i="16" s="1"/>
  <c r="A286" i="16" s="1"/>
  <c r="A287" i="16" s="1"/>
  <c r="A288" i="16" s="1"/>
  <c r="A289" i="16" s="1"/>
  <c r="A290" i="16" s="1"/>
  <c r="A291" i="16" s="1"/>
  <c r="A292" i="16" s="1"/>
  <c r="A293" i="16" s="1"/>
  <c r="A294" i="16" s="1"/>
  <c r="A295" i="16" s="1"/>
  <c r="A296" i="16" s="1"/>
  <c r="A297" i="16" s="1"/>
  <c r="A298" i="16" s="1"/>
  <c r="A299" i="16" s="1"/>
  <c r="A300" i="16" s="1"/>
  <c r="A301" i="16" s="1"/>
  <c r="A302" i="16" s="1"/>
  <c r="A303" i="16" s="1"/>
  <c r="A304" i="16" s="1"/>
  <c r="A305" i="16" s="1"/>
  <c r="A306" i="16" s="1"/>
  <c r="A307" i="16" s="1"/>
  <c r="A308" i="16" s="1"/>
  <c r="A309" i="16" s="1"/>
  <c r="A310" i="16" s="1"/>
  <c r="A311" i="16" s="1"/>
  <c r="A312" i="16" s="1"/>
  <c r="A313" i="16" s="1"/>
  <c r="A314" i="16" s="1"/>
  <c r="A315" i="16" s="1"/>
  <c r="A316" i="16" s="1"/>
  <c r="A317" i="16" s="1"/>
  <c r="A318" i="16" s="1"/>
  <c r="A319" i="16" s="1"/>
  <c r="A320" i="16" s="1"/>
  <c r="A321" i="16" s="1"/>
  <c r="A322" i="16" s="1"/>
  <c r="A323" i="16" s="1"/>
  <c r="A324" i="16" s="1"/>
  <c r="A325" i="16" s="1"/>
  <c r="A326" i="16" s="1"/>
  <c r="A327" i="16" s="1"/>
  <c r="A328" i="16" s="1"/>
  <c r="A329" i="16" s="1"/>
  <c r="A330" i="16" s="1"/>
  <c r="A331" i="16" s="1"/>
  <c r="A332" i="16" s="1"/>
  <c r="A333" i="16" s="1"/>
  <c r="A334" i="16" s="1"/>
  <c r="A335" i="16" s="1"/>
  <c r="A336" i="16" s="1"/>
  <c r="A337" i="16" s="1"/>
  <c r="A338" i="16" s="1"/>
  <c r="A339" i="16" s="1"/>
  <c r="A340" i="16" s="1"/>
  <c r="A341" i="16" s="1"/>
  <c r="A342" i="16" s="1"/>
  <c r="A343" i="16" s="1"/>
  <c r="A344" i="16" s="1"/>
  <c r="A345" i="16" s="1"/>
  <c r="A346" i="16" s="1"/>
  <c r="A347" i="16" s="1"/>
  <c r="A348" i="16" s="1"/>
  <c r="A349" i="16" s="1"/>
  <c r="A350" i="16" s="1"/>
  <c r="A351" i="16" s="1"/>
  <c r="A352" i="16" s="1"/>
  <c r="A353" i="16" s="1"/>
  <c r="A354" i="16" s="1"/>
  <c r="A355" i="16" s="1"/>
  <c r="A356" i="16" s="1"/>
  <c r="A357" i="16" s="1"/>
  <c r="A358" i="16" s="1"/>
  <c r="A359" i="16" s="1"/>
  <c r="A360" i="16" s="1"/>
  <c r="A361" i="16" s="1"/>
  <c r="A362" i="16" s="1"/>
  <c r="A363" i="16" s="1"/>
  <c r="A364" i="16" s="1"/>
  <c r="A365" i="16" s="1"/>
  <c r="A366" i="16" s="1"/>
  <c r="I371" i="7" l="1"/>
  <c r="I371" i="6"/>
  <c r="I371" i="5"/>
  <c r="A3" i="15" l="1"/>
  <c r="A4" i="15" s="1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A130" i="15" s="1"/>
  <c r="A131" i="15" s="1"/>
  <c r="A132" i="15" s="1"/>
  <c r="A133" i="15" s="1"/>
  <c r="A134" i="15" s="1"/>
  <c r="A135" i="15" s="1"/>
  <c r="A136" i="15" s="1"/>
  <c r="A137" i="15" s="1"/>
  <c r="A138" i="15" s="1"/>
  <c r="A139" i="15" s="1"/>
  <c r="A140" i="15" s="1"/>
  <c r="A141" i="15" s="1"/>
  <c r="A142" i="15" s="1"/>
  <c r="A143" i="15" s="1"/>
  <c r="A144" i="15" s="1"/>
  <c r="A145" i="15" s="1"/>
  <c r="A146" i="15" s="1"/>
  <c r="A147" i="15" s="1"/>
  <c r="A148" i="15" s="1"/>
  <c r="A149" i="15" s="1"/>
  <c r="A150" i="15" s="1"/>
  <c r="A151" i="15" s="1"/>
  <c r="A152" i="15" s="1"/>
  <c r="A153" i="15" s="1"/>
  <c r="A154" i="15" s="1"/>
  <c r="A155" i="15" s="1"/>
  <c r="A156" i="15" s="1"/>
  <c r="A157" i="15" s="1"/>
  <c r="A158" i="15" s="1"/>
  <c r="A159" i="15" s="1"/>
  <c r="A160" i="15" s="1"/>
  <c r="A161" i="15" s="1"/>
  <c r="A162" i="15" s="1"/>
  <c r="A163" i="15" s="1"/>
  <c r="A164" i="15" s="1"/>
  <c r="A165" i="15" s="1"/>
  <c r="A166" i="15" s="1"/>
  <c r="A167" i="15" s="1"/>
  <c r="A168" i="15" s="1"/>
  <c r="A169" i="15" s="1"/>
  <c r="A170" i="15" s="1"/>
  <c r="A171" i="15" s="1"/>
  <c r="A172" i="15" s="1"/>
  <c r="A173" i="15" s="1"/>
  <c r="A174" i="15" s="1"/>
  <c r="A175" i="15" s="1"/>
  <c r="A176" i="15" s="1"/>
  <c r="A177" i="15" s="1"/>
  <c r="A178" i="15" s="1"/>
  <c r="A179" i="15" s="1"/>
  <c r="A180" i="15" s="1"/>
  <c r="A181" i="15" s="1"/>
  <c r="A182" i="15" s="1"/>
  <c r="A183" i="15" s="1"/>
  <c r="A184" i="15" s="1"/>
  <c r="A185" i="15" s="1"/>
  <c r="A186" i="15" s="1"/>
  <c r="A187" i="15" s="1"/>
  <c r="A188" i="15" s="1"/>
  <c r="A189" i="15" s="1"/>
  <c r="A190" i="15" s="1"/>
  <c r="A191" i="15" s="1"/>
  <c r="A192" i="15" s="1"/>
  <c r="A193" i="15" s="1"/>
  <c r="A194" i="15" s="1"/>
  <c r="A195" i="15" s="1"/>
  <c r="A196" i="15" s="1"/>
  <c r="A197" i="15" s="1"/>
  <c r="A198" i="15" s="1"/>
  <c r="A199" i="15" s="1"/>
  <c r="A200" i="15" s="1"/>
  <c r="A201" i="15" s="1"/>
  <c r="A202" i="15" s="1"/>
  <c r="A203" i="15" s="1"/>
  <c r="A204" i="15" s="1"/>
  <c r="A205" i="15" s="1"/>
  <c r="A206" i="15" s="1"/>
  <c r="A207" i="15" s="1"/>
  <c r="A208" i="15" s="1"/>
  <c r="A209" i="15" s="1"/>
  <c r="A210" i="15" s="1"/>
  <c r="A211" i="15" s="1"/>
  <c r="A212" i="15" s="1"/>
  <c r="A213" i="15" s="1"/>
  <c r="A214" i="15" s="1"/>
  <c r="A215" i="15" s="1"/>
  <c r="A216" i="15" s="1"/>
  <c r="A217" i="15" s="1"/>
  <c r="A218" i="15" s="1"/>
  <c r="A219" i="15" s="1"/>
  <c r="A220" i="15" s="1"/>
  <c r="A221" i="15" s="1"/>
  <c r="A222" i="15" s="1"/>
  <c r="A223" i="15" s="1"/>
  <c r="A224" i="15" s="1"/>
  <c r="A225" i="15" s="1"/>
  <c r="A226" i="15" s="1"/>
  <c r="A227" i="15" s="1"/>
  <c r="A228" i="15" s="1"/>
  <c r="A229" i="15" s="1"/>
  <c r="A230" i="15" s="1"/>
  <c r="A231" i="15" s="1"/>
  <c r="A232" i="15" s="1"/>
  <c r="A233" i="15" s="1"/>
  <c r="A234" i="15" s="1"/>
  <c r="A235" i="15" s="1"/>
  <c r="A236" i="15" s="1"/>
  <c r="A237" i="15" s="1"/>
  <c r="A238" i="15" s="1"/>
  <c r="A239" i="15" s="1"/>
  <c r="A240" i="15" s="1"/>
  <c r="A241" i="15" s="1"/>
  <c r="A242" i="15" s="1"/>
  <c r="A243" i="15" s="1"/>
  <c r="A244" i="15" s="1"/>
  <c r="A245" i="15" s="1"/>
  <c r="A246" i="15" s="1"/>
  <c r="A247" i="15" s="1"/>
  <c r="A248" i="15" s="1"/>
  <c r="A249" i="15" s="1"/>
  <c r="A250" i="15" s="1"/>
  <c r="A251" i="15" s="1"/>
  <c r="A252" i="15" s="1"/>
  <c r="A253" i="15" s="1"/>
  <c r="A254" i="15" s="1"/>
  <c r="A255" i="15" s="1"/>
  <c r="A256" i="15" s="1"/>
  <c r="A257" i="15" s="1"/>
  <c r="A258" i="15" s="1"/>
  <c r="A259" i="15" s="1"/>
  <c r="A260" i="15" s="1"/>
  <c r="A261" i="15" s="1"/>
  <c r="A262" i="15" s="1"/>
  <c r="A263" i="15" s="1"/>
  <c r="A264" i="15" s="1"/>
  <c r="A265" i="15" s="1"/>
  <c r="A266" i="15" s="1"/>
  <c r="A267" i="15" s="1"/>
  <c r="A268" i="15" s="1"/>
  <c r="A269" i="15" s="1"/>
  <c r="A270" i="15" s="1"/>
  <c r="A271" i="15" s="1"/>
  <c r="A272" i="15" s="1"/>
  <c r="A273" i="15" s="1"/>
  <c r="A274" i="15" s="1"/>
  <c r="A275" i="15" s="1"/>
  <c r="A276" i="15" s="1"/>
  <c r="A277" i="15" s="1"/>
  <c r="A278" i="15" s="1"/>
  <c r="A279" i="15" s="1"/>
  <c r="A280" i="15" s="1"/>
  <c r="A281" i="15" s="1"/>
  <c r="A282" i="15" s="1"/>
  <c r="A283" i="15" s="1"/>
  <c r="A284" i="15" s="1"/>
  <c r="A285" i="15" s="1"/>
  <c r="A286" i="15" s="1"/>
  <c r="A287" i="15" s="1"/>
  <c r="A288" i="15" s="1"/>
  <c r="A289" i="15" s="1"/>
  <c r="A290" i="15" s="1"/>
  <c r="A291" i="15" s="1"/>
  <c r="A292" i="15" s="1"/>
  <c r="A293" i="15" s="1"/>
  <c r="A294" i="15" s="1"/>
  <c r="A295" i="15" s="1"/>
  <c r="A296" i="15" s="1"/>
  <c r="A297" i="15" s="1"/>
  <c r="A298" i="15" s="1"/>
  <c r="A299" i="15" s="1"/>
  <c r="A300" i="15" s="1"/>
  <c r="A301" i="15" s="1"/>
  <c r="A302" i="15" s="1"/>
  <c r="A303" i="15" s="1"/>
  <c r="A304" i="15" s="1"/>
  <c r="A305" i="15" s="1"/>
  <c r="A306" i="15" s="1"/>
  <c r="A307" i="15" s="1"/>
  <c r="A308" i="15" s="1"/>
  <c r="A309" i="15" s="1"/>
  <c r="A310" i="15" s="1"/>
  <c r="A311" i="15" s="1"/>
  <c r="A312" i="15" s="1"/>
  <c r="A313" i="15" s="1"/>
  <c r="A314" i="15" s="1"/>
  <c r="A315" i="15" s="1"/>
  <c r="A316" i="15" s="1"/>
  <c r="A317" i="15" s="1"/>
  <c r="A318" i="15" s="1"/>
  <c r="A319" i="15" s="1"/>
  <c r="A320" i="15" s="1"/>
  <c r="A321" i="15" s="1"/>
  <c r="A322" i="15" s="1"/>
  <c r="A323" i="15" s="1"/>
  <c r="A324" i="15" s="1"/>
  <c r="A325" i="15" s="1"/>
  <c r="A326" i="15" s="1"/>
  <c r="A327" i="15" s="1"/>
  <c r="A328" i="15" s="1"/>
  <c r="A329" i="15" s="1"/>
  <c r="A330" i="15" s="1"/>
  <c r="A331" i="15" s="1"/>
  <c r="A332" i="15" s="1"/>
  <c r="A333" i="15" s="1"/>
  <c r="A334" i="15" s="1"/>
  <c r="A335" i="15" s="1"/>
  <c r="A336" i="15" s="1"/>
  <c r="A337" i="15" s="1"/>
  <c r="A338" i="15" s="1"/>
  <c r="A339" i="15" s="1"/>
  <c r="A340" i="15" s="1"/>
  <c r="A341" i="15" s="1"/>
  <c r="A342" i="15" s="1"/>
  <c r="A343" i="15" s="1"/>
  <c r="A344" i="15" s="1"/>
  <c r="A345" i="15" s="1"/>
  <c r="A346" i="15" s="1"/>
  <c r="A347" i="15" s="1"/>
  <c r="A348" i="15" s="1"/>
  <c r="A349" i="15" s="1"/>
  <c r="A350" i="15" s="1"/>
  <c r="A351" i="15" s="1"/>
  <c r="A352" i="15" s="1"/>
  <c r="A353" i="15" s="1"/>
  <c r="A354" i="15" s="1"/>
  <c r="A355" i="15" s="1"/>
  <c r="A356" i="15" s="1"/>
  <c r="A357" i="15" s="1"/>
  <c r="A358" i="15" s="1"/>
  <c r="A359" i="15" s="1"/>
  <c r="A360" i="15" s="1"/>
  <c r="A361" i="15" s="1"/>
  <c r="A362" i="15" s="1"/>
  <c r="A363" i="15" s="1"/>
  <c r="A364" i="15" s="1"/>
  <c r="A365" i="15" s="1"/>
  <c r="A366" i="15" s="1"/>
  <c r="A367" i="15" s="1"/>
  <c r="A367" i="14"/>
  <c r="A3" i="14"/>
  <c r="A4" i="14" s="1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A318" i="14" s="1"/>
  <c r="A319" i="14" s="1"/>
  <c r="A320" i="14" s="1"/>
  <c r="A321" i="14" s="1"/>
  <c r="A322" i="14" s="1"/>
  <c r="A323" i="14" s="1"/>
  <c r="A324" i="14" s="1"/>
  <c r="A325" i="14" s="1"/>
  <c r="A326" i="14" s="1"/>
  <c r="A327" i="14" s="1"/>
  <c r="A328" i="14" s="1"/>
  <c r="A329" i="14" s="1"/>
  <c r="A330" i="14" s="1"/>
  <c r="A331" i="14" s="1"/>
  <c r="A332" i="14" s="1"/>
  <c r="A333" i="14" s="1"/>
  <c r="A334" i="14" s="1"/>
  <c r="A335" i="14" s="1"/>
  <c r="A336" i="14" s="1"/>
  <c r="A337" i="14" s="1"/>
  <c r="A338" i="14" s="1"/>
  <c r="A339" i="14" s="1"/>
  <c r="A340" i="14" s="1"/>
  <c r="A341" i="14" s="1"/>
  <c r="A342" i="14" s="1"/>
  <c r="A343" i="14" s="1"/>
  <c r="A344" i="14" s="1"/>
  <c r="A345" i="14" s="1"/>
  <c r="A346" i="14" s="1"/>
  <c r="A347" i="14" s="1"/>
  <c r="A348" i="14" s="1"/>
  <c r="A349" i="14" s="1"/>
  <c r="A350" i="14" s="1"/>
  <c r="A351" i="14" s="1"/>
  <c r="A352" i="14" s="1"/>
  <c r="A353" i="14" s="1"/>
  <c r="A354" i="14" s="1"/>
  <c r="A355" i="14" s="1"/>
  <c r="A356" i="14" s="1"/>
  <c r="A357" i="14" s="1"/>
  <c r="A358" i="14" s="1"/>
  <c r="A359" i="14" s="1"/>
  <c r="A360" i="14" s="1"/>
  <c r="A361" i="14" s="1"/>
  <c r="A362" i="14" s="1"/>
  <c r="A363" i="14" s="1"/>
  <c r="A364" i="14" s="1"/>
  <c r="A365" i="14" s="1"/>
  <c r="A366" i="14" s="1"/>
  <c r="A3" i="13"/>
  <c r="A4" i="13" s="1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309" i="13" s="1"/>
  <c r="A310" i="13" s="1"/>
  <c r="A311" i="13" s="1"/>
  <c r="A312" i="13" s="1"/>
  <c r="A313" i="13" s="1"/>
  <c r="A314" i="13" s="1"/>
  <c r="A315" i="13" s="1"/>
  <c r="A316" i="13" s="1"/>
  <c r="A317" i="13" s="1"/>
  <c r="A318" i="13" s="1"/>
  <c r="A319" i="13" s="1"/>
  <c r="A320" i="13" s="1"/>
  <c r="A321" i="13" s="1"/>
  <c r="A322" i="13" s="1"/>
  <c r="A323" i="13" s="1"/>
  <c r="A324" i="13" s="1"/>
  <c r="A325" i="13" s="1"/>
  <c r="A326" i="13" s="1"/>
  <c r="A327" i="13" s="1"/>
  <c r="A328" i="13" s="1"/>
  <c r="A329" i="13" s="1"/>
  <c r="A330" i="13" s="1"/>
  <c r="A331" i="13" s="1"/>
  <c r="A332" i="13" s="1"/>
  <c r="A333" i="13" s="1"/>
  <c r="A334" i="13" s="1"/>
  <c r="A335" i="13" s="1"/>
  <c r="A336" i="13" s="1"/>
  <c r="A337" i="13" s="1"/>
  <c r="A338" i="13" s="1"/>
  <c r="A339" i="13" s="1"/>
  <c r="A340" i="13" s="1"/>
  <c r="A341" i="13" s="1"/>
  <c r="A342" i="13" s="1"/>
  <c r="A343" i="13" s="1"/>
  <c r="A344" i="13" s="1"/>
  <c r="A345" i="13" s="1"/>
  <c r="A346" i="13" s="1"/>
  <c r="A347" i="13" s="1"/>
  <c r="A348" i="13" s="1"/>
  <c r="A349" i="13" s="1"/>
  <c r="A350" i="13" s="1"/>
  <c r="A351" i="13" s="1"/>
  <c r="A352" i="13" s="1"/>
  <c r="A353" i="13" s="1"/>
  <c r="A354" i="13" s="1"/>
  <c r="A355" i="13" s="1"/>
  <c r="A356" i="13" s="1"/>
  <c r="A357" i="13" s="1"/>
  <c r="A358" i="13" s="1"/>
  <c r="A359" i="13" s="1"/>
  <c r="A360" i="13" s="1"/>
  <c r="A361" i="13" s="1"/>
  <c r="A362" i="13" s="1"/>
  <c r="A363" i="13" s="1"/>
  <c r="A364" i="13" s="1"/>
  <c r="A365" i="13" s="1"/>
  <c r="A366" i="13" s="1"/>
  <c r="A7" i="12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A318" i="12" s="1"/>
  <c r="A319" i="12" s="1"/>
  <c r="A320" i="12" s="1"/>
  <c r="A321" i="12" s="1"/>
  <c r="A322" i="12" s="1"/>
  <c r="A323" i="12" s="1"/>
  <c r="A324" i="12" s="1"/>
  <c r="A325" i="12" s="1"/>
  <c r="A326" i="12" s="1"/>
  <c r="A327" i="12" s="1"/>
  <c r="A328" i="12" s="1"/>
  <c r="A329" i="12" s="1"/>
  <c r="A330" i="12" s="1"/>
  <c r="A331" i="12" s="1"/>
  <c r="A332" i="12" s="1"/>
  <c r="A333" i="12" s="1"/>
  <c r="A334" i="12" s="1"/>
  <c r="A335" i="12" s="1"/>
  <c r="A336" i="12" s="1"/>
  <c r="A337" i="12" s="1"/>
  <c r="A338" i="12" s="1"/>
  <c r="A339" i="12" s="1"/>
  <c r="A340" i="12" s="1"/>
  <c r="A341" i="12" s="1"/>
  <c r="A342" i="12" s="1"/>
  <c r="A343" i="12" s="1"/>
  <c r="A344" i="12" s="1"/>
  <c r="A345" i="12" s="1"/>
  <c r="A346" i="12" s="1"/>
  <c r="A347" i="12" s="1"/>
  <c r="A348" i="12" s="1"/>
  <c r="A349" i="12" s="1"/>
  <c r="A350" i="12" s="1"/>
  <c r="A351" i="12" s="1"/>
  <c r="A352" i="12" s="1"/>
  <c r="A353" i="12" s="1"/>
  <c r="A354" i="12" s="1"/>
  <c r="A355" i="12" s="1"/>
  <c r="A356" i="12" s="1"/>
  <c r="A357" i="12" s="1"/>
  <c r="A358" i="12" s="1"/>
  <c r="A359" i="12" s="1"/>
  <c r="A360" i="12" s="1"/>
  <c r="A361" i="12" s="1"/>
  <c r="A362" i="12" s="1"/>
  <c r="A363" i="12" s="1"/>
  <c r="A364" i="12" s="1"/>
  <c r="A365" i="12" s="1"/>
  <c r="A366" i="12" s="1"/>
  <c r="A4" i="12"/>
  <c r="A5" i="12" s="1"/>
  <c r="A6" i="12" s="1"/>
  <c r="A3" i="12"/>
  <c r="D13" i="11" l="1"/>
  <c r="E13" i="11"/>
  <c r="D14" i="11"/>
  <c r="E14" i="11"/>
  <c r="D15" i="11"/>
  <c r="E15" i="11"/>
  <c r="D16" i="11"/>
  <c r="E16" i="11"/>
  <c r="D17" i="11"/>
  <c r="E17" i="11"/>
  <c r="D18" i="11"/>
  <c r="E18" i="11"/>
  <c r="D19" i="11"/>
  <c r="E19" i="11"/>
  <c r="D20" i="11"/>
  <c r="E20" i="11"/>
  <c r="D21" i="11"/>
  <c r="E21" i="11"/>
  <c r="D22" i="11"/>
  <c r="E22" i="11"/>
  <c r="D23" i="11"/>
  <c r="E23" i="11"/>
  <c r="D24" i="11"/>
  <c r="E24" i="11"/>
  <c r="D25" i="11"/>
  <c r="E25" i="11"/>
  <c r="D26" i="11"/>
  <c r="E26" i="11"/>
  <c r="D27" i="11"/>
  <c r="E27" i="11"/>
  <c r="D28" i="11"/>
  <c r="E28" i="11"/>
  <c r="D29" i="11"/>
  <c r="E29" i="11"/>
  <c r="D30" i="11"/>
  <c r="E30" i="11"/>
  <c r="D31" i="11"/>
  <c r="E31" i="11"/>
  <c r="D32" i="11"/>
  <c r="E32" i="11"/>
  <c r="D33" i="11"/>
  <c r="E33" i="11"/>
  <c r="D34" i="11"/>
  <c r="E34" i="11"/>
  <c r="D35" i="11"/>
  <c r="E35" i="11"/>
  <c r="D36" i="11"/>
  <c r="E36" i="11"/>
  <c r="D37" i="11"/>
  <c r="E37" i="11"/>
  <c r="D38" i="11"/>
  <c r="E38" i="11"/>
  <c r="D39" i="11"/>
  <c r="E39" i="11"/>
  <c r="D40" i="11"/>
  <c r="E40" i="11"/>
  <c r="D41" i="11"/>
  <c r="E41" i="11"/>
  <c r="D42" i="11"/>
  <c r="E42" i="11"/>
  <c r="D43" i="11"/>
  <c r="E43" i="11"/>
  <c r="D44" i="11"/>
  <c r="E44" i="11"/>
  <c r="D45" i="11"/>
  <c r="E45" i="11"/>
  <c r="D46" i="11"/>
  <c r="E46" i="11"/>
  <c r="D47" i="11"/>
  <c r="E47" i="11"/>
  <c r="D48" i="11"/>
  <c r="E48" i="11"/>
  <c r="D49" i="11"/>
  <c r="E49" i="11"/>
  <c r="D50" i="11"/>
  <c r="E50" i="11"/>
  <c r="D51" i="11"/>
  <c r="E51" i="11"/>
  <c r="D52" i="11"/>
  <c r="E52" i="11"/>
  <c r="D53" i="11"/>
  <c r="E53" i="11"/>
  <c r="D54" i="11"/>
  <c r="E54" i="11"/>
  <c r="D55" i="11"/>
  <c r="E55" i="11"/>
  <c r="D56" i="11"/>
  <c r="E56" i="11"/>
  <c r="D57" i="11"/>
  <c r="E57" i="11"/>
  <c r="D58" i="11"/>
  <c r="E58" i="11"/>
  <c r="D59" i="11"/>
  <c r="E59" i="11"/>
  <c r="D60" i="11"/>
  <c r="E60" i="11"/>
  <c r="D61" i="11"/>
  <c r="E61" i="11"/>
  <c r="D62" i="11"/>
  <c r="E62" i="11"/>
  <c r="D63" i="11"/>
  <c r="E63" i="11"/>
  <c r="D64" i="11"/>
  <c r="E64" i="11"/>
  <c r="D65" i="11"/>
  <c r="E65" i="11"/>
  <c r="D66" i="11"/>
  <c r="E66" i="11"/>
  <c r="D67" i="11"/>
  <c r="E67" i="11"/>
  <c r="D68" i="11"/>
  <c r="E68" i="11"/>
  <c r="D69" i="11"/>
  <c r="E69" i="11"/>
  <c r="D70" i="11"/>
  <c r="E70" i="11"/>
  <c r="D71" i="11"/>
  <c r="E71" i="11"/>
  <c r="D72" i="11"/>
  <c r="E72" i="11"/>
  <c r="D73" i="11"/>
  <c r="E73" i="11"/>
  <c r="D74" i="11"/>
  <c r="E74" i="11"/>
  <c r="D75" i="11"/>
  <c r="E75" i="11"/>
  <c r="D76" i="11"/>
  <c r="E76" i="11"/>
  <c r="D77" i="11"/>
  <c r="E77" i="11"/>
  <c r="D78" i="11"/>
  <c r="E78" i="11"/>
  <c r="D79" i="11"/>
  <c r="E79" i="11"/>
  <c r="D80" i="11"/>
  <c r="E80" i="11"/>
  <c r="D81" i="11"/>
  <c r="E81" i="11"/>
  <c r="D82" i="11"/>
  <c r="E82" i="11"/>
  <c r="D83" i="11"/>
  <c r="E83" i="11"/>
  <c r="D84" i="11"/>
  <c r="E84" i="11"/>
  <c r="D85" i="11"/>
  <c r="E85" i="11"/>
  <c r="D86" i="11"/>
  <c r="E86" i="11"/>
  <c r="D87" i="11"/>
  <c r="E87" i="11"/>
  <c r="D88" i="11"/>
  <c r="E88" i="11"/>
  <c r="D89" i="11"/>
  <c r="E89" i="11"/>
  <c r="D90" i="11"/>
  <c r="E90" i="11"/>
  <c r="D91" i="11"/>
  <c r="E91" i="11"/>
  <c r="D92" i="11"/>
  <c r="E92" i="11"/>
  <c r="D93" i="11"/>
  <c r="E93" i="11"/>
  <c r="D94" i="11"/>
  <c r="E94" i="11"/>
  <c r="D95" i="11"/>
  <c r="E95" i="11"/>
  <c r="D96" i="11"/>
  <c r="E96" i="11"/>
  <c r="D97" i="11"/>
  <c r="E97" i="11"/>
  <c r="D98" i="11"/>
  <c r="E98" i="11"/>
  <c r="D99" i="11"/>
  <c r="E99" i="11"/>
  <c r="D100" i="11"/>
  <c r="E100" i="11"/>
  <c r="D101" i="11"/>
  <c r="E101" i="11"/>
  <c r="D102" i="11"/>
  <c r="E102" i="11"/>
  <c r="D103" i="11"/>
  <c r="E103" i="11"/>
  <c r="D104" i="11"/>
  <c r="E104" i="11"/>
  <c r="D105" i="11"/>
  <c r="E105" i="11"/>
  <c r="D106" i="11"/>
  <c r="E106" i="11"/>
  <c r="D107" i="11"/>
  <c r="E107" i="11"/>
  <c r="D108" i="11"/>
  <c r="E108" i="11"/>
  <c r="D109" i="11"/>
  <c r="E109" i="11"/>
  <c r="D110" i="11"/>
  <c r="E110" i="11"/>
  <c r="D111" i="11"/>
  <c r="E111" i="11"/>
  <c r="D112" i="11"/>
  <c r="E112" i="11"/>
  <c r="D113" i="11"/>
  <c r="E113" i="11"/>
  <c r="D114" i="11"/>
  <c r="E114" i="11"/>
  <c r="D115" i="11"/>
  <c r="E115" i="11"/>
  <c r="D116" i="11"/>
  <c r="E116" i="11"/>
  <c r="D117" i="11"/>
  <c r="E117" i="11"/>
  <c r="D118" i="11"/>
  <c r="E118" i="11"/>
  <c r="D119" i="11"/>
  <c r="E119" i="11"/>
  <c r="D120" i="11"/>
  <c r="E120" i="11"/>
  <c r="D121" i="11"/>
  <c r="E121" i="11"/>
  <c r="D122" i="11"/>
  <c r="E122" i="11"/>
  <c r="D123" i="11"/>
  <c r="E123" i="11"/>
  <c r="D124" i="11"/>
  <c r="E124" i="11"/>
  <c r="D125" i="11"/>
  <c r="E125" i="11"/>
  <c r="D126" i="11"/>
  <c r="E126" i="11"/>
  <c r="D127" i="11"/>
  <c r="E127" i="11"/>
  <c r="D128" i="11"/>
  <c r="E128" i="11"/>
  <c r="D129" i="11"/>
  <c r="E129" i="11"/>
  <c r="D130" i="11"/>
  <c r="E130" i="11"/>
  <c r="D131" i="11"/>
  <c r="E131" i="11"/>
  <c r="D132" i="11"/>
  <c r="E132" i="11"/>
  <c r="D133" i="11"/>
  <c r="E133" i="11"/>
  <c r="D134" i="11"/>
  <c r="E134" i="11"/>
  <c r="D135" i="11"/>
  <c r="E135" i="11"/>
  <c r="D136" i="11"/>
  <c r="E136" i="11"/>
  <c r="D137" i="11"/>
  <c r="E137" i="11"/>
  <c r="D138" i="11"/>
  <c r="E138" i="11"/>
  <c r="D139" i="11"/>
  <c r="E139" i="11"/>
  <c r="D140" i="11"/>
  <c r="E140" i="11"/>
  <c r="D141" i="11"/>
  <c r="E141" i="11"/>
  <c r="D142" i="11"/>
  <c r="E142" i="11"/>
  <c r="D143" i="11"/>
  <c r="E143" i="11"/>
  <c r="D144" i="11"/>
  <c r="E144" i="11"/>
  <c r="D145" i="11"/>
  <c r="E145" i="11"/>
  <c r="D146" i="11"/>
  <c r="E146" i="11"/>
  <c r="D147" i="11"/>
  <c r="E147" i="11"/>
  <c r="D148" i="11"/>
  <c r="E148" i="11"/>
  <c r="D149" i="11"/>
  <c r="E149" i="11"/>
  <c r="D150" i="11"/>
  <c r="E150" i="11"/>
  <c r="D151" i="11"/>
  <c r="E151" i="11"/>
  <c r="D152" i="11"/>
  <c r="E152" i="11"/>
  <c r="D153" i="11"/>
  <c r="E153" i="11"/>
  <c r="D154" i="11"/>
  <c r="E154" i="11"/>
  <c r="D155" i="11"/>
  <c r="E155" i="11"/>
  <c r="D156" i="11"/>
  <c r="E156" i="11"/>
  <c r="D157" i="11"/>
  <c r="E157" i="11"/>
  <c r="D158" i="11"/>
  <c r="E158" i="11"/>
  <c r="D159" i="11"/>
  <c r="E159" i="11"/>
  <c r="D160" i="11"/>
  <c r="E160" i="11"/>
  <c r="D161" i="11"/>
  <c r="E161" i="11"/>
  <c r="D162" i="11"/>
  <c r="E162" i="11"/>
  <c r="D163" i="11"/>
  <c r="E163" i="11"/>
  <c r="D164" i="11"/>
  <c r="E164" i="11"/>
  <c r="D165" i="11"/>
  <c r="E165" i="11"/>
  <c r="D166" i="11"/>
  <c r="E166" i="11"/>
  <c r="D167" i="11"/>
  <c r="E167" i="11"/>
  <c r="D168" i="11"/>
  <c r="E168" i="11"/>
  <c r="D169" i="11"/>
  <c r="E169" i="11"/>
  <c r="D170" i="11"/>
  <c r="E170" i="11"/>
  <c r="D171" i="11"/>
  <c r="E171" i="11"/>
  <c r="D172" i="11"/>
  <c r="E172" i="11"/>
  <c r="D173" i="11"/>
  <c r="E173" i="11"/>
  <c r="D174" i="11"/>
  <c r="E174" i="11"/>
  <c r="D175" i="11"/>
  <c r="E175" i="11"/>
  <c r="D176" i="11"/>
  <c r="E176" i="11"/>
  <c r="D177" i="11"/>
  <c r="E177" i="11"/>
  <c r="D178" i="11"/>
  <c r="E178" i="11"/>
  <c r="D179" i="11"/>
  <c r="E179" i="11"/>
  <c r="D180" i="11"/>
  <c r="E180" i="11"/>
  <c r="D181" i="11"/>
  <c r="E181" i="11"/>
  <c r="D182" i="11"/>
  <c r="E182" i="11"/>
  <c r="D183" i="11"/>
  <c r="E183" i="11"/>
  <c r="D184" i="11"/>
  <c r="E184" i="11"/>
  <c r="D185" i="11"/>
  <c r="E185" i="11"/>
  <c r="D186" i="11"/>
  <c r="E186" i="11"/>
  <c r="D187" i="11"/>
  <c r="E187" i="11"/>
  <c r="D188" i="11"/>
  <c r="E188" i="11"/>
  <c r="D189" i="11"/>
  <c r="E189" i="11"/>
  <c r="D190" i="11"/>
  <c r="E190" i="11"/>
  <c r="D191" i="11"/>
  <c r="E191" i="11"/>
  <c r="D192" i="11"/>
  <c r="E192" i="11"/>
  <c r="D193" i="11"/>
  <c r="E193" i="11"/>
  <c r="D194" i="11"/>
  <c r="E194" i="11"/>
  <c r="D195" i="11"/>
  <c r="E195" i="11"/>
  <c r="D196" i="11"/>
  <c r="E196" i="11"/>
  <c r="D197" i="11"/>
  <c r="E197" i="11"/>
  <c r="D198" i="11"/>
  <c r="E198" i="11"/>
  <c r="D199" i="11"/>
  <c r="E199" i="11"/>
  <c r="D200" i="11"/>
  <c r="E200" i="11"/>
  <c r="D201" i="11"/>
  <c r="E201" i="11"/>
  <c r="D202" i="11"/>
  <c r="E202" i="11"/>
  <c r="D203" i="11"/>
  <c r="E203" i="11"/>
  <c r="D204" i="11"/>
  <c r="E204" i="11"/>
  <c r="D205" i="11"/>
  <c r="E205" i="11"/>
  <c r="D206" i="11"/>
  <c r="E206" i="11"/>
  <c r="D207" i="11"/>
  <c r="E207" i="11"/>
  <c r="D208" i="11"/>
  <c r="E208" i="11"/>
  <c r="D209" i="11"/>
  <c r="E209" i="11"/>
  <c r="D210" i="11"/>
  <c r="E210" i="11"/>
  <c r="D211" i="11"/>
  <c r="E211" i="11"/>
  <c r="D212" i="11"/>
  <c r="E212" i="11"/>
  <c r="D213" i="11"/>
  <c r="E213" i="11"/>
  <c r="D214" i="11"/>
  <c r="E214" i="11"/>
  <c r="D215" i="11"/>
  <c r="E215" i="11"/>
  <c r="D216" i="11"/>
  <c r="E216" i="11"/>
  <c r="D217" i="11"/>
  <c r="E217" i="11"/>
  <c r="D218" i="11"/>
  <c r="E218" i="11"/>
  <c r="D219" i="11"/>
  <c r="E219" i="11"/>
  <c r="D220" i="11"/>
  <c r="E220" i="11"/>
  <c r="D221" i="11"/>
  <c r="E221" i="11"/>
  <c r="D222" i="11"/>
  <c r="E222" i="11"/>
  <c r="D223" i="11"/>
  <c r="E223" i="11"/>
  <c r="D224" i="11"/>
  <c r="E224" i="11"/>
  <c r="D225" i="11"/>
  <c r="E225" i="11"/>
  <c r="D226" i="11"/>
  <c r="E226" i="11"/>
  <c r="D227" i="11"/>
  <c r="E227" i="11"/>
  <c r="D228" i="11"/>
  <c r="E228" i="11"/>
  <c r="D229" i="11"/>
  <c r="E229" i="11"/>
  <c r="D230" i="11"/>
  <c r="E230" i="11"/>
  <c r="D231" i="11"/>
  <c r="E231" i="11"/>
  <c r="D232" i="11"/>
  <c r="E232" i="11"/>
  <c r="D233" i="11"/>
  <c r="E233" i="11"/>
  <c r="D234" i="11"/>
  <c r="E234" i="11"/>
  <c r="D235" i="11"/>
  <c r="E235" i="11"/>
  <c r="D236" i="11"/>
  <c r="E236" i="11"/>
  <c r="D237" i="11"/>
  <c r="E237" i="11"/>
  <c r="D238" i="11"/>
  <c r="E238" i="11"/>
  <c r="D239" i="11"/>
  <c r="E239" i="11"/>
  <c r="D240" i="11"/>
  <c r="E240" i="11"/>
  <c r="D241" i="11"/>
  <c r="E241" i="11"/>
  <c r="D242" i="11"/>
  <c r="E242" i="11"/>
  <c r="D243" i="11"/>
  <c r="E243" i="11"/>
  <c r="D244" i="11"/>
  <c r="E244" i="11"/>
  <c r="D245" i="11"/>
  <c r="E245" i="11"/>
  <c r="D246" i="11"/>
  <c r="E246" i="11"/>
  <c r="D247" i="11"/>
  <c r="E247" i="11"/>
  <c r="D248" i="11"/>
  <c r="E248" i="11"/>
  <c r="D249" i="11"/>
  <c r="E249" i="11"/>
  <c r="D250" i="11"/>
  <c r="E250" i="11"/>
  <c r="D251" i="11"/>
  <c r="E251" i="11"/>
  <c r="D252" i="11"/>
  <c r="E252" i="11"/>
  <c r="D253" i="11"/>
  <c r="E253" i="11"/>
  <c r="D254" i="11"/>
  <c r="E254" i="11"/>
  <c r="D255" i="11"/>
  <c r="E255" i="11"/>
  <c r="D256" i="11"/>
  <c r="E256" i="11"/>
  <c r="D257" i="11"/>
  <c r="E257" i="11"/>
  <c r="D258" i="11"/>
  <c r="E258" i="11"/>
  <c r="D259" i="11"/>
  <c r="E259" i="11"/>
  <c r="D260" i="11"/>
  <c r="E260" i="11"/>
  <c r="D261" i="11"/>
  <c r="E261" i="11"/>
  <c r="D262" i="11"/>
  <c r="E262" i="11"/>
  <c r="D263" i="11"/>
  <c r="E263" i="11"/>
  <c r="D264" i="11"/>
  <c r="E264" i="11"/>
  <c r="D265" i="11"/>
  <c r="E265" i="11"/>
  <c r="D266" i="11"/>
  <c r="E266" i="11"/>
  <c r="D267" i="11"/>
  <c r="E267" i="11"/>
  <c r="D268" i="11"/>
  <c r="E268" i="11"/>
  <c r="D269" i="11"/>
  <c r="E269" i="11"/>
  <c r="D270" i="11"/>
  <c r="E270" i="11"/>
  <c r="D271" i="11"/>
  <c r="E271" i="11"/>
  <c r="D272" i="11"/>
  <c r="E272" i="11"/>
  <c r="D273" i="11"/>
  <c r="E273" i="11"/>
  <c r="D274" i="11"/>
  <c r="E274" i="11"/>
  <c r="D275" i="11"/>
  <c r="E275" i="11"/>
  <c r="D276" i="11"/>
  <c r="E276" i="11"/>
  <c r="D277" i="11"/>
  <c r="E277" i="11"/>
  <c r="D278" i="11"/>
  <c r="E278" i="11"/>
  <c r="D279" i="11"/>
  <c r="E279" i="11"/>
  <c r="D280" i="11"/>
  <c r="E280" i="11"/>
  <c r="D281" i="11"/>
  <c r="E281" i="11"/>
  <c r="D282" i="11"/>
  <c r="E282" i="11"/>
  <c r="D283" i="11"/>
  <c r="E283" i="11"/>
  <c r="D284" i="11"/>
  <c r="E284" i="11"/>
  <c r="D285" i="11"/>
  <c r="E285" i="11"/>
  <c r="D286" i="11"/>
  <c r="E286" i="11"/>
  <c r="D287" i="11"/>
  <c r="E287" i="11"/>
  <c r="D288" i="11"/>
  <c r="E288" i="11"/>
  <c r="D289" i="11"/>
  <c r="E289" i="11"/>
  <c r="D290" i="11"/>
  <c r="E290" i="11"/>
  <c r="D291" i="11"/>
  <c r="E291" i="11"/>
  <c r="D292" i="11"/>
  <c r="E292" i="11"/>
  <c r="D293" i="11"/>
  <c r="E293" i="11"/>
  <c r="D294" i="11"/>
  <c r="E294" i="11"/>
  <c r="D295" i="11"/>
  <c r="E295" i="11"/>
  <c r="D296" i="11"/>
  <c r="E296" i="11"/>
  <c r="D297" i="11"/>
  <c r="E297" i="11"/>
  <c r="D298" i="11"/>
  <c r="E298" i="11"/>
  <c r="D299" i="11"/>
  <c r="E299" i="11"/>
  <c r="D300" i="11"/>
  <c r="E300" i="11"/>
  <c r="D301" i="11"/>
  <c r="E301" i="11"/>
  <c r="D302" i="11"/>
  <c r="E302" i="11"/>
  <c r="D303" i="11"/>
  <c r="E303" i="11"/>
  <c r="D304" i="11"/>
  <c r="E304" i="11"/>
  <c r="D305" i="11"/>
  <c r="E305" i="11"/>
  <c r="D306" i="11"/>
  <c r="E306" i="11"/>
  <c r="D307" i="11"/>
  <c r="E307" i="11"/>
  <c r="D308" i="11"/>
  <c r="E308" i="11"/>
  <c r="D309" i="11"/>
  <c r="E309" i="11"/>
  <c r="D310" i="11"/>
  <c r="E310" i="11"/>
  <c r="D311" i="11"/>
  <c r="E311" i="11"/>
  <c r="D312" i="11"/>
  <c r="E312" i="11"/>
  <c r="D313" i="11"/>
  <c r="E313" i="11"/>
  <c r="D314" i="11"/>
  <c r="E314" i="11"/>
  <c r="D315" i="11"/>
  <c r="E315" i="11"/>
  <c r="D316" i="11"/>
  <c r="E316" i="11"/>
  <c r="D317" i="11"/>
  <c r="E317" i="11"/>
  <c r="D318" i="11"/>
  <c r="E318" i="11"/>
  <c r="D319" i="11"/>
  <c r="E319" i="11"/>
  <c r="D320" i="11"/>
  <c r="E320" i="11"/>
  <c r="D321" i="11"/>
  <c r="E321" i="11"/>
  <c r="D322" i="11"/>
  <c r="E322" i="11"/>
  <c r="D323" i="11"/>
  <c r="E323" i="11"/>
  <c r="D324" i="11"/>
  <c r="E324" i="11"/>
  <c r="D325" i="11"/>
  <c r="E325" i="11"/>
  <c r="D326" i="11"/>
  <c r="E326" i="11"/>
  <c r="D327" i="11"/>
  <c r="E327" i="11"/>
  <c r="D328" i="11"/>
  <c r="E328" i="11"/>
  <c r="D329" i="11"/>
  <c r="E329" i="11"/>
  <c r="D330" i="11"/>
  <c r="E330" i="11"/>
  <c r="D331" i="11"/>
  <c r="E331" i="11"/>
  <c r="D332" i="11"/>
  <c r="E332" i="11"/>
  <c r="D333" i="11"/>
  <c r="E333" i="11"/>
  <c r="D334" i="11"/>
  <c r="E334" i="11"/>
  <c r="D335" i="11"/>
  <c r="E335" i="11"/>
  <c r="D336" i="11"/>
  <c r="E336" i="11"/>
  <c r="D337" i="11"/>
  <c r="E337" i="11"/>
  <c r="D338" i="11"/>
  <c r="E338" i="11"/>
  <c r="D339" i="11"/>
  <c r="E339" i="11"/>
  <c r="D340" i="11"/>
  <c r="E340" i="11"/>
  <c r="D341" i="11"/>
  <c r="E341" i="11"/>
  <c r="D342" i="11"/>
  <c r="E342" i="11"/>
  <c r="D343" i="11"/>
  <c r="E343" i="11"/>
  <c r="D344" i="11"/>
  <c r="E344" i="11"/>
  <c r="D345" i="11"/>
  <c r="E345" i="11"/>
  <c r="D346" i="11"/>
  <c r="E346" i="11"/>
  <c r="D347" i="11"/>
  <c r="E347" i="11"/>
  <c r="D348" i="11"/>
  <c r="E348" i="11"/>
  <c r="D349" i="11"/>
  <c r="E349" i="11"/>
  <c r="D350" i="11"/>
  <c r="E350" i="11"/>
  <c r="D351" i="11"/>
  <c r="E351" i="11"/>
  <c r="D352" i="11"/>
  <c r="E352" i="11"/>
  <c r="D353" i="11"/>
  <c r="E353" i="11"/>
  <c r="D354" i="11"/>
  <c r="E354" i="11"/>
  <c r="D355" i="11"/>
  <c r="E355" i="11"/>
  <c r="D356" i="11"/>
  <c r="E356" i="11"/>
  <c r="D357" i="11"/>
  <c r="E357" i="11"/>
  <c r="D358" i="11"/>
  <c r="E358" i="11"/>
  <c r="D359" i="11"/>
  <c r="E359" i="11"/>
  <c r="D360" i="11"/>
  <c r="E360" i="11"/>
  <c r="D361" i="11"/>
  <c r="E361" i="11"/>
  <c r="D362" i="11"/>
  <c r="E362" i="11"/>
  <c r="D363" i="11"/>
  <c r="E363" i="11"/>
  <c r="D364" i="11"/>
  <c r="E364" i="11"/>
  <c r="D365" i="11"/>
  <c r="E365" i="11"/>
  <c r="D366" i="11"/>
  <c r="E366" i="11"/>
  <c r="D3" i="11"/>
  <c r="E3" i="11"/>
  <c r="D4" i="11"/>
  <c r="E4" i="11"/>
  <c r="D5" i="11"/>
  <c r="E5" i="11"/>
  <c r="D6" i="11"/>
  <c r="E6" i="11"/>
  <c r="D7" i="11"/>
  <c r="E7" i="11"/>
  <c r="D8" i="11"/>
  <c r="E8" i="11"/>
  <c r="D9" i="11"/>
  <c r="E9" i="11"/>
  <c r="D10" i="11"/>
  <c r="E10" i="11"/>
  <c r="D11" i="11"/>
  <c r="E11" i="11"/>
  <c r="D12" i="11"/>
  <c r="E12" i="11"/>
  <c r="E2" i="11"/>
  <c r="D2" i="11"/>
  <c r="A3" i="11"/>
  <c r="A4" i="11" s="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A149" i="11" s="1"/>
  <c r="A150" i="11" s="1"/>
  <c r="A151" i="11" s="1"/>
  <c r="A152" i="11" s="1"/>
  <c r="A153" i="11" s="1"/>
  <c r="A154" i="11" s="1"/>
  <c r="A155" i="11" s="1"/>
  <c r="A156" i="11" s="1"/>
  <c r="A157" i="11" s="1"/>
  <c r="A158" i="11" s="1"/>
  <c r="A159" i="11" s="1"/>
  <c r="A160" i="11" s="1"/>
  <c r="A161" i="11" s="1"/>
  <c r="A162" i="11" s="1"/>
  <c r="A163" i="11" s="1"/>
  <c r="A164" i="11" s="1"/>
  <c r="A165" i="11" s="1"/>
  <c r="A166" i="11" s="1"/>
  <c r="A167" i="11" s="1"/>
  <c r="A168" i="11" s="1"/>
  <c r="A169" i="11" s="1"/>
  <c r="A170" i="11" s="1"/>
  <c r="A171" i="11" s="1"/>
  <c r="A172" i="11" s="1"/>
  <c r="A173" i="11" s="1"/>
  <c r="A174" i="11" s="1"/>
  <c r="A175" i="11" s="1"/>
  <c r="A176" i="11" s="1"/>
  <c r="A177" i="11" s="1"/>
  <c r="A178" i="11" s="1"/>
  <c r="A179" i="11" s="1"/>
  <c r="A180" i="11" s="1"/>
  <c r="A181" i="11" s="1"/>
  <c r="A182" i="11" s="1"/>
  <c r="A183" i="11" s="1"/>
  <c r="A184" i="11" s="1"/>
  <c r="A185" i="11" s="1"/>
  <c r="A186" i="11" s="1"/>
  <c r="A187" i="11" s="1"/>
  <c r="A188" i="11" s="1"/>
  <c r="A189" i="11" s="1"/>
  <c r="A190" i="11" s="1"/>
  <c r="A191" i="11" s="1"/>
  <c r="A192" i="11" s="1"/>
  <c r="A193" i="11" s="1"/>
  <c r="A194" i="11" s="1"/>
  <c r="A195" i="11" s="1"/>
  <c r="A196" i="11" s="1"/>
  <c r="A197" i="11" s="1"/>
  <c r="A198" i="11" s="1"/>
  <c r="A199" i="11" s="1"/>
  <c r="A200" i="11" s="1"/>
  <c r="A201" i="11" s="1"/>
  <c r="A202" i="11" s="1"/>
  <c r="A203" i="11" s="1"/>
  <c r="A204" i="11" s="1"/>
  <c r="A205" i="11" s="1"/>
  <c r="A206" i="11" s="1"/>
  <c r="A207" i="11" s="1"/>
  <c r="A208" i="11" s="1"/>
  <c r="A209" i="11" s="1"/>
  <c r="A210" i="11" s="1"/>
  <c r="A211" i="11" s="1"/>
  <c r="A212" i="11" s="1"/>
  <c r="A213" i="11" s="1"/>
  <c r="A214" i="11" s="1"/>
  <c r="A215" i="11" s="1"/>
  <c r="A216" i="11" s="1"/>
  <c r="A217" i="11" s="1"/>
  <c r="A218" i="11" s="1"/>
  <c r="A219" i="11" s="1"/>
  <c r="A220" i="11" s="1"/>
  <c r="A221" i="11" s="1"/>
  <c r="A222" i="11" s="1"/>
  <c r="A223" i="11" s="1"/>
  <c r="A224" i="11" s="1"/>
  <c r="A225" i="11" s="1"/>
  <c r="A226" i="11" s="1"/>
  <c r="A227" i="11" s="1"/>
  <c r="A228" i="11" s="1"/>
  <c r="A229" i="11" s="1"/>
  <c r="A230" i="11" s="1"/>
  <c r="A231" i="11" s="1"/>
  <c r="A232" i="11" s="1"/>
  <c r="A233" i="11" s="1"/>
  <c r="A234" i="11" s="1"/>
  <c r="A235" i="11" s="1"/>
  <c r="A236" i="11" s="1"/>
  <c r="A237" i="11" s="1"/>
  <c r="A238" i="11" s="1"/>
  <c r="A239" i="11" s="1"/>
  <c r="A240" i="11" s="1"/>
  <c r="A241" i="11" s="1"/>
  <c r="A242" i="11" s="1"/>
  <c r="A243" i="11" s="1"/>
  <c r="A244" i="11" s="1"/>
  <c r="A245" i="11" s="1"/>
  <c r="A246" i="11" s="1"/>
  <c r="A247" i="11" s="1"/>
  <c r="A248" i="11" s="1"/>
  <c r="A249" i="11" s="1"/>
  <c r="A250" i="11" s="1"/>
  <c r="A251" i="11" s="1"/>
  <c r="A252" i="11" s="1"/>
  <c r="A253" i="11" s="1"/>
  <c r="A254" i="11" s="1"/>
  <c r="A255" i="11" s="1"/>
  <c r="A256" i="11" s="1"/>
  <c r="A257" i="11" s="1"/>
  <c r="A258" i="11" s="1"/>
  <c r="A259" i="11" s="1"/>
  <c r="A260" i="11" s="1"/>
  <c r="A261" i="11" s="1"/>
  <c r="A262" i="11" s="1"/>
  <c r="A263" i="11" s="1"/>
  <c r="A264" i="11" s="1"/>
  <c r="A265" i="11" s="1"/>
  <c r="A266" i="11" s="1"/>
  <c r="A267" i="11" s="1"/>
  <c r="A268" i="11" s="1"/>
  <c r="A269" i="11" s="1"/>
  <c r="A270" i="11" s="1"/>
  <c r="A271" i="11" s="1"/>
  <c r="A272" i="11" s="1"/>
  <c r="A273" i="11" s="1"/>
  <c r="A274" i="11" s="1"/>
  <c r="A275" i="11" s="1"/>
  <c r="A276" i="11" s="1"/>
  <c r="A277" i="11" s="1"/>
  <c r="A278" i="11" s="1"/>
  <c r="A279" i="11" s="1"/>
  <c r="A280" i="11" s="1"/>
  <c r="A281" i="11" s="1"/>
  <c r="A282" i="11" s="1"/>
  <c r="A283" i="11" s="1"/>
  <c r="A284" i="11" s="1"/>
  <c r="A285" i="11" s="1"/>
  <c r="A286" i="11" s="1"/>
  <c r="A287" i="11" s="1"/>
  <c r="A288" i="11" s="1"/>
  <c r="A289" i="11" s="1"/>
  <c r="A290" i="11" s="1"/>
  <c r="A291" i="11" s="1"/>
  <c r="A292" i="11" s="1"/>
  <c r="A293" i="11" s="1"/>
  <c r="A294" i="11" s="1"/>
  <c r="A295" i="11" s="1"/>
  <c r="A296" i="11" s="1"/>
  <c r="A297" i="11" s="1"/>
  <c r="A298" i="11" s="1"/>
  <c r="A299" i="11" s="1"/>
  <c r="A300" i="11" s="1"/>
  <c r="A301" i="11" s="1"/>
  <c r="A302" i="11" s="1"/>
  <c r="A303" i="11" s="1"/>
  <c r="A304" i="11" s="1"/>
  <c r="A305" i="11" s="1"/>
  <c r="A306" i="11" s="1"/>
  <c r="A307" i="11" s="1"/>
  <c r="A308" i="11" s="1"/>
  <c r="A309" i="11" s="1"/>
  <c r="A310" i="11" s="1"/>
  <c r="A311" i="11" s="1"/>
  <c r="A312" i="11" s="1"/>
  <c r="A313" i="11" s="1"/>
  <c r="A314" i="11" s="1"/>
  <c r="A315" i="11" s="1"/>
  <c r="A316" i="11" s="1"/>
  <c r="A317" i="11" s="1"/>
  <c r="A318" i="11" s="1"/>
  <c r="A319" i="11" s="1"/>
  <c r="A320" i="11" s="1"/>
  <c r="A321" i="11" s="1"/>
  <c r="A322" i="11" s="1"/>
  <c r="A323" i="11" s="1"/>
  <c r="A324" i="11" s="1"/>
  <c r="A325" i="11" s="1"/>
  <c r="A326" i="11" s="1"/>
  <c r="A327" i="11" s="1"/>
  <c r="A328" i="11" s="1"/>
  <c r="A329" i="11" s="1"/>
  <c r="A330" i="11" s="1"/>
  <c r="A331" i="11" s="1"/>
  <c r="A332" i="11" s="1"/>
  <c r="A333" i="11" s="1"/>
  <c r="A334" i="11" s="1"/>
  <c r="A335" i="11" s="1"/>
  <c r="A336" i="11" s="1"/>
  <c r="A337" i="11" s="1"/>
  <c r="A338" i="11" s="1"/>
  <c r="A339" i="11" s="1"/>
  <c r="A340" i="11" s="1"/>
  <c r="A341" i="11" s="1"/>
  <c r="A342" i="11" s="1"/>
  <c r="A343" i="11" s="1"/>
  <c r="A344" i="11" s="1"/>
  <c r="A345" i="11" s="1"/>
  <c r="A346" i="11" s="1"/>
  <c r="A347" i="11" s="1"/>
  <c r="A348" i="11" s="1"/>
  <c r="A349" i="11" s="1"/>
  <c r="A350" i="11" s="1"/>
  <c r="A351" i="11" s="1"/>
  <c r="A352" i="11" s="1"/>
  <c r="A353" i="11" s="1"/>
  <c r="A354" i="11" s="1"/>
  <c r="A355" i="11" s="1"/>
  <c r="A356" i="11" s="1"/>
  <c r="A357" i="11" s="1"/>
  <c r="A358" i="11" s="1"/>
  <c r="A359" i="11" s="1"/>
  <c r="A360" i="11" s="1"/>
  <c r="A361" i="11" s="1"/>
  <c r="A362" i="11" s="1"/>
  <c r="A363" i="11" s="1"/>
  <c r="A364" i="11" s="1"/>
  <c r="A365" i="11" s="1"/>
  <c r="A366" i="11" s="1"/>
  <c r="A3" i="10" l="1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A165" i="10" s="1"/>
  <c r="A166" i="10" s="1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l="1"/>
  <c r="A365" i="10" s="1"/>
  <c r="A366" i="10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A201" i="8" s="1"/>
  <c r="A202" i="8" s="1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D6" i="4" l="1"/>
  <c r="D9" i="4"/>
  <c r="D15" i="4"/>
  <c r="D17" i="4"/>
  <c r="D24" i="4"/>
  <c r="D25" i="4"/>
  <c r="D32" i="4"/>
  <c r="D33" i="4"/>
  <c r="D35" i="4"/>
  <c r="D42" i="4"/>
  <c r="D43" i="4"/>
  <c r="D46" i="4"/>
  <c r="D50" i="4"/>
  <c r="D51" i="4"/>
  <c r="D52" i="4"/>
  <c r="D53" i="4"/>
  <c r="D54" i="4"/>
  <c r="D55" i="4"/>
  <c r="D59" i="4"/>
  <c r="D60" i="4"/>
  <c r="D61" i="4"/>
  <c r="D64" i="4"/>
  <c r="D69" i="4"/>
  <c r="D70" i="4"/>
  <c r="D71" i="4"/>
  <c r="O73" i="4" l="1"/>
  <c r="D73" i="4" s="1"/>
  <c r="AD72" i="4"/>
  <c r="Y68" i="4"/>
  <c r="AE67" i="4"/>
  <c r="AC67" i="4"/>
  <c r="AB67" i="4"/>
  <c r="AA67" i="4"/>
  <c r="Z67" i="4"/>
  <c r="X67" i="4"/>
  <c r="W67" i="4"/>
  <c r="V67" i="4"/>
  <c r="U67" i="4"/>
  <c r="T67" i="4"/>
  <c r="S67" i="4"/>
  <c r="R67" i="4"/>
  <c r="Q67" i="4"/>
  <c r="P67" i="4"/>
  <c r="N67" i="4"/>
  <c r="M67" i="4"/>
  <c r="L67" i="4"/>
  <c r="K67" i="4"/>
  <c r="J67" i="4"/>
  <c r="I67" i="4"/>
  <c r="H67" i="4"/>
  <c r="G67" i="4"/>
  <c r="F67" i="4"/>
  <c r="E67" i="4"/>
  <c r="Y67" i="4" l="1"/>
  <c r="D68" i="4"/>
  <c r="AD67" i="4"/>
  <c r="D72" i="4"/>
  <c r="O67" i="4"/>
  <c r="D67" i="4" s="1"/>
  <c r="AG63" i="4"/>
  <c r="AH62" i="4"/>
  <c r="AH58" i="4" s="1"/>
  <c r="Y62" i="4"/>
  <c r="Y58" i="4" s="1"/>
  <c r="AI58" i="4"/>
  <c r="AF58" i="4"/>
  <c r="AE58" i="4"/>
  <c r="AD58" i="4"/>
  <c r="AC58" i="4"/>
  <c r="AB58" i="4"/>
  <c r="AA58" i="4"/>
  <c r="Z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AG58" i="4" l="1"/>
  <c r="D63" i="4"/>
  <c r="D58" i="4"/>
  <c r="D62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 l="1"/>
  <c r="AG45" i="4"/>
  <c r="D45" i="4" s="1"/>
  <c r="J44" i="4"/>
  <c r="AG41" i="4"/>
  <c r="D41" i="4" s="1"/>
  <c r="AI40" i="4"/>
  <c r="AH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I40" i="4"/>
  <c r="H40" i="4"/>
  <c r="G40" i="4"/>
  <c r="F40" i="4"/>
  <c r="E40" i="4"/>
  <c r="J40" i="4" l="1"/>
  <c r="D44" i="4"/>
  <c r="AG40" i="4"/>
  <c r="D40" i="4" s="1"/>
  <c r="AG37" i="4"/>
  <c r="AB36" i="4"/>
  <c r="D36" i="4" s="1"/>
  <c r="K34" i="4"/>
  <c r="AI31" i="4"/>
  <c r="AH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J31" i="4"/>
  <c r="I31" i="4"/>
  <c r="H31" i="4"/>
  <c r="G31" i="4"/>
  <c r="F31" i="4"/>
  <c r="E31" i="4"/>
  <c r="AG31" i="4" l="1"/>
  <c r="D37" i="4"/>
  <c r="K31" i="4"/>
  <c r="D34" i="4"/>
  <c r="D31" i="4"/>
  <c r="AC28" i="4"/>
  <c r="AI27" i="4"/>
  <c r="AD27" i="4"/>
  <c r="X26" i="4"/>
  <c r="O26" i="4"/>
  <c r="X23" i="4"/>
  <c r="AH22" i="4"/>
  <c r="AG22" i="4"/>
  <c r="AF22" i="4"/>
  <c r="AE22" i="4"/>
  <c r="AB22" i="4"/>
  <c r="AA22" i="4"/>
  <c r="Z22" i="4"/>
  <c r="Y22" i="4"/>
  <c r="W22" i="4"/>
  <c r="V22" i="4"/>
  <c r="U22" i="4"/>
  <c r="T22" i="4"/>
  <c r="S22" i="4"/>
  <c r="R22" i="4"/>
  <c r="Q22" i="4"/>
  <c r="P22" i="4"/>
  <c r="N22" i="4"/>
  <c r="M22" i="4"/>
  <c r="L22" i="4"/>
  <c r="K22" i="4"/>
  <c r="J22" i="4"/>
  <c r="I22" i="4"/>
  <c r="H22" i="4"/>
  <c r="G22" i="4"/>
  <c r="F22" i="4"/>
  <c r="E22" i="4"/>
  <c r="AD22" i="4" l="1"/>
  <c r="D27" i="4"/>
  <c r="AC22" i="4"/>
  <c r="D28" i="4"/>
  <c r="X22" i="4"/>
  <c r="D23" i="4"/>
  <c r="O22" i="4"/>
  <c r="D22" i="4" s="1"/>
  <c r="D26" i="4"/>
  <c r="AI22" i="4"/>
  <c r="X19" i="4" l="1"/>
  <c r="D19" i="4" s="1"/>
  <c r="X18" i="4"/>
  <c r="D18" i="4" s="1"/>
  <c r="Y16" i="4"/>
  <c r="Y13" i="4" s="1"/>
  <c r="X16" i="4"/>
  <c r="D16" i="4" s="1"/>
  <c r="W14" i="4"/>
  <c r="D14" i="4" s="1"/>
  <c r="AI13" i="4"/>
  <c r="AH13" i="4"/>
  <c r="AG13" i="4"/>
  <c r="AF13" i="4"/>
  <c r="AE13" i="4"/>
  <c r="AD13" i="4"/>
  <c r="AC13" i="4"/>
  <c r="AB13" i="4"/>
  <c r="AA13" i="4"/>
  <c r="Z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X13" i="4" l="1"/>
  <c r="W13" i="4"/>
  <c r="D13" i="4" s="1"/>
  <c r="U10" i="4" l="1"/>
  <c r="D10" i="4" s="1"/>
  <c r="U8" i="4"/>
  <c r="D8" i="4" s="1"/>
  <c r="X7" i="4"/>
  <c r="AA5" i="4"/>
  <c r="AA4" i="4" s="1"/>
  <c r="Z5" i="4"/>
  <c r="D5" i="4" s="1"/>
  <c r="AI4" i="4"/>
  <c r="AH4" i="4"/>
  <c r="AG4" i="4"/>
  <c r="AF4" i="4"/>
  <c r="AE4" i="4"/>
  <c r="AD4" i="4"/>
  <c r="AC4" i="4"/>
  <c r="AB4" i="4"/>
  <c r="Z4" i="4"/>
  <c r="Y4" i="4"/>
  <c r="W4" i="4"/>
  <c r="V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X4" i="4" l="1"/>
  <c r="D7" i="4"/>
  <c r="U4" i="4"/>
  <c r="D4" i="4" s="1"/>
  <c r="AC109" i="3"/>
  <c r="D109" i="3"/>
  <c r="AE108" i="3"/>
  <c r="AE103" i="3" s="1"/>
  <c r="AC108" i="3"/>
  <c r="AC103" i="3" s="1"/>
  <c r="H108" i="3"/>
  <c r="F108" i="3"/>
  <c r="AB107" i="3"/>
  <c r="D107" i="3" s="1"/>
  <c r="D106" i="3"/>
  <c r="AD105" i="3"/>
  <c r="D105" i="3"/>
  <c r="D104" i="3"/>
  <c r="AI103" i="3"/>
  <c r="AH103" i="3"/>
  <c r="AG103" i="3"/>
  <c r="AF103" i="3"/>
  <c r="AD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D108" i="3" l="1"/>
  <c r="AB103" i="3"/>
  <c r="D103" i="3" s="1"/>
  <c r="L100" i="3" l="1"/>
  <c r="D100" i="3"/>
  <c r="AG99" i="3"/>
  <c r="S99" i="3"/>
  <c r="Q99" i="3"/>
  <c r="F99" i="3"/>
  <c r="F94" i="3" s="1"/>
  <c r="AG98" i="3"/>
  <c r="AG94" i="3" s="1"/>
  <c r="D98" i="3"/>
  <c r="AC97" i="3"/>
  <c r="AC94" i="3" s="1"/>
  <c r="Y97" i="3"/>
  <c r="Y94" i="3" s="1"/>
  <c r="W97" i="3"/>
  <c r="W94" i="3" s="1"/>
  <c r="L97" i="3"/>
  <c r="D96" i="3"/>
  <c r="Q95" i="3"/>
  <c r="J95" i="3"/>
  <c r="J94" i="3" s="1"/>
  <c r="AI94" i="3"/>
  <c r="AH94" i="3"/>
  <c r="AF94" i="3"/>
  <c r="AE94" i="3"/>
  <c r="AD94" i="3"/>
  <c r="AB94" i="3"/>
  <c r="AA94" i="3"/>
  <c r="Z94" i="3"/>
  <c r="X94" i="3"/>
  <c r="V94" i="3"/>
  <c r="U94" i="3"/>
  <c r="T94" i="3"/>
  <c r="S94" i="3"/>
  <c r="R94" i="3"/>
  <c r="P94" i="3"/>
  <c r="O94" i="3"/>
  <c r="N94" i="3"/>
  <c r="M94" i="3"/>
  <c r="K94" i="3"/>
  <c r="I94" i="3"/>
  <c r="H94" i="3"/>
  <c r="G94" i="3"/>
  <c r="E94" i="3"/>
  <c r="D95" i="3" l="1"/>
  <c r="Q94" i="3"/>
  <c r="L94" i="3"/>
  <c r="D94" i="3"/>
  <c r="D97" i="3"/>
  <c r="D99" i="3"/>
  <c r="Z91" i="3" l="1"/>
  <c r="T91" i="3"/>
  <c r="N91" i="3"/>
  <c r="M91" i="3"/>
  <c r="M85" i="3" s="1"/>
  <c r="F91" i="3"/>
  <c r="D91" i="3" s="1"/>
  <c r="AI90" i="3"/>
  <c r="AI85" i="3" s="1"/>
  <c r="F90" i="3"/>
  <c r="F85" i="3" s="1"/>
  <c r="AH89" i="3"/>
  <c r="AC89" i="3"/>
  <c r="AB89" i="3"/>
  <c r="AA89" i="3"/>
  <c r="Z89" i="3"/>
  <c r="D89" i="3"/>
  <c r="T88" i="3"/>
  <c r="G88" i="3"/>
  <c r="D88" i="3" s="1"/>
  <c r="AH87" i="3"/>
  <c r="AG87" i="3"/>
  <c r="AG85" i="3" s="1"/>
  <c r="AC87" i="3"/>
  <c r="AC85" i="3" s="1"/>
  <c r="AB87" i="3"/>
  <c r="N87" i="3"/>
  <c r="N85" i="3" s="1"/>
  <c r="L87" i="3"/>
  <c r="L85" i="3" s="1"/>
  <c r="D86" i="3"/>
  <c r="AH85" i="3"/>
  <c r="AF85" i="3"/>
  <c r="AE85" i="3"/>
  <c r="AD85" i="3"/>
  <c r="AA85" i="3"/>
  <c r="Z85" i="3"/>
  <c r="Y85" i="3"/>
  <c r="X85" i="3"/>
  <c r="W85" i="3"/>
  <c r="V85" i="3"/>
  <c r="U85" i="3"/>
  <c r="S85" i="3"/>
  <c r="R85" i="3"/>
  <c r="Q85" i="3"/>
  <c r="P85" i="3"/>
  <c r="O85" i="3"/>
  <c r="K85" i="3"/>
  <c r="J85" i="3"/>
  <c r="I85" i="3"/>
  <c r="H85" i="3"/>
  <c r="E85" i="3"/>
  <c r="D90" i="3" l="1"/>
  <c r="G85" i="3"/>
  <c r="T85" i="3"/>
  <c r="D87" i="3"/>
  <c r="AB85" i="3"/>
  <c r="D85" i="3" s="1"/>
  <c r="AD82" i="3" l="1"/>
  <c r="D82" i="3"/>
  <c r="AB81" i="3"/>
  <c r="AB76" i="3" s="1"/>
  <c r="AA81" i="3"/>
  <c r="AA76" i="3" s="1"/>
  <c r="X81" i="3"/>
  <c r="U81" i="3"/>
  <c r="P81" i="3"/>
  <c r="P76" i="3" s="1"/>
  <c r="O81" i="3"/>
  <c r="O76" i="3" s="1"/>
  <c r="J81" i="3"/>
  <c r="X80" i="3"/>
  <c r="U80" i="3"/>
  <c r="Q80" i="3"/>
  <c r="Q76" i="3" s="1"/>
  <c r="I80" i="3"/>
  <c r="I76" i="3" s="1"/>
  <c r="D80" i="3"/>
  <c r="AE79" i="3"/>
  <c r="AC79" i="3"/>
  <c r="D79" i="3" s="1"/>
  <c r="D78" i="3"/>
  <c r="AC77" i="3"/>
  <c r="D77" i="3"/>
  <c r="AI76" i="3"/>
  <c r="AH76" i="3"/>
  <c r="AG76" i="3"/>
  <c r="AF76" i="3"/>
  <c r="AE76" i="3"/>
  <c r="AD76" i="3"/>
  <c r="Z76" i="3"/>
  <c r="Y76" i="3"/>
  <c r="X76" i="3"/>
  <c r="W76" i="3"/>
  <c r="V76" i="3"/>
  <c r="T76" i="3"/>
  <c r="S76" i="3"/>
  <c r="R76" i="3"/>
  <c r="N76" i="3"/>
  <c r="M76" i="3"/>
  <c r="L76" i="3"/>
  <c r="K76" i="3"/>
  <c r="H76" i="3"/>
  <c r="G76" i="3"/>
  <c r="F76" i="3"/>
  <c r="E76" i="3"/>
  <c r="U76" i="3" l="1"/>
  <c r="AC76" i="3"/>
  <c r="D81" i="3"/>
  <c r="J76" i="3"/>
  <c r="D76" i="3" s="1"/>
  <c r="D73" i="3" l="1"/>
  <c r="X72" i="3"/>
  <c r="Q72" i="3"/>
  <c r="K72" i="3"/>
  <c r="K67" i="3" s="1"/>
  <c r="I72" i="3"/>
  <c r="D72" i="3" s="1"/>
  <c r="AA71" i="3"/>
  <c r="AA67" i="3" s="1"/>
  <c r="T71" i="3"/>
  <c r="R71" i="3"/>
  <c r="R67" i="3" s="1"/>
  <c r="M71" i="3"/>
  <c r="AA70" i="3"/>
  <c r="X70" i="3"/>
  <c r="D70" i="3"/>
  <c r="D69" i="3"/>
  <c r="D68" i="3"/>
  <c r="AI67" i="3"/>
  <c r="AH67" i="3"/>
  <c r="AG67" i="3"/>
  <c r="AF67" i="3"/>
  <c r="AE67" i="3"/>
  <c r="AD67" i="3"/>
  <c r="AC67" i="3"/>
  <c r="AB67" i="3"/>
  <c r="Z67" i="3"/>
  <c r="Y67" i="3"/>
  <c r="X67" i="3"/>
  <c r="W67" i="3"/>
  <c r="V67" i="3"/>
  <c r="U67" i="3"/>
  <c r="S67" i="3"/>
  <c r="Q67" i="3"/>
  <c r="P67" i="3"/>
  <c r="O67" i="3"/>
  <c r="N67" i="3"/>
  <c r="M67" i="3"/>
  <c r="L67" i="3"/>
  <c r="J67" i="3"/>
  <c r="I67" i="3"/>
  <c r="H67" i="3"/>
  <c r="G67" i="3"/>
  <c r="F67" i="3"/>
  <c r="E67" i="3"/>
  <c r="D71" i="3" l="1"/>
  <c r="T67" i="3"/>
  <c r="D67" i="3" s="1"/>
  <c r="O64" i="3" l="1"/>
  <c r="O58" i="3" s="1"/>
  <c r="D64" i="3"/>
  <c r="AI63" i="3"/>
  <c r="AI58" i="3" s="1"/>
  <c r="AH63" i="3"/>
  <c r="AH58" i="3" s="1"/>
  <c r="AD63" i="3"/>
  <c r="N63" i="3"/>
  <c r="M63" i="3"/>
  <c r="M58" i="3" s="1"/>
  <c r="G63" i="3"/>
  <c r="G58" i="3" s="1"/>
  <c r="AD62" i="3"/>
  <c r="L62" i="3"/>
  <c r="G62" i="3"/>
  <c r="L61" i="3"/>
  <c r="D61" i="3"/>
  <c r="AD60" i="3"/>
  <c r="AD58" i="3" s="1"/>
  <c r="L60" i="3"/>
  <c r="D60" i="3" s="1"/>
  <c r="N59" i="3"/>
  <c r="D59" i="3" s="1"/>
  <c r="AG58" i="3"/>
  <c r="AF58" i="3"/>
  <c r="AE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K58" i="3"/>
  <c r="J58" i="3"/>
  <c r="I58" i="3"/>
  <c r="H58" i="3"/>
  <c r="F58" i="3"/>
  <c r="E58" i="3"/>
  <c r="N58" i="3" l="1"/>
  <c r="L58" i="3"/>
  <c r="D58" i="3" s="1"/>
  <c r="D62" i="3"/>
  <c r="D63" i="3"/>
  <c r="Y55" i="3"/>
  <c r="Y49" i="3" s="1"/>
  <c r="X55" i="3"/>
  <c r="R55" i="3"/>
  <c r="D55" i="3" s="1"/>
  <c r="AF54" i="3"/>
  <c r="AC54" i="3"/>
  <c r="X54" i="3"/>
  <c r="W54" i="3"/>
  <c r="V54" i="3"/>
  <c r="V49" i="3" s="1"/>
  <c r="R54" i="3"/>
  <c r="O54" i="3"/>
  <c r="O49" i="3" s="1"/>
  <c r="AF53" i="3"/>
  <c r="AC53" i="3"/>
  <c r="D53" i="3" s="1"/>
  <c r="AE52" i="3"/>
  <c r="AE49" i="3" s="1"/>
  <c r="AD52" i="3"/>
  <c r="AD49" i="3" s="1"/>
  <c r="AC52" i="3"/>
  <c r="X52" i="3"/>
  <c r="X49" i="3" s="1"/>
  <c r="W52" i="3"/>
  <c r="W49" i="3" s="1"/>
  <c r="U52" i="3"/>
  <c r="U49" i="3" s="1"/>
  <c r="Q52" i="3"/>
  <c r="K52" i="3"/>
  <c r="K49" i="3" s="1"/>
  <c r="D51" i="3"/>
  <c r="D50" i="3"/>
  <c r="AI49" i="3"/>
  <c r="AH49" i="3"/>
  <c r="AG49" i="3"/>
  <c r="AB49" i="3"/>
  <c r="AA49" i="3"/>
  <c r="Z49" i="3"/>
  <c r="T49" i="3"/>
  <c r="S49" i="3"/>
  <c r="P49" i="3"/>
  <c r="N49" i="3"/>
  <c r="M49" i="3"/>
  <c r="L49" i="3"/>
  <c r="J49" i="3"/>
  <c r="I49" i="3"/>
  <c r="H49" i="3"/>
  <c r="G49" i="3"/>
  <c r="F49" i="3"/>
  <c r="E49" i="3"/>
  <c r="AF49" i="3" l="1"/>
  <c r="D52" i="3"/>
  <c r="D54" i="3"/>
  <c r="AC49" i="3"/>
  <c r="Q49" i="3"/>
  <c r="R49" i="3"/>
  <c r="D49" i="3" s="1"/>
  <c r="Z46" i="3" l="1"/>
  <c r="Z40" i="3" s="1"/>
  <c r="D46" i="3"/>
  <c r="AI45" i="3"/>
  <c r="AH45" i="3"/>
  <c r="AH40" i="3" s="1"/>
  <c r="AG45" i="3"/>
  <c r="AE45" i="3"/>
  <c r="AE40" i="3" s="1"/>
  <c r="S45" i="3"/>
  <c r="S40" i="3" s="1"/>
  <c r="L45" i="3"/>
  <c r="D45" i="3" s="1"/>
  <c r="G45" i="3"/>
  <c r="AG44" i="3"/>
  <c r="AE44" i="3"/>
  <c r="AB44" i="3"/>
  <c r="AB40" i="3" s="1"/>
  <c r="Y44" i="3"/>
  <c r="Y40" i="3" s="1"/>
  <c r="U44" i="3"/>
  <c r="U40" i="3" s="1"/>
  <c r="L44" i="3"/>
  <c r="K44" i="3"/>
  <c r="AG43" i="3"/>
  <c r="R43" i="3"/>
  <c r="R40" i="3" s="1"/>
  <c r="D43" i="3"/>
  <c r="D42" i="3"/>
  <c r="AG41" i="3"/>
  <c r="AG40" i="3" s="1"/>
  <c r="D41" i="3"/>
  <c r="AI40" i="3"/>
  <c r="AF40" i="3"/>
  <c r="AD40" i="3"/>
  <c r="AC40" i="3"/>
  <c r="AA40" i="3"/>
  <c r="X40" i="3"/>
  <c r="W40" i="3"/>
  <c r="V40" i="3"/>
  <c r="T40" i="3"/>
  <c r="Q40" i="3"/>
  <c r="P40" i="3"/>
  <c r="O40" i="3"/>
  <c r="N40" i="3"/>
  <c r="M40" i="3"/>
  <c r="J40" i="3"/>
  <c r="I40" i="3"/>
  <c r="H40" i="3"/>
  <c r="G40" i="3"/>
  <c r="F40" i="3"/>
  <c r="E40" i="3"/>
  <c r="L40" i="3" l="1"/>
  <c r="D44" i="3"/>
  <c r="K40" i="3"/>
  <c r="D40" i="3" s="1"/>
  <c r="AE37" i="3" l="1"/>
  <c r="D37" i="3"/>
  <c r="N36" i="3"/>
  <c r="D36" i="3"/>
  <c r="AC35" i="3"/>
  <c r="W35" i="3"/>
  <c r="V35" i="3"/>
  <c r="V31" i="3" s="1"/>
  <c r="U35" i="3"/>
  <c r="U31" i="3" s="1"/>
  <c r="AH34" i="3"/>
  <c r="AE34" i="3"/>
  <c r="AC34" i="3"/>
  <c r="I34" i="3"/>
  <c r="I31" i="3" s="1"/>
  <c r="G34" i="3"/>
  <c r="G31" i="3" s="1"/>
  <c r="F34" i="3"/>
  <c r="F31" i="3" s="1"/>
  <c r="D34" i="3"/>
  <c r="D33" i="3"/>
  <c r="D32" i="3"/>
  <c r="AI31" i="3"/>
  <c r="AH31" i="3"/>
  <c r="AG31" i="3"/>
  <c r="AF31" i="3"/>
  <c r="AE31" i="3"/>
  <c r="AD31" i="3"/>
  <c r="AB31" i="3"/>
  <c r="AA31" i="3"/>
  <c r="Z31" i="3"/>
  <c r="Y31" i="3"/>
  <c r="X31" i="3"/>
  <c r="W31" i="3"/>
  <c r="T31" i="3"/>
  <c r="S31" i="3"/>
  <c r="R31" i="3"/>
  <c r="Q31" i="3"/>
  <c r="P31" i="3"/>
  <c r="O31" i="3"/>
  <c r="N31" i="3"/>
  <c r="M31" i="3"/>
  <c r="L31" i="3"/>
  <c r="K31" i="3"/>
  <c r="J31" i="3"/>
  <c r="H31" i="3"/>
  <c r="E31" i="3"/>
  <c r="AC31" i="3" l="1"/>
  <c r="D31" i="3"/>
  <c r="D35" i="3"/>
  <c r="N28" i="3"/>
  <c r="D28" i="3"/>
  <c r="AF27" i="3"/>
  <c r="W27" i="3"/>
  <c r="W22" i="3" s="1"/>
  <c r="P27" i="3"/>
  <c r="P22" i="3" s="1"/>
  <c r="AF26" i="3"/>
  <c r="AC26" i="3"/>
  <c r="O26" i="3"/>
  <c r="O22" i="3" s="1"/>
  <c r="AG25" i="3"/>
  <c r="AG22" i="3" s="1"/>
  <c r="D25" i="3"/>
  <c r="D24" i="3"/>
  <c r="AF23" i="3"/>
  <c r="D23" i="3"/>
  <c r="AI22" i="3"/>
  <c r="AH22" i="3"/>
  <c r="AE22" i="3"/>
  <c r="AD22" i="3"/>
  <c r="AC22" i="3"/>
  <c r="AB22" i="3"/>
  <c r="AA22" i="3"/>
  <c r="Z22" i="3"/>
  <c r="Y22" i="3"/>
  <c r="X22" i="3"/>
  <c r="V22" i="3"/>
  <c r="U22" i="3"/>
  <c r="T22" i="3"/>
  <c r="S22" i="3"/>
  <c r="R22" i="3"/>
  <c r="Q22" i="3"/>
  <c r="N22" i="3"/>
  <c r="M22" i="3"/>
  <c r="L22" i="3"/>
  <c r="K22" i="3"/>
  <c r="J22" i="3"/>
  <c r="I22" i="3"/>
  <c r="H22" i="3"/>
  <c r="G22" i="3"/>
  <c r="F22" i="3"/>
  <c r="E22" i="3"/>
  <c r="D26" i="3" l="1"/>
  <c r="D27" i="3"/>
  <c r="AF22" i="3"/>
  <c r="D22" i="3"/>
  <c r="Z19" i="3" l="1"/>
  <c r="S19" i="3"/>
  <c r="F19" i="3"/>
  <c r="D19" i="3"/>
  <c r="AG18" i="3"/>
  <c r="AF18" i="3"/>
  <c r="Z18" i="3"/>
  <c r="S18" i="3"/>
  <c r="S13" i="3" s="1"/>
  <c r="AG17" i="3"/>
  <c r="AF17" i="3"/>
  <c r="AE17" i="3"/>
  <c r="J17" i="3"/>
  <c r="I17" i="3"/>
  <c r="D17" i="3" s="1"/>
  <c r="AD16" i="3"/>
  <c r="Z16" i="3"/>
  <c r="W16" i="3"/>
  <c r="D16" i="3" s="1"/>
  <c r="D15" i="3"/>
  <c r="D14" i="3"/>
  <c r="AI13" i="3"/>
  <c r="AH13" i="3"/>
  <c r="AG13" i="3"/>
  <c r="AF13" i="3"/>
  <c r="AE13" i="3"/>
  <c r="AD13" i="3"/>
  <c r="AC13" i="3"/>
  <c r="AB13" i="3"/>
  <c r="AA13" i="3"/>
  <c r="Y13" i="3"/>
  <c r="X13" i="3"/>
  <c r="V13" i="3"/>
  <c r="U13" i="3"/>
  <c r="T13" i="3"/>
  <c r="R13" i="3"/>
  <c r="Q13" i="3"/>
  <c r="P13" i="3"/>
  <c r="O13" i="3"/>
  <c r="N13" i="3"/>
  <c r="M13" i="3"/>
  <c r="L13" i="3"/>
  <c r="K13" i="3"/>
  <c r="J13" i="3"/>
  <c r="H13" i="3"/>
  <c r="G13" i="3"/>
  <c r="F13" i="3"/>
  <c r="E13" i="3"/>
  <c r="D18" i="3" l="1"/>
  <c r="W13" i="3"/>
  <c r="I13" i="3"/>
  <c r="Z13" i="3"/>
  <c r="D13" i="3" l="1"/>
  <c r="AH10" i="3"/>
  <c r="AD10" i="3"/>
  <c r="AC10" i="3"/>
  <c r="T10" i="3"/>
  <c r="M10" i="3"/>
  <c r="M4" i="3" s="1"/>
  <c r="AI9" i="3"/>
  <c r="AH9" i="3"/>
  <c r="U9" i="3"/>
  <c r="U4" i="3" s="1"/>
  <c r="T9" i="3"/>
  <c r="P9" i="3"/>
  <c r="N9" i="3"/>
  <c r="AI8" i="3"/>
  <c r="AD8" i="3"/>
  <c r="AD4" i="3" s="1"/>
  <c r="AA8" i="3"/>
  <c r="AH7" i="3"/>
  <c r="AG7" i="3"/>
  <c r="AG4" i="3" s="1"/>
  <c r="AA7" i="3"/>
  <c r="T7" i="3"/>
  <c r="M7" i="3"/>
  <c r="AC6" i="3"/>
  <c r="AC4" i="3" s="1"/>
  <c r="V6" i="3"/>
  <c r="V4" i="3" s="1"/>
  <c r="T6" i="3"/>
  <c r="D6" i="3" s="1"/>
  <c r="AA5" i="3"/>
  <c r="P5" i="3"/>
  <c r="AF4" i="3"/>
  <c r="AE4" i="3"/>
  <c r="AB4" i="3"/>
  <c r="Z4" i="3"/>
  <c r="Y4" i="3"/>
  <c r="X4" i="3"/>
  <c r="W4" i="3"/>
  <c r="S4" i="3"/>
  <c r="R4" i="3"/>
  <c r="Q4" i="3"/>
  <c r="O4" i="3"/>
  <c r="N4" i="3"/>
  <c r="L4" i="3"/>
  <c r="K4" i="3"/>
  <c r="J4" i="3"/>
  <c r="I4" i="3"/>
  <c r="H4" i="3"/>
  <c r="G4" i="3"/>
  <c r="F4" i="3"/>
  <c r="E4" i="3"/>
  <c r="D5" i="3" l="1"/>
  <c r="AH4" i="3"/>
  <c r="AA4" i="3"/>
  <c r="D10" i="3"/>
  <c r="T4" i="3"/>
  <c r="D7" i="3"/>
  <c r="AI4" i="3"/>
  <c r="D9" i="3"/>
  <c r="D8" i="3"/>
  <c r="P4" i="3"/>
  <c r="D4" i="3" l="1"/>
  <c r="AF109" i="2"/>
  <c r="AE109" i="2"/>
  <c r="AE103" i="2" s="1"/>
  <c r="I109" i="2"/>
  <c r="AG108" i="2"/>
  <c r="AF108" i="2"/>
  <c r="D107" i="2"/>
  <c r="I106" i="2"/>
  <c r="D106" i="2" s="1"/>
  <c r="AG105" i="2"/>
  <c r="D105" i="2" s="1"/>
  <c r="D104" i="2"/>
  <c r="AI103" i="2"/>
  <c r="AH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H103" i="2"/>
  <c r="G103" i="2"/>
  <c r="F103" i="2"/>
  <c r="E103" i="2"/>
  <c r="I103" i="2" l="1"/>
  <c r="D108" i="2"/>
  <c r="D109" i="2"/>
  <c r="AG103" i="2"/>
  <c r="AF103" i="2"/>
  <c r="D103" i="2" l="1"/>
  <c r="AA100" i="2"/>
  <c r="AA94" i="2" s="1"/>
  <c r="U100" i="2"/>
  <c r="U94" i="2" s="1"/>
  <c r="S100" i="2"/>
  <c r="S94" i="2" s="1"/>
  <c r="F100" i="2"/>
  <c r="D100" i="2" s="1"/>
  <c r="AF99" i="2"/>
  <c r="Z99" i="2"/>
  <c r="Z94" i="2" s="1"/>
  <c r="R99" i="2"/>
  <c r="R94" i="2" s="1"/>
  <c r="L99" i="2"/>
  <c r="G99" i="2"/>
  <c r="F99" i="2"/>
  <c r="AH98" i="2"/>
  <c r="N98" i="2"/>
  <c r="K98" i="2"/>
  <c r="K94" i="2" s="1"/>
  <c r="F98" i="2"/>
  <c r="D98" i="2" s="1"/>
  <c r="L97" i="2"/>
  <c r="D97" i="2" s="1"/>
  <c r="D96" i="2"/>
  <c r="Q95" i="2"/>
  <c r="N95" i="2"/>
  <c r="AI94" i="2"/>
  <c r="AH94" i="2"/>
  <c r="AG94" i="2"/>
  <c r="AF94" i="2"/>
  <c r="AE94" i="2"/>
  <c r="AD94" i="2"/>
  <c r="AC94" i="2"/>
  <c r="AB94" i="2"/>
  <c r="Y94" i="2"/>
  <c r="X94" i="2"/>
  <c r="W94" i="2"/>
  <c r="V94" i="2"/>
  <c r="T94" i="2"/>
  <c r="P94" i="2"/>
  <c r="O94" i="2"/>
  <c r="M94" i="2"/>
  <c r="J94" i="2"/>
  <c r="I94" i="2"/>
  <c r="H94" i="2"/>
  <c r="G94" i="2"/>
  <c r="E94" i="2"/>
  <c r="D99" i="2" l="1"/>
  <c r="L94" i="2"/>
  <c r="N94" i="2"/>
  <c r="D95" i="2"/>
  <c r="Q94" i="2"/>
  <c r="F94" i="2"/>
  <c r="D94" i="2" l="1"/>
  <c r="M91" i="2"/>
  <c r="J91" i="2"/>
  <c r="AH90" i="2"/>
  <c r="AB90" i="2"/>
  <c r="AB85" i="2" s="1"/>
  <c r="AA90" i="2"/>
  <c r="AA85" i="2" s="1"/>
  <c r="O90" i="2"/>
  <c r="O85" i="2" s="1"/>
  <c r="M90" i="2"/>
  <c r="AI89" i="2"/>
  <c r="AH89" i="2"/>
  <c r="T89" i="2"/>
  <c r="P89" i="2"/>
  <c r="J89" i="2"/>
  <c r="J85" i="2" s="1"/>
  <c r="AH88" i="2"/>
  <c r="M88" i="2"/>
  <c r="F88" i="2"/>
  <c r="F85" i="2" s="1"/>
  <c r="D87" i="2"/>
  <c r="M86" i="2"/>
  <c r="D86" i="2" s="1"/>
  <c r="AI85" i="2"/>
  <c r="AG85" i="2"/>
  <c r="AF85" i="2"/>
  <c r="AE85" i="2"/>
  <c r="AD85" i="2"/>
  <c r="AC85" i="2"/>
  <c r="Z85" i="2"/>
  <c r="Y85" i="2"/>
  <c r="X85" i="2"/>
  <c r="W85" i="2"/>
  <c r="V85" i="2"/>
  <c r="U85" i="2"/>
  <c r="T85" i="2"/>
  <c r="S85" i="2"/>
  <c r="R85" i="2"/>
  <c r="Q85" i="2"/>
  <c r="P85" i="2"/>
  <c r="N85" i="2"/>
  <c r="L85" i="2"/>
  <c r="K85" i="2"/>
  <c r="I85" i="2"/>
  <c r="H85" i="2"/>
  <c r="G85" i="2"/>
  <c r="E85" i="2"/>
  <c r="D91" i="2" l="1"/>
  <c r="AH85" i="2"/>
  <c r="D90" i="2"/>
  <c r="D89" i="2"/>
  <c r="D88" i="2"/>
  <c r="M85" i="2"/>
  <c r="D85" i="2" s="1"/>
  <c r="W82" i="2" l="1"/>
  <c r="V82" i="2"/>
  <c r="Q82" i="2"/>
  <c r="J82" i="2"/>
  <c r="AF81" i="2"/>
  <c r="AC81" i="2"/>
  <c r="AC76" i="2" s="1"/>
  <c r="U81" i="2"/>
  <c r="O81" i="2"/>
  <c r="Q80" i="2"/>
  <c r="O80" i="2"/>
  <c r="L80" i="2"/>
  <c r="W79" i="2"/>
  <c r="W76" i="2" s="1"/>
  <c r="V79" i="2"/>
  <c r="U79" i="2"/>
  <c r="O79" i="2"/>
  <c r="I79" i="2"/>
  <c r="I76" i="2" s="1"/>
  <c r="H79" i="2"/>
  <c r="H76" i="2" s="1"/>
  <c r="AE78" i="2"/>
  <c r="O78" i="2"/>
  <c r="D78" i="2"/>
  <c r="AG77" i="2"/>
  <c r="D77" i="2" s="1"/>
  <c r="AI76" i="2"/>
  <c r="AH76" i="2"/>
  <c r="AE76" i="2"/>
  <c r="AD76" i="2"/>
  <c r="AB76" i="2"/>
  <c r="AA76" i="2"/>
  <c r="Z76" i="2"/>
  <c r="Y76" i="2"/>
  <c r="X76" i="2"/>
  <c r="V76" i="2"/>
  <c r="T76" i="2"/>
  <c r="S76" i="2"/>
  <c r="R76" i="2"/>
  <c r="P76" i="2"/>
  <c r="N76" i="2"/>
  <c r="M76" i="2"/>
  <c r="L76" i="2"/>
  <c r="K76" i="2"/>
  <c r="G76" i="2"/>
  <c r="F76" i="2"/>
  <c r="E76" i="2"/>
  <c r="U76" i="2" l="1"/>
  <c r="Q76" i="2"/>
  <c r="D81" i="2"/>
  <c r="AF76" i="2"/>
  <c r="D82" i="2"/>
  <c r="O76" i="2"/>
  <c r="AG76" i="2"/>
  <c r="J76" i="2"/>
  <c r="D79" i="2"/>
  <c r="D80" i="2"/>
  <c r="D76" i="2" l="1"/>
  <c r="U73" i="2"/>
  <c r="D73" i="2" s="1"/>
  <c r="AH72" i="2"/>
  <c r="AG72" i="2"/>
  <c r="AB72" i="2"/>
  <c r="U72" i="2"/>
  <c r="S72" i="2"/>
  <c r="S67" i="2" s="1"/>
  <c r="O72" i="2"/>
  <c r="O67" i="2" s="1"/>
  <c r="H72" i="2"/>
  <c r="AH71" i="2"/>
  <c r="AG71" i="2"/>
  <c r="AF71" i="2"/>
  <c r="O71" i="2"/>
  <c r="M71" i="2"/>
  <c r="M67" i="2" s="1"/>
  <c r="D71" i="2"/>
  <c r="AB70" i="2"/>
  <c r="D70" i="2" s="1"/>
  <c r="AH69" i="2"/>
  <c r="AG69" i="2"/>
  <c r="D69" i="2"/>
  <c r="AH68" i="2"/>
  <c r="AG68" i="2"/>
  <c r="AG67" i="2" s="1"/>
  <c r="AF68" i="2"/>
  <c r="AF67" i="2" s="1"/>
  <c r="T68" i="2"/>
  <c r="T67" i="2" s="1"/>
  <c r="AI67" i="2"/>
  <c r="AE67" i="2"/>
  <c r="AD67" i="2"/>
  <c r="AC67" i="2"/>
  <c r="AA67" i="2"/>
  <c r="Z67" i="2"/>
  <c r="Y67" i="2"/>
  <c r="X67" i="2"/>
  <c r="W67" i="2"/>
  <c r="V67" i="2"/>
  <c r="R67" i="2"/>
  <c r="Q67" i="2"/>
  <c r="P67" i="2"/>
  <c r="N67" i="2"/>
  <c r="L67" i="2"/>
  <c r="K67" i="2"/>
  <c r="J67" i="2"/>
  <c r="I67" i="2"/>
  <c r="G67" i="2"/>
  <c r="F67" i="2"/>
  <c r="E67" i="2"/>
  <c r="AB67" i="2" l="1"/>
  <c r="AH67" i="2"/>
  <c r="D72" i="2"/>
  <c r="U67" i="2"/>
  <c r="D68" i="2"/>
  <c r="H67" i="2"/>
  <c r="D67" i="2" s="1"/>
  <c r="AD64" i="2" l="1"/>
  <c r="D64" i="2" s="1"/>
  <c r="AF63" i="2"/>
  <c r="D63" i="2"/>
  <c r="AF62" i="2"/>
  <c r="AF58" i="2" s="1"/>
  <c r="D62" i="2"/>
  <c r="AI61" i="2"/>
  <c r="AI58" i="2" s="1"/>
  <c r="D61" i="2"/>
  <c r="D60" i="2"/>
  <c r="D59" i="2"/>
  <c r="AH58" i="2"/>
  <c r="AG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 l="1"/>
  <c r="AF55" i="2"/>
  <c r="AE55" i="2"/>
  <c r="Z55" i="2"/>
  <c r="D55" i="2" s="1"/>
  <c r="AG54" i="2"/>
  <c r="AG49" i="2" s="1"/>
  <c r="AF54" i="2"/>
  <c r="AE54" i="2"/>
  <c r="Z54" i="2"/>
  <c r="D54" i="2" s="1"/>
  <c r="AG53" i="2"/>
  <c r="I53" i="2"/>
  <c r="D53" i="2" s="1"/>
  <c r="AG52" i="2"/>
  <c r="Z52" i="2"/>
  <c r="Y52" i="2"/>
  <c r="D51" i="2"/>
  <c r="AA50" i="2"/>
  <c r="AA49" i="2" s="1"/>
  <c r="Y50" i="2"/>
  <c r="AI49" i="2"/>
  <c r="AH49" i="2"/>
  <c r="AD49" i="2"/>
  <c r="AC49" i="2"/>
  <c r="AB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Y49" i="2" l="1"/>
  <c r="D52" i="2"/>
  <c r="Z49" i="2"/>
  <c r="D50" i="2"/>
  <c r="AE49" i="2"/>
  <c r="AF49" i="2"/>
  <c r="D49" i="2"/>
  <c r="D46" i="2" l="1"/>
  <c r="AI45" i="2"/>
  <c r="D45" i="2"/>
  <c r="Z44" i="2"/>
  <c r="D44" i="2" s="1"/>
  <c r="AA43" i="2"/>
  <c r="AA40" i="2" s="1"/>
  <c r="D43" i="2"/>
  <c r="D42" i="2"/>
  <c r="AH41" i="2"/>
  <c r="D41" i="2" s="1"/>
  <c r="T41" i="2"/>
  <c r="O41" i="2"/>
  <c r="O40" i="2" s="1"/>
  <c r="N41" i="2"/>
  <c r="N40" i="2" s="1"/>
  <c r="AI40" i="2"/>
  <c r="AG40" i="2"/>
  <c r="AF40" i="2"/>
  <c r="AE40" i="2"/>
  <c r="AD40" i="2"/>
  <c r="AC40" i="2"/>
  <c r="AB40" i="2"/>
  <c r="Z40" i="2"/>
  <c r="Y40" i="2"/>
  <c r="X40" i="2"/>
  <c r="W40" i="2"/>
  <c r="V40" i="2"/>
  <c r="U40" i="2"/>
  <c r="T40" i="2"/>
  <c r="S40" i="2"/>
  <c r="R40" i="2"/>
  <c r="Q40" i="2"/>
  <c r="P40" i="2"/>
  <c r="M40" i="2"/>
  <c r="L40" i="2"/>
  <c r="K40" i="2"/>
  <c r="J40" i="2"/>
  <c r="I40" i="2"/>
  <c r="H40" i="2"/>
  <c r="G40" i="2"/>
  <c r="F40" i="2"/>
  <c r="E40" i="2"/>
  <c r="AH40" i="2" l="1"/>
  <c r="D40" i="2"/>
  <c r="U37" i="2"/>
  <c r="D37" i="2"/>
  <c r="R36" i="2"/>
  <c r="Q36" i="2"/>
  <c r="Q31" i="2" s="1"/>
  <c r="J36" i="2"/>
  <c r="Y35" i="2"/>
  <c r="Y31" i="2" s="1"/>
  <c r="U35" i="2"/>
  <c r="J35" i="2"/>
  <c r="AB34" i="2"/>
  <c r="Y34" i="2"/>
  <c r="V34" i="2"/>
  <c r="R34" i="2"/>
  <c r="R31" i="2" s="1"/>
  <c r="O34" i="2"/>
  <c r="I34" i="2"/>
  <c r="I31" i="2" s="1"/>
  <c r="D33" i="2"/>
  <c r="AD32" i="2"/>
  <c r="D32" i="2" s="1"/>
  <c r="AB32" i="2"/>
  <c r="AB31" i="2" s="1"/>
  <c r="AI31" i="2"/>
  <c r="AH31" i="2"/>
  <c r="AG31" i="2"/>
  <c r="AF31" i="2"/>
  <c r="AE31" i="2"/>
  <c r="AD31" i="2"/>
  <c r="AC31" i="2"/>
  <c r="AA31" i="2"/>
  <c r="Z31" i="2"/>
  <c r="X31" i="2"/>
  <c r="W31" i="2"/>
  <c r="V31" i="2"/>
  <c r="U31" i="2"/>
  <c r="T31" i="2"/>
  <c r="S31" i="2"/>
  <c r="P31" i="2"/>
  <c r="N31" i="2"/>
  <c r="M31" i="2"/>
  <c r="L31" i="2"/>
  <c r="K31" i="2"/>
  <c r="H31" i="2"/>
  <c r="G31" i="2"/>
  <c r="F31" i="2"/>
  <c r="E31" i="2"/>
  <c r="D35" i="2" l="1"/>
  <c r="D34" i="2"/>
  <c r="J31" i="2"/>
  <c r="O31" i="2"/>
  <c r="D36" i="2"/>
  <c r="D31" i="2" l="1"/>
  <c r="AB28" i="2"/>
  <c r="AB22" i="2" s="1"/>
  <c r="AH27" i="2"/>
  <c r="Y27" i="2"/>
  <c r="T27" i="2"/>
  <c r="T22" i="2" s="1"/>
  <c r="N27" i="2"/>
  <c r="N22" i="2" s="1"/>
  <c r="M26" i="2"/>
  <c r="D26" i="2" s="1"/>
  <c r="AH25" i="2"/>
  <c r="AH22" i="2" s="1"/>
  <c r="Y25" i="2"/>
  <c r="R25" i="2"/>
  <c r="R22" i="2" s="1"/>
  <c r="Q25" i="2"/>
  <c r="Q22" i="2" s="1"/>
  <c r="D24" i="2"/>
  <c r="AE23" i="2"/>
  <c r="Y23" i="2"/>
  <c r="AI22" i="2"/>
  <c r="AG22" i="2"/>
  <c r="AF22" i="2"/>
  <c r="AD22" i="2"/>
  <c r="AC22" i="2"/>
  <c r="AA22" i="2"/>
  <c r="Z22" i="2"/>
  <c r="X22" i="2"/>
  <c r="W22" i="2"/>
  <c r="V22" i="2"/>
  <c r="U22" i="2"/>
  <c r="S22" i="2"/>
  <c r="P22" i="2"/>
  <c r="O22" i="2"/>
  <c r="L22" i="2"/>
  <c r="K22" i="2"/>
  <c r="J22" i="2"/>
  <c r="I22" i="2"/>
  <c r="H22" i="2"/>
  <c r="G22" i="2"/>
  <c r="F22" i="2"/>
  <c r="E22" i="2"/>
  <c r="D28" i="2" l="1"/>
  <c r="D25" i="2"/>
  <c r="D23" i="2"/>
  <c r="AE22" i="2"/>
  <c r="Y22" i="2"/>
  <c r="M22" i="2"/>
  <c r="D27" i="2"/>
  <c r="D22" i="2" l="1"/>
  <c r="AF19" i="2"/>
  <c r="AF13" i="2" s="1"/>
  <c r="X19" i="2"/>
  <c r="X18" i="2"/>
  <c r="X13" i="2" s="1"/>
  <c r="D17" i="2"/>
  <c r="D16" i="2"/>
  <c r="D15" i="2"/>
  <c r="K14" i="2"/>
  <c r="D14" i="2" s="1"/>
  <c r="AI13" i="2"/>
  <c r="AH13" i="2"/>
  <c r="AG13" i="2"/>
  <c r="AE13" i="2"/>
  <c r="AD13" i="2"/>
  <c r="AC13" i="2"/>
  <c r="AB13" i="2"/>
  <c r="AA13" i="2"/>
  <c r="Z13" i="2"/>
  <c r="Y13" i="2"/>
  <c r="W13" i="2"/>
  <c r="V13" i="2"/>
  <c r="U13" i="2"/>
  <c r="T13" i="2"/>
  <c r="S13" i="2"/>
  <c r="R13" i="2"/>
  <c r="Q13" i="2"/>
  <c r="P13" i="2"/>
  <c r="O13" i="2"/>
  <c r="N13" i="2"/>
  <c r="M13" i="2"/>
  <c r="L13" i="2"/>
  <c r="J13" i="2"/>
  <c r="I13" i="2"/>
  <c r="H13" i="2"/>
  <c r="G13" i="2"/>
  <c r="F13" i="2"/>
  <c r="E13" i="2"/>
  <c r="D19" i="2" l="1"/>
  <c r="K13" i="2"/>
  <c r="D13" i="2" s="1"/>
  <c r="D18" i="2"/>
  <c r="AI10" i="2" l="1"/>
  <c r="D10" i="2"/>
  <c r="D9" i="2"/>
  <c r="D8" i="2"/>
  <c r="D7" i="2"/>
  <c r="D6" i="2"/>
  <c r="D5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 l="1"/>
  <c r="X100" i="1"/>
  <c r="X94" i="1" s="1"/>
  <c r="J100" i="1"/>
  <c r="I100" i="1"/>
  <c r="AE99" i="1"/>
  <c r="D99" i="1" s="1"/>
  <c r="D98" i="1"/>
  <c r="S97" i="1"/>
  <c r="J97" i="1"/>
  <c r="D96" i="1"/>
  <c r="D95" i="1"/>
  <c r="AI94" i="1"/>
  <c r="AH94" i="1"/>
  <c r="AG94" i="1"/>
  <c r="AF94" i="1"/>
  <c r="AD94" i="1"/>
  <c r="AC94" i="1"/>
  <c r="AB94" i="1"/>
  <c r="AA94" i="1"/>
  <c r="Z94" i="1"/>
  <c r="Y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H94" i="1"/>
  <c r="G94" i="1"/>
  <c r="F94" i="1"/>
  <c r="E94" i="1"/>
  <c r="J94" i="1" l="1"/>
  <c r="D97" i="1"/>
  <c r="D100" i="1"/>
  <c r="AE94" i="1"/>
  <c r="I94" i="1"/>
  <c r="D94" i="1" l="1"/>
  <c r="D91" i="1"/>
  <c r="T90" i="1"/>
  <c r="K90" i="1"/>
  <c r="F89" i="1"/>
  <c r="D89" i="1" s="1"/>
  <c r="AF88" i="1"/>
  <c r="AF85" i="1" s="1"/>
  <c r="AC88" i="1"/>
  <c r="AC85" i="1" s="1"/>
  <c r="AA88" i="1"/>
  <c r="D88" i="1" s="1"/>
  <c r="D87" i="1"/>
  <c r="M86" i="1"/>
  <c r="D86" i="1" s="1"/>
  <c r="AI85" i="1"/>
  <c r="AH85" i="1"/>
  <c r="AG85" i="1"/>
  <c r="AE85" i="1"/>
  <c r="AD85" i="1"/>
  <c r="AB85" i="1"/>
  <c r="Z85" i="1"/>
  <c r="Y85" i="1"/>
  <c r="X85" i="1"/>
  <c r="W85" i="1"/>
  <c r="V85" i="1"/>
  <c r="U85" i="1"/>
  <c r="S85" i="1"/>
  <c r="R85" i="1"/>
  <c r="Q85" i="1"/>
  <c r="P85" i="1"/>
  <c r="O85" i="1"/>
  <c r="N85" i="1"/>
  <c r="L85" i="1"/>
  <c r="K85" i="1"/>
  <c r="J85" i="1"/>
  <c r="I85" i="1"/>
  <c r="H85" i="1"/>
  <c r="G85" i="1"/>
  <c r="E85" i="1"/>
  <c r="D90" i="1" l="1"/>
  <c r="T85" i="1"/>
  <c r="F85" i="1"/>
  <c r="AA85" i="1"/>
  <c r="M85" i="1"/>
  <c r="D85" i="1" l="1"/>
  <c r="D82" i="1"/>
  <c r="AD81" i="1"/>
  <c r="AD76" i="1" s="1"/>
  <c r="H81" i="1"/>
  <c r="D81" i="1" s="1"/>
  <c r="D80" i="1"/>
  <c r="W79" i="1"/>
  <c r="W76" i="1" s="1"/>
  <c r="Q79" i="1"/>
  <c r="Q76" i="1" s="1"/>
  <c r="D78" i="1"/>
  <c r="R77" i="1"/>
  <c r="D77" i="1" s="1"/>
  <c r="AI76" i="1"/>
  <c r="AH76" i="1"/>
  <c r="AG76" i="1"/>
  <c r="AF76" i="1"/>
  <c r="AE76" i="1"/>
  <c r="AC76" i="1"/>
  <c r="AB76" i="1"/>
  <c r="AA76" i="1"/>
  <c r="Z76" i="1"/>
  <c r="Y76" i="1"/>
  <c r="X76" i="1"/>
  <c r="V76" i="1"/>
  <c r="U76" i="1"/>
  <c r="T76" i="1"/>
  <c r="S76" i="1"/>
  <c r="P76" i="1"/>
  <c r="O76" i="1"/>
  <c r="N76" i="1"/>
  <c r="M76" i="1"/>
  <c r="L76" i="1"/>
  <c r="K76" i="1"/>
  <c r="J76" i="1"/>
  <c r="I76" i="1"/>
  <c r="G76" i="1"/>
  <c r="F76" i="1"/>
  <c r="E76" i="1"/>
  <c r="R76" i="1" l="1"/>
  <c r="D79" i="1"/>
  <c r="H76" i="1"/>
  <c r="D76" i="1" l="1"/>
  <c r="D73" i="1"/>
  <c r="AH72" i="1"/>
  <c r="AH67" i="1" s="1"/>
  <c r="D71" i="1"/>
  <c r="D70" i="1"/>
  <c r="D69" i="1"/>
  <c r="D68" i="1"/>
  <c r="AI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72" i="1" l="1"/>
  <c r="D67" i="1"/>
  <c r="N64" i="1"/>
  <c r="D64" i="1" s="1"/>
  <c r="AD63" i="1"/>
  <c r="Z63" i="1"/>
  <c r="Z58" i="1" s="1"/>
  <c r="W63" i="1"/>
  <c r="W58" i="1" s="1"/>
  <c r="T63" i="1"/>
  <c r="T58" i="1" s="1"/>
  <c r="I63" i="1"/>
  <c r="AB62" i="1"/>
  <c r="F62" i="1"/>
  <c r="F58" i="1" s="1"/>
  <c r="D61" i="1"/>
  <c r="D60" i="1"/>
  <c r="AC59" i="1"/>
  <c r="AC58" i="1" s="1"/>
  <c r="AB59" i="1"/>
  <c r="AB58" i="1" s="1"/>
  <c r="AI58" i="1"/>
  <c r="AH58" i="1"/>
  <c r="AG58" i="1"/>
  <c r="AF58" i="1"/>
  <c r="AE58" i="1"/>
  <c r="AD58" i="1"/>
  <c r="AA58" i="1"/>
  <c r="Y58" i="1"/>
  <c r="X58" i="1"/>
  <c r="V58" i="1"/>
  <c r="U58" i="1"/>
  <c r="S58" i="1"/>
  <c r="R58" i="1"/>
  <c r="Q58" i="1"/>
  <c r="P58" i="1"/>
  <c r="O58" i="1"/>
  <c r="N58" i="1"/>
  <c r="M58" i="1"/>
  <c r="L58" i="1"/>
  <c r="K58" i="1"/>
  <c r="J58" i="1"/>
  <c r="H58" i="1"/>
  <c r="G58" i="1"/>
  <c r="E58" i="1"/>
  <c r="D62" i="1" l="1"/>
  <c r="D59" i="1"/>
  <c r="D63" i="1"/>
  <c r="I58" i="1"/>
  <c r="D58" i="1" s="1"/>
  <c r="Z55" i="1" l="1"/>
  <c r="D55" i="1"/>
  <c r="AG54" i="1"/>
  <c r="Z54" i="1"/>
  <c r="Q54" i="1"/>
  <c r="Q49" i="1" s="1"/>
  <c r="H54" i="1"/>
  <c r="D54" i="1" s="1"/>
  <c r="Z53" i="1"/>
  <c r="D53" i="1" s="1"/>
  <c r="Z52" i="1"/>
  <c r="D52" i="1" s="1"/>
  <c r="Z51" i="1"/>
  <c r="D51" i="1" s="1"/>
  <c r="D50" i="1"/>
  <c r="AI49" i="1"/>
  <c r="AH49" i="1"/>
  <c r="AG49" i="1"/>
  <c r="AF49" i="1"/>
  <c r="AE49" i="1"/>
  <c r="AD49" i="1"/>
  <c r="AC49" i="1"/>
  <c r="AB49" i="1"/>
  <c r="AA49" i="1"/>
  <c r="Y49" i="1"/>
  <c r="X49" i="1"/>
  <c r="W49" i="1"/>
  <c r="V49" i="1"/>
  <c r="U49" i="1"/>
  <c r="T49" i="1"/>
  <c r="S49" i="1"/>
  <c r="R49" i="1"/>
  <c r="P49" i="1"/>
  <c r="O49" i="1"/>
  <c r="N49" i="1"/>
  <c r="M49" i="1"/>
  <c r="L49" i="1"/>
  <c r="K49" i="1"/>
  <c r="J49" i="1"/>
  <c r="I49" i="1"/>
  <c r="G49" i="1"/>
  <c r="F49" i="1"/>
  <c r="E49" i="1"/>
  <c r="H49" i="1" l="1"/>
  <c r="Z49" i="1"/>
  <c r="D49" i="1" s="1"/>
  <c r="D37" i="1" l="1"/>
  <c r="AD36" i="1"/>
  <c r="AC36" i="1"/>
  <c r="AB36" i="1"/>
  <c r="AB31" i="1" s="1"/>
  <c r="R36" i="1"/>
  <c r="P36" i="1"/>
  <c r="P31" i="1" s="1"/>
  <c r="N36" i="1"/>
  <c r="AF35" i="1"/>
  <c r="AF31" i="1" s="1"/>
  <c r="U35" i="1"/>
  <c r="U31" i="1" s="1"/>
  <c r="R35" i="1"/>
  <c r="N35" i="1"/>
  <c r="H35" i="1"/>
  <c r="AF34" i="1"/>
  <c r="AE34" i="1"/>
  <c r="AE31" i="1" s="1"/>
  <c r="AD34" i="1"/>
  <c r="R34" i="1"/>
  <c r="D34" i="1" s="1"/>
  <c r="D33" i="1"/>
  <c r="Q32" i="1"/>
  <c r="D32" i="1" s="1"/>
  <c r="AI31" i="1"/>
  <c r="AH31" i="1"/>
  <c r="AG31" i="1"/>
  <c r="AC31" i="1"/>
  <c r="AA31" i="1"/>
  <c r="Z31" i="1"/>
  <c r="Y31" i="1"/>
  <c r="X31" i="1"/>
  <c r="W31" i="1"/>
  <c r="V31" i="1"/>
  <c r="T31" i="1"/>
  <c r="S31" i="1"/>
  <c r="O31" i="1"/>
  <c r="M31" i="1"/>
  <c r="L31" i="1"/>
  <c r="K31" i="1"/>
  <c r="J31" i="1"/>
  <c r="I31" i="1"/>
  <c r="H31" i="1"/>
  <c r="G31" i="1"/>
  <c r="F31" i="1"/>
  <c r="E31" i="1"/>
  <c r="AB28" i="1"/>
  <c r="X28" i="1"/>
  <c r="L28" i="1"/>
  <c r="D28" i="1" s="1"/>
  <c r="AH27" i="1"/>
  <c r="AH22" i="1" s="1"/>
  <c r="AF27" i="1"/>
  <c r="S27" i="1"/>
  <c r="R27" i="1"/>
  <c r="R22" i="1" s="1"/>
  <c r="N27" i="1"/>
  <c r="N22" i="1" s="1"/>
  <c r="AG26" i="1"/>
  <c r="AF26" i="1"/>
  <c r="AB26" i="1"/>
  <c r="AB22" i="1" s="1"/>
  <c r="S26" i="1"/>
  <c r="H26" i="1"/>
  <c r="F26" i="1"/>
  <c r="F22" i="1" s="1"/>
  <c r="Z25" i="1"/>
  <c r="Z22" i="1" s="1"/>
  <c r="H25" i="1"/>
  <c r="G25" i="1"/>
  <c r="R24" i="1"/>
  <c r="D24" i="1" s="1"/>
  <c r="AF23" i="1"/>
  <c r="AE23" i="1"/>
  <c r="AE22" i="1" s="1"/>
  <c r="X23" i="1"/>
  <c r="X22" i="1" s="1"/>
  <c r="L23" i="1"/>
  <c r="AI22" i="1"/>
  <c r="AG22" i="1"/>
  <c r="AD22" i="1"/>
  <c r="AC22" i="1"/>
  <c r="AA22" i="1"/>
  <c r="Y22" i="1"/>
  <c r="W22" i="1"/>
  <c r="V22" i="1"/>
  <c r="U22" i="1"/>
  <c r="T22" i="1"/>
  <c r="Q22" i="1"/>
  <c r="P22" i="1"/>
  <c r="O22" i="1"/>
  <c r="M22" i="1"/>
  <c r="K22" i="1"/>
  <c r="J22" i="1"/>
  <c r="I22" i="1"/>
  <c r="G22" i="1"/>
  <c r="E22" i="1"/>
  <c r="Y19" i="1"/>
  <c r="R19" i="1"/>
  <c r="E19" i="1"/>
  <c r="E13" i="1" s="1"/>
  <c r="U18" i="1"/>
  <c r="L18" i="1"/>
  <c r="L13" i="1" s="1"/>
  <c r="K18" i="1"/>
  <c r="F18" i="1"/>
  <c r="U17" i="1"/>
  <c r="K17" i="1"/>
  <c r="G17" i="1"/>
  <c r="D17" i="1" s="1"/>
  <c r="D16" i="1"/>
  <c r="AE15" i="1"/>
  <c r="D15" i="1" s="1"/>
  <c r="U14" i="1"/>
  <c r="AI13" i="1"/>
  <c r="AH13" i="1"/>
  <c r="AG13" i="1"/>
  <c r="AF13" i="1"/>
  <c r="AD13" i="1"/>
  <c r="AC13" i="1"/>
  <c r="AB13" i="1"/>
  <c r="AA13" i="1"/>
  <c r="Z13" i="1"/>
  <c r="Y13" i="1"/>
  <c r="X13" i="1"/>
  <c r="W13" i="1"/>
  <c r="V13" i="1"/>
  <c r="T13" i="1"/>
  <c r="S13" i="1"/>
  <c r="R13" i="1"/>
  <c r="Q13" i="1"/>
  <c r="P13" i="1"/>
  <c r="O13" i="1"/>
  <c r="N13" i="1"/>
  <c r="M13" i="1"/>
  <c r="J13" i="1"/>
  <c r="I13" i="1"/>
  <c r="H13" i="1"/>
  <c r="G13" i="1"/>
  <c r="AH10" i="1"/>
  <c r="P10" i="1"/>
  <c r="AD9" i="1"/>
  <c r="AC9" i="1"/>
  <c r="AC4" i="1" s="1"/>
  <c r="AB9" i="1"/>
  <c r="W9" i="1"/>
  <c r="AH8" i="1"/>
  <c r="AD8" i="1"/>
  <c r="O8" i="1"/>
  <c r="O4" i="1" s="1"/>
  <c r="N8" i="1"/>
  <c r="N4" i="1" s="1"/>
  <c r="AB7" i="1"/>
  <c r="W7" i="1"/>
  <c r="D6" i="1"/>
  <c r="D5" i="1"/>
  <c r="AI4" i="1"/>
  <c r="AG4" i="1"/>
  <c r="AF4" i="1"/>
  <c r="AE4" i="1"/>
  <c r="AA4" i="1"/>
  <c r="Z4" i="1"/>
  <c r="Y4" i="1"/>
  <c r="X4" i="1"/>
  <c r="V4" i="1"/>
  <c r="U4" i="1"/>
  <c r="T4" i="1"/>
  <c r="S4" i="1"/>
  <c r="R4" i="1"/>
  <c r="Q4" i="1"/>
  <c r="P4" i="1"/>
  <c r="M4" i="1"/>
  <c r="L4" i="1"/>
  <c r="K4" i="1"/>
  <c r="J4" i="1"/>
  <c r="I4" i="1"/>
  <c r="H4" i="1"/>
  <c r="G4" i="1"/>
  <c r="F4" i="1"/>
  <c r="E4" i="1"/>
  <c r="D10" i="1" l="1"/>
  <c r="AD4" i="1"/>
  <c r="AD31" i="1"/>
  <c r="W4" i="1"/>
  <c r="U13" i="1"/>
  <c r="AF22" i="1"/>
  <c r="D35" i="1"/>
  <c r="D19" i="1"/>
  <c r="H22" i="1"/>
  <c r="AH4" i="1"/>
  <c r="D9" i="1"/>
  <c r="D27" i="1"/>
  <c r="D36" i="1"/>
  <c r="D26" i="1"/>
  <c r="R31" i="1"/>
  <c r="AB4" i="1"/>
  <c r="D4" i="1" s="1"/>
  <c r="D14" i="1"/>
  <c r="D18" i="1"/>
  <c r="K13" i="1"/>
  <c r="D25" i="1"/>
  <c r="D23" i="1"/>
  <c r="Q31" i="1"/>
  <c r="N31" i="1"/>
  <c r="D31" i="1" s="1"/>
  <c r="S22" i="1"/>
  <c r="L22" i="1"/>
  <c r="F13" i="1"/>
  <c r="AE13" i="1"/>
  <c r="D8" i="1"/>
  <c r="D7" i="1"/>
  <c r="D13" i="1" l="1"/>
  <c r="D22" i="1"/>
  <c r="A3" i="7" l="1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</calcChain>
</file>

<file path=xl/comments1.xml><?xml version="1.0" encoding="utf-8"?>
<comments xmlns="http://schemas.openxmlformats.org/spreadsheetml/2006/main">
  <authors>
    <author>Мандрыгин В.В.</author>
  </authors>
  <commentList>
    <comment ref="A2" authorId="0" shapeId="0">
      <text>
        <r>
          <rPr>
            <b/>
            <sz val="8"/>
            <color indexed="81"/>
            <rFont val="Tahoma"/>
            <family val="2"/>
            <charset val="204"/>
          </rPr>
          <t>Мандрыгин В.В.:</t>
        </r>
        <r>
          <rPr>
            <sz val="8"/>
            <color indexed="81"/>
            <rFont val="Tahoma"/>
            <family val="2"/>
            <charset val="204"/>
          </rPr>
          <t xml:space="preserve">
ввести дату вручную
</t>
        </r>
      </text>
    </comment>
  </commentList>
</comments>
</file>

<file path=xl/comments2.xml><?xml version="1.0" encoding="utf-8"?>
<comments xmlns="http://schemas.openxmlformats.org/spreadsheetml/2006/main">
  <authors>
    <author>Мандрыгин В.В.</author>
  </authors>
  <commentList>
    <comment ref="A2" authorId="0" shapeId="0">
      <text>
        <r>
          <rPr>
            <b/>
            <sz val="8"/>
            <color indexed="81"/>
            <rFont val="Tahoma"/>
            <family val="2"/>
            <charset val="204"/>
          </rPr>
          <t>Мандрыгин В.В.:</t>
        </r>
        <r>
          <rPr>
            <sz val="8"/>
            <color indexed="81"/>
            <rFont val="Tahoma"/>
            <family val="2"/>
            <charset val="204"/>
          </rPr>
          <t xml:space="preserve">
ввести дату вручную
</t>
        </r>
      </text>
    </comment>
  </commentList>
</comments>
</file>

<file path=xl/comments3.xml><?xml version="1.0" encoding="utf-8"?>
<comments xmlns="http://schemas.openxmlformats.org/spreadsheetml/2006/main">
  <authors>
    <author>Мандрыгин В.В.</author>
  </authors>
  <commentList>
    <comment ref="A2" authorId="0" shapeId="0">
      <text>
        <r>
          <rPr>
            <b/>
            <sz val="8"/>
            <color indexed="81"/>
            <rFont val="Tahoma"/>
            <family val="2"/>
            <charset val="204"/>
          </rPr>
          <t>Мандрыгин В.В.:</t>
        </r>
        <r>
          <rPr>
            <sz val="8"/>
            <color indexed="81"/>
            <rFont val="Tahoma"/>
            <family val="2"/>
            <charset val="204"/>
          </rPr>
          <t xml:space="preserve">
ввести дату вручную
</t>
        </r>
      </text>
    </comment>
  </commentList>
</comments>
</file>

<file path=xl/comments4.xml><?xml version="1.0" encoding="utf-8"?>
<comments xmlns="http://schemas.openxmlformats.org/spreadsheetml/2006/main">
  <authors>
    <author>Мандрыгин В.В.</author>
  </authors>
  <commentList>
    <comment ref="A2" authorId="0" shapeId="0">
      <text>
        <r>
          <rPr>
            <b/>
            <sz val="8"/>
            <color indexed="81"/>
            <rFont val="Tahoma"/>
            <family val="2"/>
            <charset val="204"/>
          </rPr>
          <t>Мандрыгин В.В.:</t>
        </r>
        <r>
          <rPr>
            <sz val="8"/>
            <color indexed="81"/>
            <rFont val="Tahoma"/>
            <family val="2"/>
            <charset val="204"/>
          </rPr>
          <t xml:space="preserve">
ввести дату вручную
</t>
        </r>
      </text>
    </comment>
  </commentList>
</comments>
</file>

<file path=xl/comments5.xml><?xml version="1.0" encoding="utf-8"?>
<comments xmlns="http://schemas.openxmlformats.org/spreadsheetml/2006/main">
  <authors>
    <author>Мандрыгин В.В.</author>
  </authors>
  <commentList>
    <comment ref="A2" authorId="0" shapeId="0">
      <text>
        <r>
          <rPr>
            <b/>
            <sz val="8"/>
            <color indexed="81"/>
            <rFont val="Tahoma"/>
            <family val="2"/>
            <charset val="204"/>
          </rPr>
          <t>Мандрыгин В.В.:</t>
        </r>
        <r>
          <rPr>
            <sz val="8"/>
            <color indexed="81"/>
            <rFont val="Tahoma"/>
            <family val="2"/>
            <charset val="204"/>
          </rPr>
          <t xml:space="preserve">
ввести дату вручную
</t>
        </r>
      </text>
    </comment>
  </commentList>
</comments>
</file>

<file path=xl/comments6.xml><?xml version="1.0" encoding="utf-8"?>
<comments xmlns="http://schemas.openxmlformats.org/spreadsheetml/2006/main">
  <authors>
    <author>Мандрыгин В.В.</author>
  </authors>
  <commentList>
    <comment ref="A2" authorId="0" shapeId="0">
      <text>
        <r>
          <rPr>
            <b/>
            <sz val="8"/>
            <color indexed="81"/>
            <rFont val="Tahoma"/>
            <family val="2"/>
            <charset val="204"/>
          </rPr>
          <t>Мандрыгин В.В.:</t>
        </r>
        <r>
          <rPr>
            <sz val="8"/>
            <color indexed="81"/>
            <rFont val="Tahoma"/>
            <family val="2"/>
            <charset val="204"/>
          </rPr>
          <t xml:space="preserve">
ввести дату вручную
</t>
        </r>
      </text>
    </comment>
  </commentList>
</comments>
</file>

<file path=xl/comments7.xml><?xml version="1.0" encoding="utf-8"?>
<comments xmlns="http://schemas.openxmlformats.org/spreadsheetml/2006/main">
  <authors>
    <author>Мандрыгин В.В.</author>
  </authors>
  <commentList>
    <comment ref="A2" authorId="0" shapeId="0">
      <text>
        <r>
          <rPr>
            <b/>
            <sz val="8"/>
            <color indexed="81"/>
            <rFont val="Tahoma"/>
            <family val="2"/>
            <charset val="204"/>
          </rPr>
          <t>Мандрыгин В.В.:</t>
        </r>
        <r>
          <rPr>
            <sz val="8"/>
            <color indexed="81"/>
            <rFont val="Tahoma"/>
            <family val="2"/>
            <charset val="204"/>
          </rPr>
          <t xml:space="preserve">
ввести дату вручную
</t>
        </r>
      </text>
    </comment>
  </commentList>
</comments>
</file>

<file path=xl/comments8.xml><?xml version="1.0" encoding="utf-8"?>
<comments xmlns="http://schemas.openxmlformats.org/spreadsheetml/2006/main">
  <authors>
    <author>Мандрыгин В.В.</author>
  </authors>
  <commentList>
    <comment ref="A2" authorId="0" shapeId="0">
      <text>
        <r>
          <rPr>
            <b/>
            <sz val="8"/>
            <color indexed="81"/>
            <rFont val="Tahoma"/>
            <family val="2"/>
            <charset val="204"/>
          </rPr>
          <t>Мандрыгин В.В.:</t>
        </r>
        <r>
          <rPr>
            <sz val="8"/>
            <color indexed="81"/>
            <rFont val="Tahoma"/>
            <family val="2"/>
            <charset val="204"/>
          </rPr>
          <t xml:space="preserve">
ввести дату вручную
</t>
        </r>
      </text>
    </comment>
  </commentList>
</comments>
</file>

<file path=xl/comments9.xml><?xml version="1.0" encoding="utf-8"?>
<comments xmlns="http://schemas.openxmlformats.org/spreadsheetml/2006/main">
  <authors>
    <author>Мандрыгин В.В.</author>
  </authors>
  <commentList>
    <comment ref="A2" authorId="0" shapeId="0">
      <text>
        <r>
          <rPr>
            <b/>
            <sz val="8"/>
            <color indexed="81"/>
            <rFont val="Tahoma"/>
            <family val="2"/>
            <charset val="204"/>
          </rPr>
          <t>Мандрыгин В.В.:</t>
        </r>
        <r>
          <rPr>
            <sz val="8"/>
            <color indexed="81"/>
            <rFont val="Tahoma"/>
            <family val="2"/>
            <charset val="204"/>
          </rPr>
          <t xml:space="preserve">
ввести дату вручную
</t>
        </r>
      </text>
    </comment>
  </commentList>
</comments>
</file>

<file path=xl/comments10.xml><?xml version="1.0" encoding="utf-8"?>
<comments xmlns="http://schemas.openxmlformats.org/spreadsheetml/2006/main">
  <authors>
    <author>Мандрыгин В.В.</author>
  </authors>
  <commentList>
    <comment ref="A2" authorId="0" shapeId="0">
      <text>
        <r>
          <rPr>
            <b/>
            <sz val="8"/>
            <color indexed="81"/>
            <rFont val="Tahoma"/>
            <family val="2"/>
            <charset val="204"/>
          </rPr>
          <t>Мандрыгин В.В.:</t>
        </r>
        <r>
          <rPr>
            <sz val="8"/>
            <color indexed="81"/>
            <rFont val="Tahoma"/>
            <family val="2"/>
            <charset val="204"/>
          </rPr>
          <t xml:space="preserve">
ввести дату вручную
</t>
        </r>
      </text>
    </comment>
  </commentList>
</comments>
</file>

<file path=xl/comments11.xml><?xml version="1.0" encoding="utf-8"?>
<comments xmlns="http://schemas.openxmlformats.org/spreadsheetml/2006/main">
  <authors>
    <author>Мандрыгин В.В.</author>
  </authors>
  <commentList>
    <comment ref="A2" authorId="0" shapeId="0">
      <text>
        <r>
          <rPr>
            <b/>
            <sz val="8"/>
            <color indexed="81"/>
            <rFont val="Tahoma"/>
            <family val="2"/>
            <charset val="204"/>
          </rPr>
          <t>Мандрыгин В.В.:</t>
        </r>
        <r>
          <rPr>
            <sz val="8"/>
            <color indexed="81"/>
            <rFont val="Tahoma"/>
            <family val="2"/>
            <charset val="204"/>
          </rPr>
          <t xml:space="preserve">
ввести дату вручную
</t>
        </r>
      </text>
    </comment>
  </commentList>
</comments>
</file>

<file path=xl/sharedStrings.xml><?xml version="1.0" encoding="utf-8"?>
<sst xmlns="http://schemas.openxmlformats.org/spreadsheetml/2006/main" count="939" uniqueCount="58">
  <si>
    <t>2022 год</t>
  </si>
  <si>
    <t>показатели</t>
  </si>
  <si>
    <t>ед. измер.</t>
  </si>
  <si>
    <t>итого с начала месяца</t>
  </si>
  <si>
    <t>формовка</t>
  </si>
  <si>
    <t>всего</t>
  </si>
  <si>
    <t>куб.м.</t>
  </si>
  <si>
    <t>"0" пролет</t>
  </si>
  <si>
    <t>"1" пролет</t>
  </si>
  <si>
    <t>"2" пролет</t>
  </si>
  <si>
    <t>"3" пролет</t>
  </si>
  <si>
    <t>"4" пролет</t>
  </si>
  <si>
    <t>"5" пролет</t>
  </si>
  <si>
    <t>январь</t>
  </si>
  <si>
    <t>февраль</t>
  </si>
  <si>
    <t>март</t>
  </si>
  <si>
    <t>апрель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</si>
  <si>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</si>
  <si>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</si>
  <si>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</si>
  <si>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</si>
  <si>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</si>
  <si>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</si>
  <si>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</si>
  <si>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2023 год</t>
  </si>
  <si>
    <t>май</t>
  </si>
  <si>
    <t>2024 год</t>
  </si>
  <si>
    <t>2025 год</t>
  </si>
  <si>
    <t>яч.11(ид.1)</t>
  </si>
  <si>
    <t>яч.7(ид.2)</t>
  </si>
  <si>
    <t>яч.19(ид.3)</t>
  </si>
  <si>
    <t>яч.1А(ид.4)</t>
  </si>
  <si>
    <t>яч.5(ид.5)</t>
  </si>
  <si>
    <t>яч.17(ид.6)</t>
  </si>
  <si>
    <t>Транзиты</t>
  </si>
  <si>
    <t>яч.17(ид.24)</t>
  </si>
  <si>
    <t>яч.3(ид.6)</t>
  </si>
  <si>
    <t>яч.23(ид.3366)</t>
  </si>
  <si>
    <t>el_en</t>
  </si>
  <si>
    <t>date</t>
  </si>
  <si>
    <t>prod</t>
  </si>
  <si>
    <t>Prod.</t>
  </si>
  <si>
    <t>Date</t>
  </si>
  <si>
    <t>Total_el_en</t>
  </si>
  <si>
    <t>ХПВ
(куб.м)</t>
  </si>
  <si>
    <t>ГВС
(куб.м)</t>
  </si>
  <si>
    <t>КПД
ΣQотопл.
Гкал</t>
  </si>
  <si>
    <t>Выработка
сж.возд.
сутки
Компр_1 (com7)  (рег.21)</t>
  </si>
  <si>
    <t>Выработка
сж.возд.
сутки
Арм.цех (com3)  (рег.2А)</t>
  </si>
  <si>
    <t>Выработка
сж.возд.
сутки
Компр_2 (рег.17)</t>
  </si>
  <si>
    <t>Потребление     сж. воздуха  БСЦ   2C</t>
  </si>
  <si>
    <t>Потребление пара БСЦ    ГКал   35</t>
  </si>
  <si>
    <t>Котельная
вода
сутки
(куб.м)</t>
  </si>
  <si>
    <t>Котельная
Пар всего
сутки
(ГКал)</t>
  </si>
  <si>
    <t>Газ ФЦ
сутки
(куб.м)</t>
  </si>
  <si>
    <t>Кот
эл.эн. 
Сутки
Всего:
(кВт*ч)</t>
  </si>
  <si>
    <t>Газ всего:
в т.ч. ФЦ:
сутки
(куб.м)</t>
  </si>
  <si>
    <t>Котельн.
Газ всего
(без ФЦ) (куб.м)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</si>
</sst>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_р_._-;\-* #,##0_р_._-;_-* &quot;-&quot;_р_._-;_-@_-"/>
    <numFmt numFmtId="165" formatCode="_-* #,##0.00_р_._-;\-* #,##0.00_р_._-;_-* &quot;-&quot;??_р_._-;_-@_-"/>
    <numFmt numFmtId="166" formatCode="ddd/dd/mm"/>
    <numFmt numFmtId="167" formatCode="#,##0.0"/>
  </numFmts>
  <fonts count="14" x14ac:knownFonts="1">
    <font>
      <sz val="11"/>
      <color theme="1"/>
      <name val="Calibri"/>
      <family val="2"/>
      <charset val="204"/>
      <scheme val="minor"/>
    </font>
    <font>
      <sz val="12"/>
      <name val="Arial"/>
      <family val="2"/>
      <charset val="204"/>
    </font>
    <font>
      <sz val="12"/>
      <color indexed="8"/>
      <name val="Arial"/>
      <family val="2"/>
      <charset val="204"/>
    </font>
    <font>
      <b/>
      <sz val="16"/>
      <name val="Arial"/>
      <family val="2"/>
      <charset val="204"/>
    </font>
    <font>
      <b/>
      <sz val="12"/>
      <name val="Arial"/>
      <family val="2"/>
      <charset val="204"/>
    </font>
    <font>
      <sz val="12"/>
      <name val="Arial Cyr"/>
      <family val="2"/>
      <charset val="204"/>
    </font>
    <font>
      <sz val="12"/>
      <name val="Times New Roman Cyr"/>
      <charset val="204"/>
    </font>
    <font>
      <b/>
      <sz val="16"/>
      <color theme="1"/>
      <name val="Calibri"/>
      <family val="2"/>
      <charset val="204"/>
      <scheme val="minor"/>
    </font>
    <font>
      <b/>
      <sz val="22"/>
      <color theme="1"/>
      <name val="Calibri"/>
      <family val="2"/>
      <charset val="204"/>
      <scheme val="minor"/>
    </font>
    <font>
      <sz val="10"/>
      <name val="Arial"/>
      <family val="2"/>
    </font>
    <font>
      <sz val="10"/>
      <name val="Arial"/>
      <family val="2"/>
      <charset val="204"/>
    </font>
    <font>
      <b/>
      <sz val="10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9" fillId="0" borderId="0"/>
  </cellStyleXfs>
  <cellXfs count="76">
    <xf numFmtId="0" fontId="0" fillId="0" borderId="0" xfId="0"/>
    <xf numFmtId="0" fontId="1" fillId="0" borderId="0" xfId="0" applyFont="1" applyFill="1" applyAlignment="1" applyProtection="1">
      <alignment vertical="center"/>
    </xf>
    <xf numFmtId="0" fontId="3" fillId="3" borderId="1" xfId="0" applyFont="1" applyFill="1" applyBorder="1" applyAlignment="1" applyProtection="1">
      <alignment vertical="center"/>
    </xf>
    <xf numFmtId="0" fontId="4" fillId="3" borderId="2" xfId="0" applyFont="1" applyFill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/>
    </xf>
    <xf numFmtId="2" fontId="1" fillId="0" borderId="2" xfId="0" applyNumberFormat="1" applyFont="1" applyBorder="1" applyAlignment="1" applyProtection="1">
      <alignment vertical="center"/>
    </xf>
    <xf numFmtId="2" fontId="1" fillId="4" borderId="2" xfId="0" applyNumberFormat="1" applyFont="1" applyFill="1" applyBorder="1" applyAlignment="1" applyProtection="1">
      <alignment vertical="center"/>
    </xf>
    <xf numFmtId="0" fontId="1" fillId="0" borderId="1" xfId="0" applyFont="1" applyFill="1" applyBorder="1" applyAlignment="1" applyProtection="1">
      <alignment vertical="center"/>
    </xf>
    <xf numFmtId="0" fontId="1" fillId="3" borderId="2" xfId="0" applyFont="1" applyFill="1" applyBorder="1" applyAlignment="1" applyProtection="1">
      <alignment horizontal="center" vertical="center"/>
    </xf>
    <xf numFmtId="2" fontId="1" fillId="5" borderId="2" xfId="0" applyNumberFormat="1" applyFont="1" applyFill="1" applyBorder="1" applyAlignment="1" applyProtection="1">
      <alignment vertical="center"/>
      <protection locked="0"/>
    </xf>
    <xf numFmtId="2" fontId="5" fillId="5" borderId="2" xfId="0" applyNumberFormat="1" applyFont="1" applyFill="1" applyBorder="1" applyAlignment="1" applyProtection="1">
      <alignment vertical="center"/>
      <protection locked="0"/>
    </xf>
    <xf numFmtId="2" fontId="1" fillId="5" borderId="3" xfId="0" applyNumberFormat="1" applyFont="1" applyFill="1" applyBorder="1" applyAlignment="1" applyProtection="1">
      <alignment vertical="center"/>
      <protection locked="0"/>
    </xf>
    <xf numFmtId="2" fontId="1" fillId="5" borderId="4" xfId="0" applyNumberFormat="1" applyFont="1" applyFill="1" applyBorder="1" applyAlignment="1" applyProtection="1">
      <alignment vertical="center"/>
      <protection locked="0"/>
    </xf>
    <xf numFmtId="2" fontId="1" fillId="0" borderId="2" xfId="0" applyNumberFormat="1" applyFont="1" applyFill="1" applyBorder="1" applyAlignment="1" applyProtection="1">
      <alignment vertical="center"/>
    </xf>
    <xf numFmtId="2" fontId="1" fillId="5" borderId="2" xfId="0" applyNumberFormat="1" applyFont="1" applyFill="1" applyBorder="1" applyAlignment="1" applyProtection="1">
      <alignment vertical="center" wrapText="1"/>
      <protection locked="0"/>
    </xf>
    <xf numFmtId="2" fontId="5" fillId="5" borderId="3" xfId="0" applyNumberFormat="1" applyFont="1" applyFill="1" applyBorder="1" applyAlignment="1" applyProtection="1">
      <alignment vertical="center"/>
      <protection locked="0"/>
    </xf>
    <xf numFmtId="0" fontId="6" fillId="0" borderId="0" xfId="1"/>
    <xf numFmtId="2" fontId="1" fillId="0" borderId="2" xfId="1" applyNumberFormat="1" applyFont="1" applyBorder="1" applyAlignment="1" applyProtection="1">
      <alignment vertical="center"/>
    </xf>
    <xf numFmtId="0" fontId="3" fillId="3" borderId="1" xfId="1" applyFont="1" applyFill="1" applyBorder="1" applyAlignment="1" applyProtection="1">
      <alignment vertical="center"/>
    </xf>
    <xf numFmtId="0" fontId="1" fillId="0" borderId="2" xfId="1" applyFont="1" applyBorder="1" applyAlignment="1" applyProtection="1">
      <alignment horizontal="center" vertical="center"/>
    </xf>
    <xf numFmtId="2" fontId="1" fillId="4" borderId="2" xfId="1" applyNumberFormat="1" applyFont="1" applyFill="1" applyBorder="1" applyAlignment="1" applyProtection="1">
      <alignment vertical="center"/>
    </xf>
    <xf numFmtId="0" fontId="1" fillId="0" borderId="1" xfId="1" applyFont="1" applyFill="1" applyBorder="1" applyAlignment="1" applyProtection="1">
      <alignment vertical="center"/>
    </xf>
    <xf numFmtId="0" fontId="1" fillId="3" borderId="2" xfId="1" applyFont="1" applyFill="1" applyBorder="1" applyAlignment="1" applyProtection="1">
      <alignment horizontal="center" vertical="center"/>
    </xf>
    <xf numFmtId="2" fontId="1" fillId="5" borderId="2" xfId="1" applyNumberFormat="1" applyFont="1" applyFill="1" applyBorder="1" applyAlignment="1" applyProtection="1">
      <alignment vertical="center"/>
      <protection locked="0"/>
    </xf>
    <xf numFmtId="2" fontId="1" fillId="5" borderId="4" xfId="1" applyNumberFormat="1" applyFont="1" applyFill="1" applyBorder="1" applyAlignment="1" applyProtection="1">
      <alignment vertical="center"/>
      <protection locked="0"/>
    </xf>
    <xf numFmtId="2" fontId="1" fillId="0" borderId="2" xfId="1" applyNumberFormat="1" applyFont="1" applyFill="1" applyBorder="1" applyAlignment="1" applyProtection="1">
      <alignment vertical="center"/>
    </xf>
    <xf numFmtId="0" fontId="4" fillId="3" borderId="2" xfId="1" applyFont="1" applyFill="1" applyBorder="1" applyAlignment="1" applyProtection="1">
      <alignment horizontal="center" vertical="center"/>
    </xf>
    <xf numFmtId="0" fontId="7" fillId="0" borderId="0" xfId="0" applyFont="1"/>
    <xf numFmtId="0" fontId="8" fillId="0" borderId="0" xfId="0" applyFont="1"/>
    <xf numFmtId="2" fontId="1" fillId="0" borderId="5" xfId="0" applyNumberFormat="1" applyFont="1" applyBorder="1" applyAlignment="1" applyProtection="1">
      <alignment vertical="center"/>
    </xf>
    <xf numFmtId="3" fontId="1" fillId="5" borderId="2" xfId="0" applyNumberFormat="1" applyFont="1" applyFill="1" applyBorder="1" applyAlignment="1" applyProtection="1">
      <alignment vertical="center"/>
      <protection locked="0"/>
    </xf>
    <xf numFmtId="4" fontId="1" fillId="5" borderId="2" xfId="0" applyNumberFormat="1" applyFont="1" applyFill="1" applyBorder="1" applyAlignment="1" applyProtection="1">
      <alignment vertical="center"/>
      <protection locked="0"/>
    </xf>
    <xf numFmtId="0" fontId="1" fillId="0" borderId="4" xfId="0" applyFont="1" applyBorder="1" applyAlignment="1" applyProtection="1">
      <alignment horizontal="centerContinuous" vertical="center" wrapText="1"/>
    </xf>
    <xf numFmtId="0" fontId="1" fillId="0" borderId="6" xfId="0" applyFont="1" applyBorder="1" applyAlignment="1" applyProtection="1">
      <alignment horizontal="centerContinuous" vertical="center" wrapText="1"/>
    </xf>
    <xf numFmtId="0" fontId="1" fillId="0" borderId="2" xfId="0" applyFont="1" applyBorder="1" applyAlignment="1" applyProtection="1">
      <alignment horizontal="center" vertical="center" wrapText="1"/>
    </xf>
    <xf numFmtId="0" fontId="1" fillId="0" borderId="4" xfId="0" applyFont="1" applyBorder="1" applyAlignment="1" applyProtection="1">
      <alignment horizontal="center" vertical="center" wrapText="1"/>
    </xf>
    <xf numFmtId="0" fontId="1" fillId="2" borderId="4" xfId="0" applyFont="1" applyFill="1" applyBorder="1" applyAlignment="1" applyProtection="1">
      <alignment horizontal="centerContinuous" vertical="center" wrapText="1"/>
    </xf>
    <xf numFmtId="0" fontId="2" fillId="0" borderId="4" xfId="0" applyFont="1" applyBorder="1" applyAlignment="1" applyProtection="1">
      <alignment horizontal="centerContinuous" vertical="center" wrapText="1"/>
    </xf>
    <xf numFmtId="0" fontId="1" fillId="0" borderId="4" xfId="0" applyFont="1" applyBorder="1" applyAlignment="1" applyProtection="1">
      <alignment horizontal="centerContinuous" vertical="center"/>
    </xf>
    <xf numFmtId="0" fontId="1" fillId="0" borderId="2" xfId="0" applyFont="1" applyBorder="1" applyAlignment="1" applyProtection="1">
      <alignment horizontal="centerContinuous" vertical="center"/>
    </xf>
    <xf numFmtId="49" fontId="10" fillId="0" borderId="7" xfId="5" applyNumberFormat="1" applyFont="1" applyBorder="1" applyAlignment="1">
      <alignment vertical="center"/>
    </xf>
    <xf numFmtId="49" fontId="10" fillId="0" borderId="8" xfId="5" applyNumberFormat="1" applyFont="1" applyBorder="1" applyAlignment="1">
      <alignment horizontal="center" vertical="center"/>
    </xf>
    <xf numFmtId="49" fontId="10" fillId="0" borderId="9" xfId="5" applyNumberFormat="1" applyFont="1" applyBorder="1" applyAlignment="1">
      <alignment horizontal="center" vertical="center"/>
    </xf>
    <xf numFmtId="49" fontId="10" fillId="0" borderId="10" xfId="5" applyNumberFormat="1" applyFont="1" applyBorder="1" applyAlignment="1">
      <alignment horizontal="center" vertical="center"/>
    </xf>
    <xf numFmtId="0" fontId="10" fillId="0" borderId="0" xfId="5" applyFont="1"/>
    <xf numFmtId="166" fontId="11" fillId="0" borderId="11" xfId="5" applyNumberFormat="1" applyFont="1" applyBorder="1"/>
    <xf numFmtId="3" fontId="10" fillId="0" borderId="12" xfId="5" applyNumberFormat="1" applyFont="1" applyBorder="1" applyAlignment="1">
      <alignment horizontal="center" vertical="center"/>
    </xf>
    <xf numFmtId="3" fontId="10" fillId="0" borderId="3" xfId="5" applyNumberFormat="1" applyFont="1" applyBorder="1" applyAlignment="1">
      <alignment horizontal="center" vertical="center"/>
    </xf>
    <xf numFmtId="167" fontId="10" fillId="0" borderId="13" xfId="5" applyNumberFormat="1" applyFont="1" applyBorder="1" applyAlignment="1">
      <alignment horizontal="center" vertical="center"/>
    </xf>
    <xf numFmtId="0" fontId="10" fillId="0" borderId="0" xfId="5" applyFont="1" applyAlignment="1">
      <alignment horizontal="center"/>
    </xf>
    <xf numFmtId="166" fontId="11" fillId="0" borderId="14" xfId="5" applyNumberFormat="1" applyFont="1" applyBorder="1"/>
    <xf numFmtId="3" fontId="10" fillId="0" borderId="6" xfId="5" applyNumberFormat="1" applyFont="1" applyBorder="1" applyAlignment="1">
      <alignment horizontal="center" vertical="center"/>
    </xf>
    <xf numFmtId="3" fontId="10" fillId="0" borderId="2" xfId="5" applyNumberFormat="1" applyFont="1" applyBorder="1" applyAlignment="1">
      <alignment horizontal="center" vertical="center"/>
    </xf>
    <xf numFmtId="167" fontId="10" fillId="0" borderId="15" xfId="5" applyNumberFormat="1" applyFont="1" applyBorder="1" applyAlignment="1">
      <alignment horizontal="center" vertical="center"/>
    </xf>
    <xf numFmtId="166" fontId="11" fillId="0" borderId="16" xfId="5" applyNumberFormat="1" applyFont="1" applyBorder="1"/>
    <xf numFmtId="3" fontId="10" fillId="0" borderId="17" xfId="5" applyNumberFormat="1" applyFont="1" applyBorder="1" applyAlignment="1">
      <alignment horizontal="center" vertical="center"/>
    </xf>
    <xf numFmtId="3" fontId="10" fillId="0" borderId="5" xfId="5" applyNumberFormat="1" applyFont="1" applyBorder="1" applyAlignment="1">
      <alignment horizontal="center" vertical="center"/>
    </xf>
    <xf numFmtId="167" fontId="10" fillId="0" borderId="18" xfId="5" applyNumberFormat="1" applyFont="1" applyBorder="1" applyAlignment="1">
      <alignment horizontal="center" vertical="center"/>
    </xf>
    <xf numFmtId="167" fontId="10" fillId="0" borderId="0" xfId="5" applyNumberFormat="1" applyFont="1"/>
    <xf numFmtId="1" fontId="10" fillId="0" borderId="10" xfId="5" applyNumberFormat="1" applyFont="1" applyBorder="1" applyAlignment="1">
      <alignment horizontal="center" vertical="center"/>
    </xf>
    <xf numFmtId="1" fontId="10" fillId="0" borderId="13" xfId="5" applyNumberFormat="1" applyFont="1" applyBorder="1" applyAlignment="1">
      <alignment horizontal="center" vertical="center"/>
    </xf>
    <xf numFmtId="1" fontId="10" fillId="0" borderId="15" xfId="5" applyNumberFormat="1" applyFont="1" applyBorder="1" applyAlignment="1">
      <alignment horizontal="center" vertical="center"/>
    </xf>
    <xf numFmtId="1" fontId="10" fillId="0" borderId="0" xfId="5" applyNumberFormat="1" applyFont="1"/>
    <xf numFmtId="14" fontId="0" fillId="0" borderId="0" xfId="0" applyNumberFormat="1"/>
    <xf numFmtId="0" fontId="10" fillId="0" borderId="0" xfId="5" applyFont="1" applyBorder="1"/>
    <xf numFmtId="167" fontId="10" fillId="0" borderId="0" xfId="5" applyNumberFormat="1" applyFont="1" applyBorder="1"/>
    <xf numFmtId="167" fontId="10" fillId="6" borderId="15" xfId="5" applyNumberFormat="1" applyFont="1" applyFill="1" applyBorder="1" applyAlignment="1">
      <alignment horizontal="center" vertical="center"/>
    </xf>
    <xf numFmtId="49" fontId="10" fillId="0" borderId="7" xfId="5" applyNumberFormat="1" applyFont="1" applyBorder="1" applyAlignment="1">
      <alignment vertical="center" wrapText="1"/>
    </xf>
    <xf numFmtId="49" fontId="10" fillId="0" borderId="8" xfId="5" applyNumberFormat="1" applyFont="1" applyBorder="1" applyAlignment="1">
      <alignment horizontal="center" vertical="center" wrapText="1"/>
    </xf>
    <xf numFmtId="49" fontId="10" fillId="0" borderId="9" xfId="5" applyNumberFormat="1" applyFont="1" applyBorder="1" applyAlignment="1">
      <alignment horizontal="center" vertical="center" wrapText="1"/>
    </xf>
    <xf numFmtId="49" fontId="10" fillId="0" borderId="10" xfId="5" applyNumberFormat="1" applyFont="1" applyBorder="1" applyAlignment="1">
      <alignment horizontal="center" vertical="center" wrapText="1"/>
    </xf>
    <xf numFmtId="0" fontId="10" fillId="0" borderId="0" xfId="5" applyFont="1" applyAlignment="1">
      <alignment wrapText="1"/>
    </xf>
    <xf numFmtId="0" fontId="10" fillId="7" borderId="0" xfId="5" applyFont="1" applyFill="1" applyAlignment="1">
      <alignment wrapText="1"/>
    </xf>
    <xf numFmtId="0" fontId="10" fillId="8" borderId="0" xfId="5" applyFont="1" applyFill="1" applyAlignment="1">
      <alignment wrapText="1"/>
    </xf>
    <xf numFmtId="0" fontId="10" fillId="9" borderId="0" xfId="5" applyFont="1" applyFill="1" applyAlignment="1">
      <alignment wrapText="1"/>
    </xf>
    <xf numFmtId="0" fontId="10" fillId="10" borderId="0" xfId="5" applyFont="1" applyFill="1" applyAlignment="1">
      <alignment wrapText="1"/>
    </xf>
  </cellXfs>
  <cellStyles count="6">
    <cellStyle name="Обычный" xfId="0" builtinId="0"/>
    <cellStyle name="Обычный 2" xfId="1"/>
    <cellStyle name="Обычный 2 2" xfId="5"/>
    <cellStyle name="Процентный 2" xfId="2"/>
    <cellStyle name="Финансовый [0] 2" xfId="4"/>
    <cellStyle name="Финансовый 2" xfId="3"/>
  </cellStyles>
  <dxfs count="37"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2;&#1086;&#1080;%20&#1076;&#1086;&#1082;&#1091;&#1084;&#1077;&#1085;&#1090;&#1099;/&#1040;&#1051;&#1068;&#1060;&#1048;&#1071;/&#1057;&#1055;&#1056;&#1040;&#1042;&#1050;&#1048;%20&#1050;&#1055;&#1044;/2022%20&#1075;.%20&#1089;&#1087;&#1088;&#1072;&#1074;&#1082;&#1080;%20&#1050;&#1055;&#1044;/&#1057;&#1087;&#1088;&#1072;&#1074;&#1082;&#1080;%20&#1050;&#1055;&#1044;%20&#1103;&#1085;&#1074;&#1072;&#1088;&#1100;%2022&#1075;/&#1050;&#1055;&#1044;%20&#1089;&#1087;&#1088;&#1072;&#1074;&#1082;&#1072;%20%20&#1103;&#1085;&#1074;&#1072;&#1088;&#1100;%20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ка (2)"/>
      <sheetName val="план на месяц (2)"/>
      <sheetName val="месяц (2)"/>
      <sheetName val="план на месяц"/>
      <sheetName val="энергетика"/>
      <sheetName val="неделя"/>
      <sheetName val="Лист1"/>
      <sheetName val="печать3"/>
      <sheetName val="справка"/>
      <sheetName val="справка по энергетике"/>
      <sheetName val="Лист2"/>
      <sheetName val="печать2"/>
      <sheetName val="печать1"/>
      <sheetName val="справка неделя"/>
      <sheetName val="вспомогательный"/>
      <sheetName val="месяц"/>
      <sheetName val="календарь"/>
    </sheetNames>
    <sheetDataSet>
      <sheetData sheetId="0" refreshError="1"/>
      <sheetData sheetId="1" refreshError="1"/>
      <sheetData sheetId="2" refreshError="1"/>
      <sheetData sheetId="3">
        <row r="15">
          <cell r="D15" t="str">
            <v>план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15">
          <cell r="A15" t="str">
            <v>январь</v>
          </cell>
          <cell r="B15" t="str">
            <v>**</v>
          </cell>
          <cell r="C15" t="str">
            <v>**</v>
          </cell>
          <cell r="D15" t="str">
            <v>**</v>
          </cell>
          <cell r="E15" t="str">
            <v>**</v>
          </cell>
          <cell r="F15" t="str">
            <v>**</v>
          </cell>
          <cell r="G15" t="str">
            <v>**</v>
          </cell>
          <cell r="H15" t="str">
            <v>**</v>
          </cell>
          <cell r="I15" t="str">
            <v>**</v>
          </cell>
          <cell r="J15" t="str">
            <v>**</v>
          </cell>
        </row>
        <row r="16">
          <cell r="A16" t="str">
            <v>февраль</v>
          </cell>
          <cell r="AD16" t="str">
            <v>**</v>
          </cell>
          <cell r="AE16" t="str">
            <v>**</v>
          </cell>
          <cell r="AF16" t="str">
            <v>**</v>
          </cell>
        </row>
        <row r="17">
          <cell r="A17" t="str">
            <v>март</v>
          </cell>
        </row>
        <row r="18">
          <cell r="A18" t="str">
            <v>апрель</v>
          </cell>
          <cell r="AF18" t="str">
            <v>**</v>
          </cell>
        </row>
        <row r="19">
          <cell r="A19" t="str">
            <v>май</v>
          </cell>
        </row>
        <row r="20">
          <cell r="A20" t="str">
            <v>июнь</v>
          </cell>
          <cell r="AF20" t="str">
            <v>**</v>
          </cell>
        </row>
        <row r="21">
          <cell r="A21" t="str">
            <v>июль</v>
          </cell>
        </row>
        <row r="22">
          <cell r="A22" t="str">
            <v>август</v>
          </cell>
        </row>
        <row r="23">
          <cell r="A23" t="str">
            <v>сентябрь</v>
          </cell>
          <cell r="AF23" t="str">
            <v>**</v>
          </cell>
        </row>
        <row r="24">
          <cell r="A24" t="str">
            <v>октябрь</v>
          </cell>
        </row>
        <row r="25">
          <cell r="A25" t="str">
            <v>ноябрь</v>
          </cell>
          <cell r="AF25" t="str">
            <v>**</v>
          </cell>
        </row>
        <row r="26">
          <cell r="A26" t="str">
            <v>декабрь</v>
          </cell>
          <cell r="AF26" t="str">
            <v>**</v>
          </cell>
        </row>
        <row r="43">
          <cell r="A43" t="str">
            <v>январь</v>
          </cell>
          <cell r="B43" t="str">
            <v>**</v>
          </cell>
          <cell r="C43" t="str">
            <v>**</v>
          </cell>
          <cell r="D43" t="str">
            <v>**</v>
          </cell>
          <cell r="E43" t="str">
            <v>**</v>
          </cell>
          <cell r="F43" t="str">
            <v>**</v>
          </cell>
          <cell r="G43" t="str">
            <v>**</v>
          </cell>
          <cell r="H43" t="str">
            <v>**</v>
          </cell>
          <cell r="I43" t="str">
            <v>**</v>
          </cell>
          <cell r="J43" t="str">
            <v>**</v>
          </cell>
          <cell r="P43" t="str">
            <v>*</v>
          </cell>
          <cell r="Q43" t="str">
            <v>*</v>
          </cell>
          <cell r="W43" t="str">
            <v>*</v>
          </cell>
          <cell r="X43" t="str">
            <v>*</v>
          </cell>
          <cell r="AD43" t="str">
            <v>*</v>
          </cell>
          <cell r="AE43" t="str">
            <v>*</v>
          </cell>
        </row>
        <row r="44">
          <cell r="A44" t="str">
            <v>февраль</v>
          </cell>
          <cell r="G44" t="str">
            <v>*</v>
          </cell>
          <cell r="H44" t="str">
            <v>*</v>
          </cell>
          <cell r="N44" t="str">
            <v>*</v>
          </cell>
          <cell r="O44" t="str">
            <v>*</v>
          </cell>
          <cell r="U44" t="str">
            <v>*</v>
          </cell>
          <cell r="V44" t="str">
            <v>*</v>
          </cell>
          <cell r="AB44" t="str">
            <v>*</v>
          </cell>
          <cell r="AC44" t="str">
            <v>*</v>
          </cell>
          <cell r="AD44" t="str">
            <v>**</v>
          </cell>
          <cell r="AE44" t="str">
            <v>**</v>
          </cell>
          <cell r="AF44" t="str">
            <v>**</v>
          </cell>
        </row>
        <row r="45">
          <cell r="A45" t="str">
            <v>март</v>
          </cell>
          <cell r="H45" t="str">
            <v>*</v>
          </cell>
          <cell r="I45" t="str">
            <v>**</v>
          </cell>
          <cell r="N45" t="str">
            <v>*</v>
          </cell>
          <cell r="O45" t="str">
            <v>*</v>
          </cell>
          <cell r="U45" t="str">
            <v>*</v>
          </cell>
          <cell r="V45" t="str">
            <v>*</v>
          </cell>
          <cell r="AB45" t="str">
            <v>*</v>
          </cell>
          <cell r="AC45" t="str">
            <v>*</v>
          </cell>
        </row>
        <row r="46">
          <cell r="A46" t="str">
            <v>апрель</v>
          </cell>
          <cell r="D46" t="str">
            <v>*</v>
          </cell>
          <cell r="E46" t="str">
            <v>*</v>
          </cell>
          <cell r="K46" t="str">
            <v>*</v>
          </cell>
          <cell r="L46" t="str">
            <v>*</v>
          </cell>
          <cell r="R46" t="str">
            <v>*</v>
          </cell>
          <cell r="S46" t="str">
            <v>*</v>
          </cell>
          <cell r="Y46" t="str">
            <v>*</v>
          </cell>
          <cell r="Z46" t="str">
            <v>*</v>
          </cell>
          <cell r="AF46" t="str">
            <v>**</v>
          </cell>
        </row>
        <row r="47">
          <cell r="A47" t="str">
            <v>май</v>
          </cell>
          <cell r="B47" t="str">
            <v>**</v>
          </cell>
          <cell r="C47" t="str">
            <v>*</v>
          </cell>
          <cell r="I47" t="str">
            <v>*</v>
          </cell>
          <cell r="J47" t="str">
            <v>**</v>
          </cell>
          <cell r="P47" t="str">
            <v>*</v>
          </cell>
          <cell r="Q47" t="str">
            <v>*</v>
          </cell>
          <cell r="W47" t="str">
            <v>*</v>
          </cell>
          <cell r="X47" t="str">
            <v>*</v>
          </cell>
          <cell r="AD47" t="str">
            <v>*</v>
          </cell>
          <cell r="AE47" t="str">
            <v>*</v>
          </cell>
        </row>
        <row r="48">
          <cell r="A48" t="str">
            <v>июнь</v>
          </cell>
          <cell r="F48" t="str">
            <v>*</v>
          </cell>
          <cell r="G48" t="str">
            <v>*</v>
          </cell>
          <cell r="M48" t="str">
            <v>**</v>
          </cell>
          <cell r="N48" t="str">
            <v>*</v>
          </cell>
          <cell r="T48" t="str">
            <v>*</v>
          </cell>
          <cell r="U48" t="str">
            <v>*</v>
          </cell>
          <cell r="AA48" t="str">
            <v>*</v>
          </cell>
          <cell r="AB48" t="str">
            <v>*</v>
          </cell>
          <cell r="AF48" t="str">
            <v>*</v>
          </cell>
        </row>
        <row r="49">
          <cell r="A49" t="str">
            <v>июль</v>
          </cell>
          <cell r="D49" t="str">
            <v>*</v>
          </cell>
          <cell r="E49" t="str">
            <v>*</v>
          </cell>
          <cell r="K49" t="str">
            <v>*</v>
          </cell>
          <cell r="L49" t="str">
            <v>*</v>
          </cell>
          <cell r="R49" t="str">
            <v>*</v>
          </cell>
          <cell r="S49" t="str">
            <v>*</v>
          </cell>
          <cell r="Y49" t="str">
            <v>*</v>
          </cell>
          <cell r="Z49" t="str">
            <v>*</v>
          </cell>
          <cell r="AF49" t="str">
            <v>*</v>
          </cell>
        </row>
        <row r="50">
          <cell r="A50" t="str">
            <v>август</v>
          </cell>
          <cell r="B50" t="str">
            <v>*</v>
          </cell>
          <cell r="H50" t="str">
            <v>*</v>
          </cell>
          <cell r="I50" t="str">
            <v>*</v>
          </cell>
          <cell r="O50" t="str">
            <v>*</v>
          </cell>
          <cell r="P50" t="str">
            <v>*</v>
          </cell>
          <cell r="V50" t="str">
            <v>*</v>
          </cell>
          <cell r="W50" t="str">
            <v>*</v>
          </cell>
          <cell r="AC50" t="str">
            <v>*</v>
          </cell>
          <cell r="AD50" t="str">
            <v>*</v>
          </cell>
        </row>
        <row r="51">
          <cell r="A51" t="str">
            <v>сентябрь</v>
          </cell>
          <cell r="E51" t="str">
            <v>*</v>
          </cell>
          <cell r="F51" t="str">
            <v>*</v>
          </cell>
          <cell r="L51" t="str">
            <v>*</v>
          </cell>
          <cell r="M51" t="str">
            <v>*</v>
          </cell>
          <cell r="S51" t="str">
            <v>*</v>
          </cell>
          <cell r="T51" t="str">
            <v>*</v>
          </cell>
          <cell r="Z51" t="str">
            <v>*</v>
          </cell>
          <cell r="AA51" t="str">
            <v>*</v>
          </cell>
          <cell r="AF51" t="str">
            <v>*</v>
          </cell>
        </row>
        <row r="52">
          <cell r="A52" t="str">
            <v>октябрь</v>
          </cell>
          <cell r="C52" t="str">
            <v>*</v>
          </cell>
          <cell r="D52" t="str">
            <v>*</v>
          </cell>
          <cell r="J52" t="str">
            <v>*</v>
          </cell>
          <cell r="K52" t="str">
            <v>*</v>
          </cell>
          <cell r="Q52" t="str">
            <v>*</v>
          </cell>
          <cell r="R52" t="str">
            <v>*</v>
          </cell>
          <cell r="X52" t="str">
            <v>*</v>
          </cell>
          <cell r="Y52" t="str">
            <v>*</v>
          </cell>
          <cell r="AE52" t="str">
            <v>*</v>
          </cell>
          <cell r="AF52" t="str">
            <v>*</v>
          </cell>
        </row>
        <row r="53">
          <cell r="A53" t="str">
            <v>ноябрь</v>
          </cell>
          <cell r="G53" t="str">
            <v>*</v>
          </cell>
          <cell r="H53" t="str">
            <v>*</v>
          </cell>
          <cell r="N53" t="str">
            <v>*</v>
          </cell>
          <cell r="O53" t="str">
            <v>*</v>
          </cell>
          <cell r="U53" t="str">
            <v>*</v>
          </cell>
          <cell r="V53" t="str">
            <v>*</v>
          </cell>
          <cell r="AB53" t="str">
            <v>*</v>
          </cell>
          <cell r="AC53" t="str">
            <v>*</v>
          </cell>
          <cell r="AF53" t="str">
            <v>**</v>
          </cell>
        </row>
        <row r="54">
          <cell r="A54" t="str">
            <v>декабрь</v>
          </cell>
        </row>
        <row r="57">
          <cell r="A57" t="str">
            <v>январь</v>
          </cell>
          <cell r="B57" t="str">
            <v>**</v>
          </cell>
          <cell r="C57" t="str">
            <v>**</v>
          </cell>
          <cell r="D57" t="str">
            <v>**</v>
          </cell>
          <cell r="E57" t="str">
            <v>**</v>
          </cell>
          <cell r="F57" t="str">
            <v>**</v>
          </cell>
          <cell r="G57" t="str">
            <v>**</v>
          </cell>
          <cell r="H57" t="str">
            <v>**</v>
          </cell>
          <cell r="I57" t="str">
            <v>**</v>
          </cell>
          <cell r="J57" t="str">
            <v>**</v>
          </cell>
        </row>
        <row r="58">
          <cell r="A58" t="str">
            <v>февраль</v>
          </cell>
          <cell r="AD58" t="str">
            <v>**</v>
          </cell>
          <cell r="AE58" t="str">
            <v>**</v>
          </cell>
          <cell r="AF58" t="str">
            <v>**</v>
          </cell>
        </row>
        <row r="59">
          <cell r="A59" t="str">
            <v>март</v>
          </cell>
        </row>
        <row r="60">
          <cell r="A60" t="str">
            <v>апрель</v>
          </cell>
          <cell r="AF60" t="str">
            <v>**</v>
          </cell>
        </row>
        <row r="61">
          <cell r="A61" t="str">
            <v>май</v>
          </cell>
        </row>
        <row r="62">
          <cell r="A62" t="str">
            <v>июнь</v>
          </cell>
          <cell r="AF62" t="str">
            <v>**</v>
          </cell>
        </row>
        <row r="63">
          <cell r="A63" t="str">
            <v>июль</v>
          </cell>
        </row>
        <row r="64">
          <cell r="A64" t="str">
            <v>август</v>
          </cell>
        </row>
        <row r="65">
          <cell r="A65" t="str">
            <v>сентябрь</v>
          </cell>
          <cell r="AF65" t="str">
            <v>**</v>
          </cell>
        </row>
        <row r="66">
          <cell r="A66" t="str">
            <v>октябрь</v>
          </cell>
        </row>
        <row r="67">
          <cell r="A67" t="str">
            <v>ноябрь</v>
          </cell>
          <cell r="AF67" t="str">
            <v>**</v>
          </cell>
        </row>
        <row r="68">
          <cell r="A68" t="str">
            <v>декабрь</v>
          </cell>
          <cell r="AF68" t="str">
            <v>**</v>
          </cell>
        </row>
        <row r="71">
          <cell r="A71" t="str">
            <v>январь</v>
          </cell>
          <cell r="B71" t="str">
            <v>**</v>
          </cell>
          <cell r="C71" t="str">
            <v>**</v>
          </cell>
          <cell r="D71" t="str">
            <v>**</v>
          </cell>
          <cell r="E71" t="str">
            <v>**</v>
          </cell>
          <cell r="F71" t="str">
            <v>**</v>
          </cell>
          <cell r="G71" t="str">
            <v>**</v>
          </cell>
          <cell r="H71" t="str">
            <v>**</v>
          </cell>
          <cell r="I71" t="str">
            <v>**</v>
          </cell>
          <cell r="J71" t="str">
            <v>**</v>
          </cell>
        </row>
        <row r="72">
          <cell r="A72" t="str">
            <v>февраль</v>
          </cell>
          <cell r="AD72" t="str">
            <v>**</v>
          </cell>
          <cell r="AE72" t="str">
            <v>**</v>
          </cell>
          <cell r="AF72" t="str">
            <v>**</v>
          </cell>
        </row>
        <row r="73">
          <cell r="A73" t="str">
            <v>март</v>
          </cell>
        </row>
        <row r="74">
          <cell r="A74" t="str">
            <v>апрель</v>
          </cell>
          <cell r="AF74" t="str">
            <v>**</v>
          </cell>
        </row>
        <row r="75">
          <cell r="A75" t="str">
            <v>май</v>
          </cell>
        </row>
        <row r="76">
          <cell r="A76" t="str">
            <v>июнь</v>
          </cell>
          <cell r="AF76" t="str">
            <v>**</v>
          </cell>
        </row>
        <row r="77">
          <cell r="A77" t="str">
            <v>июль</v>
          </cell>
        </row>
        <row r="78">
          <cell r="A78" t="str">
            <v>август</v>
          </cell>
        </row>
        <row r="79">
          <cell r="A79" t="str">
            <v>сентябрь</v>
          </cell>
          <cell r="AF79" t="str">
            <v>**</v>
          </cell>
        </row>
        <row r="80">
          <cell r="A80" t="str">
            <v>октябрь</v>
          </cell>
        </row>
        <row r="81">
          <cell r="A81" t="str">
            <v>ноябрь</v>
          </cell>
          <cell r="AF81" t="str">
            <v>**</v>
          </cell>
        </row>
        <row r="82">
          <cell r="A82" t="str">
            <v>декабрь</v>
          </cell>
          <cell r="AF82" t="str">
            <v>**</v>
          </cell>
        </row>
        <row r="85">
          <cell r="A85" t="str">
            <v>январь</v>
          </cell>
          <cell r="B85" t="str">
            <v>**</v>
          </cell>
          <cell r="C85" t="str">
            <v>**</v>
          </cell>
          <cell r="D85" t="str">
            <v>**</v>
          </cell>
          <cell r="E85" t="str">
            <v>**</v>
          </cell>
          <cell r="F85" t="str">
            <v>**</v>
          </cell>
          <cell r="G85" t="str">
            <v>**</v>
          </cell>
          <cell r="H85" t="str">
            <v>**</v>
          </cell>
          <cell r="I85" t="str">
            <v>**</v>
          </cell>
          <cell r="J85" t="str">
            <v>**</v>
          </cell>
        </row>
        <row r="86">
          <cell r="A86" t="str">
            <v>февраль</v>
          </cell>
          <cell r="AD86" t="str">
            <v>**</v>
          </cell>
          <cell r="AE86" t="str">
            <v>**</v>
          </cell>
          <cell r="AF86" t="str">
            <v>**</v>
          </cell>
        </row>
        <row r="87">
          <cell r="A87" t="str">
            <v>март</v>
          </cell>
        </row>
        <row r="88">
          <cell r="A88" t="str">
            <v>апрель</v>
          </cell>
          <cell r="AF88" t="str">
            <v>**</v>
          </cell>
        </row>
        <row r="89">
          <cell r="A89" t="str">
            <v>май</v>
          </cell>
        </row>
        <row r="90">
          <cell r="A90" t="str">
            <v>июнь</v>
          </cell>
          <cell r="AF90" t="str">
            <v>**</v>
          </cell>
        </row>
        <row r="91">
          <cell r="A91" t="str">
            <v>июль</v>
          </cell>
        </row>
        <row r="92">
          <cell r="A92" t="str">
            <v>август</v>
          </cell>
        </row>
        <row r="93">
          <cell r="A93" t="str">
            <v>сентябрь</v>
          </cell>
          <cell r="AF93" t="str">
            <v>**</v>
          </cell>
        </row>
        <row r="94">
          <cell r="A94" t="str">
            <v>октябрь</v>
          </cell>
        </row>
        <row r="95">
          <cell r="A95" t="str">
            <v>ноябрь</v>
          </cell>
          <cell r="AF95" t="str">
            <v>**</v>
          </cell>
        </row>
        <row r="96">
          <cell r="A96" t="str">
            <v>декабрь</v>
          </cell>
          <cell r="AF96" t="str">
            <v>**</v>
          </cell>
        </row>
        <row r="99">
          <cell r="A99" t="str">
            <v>январь</v>
          </cell>
          <cell r="B99" t="str">
            <v>**</v>
          </cell>
          <cell r="C99" t="str">
            <v>**</v>
          </cell>
          <cell r="D99" t="str">
            <v>**</v>
          </cell>
          <cell r="E99" t="str">
            <v>**</v>
          </cell>
          <cell r="F99" t="str">
            <v>**</v>
          </cell>
          <cell r="G99" t="str">
            <v>**</v>
          </cell>
          <cell r="H99" t="str">
            <v>**</v>
          </cell>
          <cell r="I99" t="str">
            <v>**</v>
          </cell>
          <cell r="J99" t="str">
            <v>**</v>
          </cell>
        </row>
        <row r="100">
          <cell r="A100" t="str">
            <v>февраль</v>
          </cell>
          <cell r="AD100" t="str">
            <v>**</v>
          </cell>
          <cell r="AE100" t="str">
            <v>**</v>
          </cell>
          <cell r="AF100" t="str">
            <v>**</v>
          </cell>
        </row>
        <row r="101">
          <cell r="A101" t="str">
            <v>март</v>
          </cell>
        </row>
        <row r="102">
          <cell r="A102" t="str">
            <v>апрель</v>
          </cell>
          <cell r="AF102" t="str">
            <v>**</v>
          </cell>
        </row>
        <row r="103">
          <cell r="A103" t="str">
            <v>май</v>
          </cell>
        </row>
        <row r="104">
          <cell r="A104" t="str">
            <v>июнь</v>
          </cell>
          <cell r="AF104" t="str">
            <v>**</v>
          </cell>
        </row>
        <row r="105">
          <cell r="A105" t="str">
            <v>июль</v>
          </cell>
        </row>
        <row r="106">
          <cell r="A106" t="str">
            <v>август</v>
          </cell>
        </row>
        <row r="107">
          <cell r="A107" t="str">
            <v>сентябрь</v>
          </cell>
          <cell r="AF107" t="str">
            <v>**</v>
          </cell>
        </row>
        <row r="108">
          <cell r="A108" t="str">
            <v>октябрь</v>
          </cell>
        </row>
        <row r="109">
          <cell r="A109" t="str">
            <v>ноябрь</v>
          </cell>
          <cell r="AF109" t="str">
            <v>**</v>
          </cell>
        </row>
        <row r="110">
          <cell r="A110" t="str">
            <v>декабрь</v>
          </cell>
          <cell r="AF110" t="str">
            <v>**</v>
          </cell>
        </row>
        <row r="113">
          <cell r="A113" t="str">
            <v>январь</v>
          </cell>
          <cell r="B113" t="str">
            <v>**</v>
          </cell>
          <cell r="C113" t="str">
            <v>**</v>
          </cell>
          <cell r="D113" t="str">
            <v>**</v>
          </cell>
          <cell r="E113" t="str">
            <v>**</v>
          </cell>
          <cell r="F113" t="str">
            <v>**</v>
          </cell>
          <cell r="G113" t="str">
            <v>**</v>
          </cell>
          <cell r="H113" t="str">
            <v>**</v>
          </cell>
          <cell r="I113" t="str">
            <v>**</v>
          </cell>
          <cell r="J113" t="str">
            <v>**</v>
          </cell>
        </row>
        <row r="114">
          <cell r="A114" t="str">
            <v>февраль</v>
          </cell>
          <cell r="AD114" t="str">
            <v>**</v>
          </cell>
          <cell r="AE114" t="str">
            <v>**</v>
          </cell>
          <cell r="AF114" t="str">
            <v>**</v>
          </cell>
        </row>
        <row r="115">
          <cell r="A115" t="str">
            <v>март</v>
          </cell>
        </row>
        <row r="116">
          <cell r="A116" t="str">
            <v>апрель</v>
          </cell>
          <cell r="AF116" t="str">
            <v>**</v>
          </cell>
        </row>
        <row r="117">
          <cell r="A117" t="str">
            <v>май</v>
          </cell>
        </row>
        <row r="118">
          <cell r="A118" t="str">
            <v>июнь</v>
          </cell>
          <cell r="AF118" t="str">
            <v>**</v>
          </cell>
        </row>
        <row r="119">
          <cell r="A119" t="str">
            <v>июль</v>
          </cell>
        </row>
        <row r="120">
          <cell r="A120" t="str">
            <v>август</v>
          </cell>
        </row>
        <row r="121">
          <cell r="A121" t="str">
            <v>сентябрь</v>
          </cell>
          <cell r="AF121" t="str">
            <v>**</v>
          </cell>
        </row>
        <row r="122">
          <cell r="A122" t="str">
            <v>октябрь</v>
          </cell>
        </row>
        <row r="123">
          <cell r="A123" t="str">
            <v>ноябрь</v>
          </cell>
          <cell r="AF123" t="str">
            <v>**</v>
          </cell>
        </row>
        <row r="124">
          <cell r="A124" t="str">
            <v>декабрь</v>
          </cell>
          <cell r="AF124" t="str">
            <v>**</v>
          </cell>
        </row>
        <row r="127">
          <cell r="A127" t="str">
            <v>январь</v>
          </cell>
          <cell r="B127" t="str">
            <v>**</v>
          </cell>
          <cell r="C127" t="str">
            <v>**</v>
          </cell>
          <cell r="D127" t="str">
            <v>**</v>
          </cell>
          <cell r="E127" t="str">
            <v>**</v>
          </cell>
          <cell r="F127" t="str">
            <v>**</v>
          </cell>
          <cell r="G127" t="str">
            <v>**</v>
          </cell>
          <cell r="H127" t="str">
            <v>**</v>
          </cell>
          <cell r="I127" t="str">
            <v>**</v>
          </cell>
          <cell r="J127" t="str">
            <v>**</v>
          </cell>
        </row>
        <row r="128">
          <cell r="A128" t="str">
            <v>февраль</v>
          </cell>
          <cell r="AD128" t="str">
            <v>**</v>
          </cell>
          <cell r="AE128" t="str">
            <v>**</v>
          </cell>
          <cell r="AF128" t="str">
            <v>**</v>
          </cell>
        </row>
        <row r="129">
          <cell r="A129" t="str">
            <v>март</v>
          </cell>
        </row>
        <row r="130">
          <cell r="A130" t="str">
            <v>апрель</v>
          </cell>
          <cell r="AF130" t="str">
            <v>**</v>
          </cell>
        </row>
        <row r="131">
          <cell r="A131" t="str">
            <v>май</v>
          </cell>
        </row>
        <row r="132">
          <cell r="A132" t="str">
            <v>июнь</v>
          </cell>
          <cell r="AF132" t="str">
            <v>**</v>
          </cell>
        </row>
        <row r="133">
          <cell r="A133" t="str">
            <v>июль</v>
          </cell>
        </row>
        <row r="134">
          <cell r="A134" t="str">
            <v>август</v>
          </cell>
        </row>
        <row r="135">
          <cell r="A135" t="str">
            <v>сентябрь</v>
          </cell>
          <cell r="AF135" t="str">
            <v>**</v>
          </cell>
        </row>
        <row r="136">
          <cell r="A136" t="str">
            <v>октябрь</v>
          </cell>
        </row>
        <row r="137">
          <cell r="A137" t="str">
            <v>ноябрь</v>
          </cell>
          <cell r="AF137" t="str">
            <v>**</v>
          </cell>
        </row>
        <row r="138">
          <cell r="A138" t="str">
            <v>декабрь</v>
          </cell>
          <cell r="AF138" t="str">
            <v>**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7"/>
  <sheetViews>
    <sheetView topLeftCell="A340" workbookViewId="0">
      <selection activeCell="K339" sqref="K339"/>
    </sheetView>
  </sheetViews>
  <sheetFormatPr defaultRowHeight="15" x14ac:dyDescent="0.25"/>
  <cols>
    <col min="1" max="1" width="10.140625" bestFit="1" customWidth="1"/>
  </cols>
  <sheetData>
    <row r="1" spans="1:8" x14ac:dyDescent="0.25">
      <c r="A1" t="s">
        <v>42</v>
      </c>
      <c r="B1" t="s">
        <v>41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</row>
    <row r="2" spans="1:8" x14ac:dyDescent="0.25">
      <c r="A2" s="63">
        <v>42736</v>
      </c>
      <c r="B2">
        <v>0</v>
      </c>
    </row>
    <row r="3" spans="1:8" x14ac:dyDescent="0.25">
      <c r="A3" s="63">
        <f>A2+1</f>
        <v>42737</v>
      </c>
      <c r="B3">
        <v>0</v>
      </c>
    </row>
    <row r="4" spans="1:8" x14ac:dyDescent="0.25">
      <c r="A4" s="63">
        <f t="shared" ref="A4:A67" si="0">A3+1</f>
        <v>42738</v>
      </c>
      <c r="B4">
        <v>0</v>
      </c>
    </row>
    <row r="5" spans="1:8" x14ac:dyDescent="0.25">
      <c r="A5" s="63">
        <f t="shared" si="0"/>
        <v>42739</v>
      </c>
      <c r="B5">
        <v>0</v>
      </c>
    </row>
    <row r="6" spans="1:8" x14ac:dyDescent="0.25">
      <c r="A6" s="63">
        <f t="shared" si="0"/>
        <v>42740</v>
      </c>
      <c r="B6">
        <v>0</v>
      </c>
    </row>
    <row r="7" spans="1:8" x14ac:dyDescent="0.25">
      <c r="A7" s="63">
        <f t="shared" si="0"/>
        <v>42741</v>
      </c>
      <c r="B7">
        <v>0</v>
      </c>
    </row>
    <row r="8" spans="1:8" x14ac:dyDescent="0.25">
      <c r="A8" s="63">
        <f t="shared" si="0"/>
        <v>42742</v>
      </c>
      <c r="B8">
        <v>0</v>
      </c>
    </row>
    <row r="9" spans="1:8" x14ac:dyDescent="0.25">
      <c r="A9" s="63">
        <f t="shared" si="0"/>
        <v>42743</v>
      </c>
      <c r="B9">
        <v>913.9</v>
      </c>
      <c r="C9">
        <v>106.19</v>
      </c>
      <c r="D9">
        <v>377.24</v>
      </c>
      <c r="E9">
        <v>189.59</v>
      </c>
      <c r="F9">
        <v>105.19</v>
      </c>
      <c r="G9">
        <v>103.04</v>
      </c>
      <c r="H9">
        <v>32.65</v>
      </c>
    </row>
    <row r="10" spans="1:8" x14ac:dyDescent="0.25">
      <c r="A10" s="63">
        <f t="shared" si="0"/>
        <v>42744</v>
      </c>
      <c r="B10">
        <v>943.05000000000007</v>
      </c>
      <c r="C10">
        <v>88.26</v>
      </c>
      <c r="D10">
        <v>356.19</v>
      </c>
      <c r="E10">
        <v>237</v>
      </c>
      <c r="F10">
        <v>101.23</v>
      </c>
      <c r="G10">
        <v>117.4</v>
      </c>
      <c r="H10">
        <v>42.97</v>
      </c>
    </row>
    <row r="11" spans="1:8" x14ac:dyDescent="0.25">
      <c r="A11" s="63">
        <f t="shared" si="0"/>
        <v>42745</v>
      </c>
      <c r="B11">
        <v>989.69999999999993</v>
      </c>
      <c r="C11">
        <v>83.81</v>
      </c>
      <c r="D11">
        <v>417.02</v>
      </c>
      <c r="E11">
        <v>244.15</v>
      </c>
      <c r="F11">
        <v>91.53</v>
      </c>
      <c r="G11">
        <v>104.81</v>
      </c>
      <c r="H11">
        <v>48.38</v>
      </c>
    </row>
    <row r="12" spans="1:8" x14ac:dyDescent="0.25">
      <c r="A12" s="63">
        <f t="shared" si="0"/>
        <v>42746</v>
      </c>
      <c r="B12">
        <v>968.78</v>
      </c>
      <c r="C12">
        <v>83.18</v>
      </c>
      <c r="D12">
        <v>394.81</v>
      </c>
      <c r="E12">
        <v>256.82</v>
      </c>
      <c r="F12">
        <v>83.74</v>
      </c>
      <c r="G12">
        <v>101.95</v>
      </c>
      <c r="H12">
        <v>48.28</v>
      </c>
    </row>
    <row r="13" spans="1:8" x14ac:dyDescent="0.25">
      <c r="A13" s="63">
        <f t="shared" si="0"/>
        <v>42747</v>
      </c>
      <c r="B13">
        <v>911.84</v>
      </c>
      <c r="C13">
        <v>91.11</v>
      </c>
      <c r="D13">
        <v>363.23</v>
      </c>
      <c r="E13">
        <v>238.15</v>
      </c>
      <c r="F13">
        <v>89.83</v>
      </c>
      <c r="G13">
        <v>80.760000000000005</v>
      </c>
      <c r="H13">
        <v>48.76</v>
      </c>
    </row>
    <row r="14" spans="1:8" x14ac:dyDescent="0.25">
      <c r="A14" s="63">
        <f t="shared" si="0"/>
        <v>42748</v>
      </c>
      <c r="B14">
        <v>955.44999999999993</v>
      </c>
      <c r="C14">
        <v>73.89</v>
      </c>
      <c r="D14">
        <v>361.37</v>
      </c>
      <c r="E14">
        <v>247.51</v>
      </c>
      <c r="F14">
        <v>96.01</v>
      </c>
      <c r="G14">
        <v>121.77</v>
      </c>
      <c r="H14">
        <v>54.9</v>
      </c>
    </row>
    <row r="15" spans="1:8" x14ac:dyDescent="0.25">
      <c r="A15" s="63">
        <f t="shared" si="0"/>
        <v>42749</v>
      </c>
      <c r="B15">
        <v>937.3</v>
      </c>
      <c r="C15">
        <v>66.39</v>
      </c>
      <c r="D15">
        <v>402.77</v>
      </c>
      <c r="E15">
        <v>247.64</v>
      </c>
      <c r="F15">
        <v>91.77</v>
      </c>
      <c r="G15">
        <v>81.52</v>
      </c>
      <c r="H15">
        <v>47.21</v>
      </c>
    </row>
    <row r="16" spans="1:8" x14ac:dyDescent="0.25">
      <c r="A16" s="63">
        <f t="shared" si="0"/>
        <v>42750</v>
      </c>
      <c r="B16">
        <v>850.43999999999994</v>
      </c>
      <c r="C16">
        <v>76.66</v>
      </c>
      <c r="D16">
        <v>316.73</v>
      </c>
      <c r="E16">
        <v>246.78</v>
      </c>
      <c r="F16">
        <v>88.88</v>
      </c>
      <c r="G16">
        <v>73.84</v>
      </c>
      <c r="H16">
        <v>47.55</v>
      </c>
    </row>
    <row r="17" spans="1:8" x14ac:dyDescent="0.25">
      <c r="A17" s="63">
        <f t="shared" si="0"/>
        <v>42751</v>
      </c>
      <c r="B17">
        <v>896.15</v>
      </c>
      <c r="C17">
        <v>98.63</v>
      </c>
      <c r="D17">
        <v>305.06</v>
      </c>
      <c r="E17">
        <v>240.71</v>
      </c>
      <c r="F17">
        <v>83.61</v>
      </c>
      <c r="G17">
        <v>111.37</v>
      </c>
      <c r="H17">
        <v>56.77</v>
      </c>
    </row>
    <row r="18" spans="1:8" x14ac:dyDescent="0.25">
      <c r="A18" s="63">
        <f t="shared" si="0"/>
        <v>42752</v>
      </c>
      <c r="B18">
        <v>951.62000000000012</v>
      </c>
      <c r="C18">
        <v>94.36</v>
      </c>
      <c r="D18">
        <v>355.98</v>
      </c>
      <c r="E18">
        <v>247.46</v>
      </c>
      <c r="F18">
        <v>92.96</v>
      </c>
      <c r="G18">
        <v>106.67</v>
      </c>
      <c r="H18">
        <v>54.19</v>
      </c>
    </row>
    <row r="19" spans="1:8" x14ac:dyDescent="0.25">
      <c r="A19" s="63">
        <f t="shared" si="0"/>
        <v>42753</v>
      </c>
      <c r="B19">
        <v>1005.0499999999998</v>
      </c>
      <c r="C19">
        <v>89.76</v>
      </c>
      <c r="D19">
        <v>418.64</v>
      </c>
      <c r="E19">
        <v>246.44</v>
      </c>
      <c r="F19">
        <v>93.15</v>
      </c>
      <c r="G19">
        <v>103.44</v>
      </c>
      <c r="H19">
        <v>53.62</v>
      </c>
    </row>
    <row r="20" spans="1:8" x14ac:dyDescent="0.25">
      <c r="A20" s="63">
        <f t="shared" si="0"/>
        <v>42754</v>
      </c>
      <c r="B20">
        <v>998.83999999999992</v>
      </c>
      <c r="C20">
        <v>105.69</v>
      </c>
      <c r="D20">
        <v>387.97</v>
      </c>
      <c r="E20">
        <v>250.58</v>
      </c>
      <c r="F20">
        <v>97.57</v>
      </c>
      <c r="G20">
        <v>101.42</v>
      </c>
      <c r="H20">
        <v>55.61</v>
      </c>
    </row>
    <row r="21" spans="1:8" x14ac:dyDescent="0.25">
      <c r="A21" s="63">
        <f t="shared" si="0"/>
        <v>42755</v>
      </c>
      <c r="B21">
        <v>953.43</v>
      </c>
      <c r="C21">
        <v>94.88</v>
      </c>
      <c r="D21">
        <v>359.76</v>
      </c>
      <c r="E21">
        <v>247.78</v>
      </c>
      <c r="F21">
        <v>96.66</v>
      </c>
      <c r="G21">
        <v>93.02</v>
      </c>
      <c r="H21">
        <v>61.33</v>
      </c>
    </row>
    <row r="22" spans="1:8" x14ac:dyDescent="0.25">
      <c r="A22" s="63">
        <f t="shared" si="0"/>
        <v>42756</v>
      </c>
      <c r="B22">
        <v>922.64</v>
      </c>
      <c r="C22">
        <v>64.099999999999994</v>
      </c>
      <c r="D22">
        <v>360.86</v>
      </c>
      <c r="E22">
        <v>250.98</v>
      </c>
      <c r="F22">
        <v>101.57</v>
      </c>
      <c r="G22">
        <v>89.21</v>
      </c>
      <c r="H22">
        <v>55.92</v>
      </c>
    </row>
    <row r="23" spans="1:8" x14ac:dyDescent="0.25">
      <c r="A23" s="63">
        <f t="shared" si="0"/>
        <v>42757</v>
      </c>
      <c r="B23">
        <v>872.97</v>
      </c>
      <c r="C23">
        <v>75.92</v>
      </c>
      <c r="D23">
        <v>287.17</v>
      </c>
      <c r="E23">
        <v>246.26</v>
      </c>
      <c r="F23">
        <v>110.37</v>
      </c>
      <c r="G23">
        <v>96.79</v>
      </c>
      <c r="H23">
        <v>56.46</v>
      </c>
    </row>
    <row r="24" spans="1:8" x14ac:dyDescent="0.25">
      <c r="A24" s="63">
        <f t="shared" si="0"/>
        <v>42758</v>
      </c>
      <c r="B24">
        <v>999.31999999999994</v>
      </c>
      <c r="C24">
        <v>116.2</v>
      </c>
      <c r="D24">
        <v>332.59</v>
      </c>
      <c r="E24">
        <v>253.3</v>
      </c>
      <c r="F24">
        <v>105.98</v>
      </c>
      <c r="G24">
        <v>128.16</v>
      </c>
      <c r="H24">
        <v>63.09</v>
      </c>
    </row>
    <row r="25" spans="1:8" x14ac:dyDescent="0.25">
      <c r="A25" s="63">
        <f t="shared" si="0"/>
        <v>42759</v>
      </c>
      <c r="B25">
        <v>1026.43</v>
      </c>
      <c r="C25">
        <v>88.2</v>
      </c>
      <c r="D25">
        <v>363.64</v>
      </c>
      <c r="E25">
        <v>289.5</v>
      </c>
      <c r="F25">
        <v>100.94</v>
      </c>
      <c r="G25">
        <v>118.37</v>
      </c>
      <c r="H25">
        <v>65.78</v>
      </c>
    </row>
    <row r="26" spans="1:8" x14ac:dyDescent="0.25">
      <c r="A26" s="63">
        <f t="shared" si="0"/>
        <v>42760</v>
      </c>
      <c r="B26">
        <v>1076.75</v>
      </c>
      <c r="C26">
        <v>117.95</v>
      </c>
      <c r="D26">
        <v>383.89</v>
      </c>
      <c r="E26">
        <v>287.01</v>
      </c>
      <c r="F26">
        <v>99.53</v>
      </c>
      <c r="G26">
        <v>123.84</v>
      </c>
      <c r="H26">
        <v>64.53</v>
      </c>
    </row>
    <row r="27" spans="1:8" x14ac:dyDescent="0.25">
      <c r="A27" s="63">
        <f t="shared" si="0"/>
        <v>42761</v>
      </c>
      <c r="B27">
        <v>1042.9000000000001</v>
      </c>
      <c r="C27">
        <v>106.17</v>
      </c>
      <c r="D27">
        <v>366.27</v>
      </c>
      <c r="E27">
        <v>278.55</v>
      </c>
      <c r="F27">
        <v>100.71</v>
      </c>
      <c r="G27">
        <v>126.07</v>
      </c>
      <c r="H27">
        <v>65.13</v>
      </c>
    </row>
    <row r="28" spans="1:8" x14ac:dyDescent="0.25">
      <c r="A28" s="63">
        <f t="shared" si="0"/>
        <v>42762</v>
      </c>
      <c r="B28">
        <v>1065.22</v>
      </c>
      <c r="C28">
        <v>117.54</v>
      </c>
      <c r="D28">
        <v>380.72</v>
      </c>
      <c r="E28">
        <v>284.23</v>
      </c>
      <c r="F28">
        <v>109.03</v>
      </c>
      <c r="G28">
        <v>109.48</v>
      </c>
      <c r="H28">
        <v>64.22</v>
      </c>
    </row>
    <row r="29" spans="1:8" x14ac:dyDescent="0.25">
      <c r="A29" s="63">
        <f t="shared" si="0"/>
        <v>42763</v>
      </c>
      <c r="B29">
        <v>1110.2599999999998</v>
      </c>
      <c r="C29">
        <v>107.6</v>
      </c>
      <c r="D29">
        <v>395.06</v>
      </c>
      <c r="E29">
        <v>286.64</v>
      </c>
      <c r="F29">
        <v>112.59</v>
      </c>
      <c r="G29">
        <v>144.5</v>
      </c>
      <c r="H29">
        <v>63.87</v>
      </c>
    </row>
    <row r="30" spans="1:8" x14ac:dyDescent="0.25">
      <c r="A30" s="63">
        <f t="shared" si="0"/>
        <v>42764</v>
      </c>
      <c r="B30">
        <v>939.19</v>
      </c>
      <c r="C30">
        <v>101.85</v>
      </c>
      <c r="D30">
        <v>280.24</v>
      </c>
      <c r="E30">
        <v>253.47</v>
      </c>
      <c r="F30">
        <v>113.77</v>
      </c>
      <c r="G30">
        <v>125.88</v>
      </c>
      <c r="H30">
        <v>63.98</v>
      </c>
    </row>
    <row r="31" spans="1:8" x14ac:dyDescent="0.25">
      <c r="A31" s="63">
        <f t="shared" si="0"/>
        <v>42765</v>
      </c>
      <c r="B31">
        <v>903.3900000000001</v>
      </c>
      <c r="C31">
        <v>66.400000000000006</v>
      </c>
      <c r="D31">
        <v>346.56</v>
      </c>
      <c r="E31">
        <v>259.76</v>
      </c>
      <c r="F31">
        <v>82.5</v>
      </c>
      <c r="G31">
        <v>99.18</v>
      </c>
      <c r="H31">
        <v>48.99</v>
      </c>
    </row>
    <row r="32" spans="1:8" x14ac:dyDescent="0.25">
      <c r="A32" s="63">
        <f t="shared" si="0"/>
        <v>42766</v>
      </c>
      <c r="B32">
        <v>996.37999999999988</v>
      </c>
      <c r="C32">
        <v>79.290000000000006</v>
      </c>
      <c r="D32">
        <v>387.2</v>
      </c>
      <c r="E32">
        <v>302.83</v>
      </c>
      <c r="F32">
        <v>82.81</v>
      </c>
      <c r="G32">
        <v>93.5</v>
      </c>
      <c r="H32">
        <v>50.75</v>
      </c>
    </row>
    <row r="33" spans="1:8" x14ac:dyDescent="0.25">
      <c r="A33" s="63">
        <f t="shared" si="0"/>
        <v>42767</v>
      </c>
      <c r="B33">
        <v>1050.0899999999999</v>
      </c>
      <c r="C33">
        <v>104.18</v>
      </c>
      <c r="D33">
        <v>418.83</v>
      </c>
      <c r="E33">
        <v>283.58999999999997</v>
      </c>
      <c r="F33">
        <v>89.84</v>
      </c>
      <c r="G33">
        <v>99.31</v>
      </c>
      <c r="H33">
        <v>54.34</v>
      </c>
    </row>
    <row r="34" spans="1:8" x14ac:dyDescent="0.25">
      <c r="A34" s="63">
        <f t="shared" si="0"/>
        <v>42768</v>
      </c>
      <c r="B34">
        <v>1112.4399999999998</v>
      </c>
      <c r="C34">
        <v>120.82</v>
      </c>
      <c r="D34">
        <v>453.03</v>
      </c>
      <c r="E34">
        <v>268.14999999999998</v>
      </c>
      <c r="F34">
        <v>119.79</v>
      </c>
      <c r="G34">
        <v>95.43</v>
      </c>
      <c r="H34">
        <v>55.22</v>
      </c>
    </row>
    <row r="35" spans="1:8" x14ac:dyDescent="0.25">
      <c r="A35" s="63">
        <f t="shared" si="0"/>
        <v>42769</v>
      </c>
      <c r="B35">
        <v>1080.94</v>
      </c>
      <c r="C35">
        <v>115.72</v>
      </c>
      <c r="D35">
        <v>406.61</v>
      </c>
      <c r="E35">
        <v>282.14</v>
      </c>
      <c r="F35">
        <v>106.11</v>
      </c>
      <c r="G35">
        <v>111.98</v>
      </c>
      <c r="H35">
        <v>58.38</v>
      </c>
    </row>
    <row r="36" spans="1:8" x14ac:dyDescent="0.25">
      <c r="A36" s="63">
        <f t="shared" si="0"/>
        <v>42770</v>
      </c>
      <c r="B36">
        <v>1109.3799999999999</v>
      </c>
      <c r="C36">
        <v>110.84</v>
      </c>
      <c r="D36">
        <v>423.69</v>
      </c>
      <c r="E36">
        <v>290.44</v>
      </c>
      <c r="F36">
        <v>108.63</v>
      </c>
      <c r="G36">
        <v>114.16</v>
      </c>
      <c r="H36">
        <v>61.62</v>
      </c>
    </row>
    <row r="37" spans="1:8" x14ac:dyDescent="0.25">
      <c r="A37" s="63">
        <f t="shared" si="0"/>
        <v>42771</v>
      </c>
      <c r="B37">
        <v>1101.6299999999999</v>
      </c>
      <c r="C37">
        <v>89.64</v>
      </c>
      <c r="D37">
        <v>429.49</v>
      </c>
      <c r="E37">
        <v>291.04000000000002</v>
      </c>
      <c r="F37">
        <v>121.16</v>
      </c>
      <c r="G37">
        <v>109.99</v>
      </c>
      <c r="H37">
        <v>60.31</v>
      </c>
    </row>
    <row r="38" spans="1:8" x14ac:dyDescent="0.25">
      <c r="A38" s="63">
        <f t="shared" si="0"/>
        <v>42772</v>
      </c>
      <c r="B38">
        <v>1008.3499999999999</v>
      </c>
      <c r="C38">
        <v>91.76</v>
      </c>
      <c r="D38">
        <v>362.07</v>
      </c>
      <c r="E38">
        <v>261.25</v>
      </c>
      <c r="F38">
        <v>118.55</v>
      </c>
      <c r="G38">
        <v>111.64</v>
      </c>
      <c r="H38">
        <v>63.08</v>
      </c>
    </row>
    <row r="39" spans="1:8" x14ac:dyDescent="0.25">
      <c r="A39" s="63">
        <f t="shared" si="0"/>
        <v>42773</v>
      </c>
      <c r="B39">
        <v>1076.8700000000001</v>
      </c>
      <c r="C39">
        <v>73.09</v>
      </c>
      <c r="D39">
        <v>449.8</v>
      </c>
      <c r="E39">
        <v>275.3</v>
      </c>
      <c r="F39">
        <v>116.01</v>
      </c>
      <c r="G39">
        <v>97.14</v>
      </c>
      <c r="H39">
        <v>65.53</v>
      </c>
    </row>
    <row r="40" spans="1:8" x14ac:dyDescent="0.25">
      <c r="A40" s="63">
        <f t="shared" si="0"/>
        <v>42774</v>
      </c>
      <c r="B40">
        <v>1115.05</v>
      </c>
      <c r="C40">
        <v>77.23</v>
      </c>
      <c r="D40">
        <v>459.62</v>
      </c>
      <c r="E40">
        <v>309.20999999999998</v>
      </c>
      <c r="F40">
        <v>104.53</v>
      </c>
      <c r="G40">
        <v>112.62</v>
      </c>
      <c r="H40">
        <v>51.839999999999996</v>
      </c>
    </row>
    <row r="41" spans="1:8" x14ac:dyDescent="0.25">
      <c r="A41" s="63">
        <f t="shared" si="0"/>
        <v>42775</v>
      </c>
      <c r="B41">
        <v>1113.8200000000002</v>
      </c>
      <c r="C41">
        <v>98.89</v>
      </c>
      <c r="D41">
        <v>436.55</v>
      </c>
      <c r="E41">
        <v>299.01</v>
      </c>
      <c r="F41">
        <v>109.99</v>
      </c>
      <c r="G41">
        <v>109.95</v>
      </c>
      <c r="H41">
        <v>59.43</v>
      </c>
    </row>
    <row r="42" spans="1:8" x14ac:dyDescent="0.25">
      <c r="A42" s="63">
        <f t="shared" si="0"/>
        <v>42776</v>
      </c>
      <c r="B42">
        <v>1055.6900000000003</v>
      </c>
      <c r="C42">
        <v>104.6</v>
      </c>
      <c r="D42">
        <v>388.47</v>
      </c>
      <c r="E42">
        <v>292.33</v>
      </c>
      <c r="F42">
        <v>102.44</v>
      </c>
      <c r="G42">
        <v>106.09</v>
      </c>
      <c r="H42">
        <v>61.76</v>
      </c>
    </row>
    <row r="43" spans="1:8" x14ac:dyDescent="0.25">
      <c r="A43" s="63">
        <f t="shared" si="0"/>
        <v>42777</v>
      </c>
      <c r="B43">
        <v>1105.48</v>
      </c>
      <c r="C43">
        <v>84.56</v>
      </c>
      <c r="D43">
        <v>466.6</v>
      </c>
      <c r="E43">
        <v>290.02</v>
      </c>
      <c r="F43">
        <v>94.29</v>
      </c>
      <c r="G43">
        <v>111.01</v>
      </c>
      <c r="H43">
        <v>59</v>
      </c>
    </row>
    <row r="44" spans="1:8" x14ac:dyDescent="0.25">
      <c r="A44" s="63">
        <f t="shared" si="0"/>
        <v>42778</v>
      </c>
      <c r="B44">
        <v>1001.48</v>
      </c>
      <c r="C44">
        <v>76.17</v>
      </c>
      <c r="D44">
        <v>368.03</v>
      </c>
      <c r="E44">
        <v>298.05</v>
      </c>
      <c r="F44">
        <v>98.96</v>
      </c>
      <c r="G44">
        <v>97.59</v>
      </c>
      <c r="H44">
        <v>62.68</v>
      </c>
    </row>
    <row r="45" spans="1:8" x14ac:dyDescent="0.25">
      <c r="A45" s="63">
        <f t="shared" si="0"/>
        <v>42779</v>
      </c>
      <c r="B45">
        <v>967.06000000000006</v>
      </c>
      <c r="C45">
        <v>83.45</v>
      </c>
      <c r="D45">
        <v>346.71</v>
      </c>
      <c r="E45">
        <v>258.32</v>
      </c>
      <c r="F45">
        <v>95.28</v>
      </c>
      <c r="G45">
        <v>120.18</v>
      </c>
      <c r="H45">
        <v>63.12</v>
      </c>
    </row>
    <row r="46" spans="1:8" x14ac:dyDescent="0.25">
      <c r="A46" s="63">
        <f t="shared" si="0"/>
        <v>42780</v>
      </c>
      <c r="B46">
        <v>933.86</v>
      </c>
      <c r="C46">
        <v>77.28</v>
      </c>
      <c r="D46">
        <v>384.79</v>
      </c>
      <c r="E46">
        <v>242.68</v>
      </c>
      <c r="F46">
        <v>75.64</v>
      </c>
      <c r="G46">
        <v>95.95</v>
      </c>
      <c r="H46">
        <v>57.52</v>
      </c>
    </row>
    <row r="47" spans="1:8" x14ac:dyDescent="0.25">
      <c r="A47" s="63">
        <f t="shared" si="0"/>
        <v>42781</v>
      </c>
      <c r="B47">
        <v>932.40999999999985</v>
      </c>
      <c r="C47">
        <v>78.360000000000014</v>
      </c>
      <c r="D47">
        <v>362.59</v>
      </c>
      <c r="E47">
        <v>249.14</v>
      </c>
      <c r="F47">
        <v>88.25</v>
      </c>
      <c r="G47">
        <v>94.66</v>
      </c>
      <c r="H47">
        <v>59.41</v>
      </c>
    </row>
    <row r="48" spans="1:8" x14ac:dyDescent="0.25">
      <c r="A48" s="63">
        <f t="shared" si="0"/>
        <v>42782</v>
      </c>
      <c r="B48">
        <v>829.05000000000007</v>
      </c>
      <c r="C48">
        <v>55.6</v>
      </c>
      <c r="D48">
        <v>286.5</v>
      </c>
      <c r="E48">
        <v>218.6</v>
      </c>
      <c r="F48">
        <v>106.73</v>
      </c>
      <c r="G48">
        <v>101.05</v>
      </c>
      <c r="H48">
        <v>60.57</v>
      </c>
    </row>
    <row r="49" spans="1:8" x14ac:dyDescent="0.25">
      <c r="A49" s="63">
        <f t="shared" si="0"/>
        <v>42783</v>
      </c>
      <c r="B49">
        <v>797.73</v>
      </c>
      <c r="C49">
        <v>45.34</v>
      </c>
      <c r="D49">
        <v>309.08</v>
      </c>
      <c r="E49">
        <v>209.8</v>
      </c>
      <c r="F49">
        <v>87.15</v>
      </c>
      <c r="G49">
        <v>93.42</v>
      </c>
      <c r="H49">
        <v>52.94</v>
      </c>
    </row>
    <row r="50" spans="1:8" x14ac:dyDescent="0.25">
      <c r="A50" s="63">
        <f t="shared" si="0"/>
        <v>42784</v>
      </c>
      <c r="B50">
        <v>739.77</v>
      </c>
      <c r="C50">
        <v>51.38</v>
      </c>
      <c r="D50">
        <v>221.98</v>
      </c>
      <c r="E50">
        <v>248.62</v>
      </c>
      <c r="F50">
        <v>74.099999999999994</v>
      </c>
      <c r="G50">
        <v>85.8</v>
      </c>
      <c r="H50">
        <v>57.89</v>
      </c>
    </row>
    <row r="51" spans="1:8" x14ac:dyDescent="0.25">
      <c r="A51" s="63">
        <f t="shared" si="0"/>
        <v>42785</v>
      </c>
      <c r="B51">
        <v>767.64</v>
      </c>
      <c r="C51">
        <v>45.84</v>
      </c>
      <c r="D51">
        <v>289.12</v>
      </c>
      <c r="E51">
        <v>223.33</v>
      </c>
      <c r="F51">
        <v>68.52</v>
      </c>
      <c r="G51">
        <v>83.41</v>
      </c>
      <c r="H51">
        <v>57.42</v>
      </c>
    </row>
    <row r="52" spans="1:8" x14ac:dyDescent="0.25">
      <c r="A52" s="63">
        <f t="shared" si="0"/>
        <v>42786</v>
      </c>
      <c r="B52">
        <v>894.55</v>
      </c>
      <c r="C52">
        <v>84.46</v>
      </c>
      <c r="D52">
        <v>345.71</v>
      </c>
      <c r="E52">
        <v>230.49</v>
      </c>
      <c r="F52">
        <v>89.55</v>
      </c>
      <c r="G52">
        <v>87.82</v>
      </c>
      <c r="H52">
        <v>56.52</v>
      </c>
    </row>
    <row r="53" spans="1:8" x14ac:dyDescent="0.25">
      <c r="A53" s="63">
        <f t="shared" si="0"/>
        <v>42787</v>
      </c>
      <c r="B53">
        <v>867.03</v>
      </c>
      <c r="C53">
        <v>58.59</v>
      </c>
      <c r="D53">
        <v>377.06</v>
      </c>
      <c r="E53">
        <v>193.82</v>
      </c>
      <c r="F53">
        <v>85.54</v>
      </c>
      <c r="G53">
        <v>97.35</v>
      </c>
      <c r="H53">
        <v>54.67</v>
      </c>
    </row>
    <row r="54" spans="1:8" x14ac:dyDescent="0.25">
      <c r="A54" s="63">
        <f t="shared" si="0"/>
        <v>42788</v>
      </c>
      <c r="B54">
        <v>907.5200000000001</v>
      </c>
      <c r="C54">
        <v>65.72</v>
      </c>
      <c r="D54">
        <v>372.92</v>
      </c>
      <c r="E54">
        <v>227.25</v>
      </c>
      <c r="F54">
        <v>89.45</v>
      </c>
      <c r="G54">
        <v>88.45</v>
      </c>
      <c r="H54">
        <v>63.73</v>
      </c>
    </row>
    <row r="55" spans="1:8" x14ac:dyDescent="0.25">
      <c r="A55" s="63">
        <f t="shared" si="0"/>
        <v>42789</v>
      </c>
      <c r="B55">
        <v>880.29000000000008</v>
      </c>
      <c r="C55">
        <v>56.7</v>
      </c>
      <c r="D55">
        <v>415.47</v>
      </c>
      <c r="E55">
        <v>181.12</v>
      </c>
      <c r="F55">
        <v>84.72</v>
      </c>
      <c r="G55">
        <v>85.45</v>
      </c>
      <c r="H55">
        <v>56.83</v>
      </c>
    </row>
    <row r="56" spans="1:8" x14ac:dyDescent="0.25">
      <c r="A56" s="63">
        <f t="shared" si="0"/>
        <v>42790</v>
      </c>
      <c r="B56">
        <v>931.6</v>
      </c>
      <c r="C56">
        <v>54.52</v>
      </c>
      <c r="D56">
        <v>368.91</v>
      </c>
      <c r="E56">
        <v>271.7</v>
      </c>
      <c r="F56">
        <v>86.09</v>
      </c>
      <c r="G56">
        <v>89.88</v>
      </c>
      <c r="H56">
        <v>60.5</v>
      </c>
    </row>
    <row r="57" spans="1:8" x14ac:dyDescent="0.25">
      <c r="A57" s="63">
        <f t="shared" si="0"/>
        <v>42791</v>
      </c>
      <c r="B57">
        <v>841.2399999999999</v>
      </c>
      <c r="C57">
        <v>54.72</v>
      </c>
      <c r="D57">
        <v>315.70999999999998</v>
      </c>
      <c r="E57">
        <v>234.54</v>
      </c>
      <c r="F57">
        <v>86</v>
      </c>
      <c r="G57">
        <v>87.84</v>
      </c>
      <c r="H57">
        <v>62.43</v>
      </c>
    </row>
    <row r="58" spans="1:8" x14ac:dyDescent="0.25">
      <c r="A58" s="63">
        <f t="shared" si="0"/>
        <v>42792</v>
      </c>
      <c r="B58">
        <v>880.28</v>
      </c>
      <c r="C58">
        <v>55.84</v>
      </c>
      <c r="D58">
        <v>348.53</v>
      </c>
      <c r="E58">
        <v>241.74</v>
      </c>
      <c r="F58">
        <v>93.19</v>
      </c>
      <c r="G58">
        <v>77.88</v>
      </c>
      <c r="H58">
        <v>63.1</v>
      </c>
    </row>
    <row r="59" spans="1:8" x14ac:dyDescent="0.25">
      <c r="A59" s="63">
        <f t="shared" si="0"/>
        <v>42793</v>
      </c>
      <c r="B59">
        <v>882.26999999999987</v>
      </c>
      <c r="C59">
        <v>91.11</v>
      </c>
      <c r="D59">
        <v>290.76</v>
      </c>
      <c r="E59">
        <v>255.43</v>
      </c>
      <c r="F59">
        <v>103.54</v>
      </c>
      <c r="G59">
        <v>76.28</v>
      </c>
      <c r="H59">
        <v>65.150000000000006</v>
      </c>
    </row>
    <row r="60" spans="1:8" x14ac:dyDescent="0.25">
      <c r="A60" s="63">
        <f t="shared" si="0"/>
        <v>42794</v>
      </c>
      <c r="B60">
        <v>943.58999999999992</v>
      </c>
      <c r="C60">
        <v>79.17</v>
      </c>
      <c r="D60">
        <v>430.22</v>
      </c>
      <c r="E60">
        <v>190.33</v>
      </c>
      <c r="F60">
        <v>88.28</v>
      </c>
      <c r="G60">
        <v>92.05</v>
      </c>
      <c r="H60">
        <v>63.54</v>
      </c>
    </row>
    <row r="61" spans="1:8" x14ac:dyDescent="0.25">
      <c r="A61" s="63">
        <f t="shared" si="0"/>
        <v>42795</v>
      </c>
      <c r="B61">
        <v>981.51000000000022</v>
      </c>
      <c r="C61">
        <v>78.28</v>
      </c>
      <c r="D61">
        <v>377.04</v>
      </c>
      <c r="E61">
        <v>253.31</v>
      </c>
      <c r="F61">
        <v>108.45</v>
      </c>
      <c r="G61">
        <v>98.58</v>
      </c>
      <c r="H61">
        <v>65.849999999999994</v>
      </c>
    </row>
    <row r="62" spans="1:8" x14ac:dyDescent="0.25">
      <c r="A62" s="63">
        <f t="shared" si="0"/>
        <v>42796</v>
      </c>
      <c r="B62">
        <v>1065.71</v>
      </c>
      <c r="C62">
        <v>65.84</v>
      </c>
      <c r="D62">
        <v>405.34</v>
      </c>
      <c r="E62">
        <v>274.16000000000003</v>
      </c>
      <c r="F62">
        <v>109.44</v>
      </c>
      <c r="G62">
        <v>98.36</v>
      </c>
      <c r="H62">
        <v>112.57</v>
      </c>
    </row>
    <row r="63" spans="1:8" x14ac:dyDescent="0.25">
      <c r="A63" s="63">
        <f t="shared" si="0"/>
        <v>42797</v>
      </c>
      <c r="B63">
        <v>996.38000000000011</v>
      </c>
      <c r="C63">
        <v>68.91</v>
      </c>
      <c r="D63">
        <v>403.23</v>
      </c>
      <c r="E63">
        <v>269.08999999999997</v>
      </c>
      <c r="F63">
        <v>98.6</v>
      </c>
      <c r="G63">
        <v>96.72</v>
      </c>
      <c r="H63">
        <v>59.83</v>
      </c>
    </row>
    <row r="64" spans="1:8" x14ac:dyDescent="0.25">
      <c r="A64" s="63">
        <f t="shared" si="0"/>
        <v>42798</v>
      </c>
      <c r="B64">
        <v>989.79</v>
      </c>
      <c r="C64">
        <v>76.02</v>
      </c>
      <c r="D64">
        <v>381.91</v>
      </c>
      <c r="E64">
        <v>272.86</v>
      </c>
      <c r="F64">
        <v>111.35</v>
      </c>
      <c r="G64">
        <v>96.18</v>
      </c>
      <c r="H64">
        <v>51.47</v>
      </c>
    </row>
    <row r="65" spans="1:8" x14ac:dyDescent="0.25">
      <c r="A65" s="63">
        <f t="shared" si="0"/>
        <v>42799</v>
      </c>
      <c r="B65">
        <v>944.62</v>
      </c>
      <c r="C65">
        <v>92.45</v>
      </c>
      <c r="D65">
        <v>321.35000000000002</v>
      </c>
      <c r="E65">
        <v>272.98</v>
      </c>
      <c r="F65">
        <v>111.02</v>
      </c>
      <c r="G65">
        <v>96.93</v>
      </c>
      <c r="H65">
        <v>49.89</v>
      </c>
    </row>
    <row r="66" spans="1:8" x14ac:dyDescent="0.25">
      <c r="A66" s="63">
        <f t="shared" si="0"/>
        <v>42800</v>
      </c>
      <c r="B66">
        <v>1016.23</v>
      </c>
      <c r="C66">
        <v>95.99</v>
      </c>
      <c r="D66">
        <v>370.89</v>
      </c>
      <c r="E66">
        <v>274.72000000000003</v>
      </c>
      <c r="F66">
        <v>106.88</v>
      </c>
      <c r="G66">
        <v>112.44000000000001</v>
      </c>
      <c r="H66">
        <v>55.31</v>
      </c>
    </row>
    <row r="67" spans="1:8" x14ac:dyDescent="0.25">
      <c r="A67" s="63">
        <f t="shared" si="0"/>
        <v>42801</v>
      </c>
      <c r="B67">
        <v>1076.46</v>
      </c>
      <c r="C67">
        <v>101.14</v>
      </c>
      <c r="D67">
        <v>406.78</v>
      </c>
      <c r="E67">
        <v>286.58</v>
      </c>
      <c r="F67">
        <v>111.91</v>
      </c>
      <c r="G67">
        <v>112.33</v>
      </c>
      <c r="H67">
        <v>57.72</v>
      </c>
    </row>
    <row r="68" spans="1:8" x14ac:dyDescent="0.25">
      <c r="A68" s="63">
        <f t="shared" ref="A68:A131" si="1">A67+1</f>
        <v>42802</v>
      </c>
      <c r="B68">
        <v>1049.4499999999998</v>
      </c>
      <c r="C68">
        <v>60.01</v>
      </c>
      <c r="D68">
        <v>442.27</v>
      </c>
      <c r="E68">
        <v>280.54000000000002</v>
      </c>
      <c r="F68">
        <v>108.29</v>
      </c>
      <c r="G68">
        <v>102.00999999999999</v>
      </c>
      <c r="H68">
        <v>56.33</v>
      </c>
    </row>
    <row r="69" spans="1:8" x14ac:dyDescent="0.25">
      <c r="A69" s="63">
        <f t="shared" si="1"/>
        <v>42803</v>
      </c>
      <c r="B69">
        <v>1083.5900000000001</v>
      </c>
      <c r="C69">
        <v>85.07</v>
      </c>
      <c r="D69">
        <v>424.74</v>
      </c>
      <c r="E69">
        <v>295.99</v>
      </c>
      <c r="F69">
        <v>108.47999999999999</v>
      </c>
      <c r="G69">
        <v>110.65</v>
      </c>
      <c r="H69">
        <v>58.66</v>
      </c>
    </row>
    <row r="70" spans="1:8" x14ac:dyDescent="0.25">
      <c r="A70" s="63">
        <f t="shared" si="1"/>
        <v>42804</v>
      </c>
      <c r="B70">
        <v>1060.2</v>
      </c>
      <c r="C70">
        <v>87.16</v>
      </c>
      <c r="D70">
        <v>422.1</v>
      </c>
      <c r="E70">
        <v>283.94</v>
      </c>
      <c r="F70">
        <v>103.99</v>
      </c>
      <c r="G70">
        <v>106.07</v>
      </c>
      <c r="H70">
        <v>56.94</v>
      </c>
    </row>
    <row r="71" spans="1:8" x14ac:dyDescent="0.25">
      <c r="A71" s="63">
        <f t="shared" si="1"/>
        <v>42805</v>
      </c>
      <c r="B71">
        <v>1109.26</v>
      </c>
      <c r="C71">
        <v>101.64</v>
      </c>
      <c r="D71">
        <v>413.19</v>
      </c>
      <c r="E71">
        <v>322.02999999999997</v>
      </c>
      <c r="F71">
        <v>101.6</v>
      </c>
      <c r="G71">
        <v>113.98</v>
      </c>
      <c r="H71">
        <v>56.82</v>
      </c>
    </row>
    <row r="72" spans="1:8" x14ac:dyDescent="0.25">
      <c r="A72" s="63">
        <f t="shared" si="1"/>
        <v>42806</v>
      </c>
      <c r="B72">
        <v>1143.56</v>
      </c>
      <c r="C72">
        <v>102.99</v>
      </c>
      <c r="D72">
        <v>448</v>
      </c>
      <c r="E72">
        <v>315.98</v>
      </c>
      <c r="F72">
        <v>98.58</v>
      </c>
      <c r="G72">
        <v>118.21000000000001</v>
      </c>
      <c r="H72">
        <v>59.800000000000004</v>
      </c>
    </row>
    <row r="73" spans="1:8" x14ac:dyDescent="0.25">
      <c r="A73" s="63">
        <f t="shared" si="1"/>
        <v>42807</v>
      </c>
      <c r="B73">
        <v>1080.43</v>
      </c>
      <c r="C73">
        <v>100.68</v>
      </c>
      <c r="D73">
        <v>391.96</v>
      </c>
      <c r="E73">
        <v>305.29000000000002</v>
      </c>
      <c r="F73">
        <v>98.74</v>
      </c>
      <c r="G73">
        <v>120.01</v>
      </c>
      <c r="H73">
        <v>63.75</v>
      </c>
    </row>
    <row r="74" spans="1:8" x14ac:dyDescent="0.25">
      <c r="A74" s="63">
        <f t="shared" si="1"/>
        <v>42808</v>
      </c>
      <c r="B74">
        <v>1149.4399999999998</v>
      </c>
      <c r="C74">
        <v>110.32</v>
      </c>
      <c r="D74">
        <v>427.03</v>
      </c>
      <c r="E74">
        <v>310.97000000000003</v>
      </c>
      <c r="F74">
        <v>104.66</v>
      </c>
      <c r="G74">
        <v>130.47</v>
      </c>
      <c r="H74">
        <v>65.989999999999995</v>
      </c>
    </row>
    <row r="75" spans="1:8" x14ac:dyDescent="0.25">
      <c r="A75" s="63">
        <f t="shared" si="1"/>
        <v>42809</v>
      </c>
      <c r="B75">
        <v>1125.3499999999999</v>
      </c>
      <c r="C75">
        <v>95.36</v>
      </c>
      <c r="D75">
        <v>450.76</v>
      </c>
      <c r="E75">
        <v>283.47000000000003</v>
      </c>
      <c r="F75">
        <v>111.04</v>
      </c>
      <c r="G75">
        <v>121.7</v>
      </c>
      <c r="H75">
        <v>63.02</v>
      </c>
    </row>
    <row r="76" spans="1:8" x14ac:dyDescent="0.25">
      <c r="A76" s="63">
        <f t="shared" si="1"/>
        <v>42810</v>
      </c>
      <c r="B76">
        <v>1107.27</v>
      </c>
      <c r="C76">
        <v>86.06</v>
      </c>
      <c r="D76">
        <v>446.25</v>
      </c>
      <c r="E76">
        <v>290.06</v>
      </c>
      <c r="F76">
        <v>107.18</v>
      </c>
      <c r="G76">
        <v>112.07</v>
      </c>
      <c r="H76">
        <v>65.650000000000006</v>
      </c>
    </row>
    <row r="77" spans="1:8" x14ac:dyDescent="0.25">
      <c r="A77" s="63">
        <f t="shared" si="1"/>
        <v>42811</v>
      </c>
      <c r="B77">
        <v>1079.3200000000002</v>
      </c>
      <c r="C77">
        <v>72.83</v>
      </c>
      <c r="D77">
        <v>416.1</v>
      </c>
      <c r="E77">
        <v>304.27</v>
      </c>
      <c r="F77">
        <v>103.95</v>
      </c>
      <c r="G77">
        <v>118.17</v>
      </c>
      <c r="H77">
        <v>64</v>
      </c>
    </row>
    <row r="78" spans="1:8" x14ac:dyDescent="0.25">
      <c r="A78" s="63">
        <f t="shared" si="1"/>
        <v>42812</v>
      </c>
      <c r="B78">
        <v>1067.52</v>
      </c>
      <c r="C78">
        <v>81.5</v>
      </c>
      <c r="D78">
        <v>404.99</v>
      </c>
      <c r="E78">
        <v>302.49</v>
      </c>
      <c r="F78">
        <v>105.44</v>
      </c>
      <c r="G78">
        <v>111.03</v>
      </c>
      <c r="H78">
        <v>62.07</v>
      </c>
    </row>
    <row r="79" spans="1:8" x14ac:dyDescent="0.25">
      <c r="A79" s="63">
        <f t="shared" si="1"/>
        <v>42813</v>
      </c>
      <c r="B79">
        <v>1091.75</v>
      </c>
      <c r="C79">
        <v>87.87</v>
      </c>
      <c r="D79">
        <v>419.86</v>
      </c>
      <c r="E79">
        <v>310.83999999999997</v>
      </c>
      <c r="F79">
        <v>101.15</v>
      </c>
      <c r="G79">
        <v>111.35</v>
      </c>
      <c r="H79">
        <v>60.68</v>
      </c>
    </row>
    <row r="80" spans="1:8" x14ac:dyDescent="0.25">
      <c r="A80" s="63">
        <f t="shared" si="1"/>
        <v>42814</v>
      </c>
      <c r="B80">
        <v>1041.4599999999998</v>
      </c>
      <c r="C80">
        <v>82.24</v>
      </c>
      <c r="D80">
        <v>393.58</v>
      </c>
      <c r="E80">
        <v>302.01</v>
      </c>
      <c r="F80">
        <v>95.55</v>
      </c>
      <c r="G80">
        <v>113.03</v>
      </c>
      <c r="H80">
        <v>55.05</v>
      </c>
    </row>
    <row r="81" spans="1:8" x14ac:dyDescent="0.25">
      <c r="A81" s="63">
        <f t="shared" si="1"/>
        <v>42815</v>
      </c>
      <c r="B81">
        <v>1093.93</v>
      </c>
      <c r="C81">
        <v>90.88</v>
      </c>
      <c r="D81">
        <v>419.48</v>
      </c>
      <c r="E81">
        <v>309.19</v>
      </c>
      <c r="F81">
        <v>100.35</v>
      </c>
      <c r="G81">
        <v>118.37</v>
      </c>
      <c r="H81">
        <v>55.66</v>
      </c>
    </row>
    <row r="82" spans="1:8" x14ac:dyDescent="0.25">
      <c r="A82" s="63">
        <f t="shared" si="1"/>
        <v>42816</v>
      </c>
      <c r="B82">
        <v>1074.3500000000001</v>
      </c>
      <c r="C82">
        <v>95.83</v>
      </c>
      <c r="D82">
        <v>408.92</v>
      </c>
      <c r="E82">
        <v>312.92</v>
      </c>
      <c r="F82">
        <v>99.2</v>
      </c>
      <c r="G82">
        <v>103.28</v>
      </c>
      <c r="H82">
        <v>54.199999999999996</v>
      </c>
    </row>
    <row r="83" spans="1:8" x14ac:dyDescent="0.25">
      <c r="A83" s="63">
        <f t="shared" si="1"/>
        <v>42817</v>
      </c>
      <c r="B83">
        <v>1040.6399999999999</v>
      </c>
      <c r="C83">
        <v>62.23</v>
      </c>
      <c r="D83">
        <v>424.64</v>
      </c>
      <c r="E83">
        <v>310.67</v>
      </c>
      <c r="F83">
        <v>94.8</v>
      </c>
      <c r="G83">
        <v>95.82</v>
      </c>
      <c r="H83">
        <v>52.48</v>
      </c>
    </row>
    <row r="84" spans="1:8" x14ac:dyDescent="0.25">
      <c r="A84" s="63">
        <f t="shared" si="1"/>
        <v>42818</v>
      </c>
      <c r="B84">
        <v>1049.96</v>
      </c>
      <c r="C84">
        <v>94.26</v>
      </c>
      <c r="D84">
        <v>454.41</v>
      </c>
      <c r="E84">
        <v>266.04000000000002</v>
      </c>
      <c r="F84">
        <v>84.78</v>
      </c>
      <c r="G84">
        <v>98.29</v>
      </c>
      <c r="H84">
        <v>52.18</v>
      </c>
    </row>
    <row r="85" spans="1:8" x14ac:dyDescent="0.25">
      <c r="A85" s="63">
        <f t="shared" si="1"/>
        <v>42819</v>
      </c>
      <c r="B85">
        <v>1028.04</v>
      </c>
      <c r="C85">
        <v>92.08</v>
      </c>
      <c r="D85">
        <v>438.23</v>
      </c>
      <c r="E85">
        <v>258.95</v>
      </c>
      <c r="F85">
        <v>83.96</v>
      </c>
      <c r="G85">
        <v>103.4</v>
      </c>
      <c r="H85">
        <v>51.42</v>
      </c>
    </row>
    <row r="86" spans="1:8" x14ac:dyDescent="0.25">
      <c r="A86" s="63">
        <f t="shared" si="1"/>
        <v>42820</v>
      </c>
      <c r="B86">
        <v>958.9</v>
      </c>
      <c r="C86">
        <v>94.61</v>
      </c>
      <c r="D86">
        <v>394.16</v>
      </c>
      <c r="E86">
        <v>223.99</v>
      </c>
      <c r="F86">
        <v>90.76</v>
      </c>
      <c r="G86">
        <v>104.96</v>
      </c>
      <c r="H86">
        <v>50.42</v>
      </c>
    </row>
    <row r="87" spans="1:8" x14ac:dyDescent="0.25">
      <c r="A87" s="63">
        <f t="shared" si="1"/>
        <v>42821</v>
      </c>
      <c r="B87">
        <v>1046.1599999999999</v>
      </c>
      <c r="C87">
        <v>100.17</v>
      </c>
      <c r="D87">
        <v>435.73</v>
      </c>
      <c r="E87">
        <v>257.16000000000003</v>
      </c>
      <c r="F87">
        <v>100.15</v>
      </c>
      <c r="G87">
        <v>104.46000000000001</v>
      </c>
      <c r="H87">
        <v>48.49</v>
      </c>
    </row>
    <row r="88" spans="1:8" x14ac:dyDescent="0.25">
      <c r="A88" s="63">
        <f t="shared" si="1"/>
        <v>42822</v>
      </c>
      <c r="B88">
        <v>1010.1700000000001</v>
      </c>
      <c r="C88">
        <v>75.260000000000005</v>
      </c>
      <c r="D88">
        <v>423.96</v>
      </c>
      <c r="E88">
        <v>270.97000000000003</v>
      </c>
      <c r="F88">
        <v>100.28</v>
      </c>
      <c r="G88">
        <v>96.73</v>
      </c>
      <c r="H88">
        <v>42.97</v>
      </c>
    </row>
    <row r="89" spans="1:8" x14ac:dyDescent="0.25">
      <c r="A89" s="63">
        <f t="shared" si="1"/>
        <v>42823</v>
      </c>
      <c r="B89">
        <v>1062.99</v>
      </c>
      <c r="C89">
        <v>76.209999999999994</v>
      </c>
      <c r="D89">
        <v>449.12</v>
      </c>
      <c r="E89">
        <v>302.98</v>
      </c>
      <c r="F89">
        <v>94.03</v>
      </c>
      <c r="G89">
        <v>96.53</v>
      </c>
      <c r="H89">
        <v>44.12</v>
      </c>
    </row>
    <row r="90" spans="1:8" x14ac:dyDescent="0.25">
      <c r="A90" s="63">
        <f t="shared" si="1"/>
        <v>42824</v>
      </c>
      <c r="B90">
        <v>1038.53</v>
      </c>
      <c r="C90">
        <v>75.06</v>
      </c>
      <c r="D90">
        <v>425.33</v>
      </c>
      <c r="E90">
        <v>310.52999999999997</v>
      </c>
      <c r="F90">
        <v>90.37</v>
      </c>
      <c r="G90">
        <v>91.100000000000009</v>
      </c>
      <c r="H90">
        <v>46.14</v>
      </c>
    </row>
    <row r="91" spans="1:8" x14ac:dyDescent="0.25">
      <c r="A91" s="63">
        <f t="shared" si="1"/>
        <v>42825</v>
      </c>
      <c r="B91">
        <v>1021.51</v>
      </c>
      <c r="C91">
        <v>71.64</v>
      </c>
      <c r="D91">
        <v>414.64</v>
      </c>
      <c r="E91">
        <v>308.77999999999997</v>
      </c>
      <c r="F91">
        <v>93.99</v>
      </c>
      <c r="G91">
        <v>86.75</v>
      </c>
      <c r="H91">
        <v>45.71</v>
      </c>
    </row>
    <row r="92" spans="1:8" x14ac:dyDescent="0.25">
      <c r="A92" s="63">
        <f t="shared" si="1"/>
        <v>42826</v>
      </c>
      <c r="B92">
        <v>1046.1199999999999</v>
      </c>
      <c r="C92">
        <v>62.08</v>
      </c>
      <c r="D92">
        <v>429.57</v>
      </c>
      <c r="E92">
        <v>325.83</v>
      </c>
      <c r="F92">
        <v>89.73</v>
      </c>
      <c r="G92">
        <v>94.41</v>
      </c>
      <c r="H92">
        <v>44.5</v>
      </c>
    </row>
    <row r="93" spans="1:8" x14ac:dyDescent="0.25">
      <c r="A93" s="63">
        <f t="shared" si="1"/>
        <v>42827</v>
      </c>
      <c r="B93">
        <v>936.00300000000016</v>
      </c>
      <c r="C93">
        <v>34.36</v>
      </c>
      <c r="D93">
        <v>347.53</v>
      </c>
      <c r="E93">
        <v>325.3</v>
      </c>
      <c r="F93">
        <v>101.43</v>
      </c>
      <c r="G93">
        <v>83.62</v>
      </c>
      <c r="H93">
        <v>43.762999999999998</v>
      </c>
    </row>
    <row r="94" spans="1:8" x14ac:dyDescent="0.25">
      <c r="A94" s="63">
        <f t="shared" si="1"/>
        <v>42828</v>
      </c>
      <c r="B94">
        <v>1015.1600000000001</v>
      </c>
      <c r="C94">
        <v>92.38</v>
      </c>
      <c r="D94">
        <v>346.37</v>
      </c>
      <c r="E94">
        <v>322.7</v>
      </c>
      <c r="F94">
        <v>98.22</v>
      </c>
      <c r="G94">
        <v>107.44</v>
      </c>
      <c r="H94">
        <v>48.05</v>
      </c>
    </row>
    <row r="95" spans="1:8" x14ac:dyDescent="0.25">
      <c r="A95" s="63">
        <f t="shared" si="1"/>
        <v>42829</v>
      </c>
      <c r="B95">
        <v>1090.42</v>
      </c>
      <c r="C95">
        <v>80.67</v>
      </c>
      <c r="D95">
        <v>421.33</v>
      </c>
      <c r="E95">
        <v>320.20999999999998</v>
      </c>
      <c r="F95">
        <v>106.65</v>
      </c>
      <c r="G95">
        <v>109.16</v>
      </c>
      <c r="H95">
        <v>52.4</v>
      </c>
    </row>
    <row r="96" spans="1:8" x14ac:dyDescent="0.25">
      <c r="A96" s="63">
        <f t="shared" si="1"/>
        <v>42830</v>
      </c>
      <c r="B96">
        <v>1063.4100000000001</v>
      </c>
      <c r="C96">
        <v>86.19</v>
      </c>
      <c r="D96">
        <v>427.18</v>
      </c>
      <c r="E96">
        <v>286.61</v>
      </c>
      <c r="F96">
        <v>100.8</v>
      </c>
      <c r="G96">
        <v>107.1</v>
      </c>
      <c r="H96">
        <v>55.53</v>
      </c>
    </row>
    <row r="97" spans="1:8" x14ac:dyDescent="0.25">
      <c r="A97" s="63">
        <f t="shared" si="1"/>
        <v>42831</v>
      </c>
      <c r="B97">
        <v>1112.01</v>
      </c>
      <c r="C97">
        <v>86.3</v>
      </c>
      <c r="D97">
        <v>453.35</v>
      </c>
      <c r="E97">
        <v>312.99</v>
      </c>
      <c r="F97">
        <v>95.14</v>
      </c>
      <c r="G97">
        <v>108.97</v>
      </c>
      <c r="H97">
        <v>55.26</v>
      </c>
    </row>
    <row r="98" spans="1:8" x14ac:dyDescent="0.25">
      <c r="A98" s="63">
        <f t="shared" si="1"/>
        <v>42832</v>
      </c>
      <c r="B98">
        <v>1080.45</v>
      </c>
      <c r="C98">
        <v>86.96</v>
      </c>
      <c r="D98">
        <v>427.16</v>
      </c>
      <c r="E98">
        <v>303.08999999999997</v>
      </c>
      <c r="F98">
        <v>104.5</v>
      </c>
      <c r="G98">
        <v>105.32</v>
      </c>
      <c r="H98">
        <v>53.42</v>
      </c>
    </row>
    <row r="99" spans="1:8" x14ac:dyDescent="0.25">
      <c r="A99" s="63">
        <f t="shared" si="1"/>
        <v>42833</v>
      </c>
      <c r="B99">
        <v>973.59000000000015</v>
      </c>
      <c r="C99">
        <v>44.48</v>
      </c>
      <c r="D99">
        <v>407.32</v>
      </c>
      <c r="E99">
        <v>290.35000000000002</v>
      </c>
      <c r="F99">
        <v>90.71</v>
      </c>
      <c r="G99">
        <v>88.36</v>
      </c>
      <c r="H99">
        <v>52.37</v>
      </c>
    </row>
    <row r="100" spans="1:8" x14ac:dyDescent="0.25">
      <c r="A100" s="63">
        <f t="shared" si="1"/>
        <v>42834</v>
      </c>
      <c r="B100">
        <v>962.53999999999985</v>
      </c>
      <c r="C100">
        <v>35.28</v>
      </c>
      <c r="D100">
        <v>375.27</v>
      </c>
      <c r="E100">
        <v>303.89999999999998</v>
      </c>
      <c r="F100">
        <v>93.69</v>
      </c>
      <c r="G100">
        <v>101.39</v>
      </c>
      <c r="H100">
        <v>53.01</v>
      </c>
    </row>
    <row r="101" spans="1:8" x14ac:dyDescent="0.25">
      <c r="A101" s="63">
        <f t="shared" si="1"/>
        <v>42835</v>
      </c>
      <c r="B101">
        <v>940.68999999999994</v>
      </c>
      <c r="C101">
        <v>76.14</v>
      </c>
      <c r="D101">
        <v>343.16</v>
      </c>
      <c r="E101">
        <v>272</v>
      </c>
      <c r="F101">
        <v>87.52</v>
      </c>
      <c r="G101">
        <v>106.67</v>
      </c>
      <c r="H101">
        <v>55.2</v>
      </c>
    </row>
    <row r="102" spans="1:8" x14ac:dyDescent="0.25">
      <c r="A102" s="63">
        <f t="shared" si="1"/>
        <v>42836</v>
      </c>
      <c r="B102">
        <v>821.1400000000001</v>
      </c>
      <c r="C102">
        <v>69.61</v>
      </c>
      <c r="D102">
        <v>366.97</v>
      </c>
      <c r="E102">
        <v>136.35</v>
      </c>
      <c r="F102">
        <v>107.44</v>
      </c>
      <c r="G102">
        <v>85.85</v>
      </c>
      <c r="H102">
        <v>54.92</v>
      </c>
    </row>
    <row r="103" spans="1:8" x14ac:dyDescent="0.25">
      <c r="A103" s="63">
        <f t="shared" si="1"/>
        <v>42837</v>
      </c>
      <c r="B103">
        <v>913.55</v>
      </c>
      <c r="C103">
        <v>62.45</v>
      </c>
      <c r="D103">
        <v>379.49</v>
      </c>
      <c r="E103">
        <v>229.88</v>
      </c>
      <c r="F103">
        <v>99.74</v>
      </c>
      <c r="G103">
        <v>90.02</v>
      </c>
      <c r="H103">
        <v>51.97</v>
      </c>
    </row>
    <row r="104" spans="1:8" x14ac:dyDescent="0.25">
      <c r="A104" s="63">
        <f t="shared" si="1"/>
        <v>42838</v>
      </c>
      <c r="B104">
        <v>870.15000000000009</v>
      </c>
      <c r="C104">
        <v>60.1</v>
      </c>
      <c r="D104">
        <v>345.46</v>
      </c>
      <c r="E104">
        <v>220.36</v>
      </c>
      <c r="F104">
        <v>98.12</v>
      </c>
      <c r="G104">
        <v>93.67</v>
      </c>
      <c r="H104">
        <v>52.44</v>
      </c>
    </row>
    <row r="105" spans="1:8" x14ac:dyDescent="0.25">
      <c r="A105" s="63">
        <f t="shared" si="1"/>
        <v>42839</v>
      </c>
      <c r="B105">
        <v>794.36</v>
      </c>
      <c r="C105">
        <v>66.09</v>
      </c>
      <c r="D105">
        <v>295.36</v>
      </c>
      <c r="E105">
        <v>210.15</v>
      </c>
      <c r="F105">
        <v>82.01</v>
      </c>
      <c r="G105">
        <v>91.08</v>
      </c>
      <c r="H105">
        <v>49.67</v>
      </c>
    </row>
    <row r="106" spans="1:8" x14ac:dyDescent="0.25">
      <c r="A106" s="63">
        <f t="shared" si="1"/>
        <v>42840</v>
      </c>
      <c r="B106">
        <v>568.24</v>
      </c>
      <c r="C106">
        <v>42.5</v>
      </c>
      <c r="D106">
        <v>183.83</v>
      </c>
      <c r="E106">
        <v>126.62</v>
      </c>
      <c r="F106">
        <v>83.77</v>
      </c>
      <c r="G106">
        <v>80.569999999999993</v>
      </c>
      <c r="H106">
        <v>50.95</v>
      </c>
    </row>
    <row r="107" spans="1:8" x14ac:dyDescent="0.25">
      <c r="A107" s="63">
        <f t="shared" si="1"/>
        <v>42841</v>
      </c>
      <c r="B107">
        <v>0</v>
      </c>
    </row>
    <row r="108" spans="1:8" x14ac:dyDescent="0.25">
      <c r="A108" s="63">
        <f t="shared" si="1"/>
        <v>42842</v>
      </c>
      <c r="B108">
        <v>842.24999999999989</v>
      </c>
      <c r="C108">
        <v>55.88</v>
      </c>
      <c r="D108">
        <v>370.87</v>
      </c>
      <c r="E108">
        <v>180.81</v>
      </c>
      <c r="F108">
        <v>96.62</v>
      </c>
      <c r="G108">
        <v>83.68</v>
      </c>
      <c r="H108">
        <v>54.39</v>
      </c>
    </row>
    <row r="109" spans="1:8" x14ac:dyDescent="0.25">
      <c r="A109" s="63">
        <f t="shared" si="1"/>
        <v>42843</v>
      </c>
      <c r="B109">
        <v>838.23</v>
      </c>
      <c r="C109">
        <v>67.959999999999994</v>
      </c>
      <c r="D109">
        <v>318.75</v>
      </c>
      <c r="E109">
        <v>243.83</v>
      </c>
      <c r="F109">
        <v>93.4</v>
      </c>
      <c r="G109">
        <v>57.56</v>
      </c>
      <c r="H109">
        <v>56.73</v>
      </c>
    </row>
    <row r="110" spans="1:8" x14ac:dyDescent="0.25">
      <c r="A110" s="63">
        <f t="shared" si="1"/>
        <v>42844</v>
      </c>
      <c r="B110">
        <v>840.6</v>
      </c>
      <c r="C110">
        <v>76.540000000000006</v>
      </c>
      <c r="D110">
        <v>305.74</v>
      </c>
      <c r="E110">
        <v>246.24</v>
      </c>
      <c r="F110">
        <v>93.35</v>
      </c>
      <c r="G110">
        <v>64.11</v>
      </c>
      <c r="H110">
        <v>54.62</v>
      </c>
    </row>
    <row r="111" spans="1:8" x14ac:dyDescent="0.25">
      <c r="A111" s="63">
        <f t="shared" si="1"/>
        <v>42845</v>
      </c>
      <c r="B111">
        <v>764.17000000000007</v>
      </c>
      <c r="C111">
        <v>75.89</v>
      </c>
      <c r="D111">
        <v>272.89</v>
      </c>
      <c r="E111">
        <v>221.18</v>
      </c>
      <c r="F111">
        <v>77.97</v>
      </c>
      <c r="G111">
        <v>59.93</v>
      </c>
      <c r="H111">
        <v>56.31</v>
      </c>
    </row>
    <row r="112" spans="1:8" x14ac:dyDescent="0.25">
      <c r="A112" s="63">
        <f t="shared" si="1"/>
        <v>42846</v>
      </c>
      <c r="B112">
        <v>418.22999999999996</v>
      </c>
      <c r="C112">
        <v>21.61</v>
      </c>
      <c r="E112">
        <v>220.66</v>
      </c>
      <c r="F112">
        <v>72.569999999999993</v>
      </c>
      <c r="G112">
        <v>51.08</v>
      </c>
      <c r="H112">
        <v>52.31</v>
      </c>
    </row>
    <row r="113" spans="1:8" x14ac:dyDescent="0.25">
      <c r="A113" s="63">
        <f t="shared" si="1"/>
        <v>42847</v>
      </c>
      <c r="B113">
        <v>30.1</v>
      </c>
      <c r="F113">
        <v>28.48</v>
      </c>
      <c r="G113">
        <v>1.62</v>
      </c>
    </row>
    <row r="114" spans="1:8" x14ac:dyDescent="0.25">
      <c r="A114" s="63">
        <f t="shared" si="1"/>
        <v>42848</v>
      </c>
      <c r="B114">
        <v>0</v>
      </c>
    </row>
    <row r="115" spans="1:8" x14ac:dyDescent="0.25">
      <c r="A115" s="63">
        <f t="shared" si="1"/>
        <v>42849</v>
      </c>
      <c r="B115">
        <v>894.00000000000011</v>
      </c>
      <c r="C115">
        <v>71.739999999999995</v>
      </c>
      <c r="D115">
        <v>420.84</v>
      </c>
      <c r="E115">
        <v>222.52</v>
      </c>
      <c r="F115">
        <v>67.95</v>
      </c>
      <c r="G115">
        <v>74.13</v>
      </c>
      <c r="H115">
        <v>36.82</v>
      </c>
    </row>
    <row r="116" spans="1:8" x14ac:dyDescent="0.25">
      <c r="A116" s="63">
        <f t="shared" si="1"/>
        <v>42850</v>
      </c>
      <c r="B116">
        <v>916.37999999999988</v>
      </c>
      <c r="C116">
        <v>77.09</v>
      </c>
      <c r="D116">
        <v>391.7</v>
      </c>
      <c r="E116">
        <v>251</v>
      </c>
      <c r="F116">
        <v>72.05</v>
      </c>
      <c r="G116">
        <v>93.26</v>
      </c>
      <c r="H116">
        <v>31.28</v>
      </c>
    </row>
    <row r="117" spans="1:8" x14ac:dyDescent="0.25">
      <c r="A117" s="63">
        <f t="shared" si="1"/>
        <v>42851</v>
      </c>
      <c r="B117">
        <v>937.68999999999994</v>
      </c>
      <c r="C117">
        <v>69.16</v>
      </c>
      <c r="D117">
        <v>396.86</v>
      </c>
      <c r="E117">
        <v>272.13</v>
      </c>
      <c r="F117">
        <v>63.8</v>
      </c>
      <c r="G117">
        <v>91.73</v>
      </c>
      <c r="H117">
        <v>44.01</v>
      </c>
    </row>
    <row r="118" spans="1:8" x14ac:dyDescent="0.25">
      <c r="A118" s="63">
        <f t="shared" si="1"/>
        <v>42852</v>
      </c>
      <c r="B118">
        <v>965.19999999999993</v>
      </c>
      <c r="C118">
        <v>78.97</v>
      </c>
      <c r="D118">
        <v>397.96</v>
      </c>
      <c r="E118">
        <v>265.85000000000002</v>
      </c>
      <c r="F118">
        <v>81.400000000000006</v>
      </c>
      <c r="G118">
        <v>96.84</v>
      </c>
      <c r="H118">
        <v>44.18</v>
      </c>
    </row>
    <row r="119" spans="1:8" x14ac:dyDescent="0.25">
      <c r="A119" s="63">
        <f t="shared" si="1"/>
        <v>42853</v>
      </c>
      <c r="B119">
        <v>921.15000000000009</v>
      </c>
      <c r="C119">
        <v>59.8</v>
      </c>
      <c r="D119">
        <v>370.18</v>
      </c>
      <c r="E119">
        <v>276.39999999999998</v>
      </c>
      <c r="F119">
        <v>75.569999999999993</v>
      </c>
      <c r="G119">
        <v>88.87</v>
      </c>
      <c r="H119">
        <v>50.33</v>
      </c>
    </row>
    <row r="120" spans="1:8" x14ac:dyDescent="0.25">
      <c r="A120" s="63">
        <f t="shared" si="1"/>
        <v>42854</v>
      </c>
      <c r="B120">
        <v>393.86</v>
      </c>
      <c r="C120">
        <v>36.08</v>
      </c>
      <c r="D120">
        <v>83.28</v>
      </c>
      <c r="E120">
        <v>128.5</v>
      </c>
      <c r="F120">
        <v>51.34</v>
      </c>
      <c r="G120">
        <v>47.32</v>
      </c>
      <c r="H120">
        <v>47.34</v>
      </c>
    </row>
    <row r="121" spans="1:8" x14ac:dyDescent="0.25">
      <c r="A121" s="63">
        <f t="shared" si="1"/>
        <v>42855</v>
      </c>
      <c r="B121">
        <v>0</v>
      </c>
    </row>
    <row r="122" spans="1:8" x14ac:dyDescent="0.25">
      <c r="A122" s="63">
        <f t="shared" si="1"/>
        <v>42856</v>
      </c>
      <c r="B122">
        <v>0</v>
      </c>
    </row>
    <row r="123" spans="1:8" x14ac:dyDescent="0.25">
      <c r="A123" s="63">
        <f t="shared" si="1"/>
        <v>42857</v>
      </c>
      <c r="B123">
        <v>1049.8600000000001</v>
      </c>
      <c r="C123">
        <v>79.58</v>
      </c>
      <c r="D123">
        <v>462.78</v>
      </c>
      <c r="E123">
        <v>262.13</v>
      </c>
      <c r="F123">
        <v>92.070000000000007</v>
      </c>
      <c r="G123">
        <v>104.23</v>
      </c>
      <c r="H123">
        <v>49.07</v>
      </c>
    </row>
    <row r="124" spans="1:8" x14ac:dyDescent="0.25">
      <c r="A124" s="63">
        <f t="shared" si="1"/>
        <v>42858</v>
      </c>
      <c r="B124">
        <v>921.4799999999999</v>
      </c>
      <c r="C124">
        <v>63.69</v>
      </c>
      <c r="D124">
        <v>360</v>
      </c>
      <c r="E124">
        <v>274.68</v>
      </c>
      <c r="F124">
        <v>86.41</v>
      </c>
      <c r="G124">
        <v>91.3</v>
      </c>
      <c r="H124">
        <v>45.4</v>
      </c>
    </row>
    <row r="125" spans="1:8" x14ac:dyDescent="0.25">
      <c r="A125" s="63">
        <f t="shared" si="1"/>
        <v>42859</v>
      </c>
      <c r="B125">
        <v>804.29</v>
      </c>
      <c r="C125">
        <v>61.34</v>
      </c>
      <c r="D125">
        <v>310.67</v>
      </c>
      <c r="E125">
        <v>218.96</v>
      </c>
      <c r="F125">
        <v>85.5</v>
      </c>
      <c r="G125">
        <v>78.8</v>
      </c>
      <c r="H125">
        <v>49.02</v>
      </c>
    </row>
    <row r="126" spans="1:8" x14ac:dyDescent="0.25">
      <c r="A126" s="63">
        <f t="shared" si="1"/>
        <v>42860</v>
      </c>
      <c r="B126">
        <v>638.34</v>
      </c>
      <c r="C126">
        <v>74.62</v>
      </c>
      <c r="D126">
        <v>120.17</v>
      </c>
      <c r="E126">
        <v>256.7</v>
      </c>
      <c r="F126">
        <v>77.77</v>
      </c>
      <c r="G126">
        <v>65.989999999999995</v>
      </c>
      <c r="H126">
        <v>43.09</v>
      </c>
    </row>
    <row r="127" spans="1:8" x14ac:dyDescent="0.25">
      <c r="A127" s="63">
        <f t="shared" si="1"/>
        <v>42861</v>
      </c>
      <c r="B127">
        <v>263.21000000000004</v>
      </c>
      <c r="C127">
        <v>18.13</v>
      </c>
      <c r="E127">
        <v>131.56</v>
      </c>
      <c r="F127">
        <v>39.11</v>
      </c>
      <c r="G127">
        <v>17.600000000000001</v>
      </c>
      <c r="H127">
        <v>56.81</v>
      </c>
    </row>
    <row r="128" spans="1:8" x14ac:dyDescent="0.25">
      <c r="A128" s="63">
        <f t="shared" si="1"/>
        <v>42862</v>
      </c>
      <c r="B128">
        <v>0</v>
      </c>
    </row>
    <row r="129" spans="1:8" x14ac:dyDescent="0.25">
      <c r="A129" s="63">
        <f t="shared" si="1"/>
        <v>42863</v>
      </c>
      <c r="B129">
        <v>0</v>
      </c>
    </row>
    <row r="130" spans="1:8" x14ac:dyDescent="0.25">
      <c r="A130" s="63">
        <f t="shared" si="1"/>
        <v>42864</v>
      </c>
      <c r="B130">
        <v>0</v>
      </c>
    </row>
    <row r="131" spans="1:8" x14ac:dyDescent="0.25">
      <c r="A131" s="63">
        <f t="shared" si="1"/>
        <v>42865</v>
      </c>
      <c r="B131">
        <v>954.90000000000009</v>
      </c>
      <c r="C131">
        <v>79.3</v>
      </c>
      <c r="D131">
        <v>420.72</v>
      </c>
      <c r="E131">
        <v>249.39</v>
      </c>
      <c r="F131">
        <v>98.5</v>
      </c>
      <c r="G131">
        <v>59.42</v>
      </c>
      <c r="H131">
        <v>47.57</v>
      </c>
    </row>
    <row r="132" spans="1:8" x14ac:dyDescent="0.25">
      <c r="A132" s="63">
        <f t="shared" ref="A132:A195" si="2">A131+1</f>
        <v>42866</v>
      </c>
      <c r="B132">
        <v>896.49</v>
      </c>
      <c r="C132">
        <v>55.55</v>
      </c>
      <c r="D132">
        <v>390.98</v>
      </c>
      <c r="E132">
        <v>247.96</v>
      </c>
      <c r="F132">
        <v>88.49</v>
      </c>
      <c r="G132">
        <v>67.31</v>
      </c>
      <c r="H132">
        <v>46.2</v>
      </c>
    </row>
    <row r="133" spans="1:8" x14ac:dyDescent="0.25">
      <c r="A133" s="63">
        <f t="shared" si="2"/>
        <v>42867</v>
      </c>
      <c r="B133">
        <v>836.82</v>
      </c>
      <c r="C133">
        <v>115.65</v>
      </c>
      <c r="D133">
        <v>257.61</v>
      </c>
      <c r="E133">
        <v>251.37</v>
      </c>
      <c r="F133">
        <v>94.03</v>
      </c>
      <c r="G133">
        <v>73.08</v>
      </c>
      <c r="H133">
        <v>45.08</v>
      </c>
    </row>
    <row r="134" spans="1:8" x14ac:dyDescent="0.25">
      <c r="A134" s="63">
        <f t="shared" si="2"/>
        <v>42868</v>
      </c>
      <c r="B134">
        <v>0</v>
      </c>
    </row>
    <row r="135" spans="1:8" x14ac:dyDescent="0.25">
      <c r="A135" s="63">
        <f t="shared" si="2"/>
        <v>42869</v>
      </c>
      <c r="B135">
        <v>0</v>
      </c>
    </row>
    <row r="136" spans="1:8" x14ac:dyDescent="0.25">
      <c r="A136" s="63">
        <f t="shared" si="2"/>
        <v>42870</v>
      </c>
      <c r="B136">
        <v>1044.6600000000001</v>
      </c>
      <c r="C136">
        <v>105.27</v>
      </c>
      <c r="D136">
        <v>429.04</v>
      </c>
      <c r="E136">
        <v>251.2</v>
      </c>
      <c r="F136">
        <v>96.22</v>
      </c>
      <c r="G136">
        <v>109.43</v>
      </c>
      <c r="H136">
        <v>53.5</v>
      </c>
    </row>
    <row r="137" spans="1:8" x14ac:dyDescent="0.25">
      <c r="A137" s="63">
        <f t="shared" si="2"/>
        <v>42871</v>
      </c>
      <c r="B137">
        <v>1048.46</v>
      </c>
      <c r="C137">
        <v>89.53</v>
      </c>
      <c r="D137">
        <v>419.35</v>
      </c>
      <c r="E137">
        <v>282.08999999999997</v>
      </c>
      <c r="F137">
        <v>98.68</v>
      </c>
      <c r="G137">
        <v>105.94</v>
      </c>
      <c r="H137">
        <v>52.87</v>
      </c>
    </row>
    <row r="138" spans="1:8" x14ac:dyDescent="0.25">
      <c r="A138" s="63">
        <f t="shared" si="2"/>
        <v>42872</v>
      </c>
      <c r="B138">
        <v>1085.9000000000001</v>
      </c>
      <c r="C138">
        <v>90.96</v>
      </c>
      <c r="D138">
        <v>441.68</v>
      </c>
      <c r="E138">
        <v>291.35999999999996</v>
      </c>
      <c r="F138">
        <v>99.34</v>
      </c>
      <c r="G138">
        <v>108.06</v>
      </c>
      <c r="H138">
        <v>54.5</v>
      </c>
    </row>
    <row r="139" spans="1:8" x14ac:dyDescent="0.25">
      <c r="A139" s="63">
        <f t="shared" si="2"/>
        <v>42873</v>
      </c>
      <c r="B139">
        <v>1028.57</v>
      </c>
      <c r="C139">
        <v>83.03</v>
      </c>
      <c r="D139">
        <v>395.99</v>
      </c>
      <c r="E139">
        <v>295.77</v>
      </c>
      <c r="F139">
        <v>94.83</v>
      </c>
      <c r="G139">
        <v>105.63</v>
      </c>
      <c r="H139">
        <v>53.32</v>
      </c>
    </row>
    <row r="140" spans="1:8" x14ac:dyDescent="0.25">
      <c r="A140" s="63">
        <f t="shared" si="2"/>
        <v>42874</v>
      </c>
      <c r="B140">
        <v>1115.3300000000002</v>
      </c>
      <c r="C140">
        <v>82.28</v>
      </c>
      <c r="D140">
        <v>484.48</v>
      </c>
      <c r="E140">
        <v>296.10000000000002</v>
      </c>
      <c r="F140">
        <v>96.19</v>
      </c>
      <c r="G140">
        <v>101.89</v>
      </c>
      <c r="H140">
        <v>54.39</v>
      </c>
    </row>
    <row r="141" spans="1:8" x14ac:dyDescent="0.25">
      <c r="A141" s="63">
        <f t="shared" si="2"/>
        <v>42875</v>
      </c>
      <c r="B141">
        <v>510.06999999999994</v>
      </c>
      <c r="C141">
        <v>66.52</v>
      </c>
      <c r="D141">
        <v>161.38</v>
      </c>
      <c r="E141">
        <v>128.62</v>
      </c>
      <c r="F141">
        <v>44.76</v>
      </c>
      <c r="G141">
        <v>53.66</v>
      </c>
      <c r="H141">
        <v>55.13</v>
      </c>
    </row>
    <row r="142" spans="1:8" x14ac:dyDescent="0.25">
      <c r="A142" s="63">
        <f t="shared" si="2"/>
        <v>42876</v>
      </c>
      <c r="B142">
        <v>0</v>
      </c>
    </row>
    <row r="143" spans="1:8" x14ac:dyDescent="0.25">
      <c r="A143" s="63">
        <f t="shared" si="2"/>
        <v>42877</v>
      </c>
      <c r="B143">
        <v>1097.7199999999998</v>
      </c>
      <c r="C143">
        <v>112.42</v>
      </c>
      <c r="D143">
        <v>425.86</v>
      </c>
      <c r="E143">
        <v>291.04000000000002</v>
      </c>
      <c r="F143">
        <v>97.26</v>
      </c>
      <c r="G143">
        <v>114.29</v>
      </c>
      <c r="H143">
        <v>56.85</v>
      </c>
    </row>
    <row r="144" spans="1:8" x14ac:dyDescent="0.25">
      <c r="A144" s="63">
        <f t="shared" si="2"/>
        <v>42878</v>
      </c>
      <c r="B144">
        <v>1062.27</v>
      </c>
      <c r="C144">
        <v>98.1</v>
      </c>
      <c r="D144">
        <v>416.69</v>
      </c>
      <c r="E144">
        <v>287.81</v>
      </c>
      <c r="F144">
        <v>100.91</v>
      </c>
      <c r="G144">
        <v>99.95</v>
      </c>
      <c r="H144">
        <v>58.809999999999995</v>
      </c>
    </row>
    <row r="145" spans="1:8" x14ac:dyDescent="0.25">
      <c r="A145" s="63">
        <f t="shared" si="2"/>
        <v>42879</v>
      </c>
      <c r="B145">
        <v>1102.82</v>
      </c>
      <c r="C145">
        <v>89.03</v>
      </c>
      <c r="D145">
        <v>443.81</v>
      </c>
      <c r="E145">
        <v>312.2</v>
      </c>
      <c r="F145">
        <v>99.03</v>
      </c>
      <c r="G145">
        <v>109.47</v>
      </c>
      <c r="H145">
        <v>49.28</v>
      </c>
    </row>
    <row r="146" spans="1:8" x14ac:dyDescent="0.25">
      <c r="A146" s="63">
        <f t="shared" si="2"/>
        <v>42880</v>
      </c>
      <c r="B146">
        <v>1062.24</v>
      </c>
      <c r="C146">
        <v>81.010000000000005</v>
      </c>
      <c r="D146">
        <v>426.87</v>
      </c>
      <c r="E146">
        <v>293.75</v>
      </c>
      <c r="F146">
        <v>95.92</v>
      </c>
      <c r="G146">
        <v>105.84</v>
      </c>
      <c r="H146">
        <v>58.85</v>
      </c>
    </row>
    <row r="147" spans="1:8" x14ac:dyDescent="0.25">
      <c r="A147" s="63">
        <f t="shared" si="2"/>
        <v>42881</v>
      </c>
      <c r="B147">
        <v>1050.03</v>
      </c>
      <c r="C147">
        <v>72.88</v>
      </c>
      <c r="D147">
        <v>408.79</v>
      </c>
      <c r="E147">
        <v>298.48</v>
      </c>
      <c r="F147">
        <v>94.51</v>
      </c>
      <c r="G147">
        <v>114.82</v>
      </c>
      <c r="H147">
        <v>60.55</v>
      </c>
    </row>
    <row r="148" spans="1:8" x14ac:dyDescent="0.25">
      <c r="A148" s="63">
        <f t="shared" si="2"/>
        <v>42882</v>
      </c>
      <c r="B148">
        <v>340.37</v>
      </c>
      <c r="C148">
        <v>8.33</v>
      </c>
      <c r="D148">
        <v>181.42</v>
      </c>
      <c r="F148">
        <v>50.22</v>
      </c>
      <c r="G148">
        <v>45.15</v>
      </c>
      <c r="H148">
        <v>55.25</v>
      </c>
    </row>
    <row r="149" spans="1:8" x14ac:dyDescent="0.25">
      <c r="A149" s="63">
        <f t="shared" si="2"/>
        <v>42883</v>
      </c>
      <c r="B149">
        <v>0</v>
      </c>
    </row>
    <row r="150" spans="1:8" x14ac:dyDescent="0.25">
      <c r="A150" s="63">
        <f t="shared" si="2"/>
        <v>42884</v>
      </c>
      <c r="B150">
        <v>1019.87</v>
      </c>
      <c r="C150">
        <v>79.06</v>
      </c>
      <c r="D150">
        <v>397.66</v>
      </c>
      <c r="E150">
        <v>267.37</v>
      </c>
      <c r="F150">
        <v>92.39</v>
      </c>
      <c r="G150">
        <v>127.28</v>
      </c>
      <c r="H150">
        <v>56.11</v>
      </c>
    </row>
    <row r="151" spans="1:8" x14ac:dyDescent="0.25">
      <c r="A151" s="63">
        <f t="shared" si="2"/>
        <v>42885</v>
      </c>
      <c r="B151">
        <v>864.76</v>
      </c>
      <c r="C151">
        <v>66.28</v>
      </c>
      <c r="D151">
        <v>321.79000000000002</v>
      </c>
      <c r="E151">
        <v>254.95</v>
      </c>
      <c r="F151">
        <v>96.81</v>
      </c>
      <c r="G151">
        <v>67.739999999999995</v>
      </c>
      <c r="H151">
        <v>57.19</v>
      </c>
    </row>
    <row r="152" spans="1:8" x14ac:dyDescent="0.25">
      <c r="A152" s="63">
        <f t="shared" si="2"/>
        <v>42886</v>
      </c>
      <c r="B152">
        <v>852.69</v>
      </c>
      <c r="C152">
        <v>61.28</v>
      </c>
      <c r="D152">
        <v>301.88</v>
      </c>
      <c r="E152">
        <v>251.27</v>
      </c>
      <c r="F152">
        <v>94.07</v>
      </c>
      <c r="G152">
        <v>86.1</v>
      </c>
      <c r="H152">
        <v>58.09</v>
      </c>
    </row>
    <row r="153" spans="1:8" x14ac:dyDescent="0.25">
      <c r="A153" s="63">
        <f t="shared" si="2"/>
        <v>42887</v>
      </c>
      <c r="B153">
        <v>775.95</v>
      </c>
      <c r="C153">
        <v>43.49</v>
      </c>
      <c r="D153">
        <v>286.47000000000003</v>
      </c>
      <c r="E153">
        <v>231</v>
      </c>
      <c r="F153">
        <v>92.56</v>
      </c>
      <c r="G153">
        <v>64.33</v>
      </c>
      <c r="H153">
        <v>58.1</v>
      </c>
    </row>
    <row r="154" spans="1:8" x14ac:dyDescent="0.25">
      <c r="A154" s="63">
        <f t="shared" si="2"/>
        <v>42888</v>
      </c>
      <c r="B154">
        <v>988.90000000000009</v>
      </c>
      <c r="C154">
        <v>91.7</v>
      </c>
      <c r="D154">
        <v>359.56</v>
      </c>
      <c r="E154">
        <v>280.18</v>
      </c>
      <c r="F154">
        <v>94.39</v>
      </c>
      <c r="G154">
        <v>103.63</v>
      </c>
      <c r="H154">
        <v>59.44</v>
      </c>
    </row>
    <row r="155" spans="1:8" x14ac:dyDescent="0.25">
      <c r="A155" s="63">
        <f t="shared" si="2"/>
        <v>42889</v>
      </c>
      <c r="B155">
        <v>428.77</v>
      </c>
      <c r="C155">
        <v>37.07</v>
      </c>
      <c r="D155">
        <v>158.51</v>
      </c>
      <c r="E155">
        <v>93.42</v>
      </c>
      <c r="F155">
        <v>46.69</v>
      </c>
      <c r="G155">
        <v>43.36</v>
      </c>
      <c r="H155">
        <v>49.72</v>
      </c>
    </row>
    <row r="156" spans="1:8" x14ac:dyDescent="0.25">
      <c r="A156" s="63">
        <f t="shared" si="2"/>
        <v>42890</v>
      </c>
      <c r="B156">
        <v>0</v>
      </c>
    </row>
    <row r="157" spans="1:8" x14ac:dyDescent="0.25">
      <c r="A157" s="63">
        <f t="shared" si="2"/>
        <v>42891</v>
      </c>
      <c r="B157">
        <v>1083.1000000000001</v>
      </c>
      <c r="C157">
        <v>92.25</v>
      </c>
      <c r="D157">
        <v>454.93</v>
      </c>
      <c r="E157">
        <v>277.48</v>
      </c>
      <c r="F157">
        <v>93.61</v>
      </c>
      <c r="G157">
        <v>105.95</v>
      </c>
      <c r="H157">
        <v>58.88</v>
      </c>
    </row>
    <row r="158" spans="1:8" x14ac:dyDescent="0.25">
      <c r="A158" s="63">
        <f t="shared" si="2"/>
        <v>42892</v>
      </c>
      <c r="B158">
        <v>1010.9000000000001</v>
      </c>
      <c r="C158">
        <v>86.33</v>
      </c>
      <c r="D158">
        <v>365.54</v>
      </c>
      <c r="E158">
        <v>300.37</v>
      </c>
      <c r="F158">
        <v>98.820000000000007</v>
      </c>
      <c r="G158">
        <v>100.65</v>
      </c>
      <c r="H158">
        <v>59.19</v>
      </c>
    </row>
    <row r="159" spans="1:8" x14ac:dyDescent="0.25">
      <c r="A159" s="63">
        <f t="shared" si="2"/>
        <v>42893</v>
      </c>
      <c r="B159">
        <v>1001.6</v>
      </c>
      <c r="C159">
        <v>59.18</v>
      </c>
      <c r="D159">
        <v>393.15</v>
      </c>
      <c r="E159">
        <v>293.44</v>
      </c>
      <c r="F159">
        <v>98.08</v>
      </c>
      <c r="G159">
        <v>97.11</v>
      </c>
      <c r="H159">
        <v>60.64</v>
      </c>
    </row>
    <row r="160" spans="1:8" x14ac:dyDescent="0.25">
      <c r="A160" s="63">
        <f t="shared" si="2"/>
        <v>42894</v>
      </c>
      <c r="B160">
        <v>931.41000000000008</v>
      </c>
      <c r="C160">
        <v>57.25</v>
      </c>
      <c r="D160">
        <v>360.47</v>
      </c>
      <c r="E160">
        <v>273.61</v>
      </c>
      <c r="F160">
        <v>94.53</v>
      </c>
      <c r="G160">
        <v>85.550000000000011</v>
      </c>
      <c r="H160">
        <v>60</v>
      </c>
    </row>
    <row r="161" spans="1:8" x14ac:dyDescent="0.25">
      <c r="A161" s="63">
        <f t="shared" si="2"/>
        <v>42895</v>
      </c>
      <c r="B161">
        <v>706.69999999999993</v>
      </c>
      <c r="C161">
        <v>44.59</v>
      </c>
      <c r="D161">
        <v>303.32</v>
      </c>
      <c r="E161">
        <v>126.68</v>
      </c>
      <c r="F161">
        <v>79.06</v>
      </c>
      <c r="G161">
        <v>93.77</v>
      </c>
      <c r="H161">
        <v>59.28</v>
      </c>
    </row>
    <row r="162" spans="1:8" x14ac:dyDescent="0.25">
      <c r="A162" s="63">
        <f t="shared" si="2"/>
        <v>42896</v>
      </c>
      <c r="B162">
        <v>0</v>
      </c>
    </row>
    <row r="163" spans="1:8" x14ac:dyDescent="0.25">
      <c r="A163" s="63">
        <f t="shared" si="2"/>
        <v>42897</v>
      </c>
      <c r="B163">
        <v>0</v>
      </c>
    </row>
    <row r="164" spans="1:8" x14ac:dyDescent="0.25">
      <c r="A164" s="63">
        <f t="shared" si="2"/>
        <v>42898</v>
      </c>
      <c r="B164">
        <v>1004.29</v>
      </c>
      <c r="C164">
        <v>86.06</v>
      </c>
      <c r="D164">
        <v>411.93</v>
      </c>
      <c r="E164">
        <v>269.48</v>
      </c>
      <c r="F164">
        <v>93</v>
      </c>
      <c r="G164">
        <v>87.56</v>
      </c>
      <c r="H164">
        <v>56.26</v>
      </c>
    </row>
    <row r="165" spans="1:8" x14ac:dyDescent="0.25">
      <c r="A165" s="63">
        <f t="shared" si="2"/>
        <v>42899</v>
      </c>
      <c r="B165">
        <v>800.05</v>
      </c>
      <c r="C165">
        <v>55.53</v>
      </c>
      <c r="D165">
        <v>314</v>
      </c>
      <c r="E165">
        <v>208.25</v>
      </c>
      <c r="F165">
        <v>79.789999999999992</v>
      </c>
      <c r="G165">
        <v>90.1</v>
      </c>
      <c r="H165">
        <v>52.38</v>
      </c>
    </row>
    <row r="166" spans="1:8" x14ac:dyDescent="0.25">
      <c r="A166" s="63">
        <f t="shared" si="2"/>
        <v>42900</v>
      </c>
      <c r="B166">
        <v>763.75999999999988</v>
      </c>
      <c r="C166">
        <v>38.32</v>
      </c>
      <c r="D166">
        <v>306.8</v>
      </c>
      <c r="E166">
        <v>201.64</v>
      </c>
      <c r="F166">
        <v>82.78</v>
      </c>
      <c r="G166">
        <v>82.79</v>
      </c>
      <c r="H166">
        <v>51.43</v>
      </c>
    </row>
    <row r="167" spans="1:8" x14ac:dyDescent="0.25">
      <c r="A167" s="63">
        <f t="shared" si="2"/>
        <v>42901</v>
      </c>
      <c r="B167">
        <v>682.85</v>
      </c>
      <c r="C167">
        <v>44.97</v>
      </c>
      <c r="D167">
        <v>255.81</v>
      </c>
      <c r="E167">
        <v>168.8</v>
      </c>
      <c r="F167">
        <v>74.08</v>
      </c>
      <c r="G167">
        <v>86.46</v>
      </c>
      <c r="H167">
        <v>52.73</v>
      </c>
    </row>
    <row r="168" spans="1:8" x14ac:dyDescent="0.25">
      <c r="A168" s="63">
        <f t="shared" si="2"/>
        <v>42902</v>
      </c>
      <c r="B168">
        <v>671.81</v>
      </c>
      <c r="C168">
        <v>74.66</v>
      </c>
      <c r="D168">
        <v>226.22</v>
      </c>
      <c r="E168">
        <v>124.81</v>
      </c>
      <c r="F168">
        <v>89.36</v>
      </c>
      <c r="G168">
        <v>93.11</v>
      </c>
      <c r="H168">
        <v>63.65</v>
      </c>
    </row>
    <row r="169" spans="1:8" x14ac:dyDescent="0.25">
      <c r="A169" s="63">
        <f t="shared" si="2"/>
        <v>42903</v>
      </c>
      <c r="B169">
        <v>0</v>
      </c>
    </row>
    <row r="170" spans="1:8" x14ac:dyDescent="0.25">
      <c r="A170" s="63">
        <f t="shared" si="2"/>
        <v>42904</v>
      </c>
      <c r="B170">
        <v>0</v>
      </c>
    </row>
    <row r="171" spans="1:8" x14ac:dyDescent="0.25">
      <c r="A171" s="63">
        <f t="shared" si="2"/>
        <v>42905</v>
      </c>
      <c r="B171">
        <v>1032.42</v>
      </c>
      <c r="C171">
        <v>85.15</v>
      </c>
      <c r="D171">
        <v>407.1</v>
      </c>
      <c r="E171">
        <v>266.73</v>
      </c>
      <c r="F171">
        <v>102.35</v>
      </c>
      <c r="G171">
        <v>106.33</v>
      </c>
      <c r="H171">
        <v>64.760000000000005</v>
      </c>
    </row>
    <row r="172" spans="1:8" x14ac:dyDescent="0.25">
      <c r="A172" s="63">
        <f t="shared" si="2"/>
        <v>42906</v>
      </c>
      <c r="B172">
        <v>1023.84</v>
      </c>
      <c r="C172">
        <v>85.39</v>
      </c>
      <c r="D172">
        <v>414.63</v>
      </c>
      <c r="E172">
        <v>262.35000000000002</v>
      </c>
      <c r="F172">
        <v>102.97</v>
      </c>
      <c r="G172">
        <v>95.16</v>
      </c>
      <c r="H172">
        <v>63.34</v>
      </c>
    </row>
    <row r="173" spans="1:8" x14ac:dyDescent="0.25">
      <c r="A173" s="63">
        <f t="shared" si="2"/>
        <v>42907</v>
      </c>
      <c r="B173">
        <v>1043.74</v>
      </c>
      <c r="C173">
        <v>66.87</v>
      </c>
      <c r="D173">
        <v>439.44</v>
      </c>
      <c r="E173">
        <v>266.60000000000002</v>
      </c>
      <c r="F173">
        <v>105.27</v>
      </c>
      <c r="G173">
        <v>99.97</v>
      </c>
      <c r="H173">
        <v>65.59</v>
      </c>
    </row>
    <row r="174" spans="1:8" x14ac:dyDescent="0.25">
      <c r="A174" s="63">
        <f t="shared" si="2"/>
        <v>42908</v>
      </c>
      <c r="B174">
        <v>967.33</v>
      </c>
      <c r="C174">
        <v>70.540000000000006</v>
      </c>
      <c r="D174">
        <v>362.23</v>
      </c>
      <c r="E174">
        <v>264.88</v>
      </c>
      <c r="F174">
        <v>105.74</v>
      </c>
      <c r="G174">
        <v>98.89</v>
      </c>
      <c r="H174">
        <v>65.05</v>
      </c>
    </row>
    <row r="175" spans="1:8" x14ac:dyDescent="0.25">
      <c r="A175" s="63">
        <f t="shared" si="2"/>
        <v>42909</v>
      </c>
      <c r="B175">
        <v>752.9899999999999</v>
      </c>
      <c r="C175">
        <v>58.09</v>
      </c>
      <c r="D175">
        <v>326.33999999999997</v>
      </c>
      <c r="E175">
        <v>126.76</v>
      </c>
      <c r="F175">
        <v>91.53</v>
      </c>
      <c r="G175">
        <v>86.37</v>
      </c>
      <c r="H175">
        <v>63.9</v>
      </c>
    </row>
    <row r="176" spans="1:8" x14ac:dyDescent="0.25">
      <c r="A176" s="63">
        <f t="shared" si="2"/>
        <v>42910</v>
      </c>
      <c r="B176">
        <v>0</v>
      </c>
    </row>
    <row r="177" spans="1:8" x14ac:dyDescent="0.25">
      <c r="A177" s="63">
        <f t="shared" si="2"/>
        <v>42911</v>
      </c>
      <c r="B177">
        <v>0</v>
      </c>
    </row>
    <row r="178" spans="1:8" x14ac:dyDescent="0.25">
      <c r="A178" s="63">
        <f t="shared" si="2"/>
        <v>42912</v>
      </c>
      <c r="B178">
        <v>975.69999999999993</v>
      </c>
      <c r="C178">
        <v>82.72</v>
      </c>
      <c r="D178">
        <v>387.03</v>
      </c>
      <c r="E178">
        <v>263.58999999999997</v>
      </c>
      <c r="F178">
        <v>83.83</v>
      </c>
      <c r="G178">
        <v>100.54</v>
      </c>
      <c r="H178">
        <v>57.99</v>
      </c>
    </row>
    <row r="179" spans="1:8" x14ac:dyDescent="0.25">
      <c r="A179" s="63">
        <f t="shared" si="2"/>
        <v>42913</v>
      </c>
      <c r="B179">
        <v>948.78000000000009</v>
      </c>
      <c r="C179">
        <v>69.33</v>
      </c>
      <c r="D179">
        <v>398.75</v>
      </c>
      <c r="E179">
        <v>266.92</v>
      </c>
      <c r="F179">
        <v>70.95</v>
      </c>
      <c r="G179">
        <v>90.1</v>
      </c>
      <c r="H179">
        <v>52.73</v>
      </c>
    </row>
    <row r="180" spans="1:8" x14ac:dyDescent="0.25">
      <c r="A180" s="63">
        <f t="shared" si="2"/>
        <v>42914</v>
      </c>
      <c r="B180">
        <v>907.32</v>
      </c>
      <c r="C180">
        <v>49.85</v>
      </c>
      <c r="D180">
        <v>374.13</v>
      </c>
      <c r="E180">
        <v>277.70999999999998</v>
      </c>
      <c r="F180">
        <v>62.07</v>
      </c>
      <c r="G180">
        <v>88.17</v>
      </c>
      <c r="H180">
        <v>55.39</v>
      </c>
    </row>
    <row r="181" spans="1:8" x14ac:dyDescent="0.25">
      <c r="A181" s="63">
        <f t="shared" si="2"/>
        <v>42915</v>
      </c>
      <c r="B181">
        <v>836.1</v>
      </c>
      <c r="C181">
        <v>29.62</v>
      </c>
      <c r="D181">
        <v>324.42</v>
      </c>
      <c r="E181">
        <v>271.06</v>
      </c>
      <c r="F181">
        <v>70.649999999999991</v>
      </c>
      <c r="G181">
        <v>88.13</v>
      </c>
      <c r="H181">
        <v>52.22</v>
      </c>
    </row>
    <row r="182" spans="1:8" x14ac:dyDescent="0.25">
      <c r="A182" s="63">
        <f t="shared" si="2"/>
        <v>42916</v>
      </c>
      <c r="B182">
        <v>465.71999999999997</v>
      </c>
      <c r="C182">
        <v>28.81</v>
      </c>
      <c r="D182">
        <v>114.69</v>
      </c>
      <c r="E182">
        <v>135.63999999999999</v>
      </c>
      <c r="F182">
        <v>70.58</v>
      </c>
      <c r="G182">
        <v>66.760000000000005</v>
      </c>
      <c r="H182">
        <v>49.24</v>
      </c>
    </row>
    <row r="183" spans="1:8" x14ac:dyDescent="0.25">
      <c r="A183" s="63">
        <f t="shared" si="2"/>
        <v>42917</v>
      </c>
      <c r="B183">
        <v>0</v>
      </c>
    </row>
    <row r="184" spans="1:8" x14ac:dyDescent="0.25">
      <c r="A184" s="63">
        <f t="shared" si="2"/>
        <v>42918</v>
      </c>
      <c r="B184">
        <v>0</v>
      </c>
    </row>
    <row r="185" spans="1:8" x14ac:dyDescent="0.25">
      <c r="A185" s="63">
        <f t="shared" si="2"/>
        <v>42919</v>
      </c>
      <c r="B185">
        <v>784.66</v>
      </c>
      <c r="C185">
        <v>50.06</v>
      </c>
      <c r="D185">
        <v>334.98</v>
      </c>
      <c r="E185">
        <v>237.09</v>
      </c>
      <c r="F185">
        <v>84.68</v>
      </c>
      <c r="G185">
        <v>77.849999999999994</v>
      </c>
    </row>
    <row r="186" spans="1:8" x14ac:dyDescent="0.25">
      <c r="A186" s="63">
        <f t="shared" si="2"/>
        <v>42920</v>
      </c>
      <c r="B186">
        <v>397.23</v>
      </c>
      <c r="C186">
        <v>40.32</v>
      </c>
      <c r="D186">
        <v>144.09</v>
      </c>
      <c r="E186">
        <v>88.84</v>
      </c>
      <c r="F186">
        <v>42.96</v>
      </c>
      <c r="G186">
        <v>35.67</v>
      </c>
      <c r="H186">
        <v>45.35</v>
      </c>
    </row>
    <row r="187" spans="1:8" x14ac:dyDescent="0.25">
      <c r="A187" s="63">
        <f t="shared" si="2"/>
        <v>42921</v>
      </c>
      <c r="B187">
        <v>373.88</v>
      </c>
      <c r="C187">
        <v>28.46</v>
      </c>
      <c r="D187">
        <v>131.76</v>
      </c>
      <c r="E187">
        <v>88.77</v>
      </c>
      <c r="F187">
        <v>39.96</v>
      </c>
      <c r="G187">
        <v>37.53</v>
      </c>
      <c r="H187">
        <v>47.4</v>
      </c>
    </row>
    <row r="188" spans="1:8" x14ac:dyDescent="0.25">
      <c r="A188" s="63">
        <f t="shared" si="2"/>
        <v>42922</v>
      </c>
      <c r="B188">
        <v>337.05</v>
      </c>
      <c r="C188">
        <v>27.49</v>
      </c>
      <c r="D188">
        <v>105.9</v>
      </c>
      <c r="E188">
        <v>88.49</v>
      </c>
      <c r="F188">
        <v>34.56</v>
      </c>
      <c r="G188">
        <v>37.03</v>
      </c>
      <c r="H188">
        <v>43.58</v>
      </c>
    </row>
    <row r="189" spans="1:8" x14ac:dyDescent="0.25">
      <c r="A189" s="63">
        <f t="shared" si="2"/>
        <v>42923</v>
      </c>
      <c r="B189">
        <v>353.31999999999994</v>
      </c>
      <c r="C189">
        <v>14</v>
      </c>
      <c r="D189">
        <v>89.32</v>
      </c>
      <c r="E189">
        <v>126.75</v>
      </c>
      <c r="F189">
        <v>35.270000000000003</v>
      </c>
      <c r="G189">
        <v>41.57</v>
      </c>
      <c r="H189">
        <v>46.41</v>
      </c>
    </row>
    <row r="190" spans="1:8" x14ac:dyDescent="0.25">
      <c r="A190" s="63">
        <f t="shared" si="2"/>
        <v>42924</v>
      </c>
      <c r="B190">
        <v>389.65</v>
      </c>
      <c r="C190">
        <v>28.93</v>
      </c>
      <c r="D190">
        <v>149.29</v>
      </c>
      <c r="E190">
        <v>122.94</v>
      </c>
      <c r="F190">
        <v>38.299999999999997</v>
      </c>
      <c r="G190">
        <v>50.19</v>
      </c>
    </row>
    <row r="191" spans="1:8" x14ac:dyDescent="0.25">
      <c r="A191" s="63">
        <f t="shared" si="2"/>
        <v>42925</v>
      </c>
      <c r="B191">
        <v>355.1</v>
      </c>
      <c r="C191">
        <v>28.71</v>
      </c>
      <c r="D191">
        <v>138.28</v>
      </c>
      <c r="E191">
        <v>101.33</v>
      </c>
      <c r="F191">
        <v>40.729999999999997</v>
      </c>
      <c r="G191">
        <v>46.05</v>
      </c>
    </row>
    <row r="192" spans="1:8" x14ac:dyDescent="0.25">
      <c r="A192" s="63">
        <f t="shared" si="2"/>
        <v>42926</v>
      </c>
      <c r="B192">
        <v>450.47</v>
      </c>
      <c r="C192">
        <v>32.83</v>
      </c>
      <c r="D192">
        <v>156.84</v>
      </c>
      <c r="E192">
        <v>114.69</v>
      </c>
      <c r="F192">
        <v>47.88</v>
      </c>
      <c r="G192">
        <v>48.61</v>
      </c>
      <c r="H192">
        <v>49.62</v>
      </c>
    </row>
    <row r="193" spans="1:8" x14ac:dyDescent="0.25">
      <c r="A193" s="63">
        <f t="shared" si="2"/>
        <v>42927</v>
      </c>
      <c r="B193">
        <v>549.87</v>
      </c>
      <c r="C193">
        <v>33.29</v>
      </c>
      <c r="D193">
        <v>241.21</v>
      </c>
      <c r="E193">
        <v>130.38999999999999</v>
      </c>
      <c r="F193">
        <v>49.6</v>
      </c>
      <c r="G193">
        <v>49.15</v>
      </c>
      <c r="H193">
        <v>46.23</v>
      </c>
    </row>
    <row r="194" spans="1:8" x14ac:dyDescent="0.25">
      <c r="A194" s="63">
        <f t="shared" si="2"/>
        <v>42928</v>
      </c>
      <c r="B194">
        <v>549.16999999999996</v>
      </c>
      <c r="C194">
        <v>55.16</v>
      </c>
      <c r="D194">
        <v>211.88</v>
      </c>
      <c r="E194">
        <v>134.01</v>
      </c>
      <c r="F194">
        <v>55.68</v>
      </c>
      <c r="G194">
        <v>47.1</v>
      </c>
      <c r="H194">
        <v>45.34</v>
      </c>
    </row>
    <row r="195" spans="1:8" x14ac:dyDescent="0.25">
      <c r="A195" s="63">
        <f t="shared" si="2"/>
        <v>42929</v>
      </c>
      <c r="B195">
        <v>669.91</v>
      </c>
      <c r="C195">
        <v>50.08</v>
      </c>
      <c r="D195">
        <v>234.45</v>
      </c>
      <c r="E195">
        <v>251.36</v>
      </c>
      <c r="F195">
        <v>48.61</v>
      </c>
      <c r="G195">
        <v>40.18</v>
      </c>
      <c r="H195">
        <v>45.23</v>
      </c>
    </row>
    <row r="196" spans="1:8" x14ac:dyDescent="0.25">
      <c r="A196" s="63">
        <f t="shared" ref="A196:A259" si="3">A195+1</f>
        <v>42930</v>
      </c>
      <c r="B196">
        <v>540.64</v>
      </c>
      <c r="C196">
        <v>40.68</v>
      </c>
      <c r="D196">
        <v>236.65</v>
      </c>
      <c r="E196">
        <v>132.69999999999999</v>
      </c>
      <c r="F196">
        <v>48.6</v>
      </c>
      <c r="G196">
        <v>34.43</v>
      </c>
      <c r="H196">
        <v>47.58</v>
      </c>
    </row>
    <row r="197" spans="1:8" x14ac:dyDescent="0.25">
      <c r="A197" s="63">
        <f t="shared" si="3"/>
        <v>42931</v>
      </c>
      <c r="B197">
        <v>498.16099999999994</v>
      </c>
      <c r="C197">
        <v>53.16</v>
      </c>
      <c r="D197">
        <v>207.4</v>
      </c>
      <c r="E197">
        <v>132.69999999999999</v>
      </c>
      <c r="F197">
        <v>56.31</v>
      </c>
      <c r="G197">
        <v>48.59</v>
      </c>
      <c r="H197">
        <v>1E-3</v>
      </c>
    </row>
    <row r="198" spans="1:8" x14ac:dyDescent="0.25">
      <c r="A198" s="63">
        <f t="shared" si="3"/>
        <v>42932</v>
      </c>
      <c r="B198">
        <v>491.41099999999994</v>
      </c>
      <c r="C198">
        <v>53.67</v>
      </c>
      <c r="D198">
        <v>204.2</v>
      </c>
      <c r="E198">
        <v>132.69999999999999</v>
      </c>
      <c r="F198">
        <v>50.47</v>
      </c>
      <c r="G198">
        <v>50.37</v>
      </c>
      <c r="H198">
        <v>1E-3</v>
      </c>
    </row>
    <row r="199" spans="1:8" x14ac:dyDescent="0.25">
      <c r="A199" s="63">
        <f t="shared" si="3"/>
        <v>42933</v>
      </c>
      <c r="B199">
        <v>544.74</v>
      </c>
      <c r="C199">
        <v>49.67</v>
      </c>
      <c r="D199">
        <v>234.16</v>
      </c>
      <c r="E199">
        <v>103.93</v>
      </c>
      <c r="F199">
        <v>56.98</v>
      </c>
      <c r="G199">
        <v>51.51</v>
      </c>
      <c r="H199">
        <v>48.49</v>
      </c>
    </row>
    <row r="200" spans="1:8" x14ac:dyDescent="0.25">
      <c r="A200" s="63">
        <f t="shared" si="3"/>
        <v>42934</v>
      </c>
      <c r="B200">
        <v>541.38</v>
      </c>
      <c r="C200">
        <v>58.24</v>
      </c>
      <c r="D200">
        <v>223.4</v>
      </c>
      <c r="E200">
        <v>90.61</v>
      </c>
      <c r="F200">
        <v>58.24</v>
      </c>
      <c r="G200">
        <v>63.67</v>
      </c>
      <c r="H200">
        <v>47.22</v>
      </c>
    </row>
    <row r="201" spans="1:8" x14ac:dyDescent="0.25">
      <c r="A201" s="63">
        <f t="shared" si="3"/>
        <v>42935</v>
      </c>
      <c r="B201">
        <v>568.04</v>
      </c>
      <c r="C201">
        <v>47.06</v>
      </c>
      <c r="D201">
        <v>218.78</v>
      </c>
      <c r="E201">
        <v>131.07</v>
      </c>
      <c r="F201">
        <v>54.39</v>
      </c>
      <c r="G201">
        <v>72.23</v>
      </c>
      <c r="H201">
        <v>44.51</v>
      </c>
    </row>
    <row r="202" spans="1:8" x14ac:dyDescent="0.25">
      <c r="A202" s="63">
        <f t="shared" si="3"/>
        <v>42936</v>
      </c>
      <c r="B202">
        <v>632.86999999999989</v>
      </c>
      <c r="C202">
        <v>42.01</v>
      </c>
      <c r="D202">
        <v>202.98</v>
      </c>
      <c r="E202">
        <v>239.1</v>
      </c>
      <c r="F202">
        <v>50.35</v>
      </c>
      <c r="G202">
        <v>53.88</v>
      </c>
      <c r="H202">
        <v>44.55</v>
      </c>
    </row>
    <row r="203" spans="1:8" x14ac:dyDescent="0.25">
      <c r="A203" s="63">
        <f t="shared" si="3"/>
        <v>42937</v>
      </c>
      <c r="B203">
        <v>563.68000000000006</v>
      </c>
      <c r="C203">
        <v>43.62</v>
      </c>
      <c r="D203">
        <v>223.94</v>
      </c>
      <c r="E203">
        <v>141</v>
      </c>
      <c r="F203">
        <v>51.9</v>
      </c>
      <c r="G203">
        <v>56.14</v>
      </c>
      <c r="H203">
        <v>47.08</v>
      </c>
    </row>
    <row r="204" spans="1:8" x14ac:dyDescent="0.25">
      <c r="A204" s="63">
        <f t="shared" si="3"/>
        <v>42938</v>
      </c>
      <c r="B204">
        <v>478.75099999999998</v>
      </c>
      <c r="C204">
        <v>30.44</v>
      </c>
      <c r="D204">
        <v>200.61</v>
      </c>
      <c r="E204">
        <v>132.22</v>
      </c>
      <c r="F204">
        <v>54.38</v>
      </c>
      <c r="G204">
        <v>61.1</v>
      </c>
      <c r="H204">
        <v>1E-3</v>
      </c>
    </row>
    <row r="205" spans="1:8" x14ac:dyDescent="0.25">
      <c r="A205" s="63">
        <f t="shared" si="3"/>
        <v>42939</v>
      </c>
      <c r="B205">
        <v>429.89099999999996</v>
      </c>
      <c r="C205">
        <v>30.83</v>
      </c>
      <c r="D205">
        <v>156.07</v>
      </c>
      <c r="E205">
        <v>128.26</v>
      </c>
      <c r="F205">
        <v>52.89</v>
      </c>
      <c r="G205">
        <v>61.84</v>
      </c>
      <c r="H205">
        <v>1E-3</v>
      </c>
    </row>
    <row r="206" spans="1:8" x14ac:dyDescent="0.25">
      <c r="A206" s="63">
        <f t="shared" si="3"/>
        <v>42940</v>
      </c>
      <c r="B206">
        <v>503.76</v>
      </c>
      <c r="C206">
        <v>39.42</v>
      </c>
      <c r="D206">
        <v>178.32</v>
      </c>
      <c r="E206">
        <v>126.41</v>
      </c>
      <c r="F206">
        <v>54.13</v>
      </c>
      <c r="G206">
        <v>57.07</v>
      </c>
      <c r="H206">
        <v>48.41</v>
      </c>
    </row>
    <row r="207" spans="1:8" x14ac:dyDescent="0.25">
      <c r="A207" s="63">
        <f t="shared" si="3"/>
        <v>42941</v>
      </c>
      <c r="B207">
        <v>482.99999999999994</v>
      </c>
      <c r="C207">
        <v>48.14</v>
      </c>
      <c r="D207">
        <v>159.30000000000001</v>
      </c>
      <c r="E207">
        <v>138.22999999999999</v>
      </c>
      <c r="F207">
        <v>44.779999999999994</v>
      </c>
      <c r="G207">
        <v>44.730000000000004</v>
      </c>
      <c r="H207">
        <v>47.82</v>
      </c>
    </row>
    <row r="208" spans="1:8" x14ac:dyDescent="0.25">
      <c r="A208" s="63">
        <f t="shared" si="3"/>
        <v>42942</v>
      </c>
      <c r="B208">
        <v>465.87999999999994</v>
      </c>
      <c r="C208">
        <v>41.8</v>
      </c>
      <c r="D208">
        <v>155.47</v>
      </c>
      <c r="E208">
        <v>133.53</v>
      </c>
      <c r="F208">
        <v>46.99</v>
      </c>
      <c r="G208">
        <v>41.38</v>
      </c>
      <c r="H208">
        <v>46.71</v>
      </c>
    </row>
    <row r="209" spans="1:8" x14ac:dyDescent="0.25">
      <c r="A209" s="63">
        <f t="shared" si="3"/>
        <v>42943</v>
      </c>
      <c r="B209">
        <v>448.23999999999995</v>
      </c>
      <c r="C209">
        <v>30.43</v>
      </c>
      <c r="D209">
        <v>149.51</v>
      </c>
      <c r="E209">
        <v>133.72999999999999</v>
      </c>
      <c r="F209">
        <v>41.99</v>
      </c>
      <c r="G209">
        <v>44.25</v>
      </c>
      <c r="H209">
        <v>48.33</v>
      </c>
    </row>
    <row r="210" spans="1:8" x14ac:dyDescent="0.25">
      <c r="A210" s="63">
        <f t="shared" si="3"/>
        <v>42944</v>
      </c>
      <c r="B210">
        <v>472.83</v>
      </c>
      <c r="C210">
        <v>35.39</v>
      </c>
      <c r="D210">
        <v>172.64</v>
      </c>
      <c r="E210">
        <v>137.24</v>
      </c>
      <c r="F210">
        <v>47.56</v>
      </c>
      <c r="G210">
        <v>28.63</v>
      </c>
      <c r="H210">
        <v>51.37</v>
      </c>
    </row>
    <row r="211" spans="1:8" x14ac:dyDescent="0.25">
      <c r="A211" s="63">
        <f t="shared" si="3"/>
        <v>42945</v>
      </c>
      <c r="B211">
        <v>446.96999999999997</v>
      </c>
      <c r="C211">
        <v>36.82</v>
      </c>
      <c r="D211">
        <v>184.91</v>
      </c>
      <c r="E211">
        <v>132.06</v>
      </c>
      <c r="F211">
        <v>57.1</v>
      </c>
      <c r="G211">
        <v>36.08</v>
      </c>
    </row>
    <row r="212" spans="1:8" x14ac:dyDescent="0.25">
      <c r="A212" s="63">
        <f t="shared" si="3"/>
        <v>42946</v>
      </c>
      <c r="B212">
        <v>248.79999999999998</v>
      </c>
      <c r="C212">
        <v>33.17</v>
      </c>
      <c r="E212">
        <v>137.16</v>
      </c>
      <c r="F212">
        <v>48.93</v>
      </c>
      <c r="G212">
        <v>29.54</v>
      </c>
    </row>
    <row r="213" spans="1:8" x14ac:dyDescent="0.25">
      <c r="A213" s="63">
        <f t="shared" si="3"/>
        <v>42947</v>
      </c>
      <c r="B213">
        <v>512.53</v>
      </c>
      <c r="C213">
        <v>35.28</v>
      </c>
      <c r="D213">
        <v>205.35</v>
      </c>
      <c r="E213">
        <v>135.4</v>
      </c>
      <c r="F213">
        <v>41.46</v>
      </c>
      <c r="G213">
        <v>42.15</v>
      </c>
      <c r="H213">
        <v>52.89</v>
      </c>
    </row>
    <row r="214" spans="1:8" x14ac:dyDescent="0.25">
      <c r="A214" s="63">
        <f t="shared" si="3"/>
        <v>42948</v>
      </c>
      <c r="B214">
        <v>523.91999999999996</v>
      </c>
      <c r="C214">
        <v>50.25</v>
      </c>
      <c r="D214">
        <v>189.27</v>
      </c>
      <c r="E214">
        <v>131.22</v>
      </c>
      <c r="F214">
        <v>46.64</v>
      </c>
      <c r="G214">
        <v>49.87</v>
      </c>
      <c r="H214">
        <v>56.67</v>
      </c>
    </row>
    <row r="215" spans="1:8" x14ac:dyDescent="0.25">
      <c r="A215" s="63">
        <f t="shared" si="3"/>
        <v>42949</v>
      </c>
      <c r="B215">
        <v>502.54000000000008</v>
      </c>
      <c r="C215">
        <v>29.02</v>
      </c>
      <c r="D215">
        <v>193.02</v>
      </c>
      <c r="E215">
        <v>130.02000000000001</v>
      </c>
      <c r="F215">
        <v>48.37</v>
      </c>
      <c r="G215">
        <v>43.93</v>
      </c>
      <c r="H215">
        <v>58.18</v>
      </c>
    </row>
    <row r="216" spans="1:8" x14ac:dyDescent="0.25">
      <c r="A216" s="63">
        <f t="shared" si="3"/>
        <v>42950</v>
      </c>
      <c r="B216">
        <v>512.34</v>
      </c>
      <c r="C216">
        <v>36.22</v>
      </c>
      <c r="D216">
        <v>196</v>
      </c>
      <c r="E216">
        <v>130.75</v>
      </c>
      <c r="F216">
        <v>40.57</v>
      </c>
      <c r="G216">
        <v>46.52</v>
      </c>
      <c r="H216">
        <v>62.28</v>
      </c>
    </row>
    <row r="217" spans="1:8" x14ac:dyDescent="0.25">
      <c r="A217" s="63">
        <f t="shared" si="3"/>
        <v>42951</v>
      </c>
      <c r="B217">
        <v>442.00000000000011</v>
      </c>
      <c r="C217">
        <v>21.3</v>
      </c>
      <c r="D217">
        <v>171.65</v>
      </c>
      <c r="E217">
        <v>106.53</v>
      </c>
      <c r="F217">
        <v>40.840000000000003</v>
      </c>
      <c r="G217">
        <v>54.09</v>
      </c>
      <c r="H217">
        <v>47.59</v>
      </c>
    </row>
    <row r="218" spans="1:8" x14ac:dyDescent="0.25">
      <c r="A218" s="63">
        <f t="shared" si="3"/>
        <v>42952</v>
      </c>
      <c r="B218">
        <v>419.09000000000009</v>
      </c>
      <c r="C218">
        <v>22.71</v>
      </c>
      <c r="D218">
        <v>170.91</v>
      </c>
      <c r="E218">
        <v>132.59</v>
      </c>
      <c r="F218">
        <v>53.84</v>
      </c>
      <c r="G218">
        <v>39.04</v>
      </c>
    </row>
    <row r="219" spans="1:8" x14ac:dyDescent="0.25">
      <c r="A219" s="63">
        <f t="shared" si="3"/>
        <v>42953</v>
      </c>
      <c r="B219">
        <v>457.82000000000005</v>
      </c>
      <c r="C219">
        <v>28.05</v>
      </c>
      <c r="D219">
        <v>214.08</v>
      </c>
      <c r="E219">
        <v>128.32</v>
      </c>
      <c r="F219">
        <v>46.65</v>
      </c>
      <c r="G219">
        <v>40.72</v>
      </c>
    </row>
    <row r="220" spans="1:8" x14ac:dyDescent="0.25">
      <c r="A220" s="63">
        <f t="shared" si="3"/>
        <v>42954</v>
      </c>
      <c r="B220">
        <v>479.21999999999997</v>
      </c>
      <c r="C220">
        <v>31.4</v>
      </c>
      <c r="D220">
        <v>175.17</v>
      </c>
      <c r="E220">
        <v>118.59</v>
      </c>
      <c r="F220">
        <v>55.87</v>
      </c>
      <c r="G220">
        <v>50.26</v>
      </c>
      <c r="H220">
        <v>47.93</v>
      </c>
    </row>
    <row r="221" spans="1:8" x14ac:dyDescent="0.25">
      <c r="A221" s="63">
        <f t="shared" si="3"/>
        <v>42955</v>
      </c>
      <c r="B221">
        <v>535.79999999999995</v>
      </c>
      <c r="C221">
        <v>45.46</v>
      </c>
      <c r="D221">
        <v>201.87</v>
      </c>
      <c r="E221">
        <v>132.56</v>
      </c>
      <c r="F221">
        <v>47.13</v>
      </c>
      <c r="G221">
        <v>63.52</v>
      </c>
      <c r="H221">
        <v>45.26</v>
      </c>
    </row>
    <row r="222" spans="1:8" x14ac:dyDescent="0.25">
      <c r="A222" s="63">
        <f t="shared" si="3"/>
        <v>42956</v>
      </c>
      <c r="B222">
        <v>536.31000000000006</v>
      </c>
      <c r="C222">
        <v>62.21</v>
      </c>
      <c r="D222">
        <v>186.63</v>
      </c>
      <c r="E222">
        <v>130.99</v>
      </c>
      <c r="F222">
        <v>49.22</v>
      </c>
      <c r="G222">
        <v>63.1</v>
      </c>
      <c r="H222">
        <v>44.16</v>
      </c>
    </row>
    <row r="223" spans="1:8" x14ac:dyDescent="0.25">
      <c r="A223" s="63">
        <f t="shared" si="3"/>
        <v>42957</v>
      </c>
      <c r="B223">
        <v>489.31000000000006</v>
      </c>
      <c r="C223">
        <v>40.18</v>
      </c>
      <c r="D223">
        <v>184.79</v>
      </c>
      <c r="E223">
        <v>117.07000000000001</v>
      </c>
      <c r="F223">
        <v>41.87</v>
      </c>
      <c r="G223">
        <v>61.06</v>
      </c>
      <c r="H223">
        <v>44.34</v>
      </c>
    </row>
    <row r="224" spans="1:8" x14ac:dyDescent="0.25">
      <c r="A224" s="63">
        <f t="shared" si="3"/>
        <v>42958</v>
      </c>
      <c r="B224">
        <v>421.64</v>
      </c>
      <c r="C224">
        <v>31.87</v>
      </c>
      <c r="D224">
        <v>121.2</v>
      </c>
      <c r="E224">
        <v>127.44</v>
      </c>
      <c r="F224">
        <v>41.56</v>
      </c>
      <c r="G224">
        <v>55.41</v>
      </c>
      <c r="H224">
        <v>44.16</v>
      </c>
    </row>
    <row r="225" spans="1:8" x14ac:dyDescent="0.25">
      <c r="A225" s="63">
        <f t="shared" si="3"/>
        <v>42959</v>
      </c>
      <c r="B225">
        <v>352.27</v>
      </c>
      <c r="C225">
        <v>30.42</v>
      </c>
      <c r="D225">
        <v>108.64</v>
      </c>
      <c r="E225">
        <v>125.71</v>
      </c>
      <c r="F225">
        <v>33.92</v>
      </c>
      <c r="G225">
        <v>53.58</v>
      </c>
    </row>
    <row r="226" spans="1:8" x14ac:dyDescent="0.25">
      <c r="A226" s="63">
        <f t="shared" si="3"/>
        <v>42960</v>
      </c>
      <c r="B226">
        <v>377.07000000000005</v>
      </c>
      <c r="C226">
        <v>23.56</v>
      </c>
      <c r="D226">
        <v>123.34</v>
      </c>
      <c r="E226">
        <v>125.83</v>
      </c>
      <c r="F226">
        <v>46.72</v>
      </c>
      <c r="G226">
        <v>57.62</v>
      </c>
    </row>
    <row r="227" spans="1:8" x14ac:dyDescent="0.25">
      <c r="A227" s="63">
        <f t="shared" si="3"/>
        <v>42961</v>
      </c>
      <c r="B227">
        <v>481.24</v>
      </c>
      <c r="C227">
        <v>39.79</v>
      </c>
      <c r="D227">
        <v>179.9</v>
      </c>
      <c r="E227">
        <v>108.49</v>
      </c>
      <c r="F227">
        <v>43.02</v>
      </c>
      <c r="G227">
        <v>63.23</v>
      </c>
      <c r="H227">
        <v>46.81</v>
      </c>
    </row>
    <row r="228" spans="1:8" x14ac:dyDescent="0.25">
      <c r="A228" s="63">
        <f t="shared" si="3"/>
        <v>42962</v>
      </c>
      <c r="B228">
        <v>426.54</v>
      </c>
      <c r="C228">
        <v>29.37</v>
      </c>
      <c r="D228">
        <v>139.75</v>
      </c>
      <c r="E228">
        <v>116.55</v>
      </c>
      <c r="F228">
        <v>47.870000000000005</v>
      </c>
      <c r="G228">
        <v>46.45</v>
      </c>
      <c r="H228">
        <v>46.55</v>
      </c>
    </row>
    <row r="229" spans="1:8" x14ac:dyDescent="0.25">
      <c r="A229" s="63">
        <f t="shared" si="3"/>
        <v>42963</v>
      </c>
      <c r="B229">
        <v>480.15999999999997</v>
      </c>
      <c r="C229">
        <v>53.82</v>
      </c>
      <c r="D229">
        <v>170.76</v>
      </c>
      <c r="E229">
        <v>124.96</v>
      </c>
      <c r="F229">
        <v>43.22</v>
      </c>
      <c r="G229">
        <v>41.28</v>
      </c>
      <c r="H229">
        <v>46.12</v>
      </c>
    </row>
    <row r="230" spans="1:8" x14ac:dyDescent="0.25">
      <c r="A230" s="63">
        <f t="shared" si="3"/>
        <v>42964</v>
      </c>
      <c r="B230">
        <v>276.34999999999997</v>
      </c>
      <c r="C230">
        <v>38.479999999999997</v>
      </c>
      <c r="D230">
        <v>31.3</v>
      </c>
      <c r="E230">
        <v>90.8</v>
      </c>
      <c r="F230">
        <v>35.229999999999997</v>
      </c>
      <c r="G230">
        <v>31.55</v>
      </c>
      <c r="H230">
        <v>48.99</v>
      </c>
    </row>
    <row r="231" spans="1:8" x14ac:dyDescent="0.25">
      <c r="A231" s="63">
        <f t="shared" si="3"/>
        <v>42965</v>
      </c>
      <c r="B231">
        <v>216.64000000000001</v>
      </c>
      <c r="C231">
        <v>38.9</v>
      </c>
      <c r="D231">
        <v>0.54</v>
      </c>
      <c r="E231">
        <v>98.79</v>
      </c>
      <c r="F231">
        <v>54.88</v>
      </c>
      <c r="G231">
        <v>23.53</v>
      </c>
    </row>
    <row r="232" spans="1:8" x14ac:dyDescent="0.25">
      <c r="A232" s="63">
        <f t="shared" si="3"/>
        <v>42966</v>
      </c>
      <c r="B232">
        <v>0</v>
      </c>
    </row>
    <row r="233" spans="1:8" x14ac:dyDescent="0.25">
      <c r="A233" s="63">
        <f t="shared" si="3"/>
        <v>42967</v>
      </c>
      <c r="B233">
        <v>0</v>
      </c>
    </row>
    <row r="234" spans="1:8" x14ac:dyDescent="0.25">
      <c r="A234" s="63">
        <f t="shared" si="3"/>
        <v>42968</v>
      </c>
      <c r="B234">
        <v>554.09</v>
      </c>
      <c r="C234">
        <v>22.94</v>
      </c>
      <c r="D234">
        <v>262.63</v>
      </c>
      <c r="E234">
        <v>101.67</v>
      </c>
      <c r="F234">
        <v>64.64</v>
      </c>
      <c r="G234">
        <v>56.72</v>
      </c>
      <c r="H234">
        <v>45.49</v>
      </c>
    </row>
    <row r="235" spans="1:8" x14ac:dyDescent="0.25">
      <c r="A235" s="63">
        <f t="shared" si="3"/>
        <v>42969</v>
      </c>
      <c r="B235">
        <v>500.40000000000003</v>
      </c>
      <c r="C235">
        <v>46.15</v>
      </c>
      <c r="D235">
        <v>199.48</v>
      </c>
      <c r="E235">
        <v>94.3</v>
      </c>
      <c r="F235">
        <v>62.99</v>
      </c>
      <c r="G235">
        <v>53.53</v>
      </c>
      <c r="H235">
        <v>43.95</v>
      </c>
    </row>
    <row r="236" spans="1:8" x14ac:dyDescent="0.25">
      <c r="A236" s="63">
        <f t="shared" si="3"/>
        <v>42970</v>
      </c>
      <c r="B236">
        <v>547.14</v>
      </c>
      <c r="C236">
        <v>57.9</v>
      </c>
      <c r="D236">
        <v>214.9</v>
      </c>
      <c r="E236">
        <v>121.91</v>
      </c>
      <c r="F236">
        <v>56.13</v>
      </c>
      <c r="G236">
        <v>49.78</v>
      </c>
      <c r="H236">
        <v>46.52</v>
      </c>
    </row>
    <row r="237" spans="1:8" x14ac:dyDescent="0.25">
      <c r="A237" s="63">
        <f t="shared" si="3"/>
        <v>42971</v>
      </c>
      <c r="B237">
        <v>525.93000000000006</v>
      </c>
      <c r="C237">
        <v>55.47</v>
      </c>
      <c r="D237">
        <v>182.95</v>
      </c>
      <c r="E237">
        <v>131.69</v>
      </c>
      <c r="F237">
        <v>60.34</v>
      </c>
      <c r="G237">
        <v>45.86</v>
      </c>
      <c r="H237">
        <v>49.62</v>
      </c>
    </row>
    <row r="238" spans="1:8" x14ac:dyDescent="0.25">
      <c r="A238" s="63">
        <f t="shared" si="3"/>
        <v>42972</v>
      </c>
      <c r="B238">
        <v>519.11999999999989</v>
      </c>
      <c r="C238">
        <v>53.34</v>
      </c>
      <c r="D238">
        <v>151.54</v>
      </c>
      <c r="E238">
        <v>130.44999999999999</v>
      </c>
      <c r="F238">
        <v>66.349999999999994</v>
      </c>
      <c r="G238">
        <v>60.4</v>
      </c>
      <c r="H238">
        <v>57.04</v>
      </c>
    </row>
    <row r="239" spans="1:8" x14ac:dyDescent="0.25">
      <c r="A239" s="63">
        <f t="shared" si="3"/>
        <v>42973</v>
      </c>
      <c r="B239">
        <v>537.76</v>
      </c>
      <c r="C239">
        <v>48.51</v>
      </c>
      <c r="D239">
        <v>190.91</v>
      </c>
      <c r="E239">
        <v>131.22999999999999</v>
      </c>
      <c r="F239">
        <v>58.88</v>
      </c>
      <c r="G239">
        <v>50.67</v>
      </c>
      <c r="H239">
        <v>57.56</v>
      </c>
    </row>
    <row r="240" spans="1:8" x14ac:dyDescent="0.25">
      <c r="A240" s="63">
        <f t="shared" si="3"/>
        <v>42974</v>
      </c>
      <c r="B240">
        <v>536.69000000000005</v>
      </c>
      <c r="C240">
        <v>45.32</v>
      </c>
      <c r="D240">
        <v>214.23</v>
      </c>
      <c r="E240">
        <v>119.19</v>
      </c>
      <c r="F240">
        <v>57.03</v>
      </c>
      <c r="G240">
        <v>46.54</v>
      </c>
      <c r="H240">
        <v>54.38</v>
      </c>
    </row>
    <row r="241" spans="1:8" x14ac:dyDescent="0.25">
      <c r="A241" s="63">
        <f t="shared" si="3"/>
        <v>42975</v>
      </c>
      <c r="B241">
        <v>70.849999999999994</v>
      </c>
      <c r="C241">
        <v>16.32</v>
      </c>
      <c r="F241">
        <v>29.35</v>
      </c>
      <c r="G241">
        <v>25.18</v>
      </c>
    </row>
    <row r="242" spans="1:8" x14ac:dyDescent="0.25">
      <c r="A242" s="63">
        <f t="shared" si="3"/>
        <v>42976</v>
      </c>
      <c r="B242">
        <v>152.51999999999998</v>
      </c>
      <c r="C242">
        <v>17.850000000000001</v>
      </c>
      <c r="D242">
        <v>57</v>
      </c>
      <c r="F242">
        <v>20.85</v>
      </c>
      <c r="G242">
        <v>29.14</v>
      </c>
      <c r="H242">
        <v>27.68</v>
      </c>
    </row>
    <row r="243" spans="1:8" x14ac:dyDescent="0.25">
      <c r="A243" s="63">
        <f t="shared" si="3"/>
        <v>42977</v>
      </c>
      <c r="B243">
        <v>319.27999999999997</v>
      </c>
      <c r="C243">
        <v>12.48</v>
      </c>
      <c r="D243">
        <v>204.24</v>
      </c>
      <c r="F243">
        <v>32.49</v>
      </c>
      <c r="G243">
        <v>30.86</v>
      </c>
      <c r="H243">
        <v>39.21</v>
      </c>
    </row>
    <row r="244" spans="1:8" x14ac:dyDescent="0.25">
      <c r="A244" s="63">
        <f t="shared" si="3"/>
        <v>42978</v>
      </c>
      <c r="B244">
        <v>379.51</v>
      </c>
      <c r="C244">
        <v>14.08</v>
      </c>
      <c r="D244">
        <v>114.71</v>
      </c>
      <c r="E244">
        <v>123.01</v>
      </c>
      <c r="F244">
        <v>33.94</v>
      </c>
      <c r="G244">
        <v>43.25</v>
      </c>
      <c r="H244">
        <v>50.52</v>
      </c>
    </row>
    <row r="245" spans="1:8" x14ac:dyDescent="0.25">
      <c r="A245" s="63">
        <f t="shared" si="3"/>
        <v>42979</v>
      </c>
      <c r="B245">
        <v>426.69</v>
      </c>
      <c r="C245">
        <v>36.450000000000003</v>
      </c>
      <c r="D245">
        <v>170.01</v>
      </c>
      <c r="E245">
        <v>132.86000000000001</v>
      </c>
      <c r="F245">
        <v>46.019999999999996</v>
      </c>
      <c r="G245">
        <v>41.35</v>
      </c>
    </row>
    <row r="246" spans="1:8" x14ac:dyDescent="0.25">
      <c r="A246" s="63">
        <f t="shared" si="3"/>
        <v>42980</v>
      </c>
      <c r="B246">
        <v>161.52000000000001</v>
      </c>
      <c r="E246">
        <v>127.67</v>
      </c>
      <c r="G246">
        <v>33.85</v>
      </c>
    </row>
    <row r="247" spans="1:8" x14ac:dyDescent="0.25">
      <c r="A247" s="63">
        <f t="shared" si="3"/>
        <v>42981</v>
      </c>
      <c r="B247">
        <v>0</v>
      </c>
    </row>
    <row r="248" spans="1:8" x14ac:dyDescent="0.25">
      <c r="A248" s="63">
        <f t="shared" si="3"/>
        <v>42982</v>
      </c>
      <c r="B248">
        <v>466.05</v>
      </c>
      <c r="C248">
        <v>42.58</v>
      </c>
      <c r="D248">
        <v>178.84</v>
      </c>
      <c r="E248">
        <v>129.07</v>
      </c>
      <c r="F248">
        <v>37.74</v>
      </c>
      <c r="G248">
        <v>46.86</v>
      </c>
      <c r="H248">
        <v>30.96</v>
      </c>
    </row>
    <row r="249" spans="1:8" x14ac:dyDescent="0.25">
      <c r="A249" s="63">
        <f t="shared" si="3"/>
        <v>42983</v>
      </c>
      <c r="B249">
        <v>497.46000000000004</v>
      </c>
      <c r="C249">
        <v>49.53</v>
      </c>
      <c r="D249">
        <v>212.04</v>
      </c>
      <c r="E249">
        <v>130.37</v>
      </c>
      <c r="F249">
        <v>37.92</v>
      </c>
      <c r="G249">
        <v>39.43</v>
      </c>
      <c r="H249">
        <v>28.17</v>
      </c>
    </row>
    <row r="250" spans="1:8" x14ac:dyDescent="0.25">
      <c r="A250" s="63">
        <f t="shared" si="3"/>
        <v>42984</v>
      </c>
      <c r="B250">
        <v>530.56000000000006</v>
      </c>
      <c r="C250">
        <v>37.6</v>
      </c>
      <c r="D250">
        <v>236.29</v>
      </c>
      <c r="E250">
        <v>131.05000000000001</v>
      </c>
      <c r="F250">
        <v>47.54</v>
      </c>
      <c r="G250">
        <v>44.76</v>
      </c>
      <c r="H250">
        <v>33.32</v>
      </c>
    </row>
    <row r="251" spans="1:8" x14ac:dyDescent="0.25">
      <c r="A251" s="63">
        <f t="shared" si="3"/>
        <v>42985</v>
      </c>
      <c r="B251">
        <v>469.35999999999996</v>
      </c>
      <c r="C251">
        <v>40.659999999999997</v>
      </c>
      <c r="D251">
        <v>187.9</v>
      </c>
      <c r="E251">
        <v>125.6</v>
      </c>
      <c r="F251">
        <v>43.22</v>
      </c>
      <c r="G251">
        <v>40.770000000000003</v>
      </c>
      <c r="H251">
        <v>31.21</v>
      </c>
    </row>
    <row r="252" spans="1:8" x14ac:dyDescent="0.25">
      <c r="A252" s="63">
        <f t="shared" si="3"/>
        <v>42986</v>
      </c>
      <c r="B252">
        <v>518.49</v>
      </c>
      <c r="C252">
        <v>41.86</v>
      </c>
      <c r="D252">
        <v>224.08</v>
      </c>
      <c r="E252">
        <v>135.24</v>
      </c>
      <c r="F252">
        <v>48.67</v>
      </c>
      <c r="G252">
        <v>29.08</v>
      </c>
      <c r="H252">
        <v>39.56</v>
      </c>
    </row>
    <row r="253" spans="1:8" x14ac:dyDescent="0.25">
      <c r="A253" s="63">
        <f t="shared" si="3"/>
        <v>42987</v>
      </c>
      <c r="B253">
        <v>504.56000000000006</v>
      </c>
      <c r="C253">
        <v>44.28</v>
      </c>
      <c r="D253">
        <v>234.57</v>
      </c>
      <c r="E253">
        <v>132.80000000000001</v>
      </c>
      <c r="F253">
        <v>48.38</v>
      </c>
      <c r="G253">
        <v>44.53</v>
      </c>
    </row>
    <row r="254" spans="1:8" x14ac:dyDescent="0.25">
      <c r="A254" s="63">
        <f t="shared" si="3"/>
        <v>42988</v>
      </c>
      <c r="B254">
        <v>494.59000000000003</v>
      </c>
      <c r="C254">
        <v>38.83</v>
      </c>
      <c r="D254">
        <v>229.15</v>
      </c>
      <c r="E254">
        <v>131.12</v>
      </c>
      <c r="F254">
        <v>48.11</v>
      </c>
      <c r="G254">
        <v>47.38</v>
      </c>
    </row>
    <row r="255" spans="1:8" x14ac:dyDescent="0.25">
      <c r="A255" s="63">
        <f t="shared" si="3"/>
        <v>42989</v>
      </c>
      <c r="B255">
        <v>507.13</v>
      </c>
      <c r="C255">
        <v>36.659999999999997</v>
      </c>
      <c r="D255">
        <v>183.75</v>
      </c>
      <c r="E255">
        <v>134.69999999999999</v>
      </c>
      <c r="F255">
        <v>53.12</v>
      </c>
      <c r="G255">
        <v>48.46</v>
      </c>
      <c r="H255">
        <v>50.44</v>
      </c>
    </row>
    <row r="256" spans="1:8" x14ac:dyDescent="0.25">
      <c r="A256" s="63">
        <f t="shared" si="3"/>
        <v>42990</v>
      </c>
      <c r="B256">
        <v>534.21999999999991</v>
      </c>
      <c r="C256">
        <v>36.42</v>
      </c>
      <c r="D256">
        <v>211.3</v>
      </c>
      <c r="E256">
        <v>132.53</v>
      </c>
      <c r="F256">
        <v>55.15</v>
      </c>
      <c r="G256">
        <v>53.71</v>
      </c>
      <c r="H256">
        <v>45.11</v>
      </c>
    </row>
    <row r="257" spans="1:8" x14ac:dyDescent="0.25">
      <c r="A257" s="63">
        <f t="shared" si="3"/>
        <v>42991</v>
      </c>
      <c r="B257">
        <v>554.88</v>
      </c>
      <c r="C257">
        <v>37.299999999999997</v>
      </c>
      <c r="D257">
        <v>236.66</v>
      </c>
      <c r="E257">
        <v>131.11000000000001</v>
      </c>
      <c r="F257">
        <v>52.82</v>
      </c>
      <c r="G257">
        <v>56.45</v>
      </c>
      <c r="H257">
        <v>40.54</v>
      </c>
    </row>
    <row r="258" spans="1:8" x14ac:dyDescent="0.25">
      <c r="A258" s="63">
        <f t="shared" si="3"/>
        <v>42992</v>
      </c>
      <c r="B258">
        <v>507.33</v>
      </c>
      <c r="C258">
        <v>39.770000000000003</v>
      </c>
      <c r="D258">
        <v>203.08</v>
      </c>
      <c r="E258">
        <v>128.31</v>
      </c>
      <c r="F258">
        <v>45.65</v>
      </c>
      <c r="G258">
        <v>47.65</v>
      </c>
      <c r="H258">
        <v>42.87</v>
      </c>
    </row>
    <row r="259" spans="1:8" x14ac:dyDescent="0.25">
      <c r="A259" s="63">
        <f t="shared" si="3"/>
        <v>42993</v>
      </c>
      <c r="B259">
        <v>561.57999999999993</v>
      </c>
      <c r="C259">
        <v>32.840000000000003</v>
      </c>
      <c r="D259">
        <v>225.56</v>
      </c>
      <c r="E259">
        <v>132.47</v>
      </c>
      <c r="F259">
        <v>60.78</v>
      </c>
      <c r="G259">
        <v>55.07</v>
      </c>
      <c r="H259">
        <v>54.86</v>
      </c>
    </row>
    <row r="260" spans="1:8" x14ac:dyDescent="0.25">
      <c r="A260" s="63">
        <f t="shared" ref="A260:A323" si="4">A259+1</f>
        <v>42994</v>
      </c>
      <c r="B260">
        <v>550.57999999999993</v>
      </c>
      <c r="C260">
        <v>36.26</v>
      </c>
      <c r="D260">
        <v>215.75</v>
      </c>
      <c r="E260">
        <v>131.05000000000001</v>
      </c>
      <c r="F260">
        <v>60.21</v>
      </c>
      <c r="G260">
        <v>54.57</v>
      </c>
      <c r="H260">
        <v>52.74</v>
      </c>
    </row>
    <row r="261" spans="1:8" x14ac:dyDescent="0.25">
      <c r="A261" s="63">
        <f t="shared" si="4"/>
        <v>42995</v>
      </c>
      <c r="B261">
        <v>487.45000000000005</v>
      </c>
      <c r="C261">
        <v>32.479999999999997</v>
      </c>
      <c r="D261">
        <v>195.83</v>
      </c>
      <c r="E261">
        <v>134.16999999999999</v>
      </c>
      <c r="F261">
        <v>61.61</v>
      </c>
      <c r="G261">
        <v>63.36</v>
      </c>
    </row>
    <row r="262" spans="1:8" x14ac:dyDescent="0.25">
      <c r="A262" s="63">
        <f t="shared" si="4"/>
        <v>42996</v>
      </c>
      <c r="B262">
        <v>512.30999999999995</v>
      </c>
      <c r="C262">
        <v>38.630000000000003</v>
      </c>
      <c r="D262">
        <v>213.23</v>
      </c>
      <c r="E262">
        <v>95.69</v>
      </c>
      <c r="F262">
        <v>54.55</v>
      </c>
      <c r="G262">
        <v>56.39</v>
      </c>
      <c r="H262">
        <v>53.82</v>
      </c>
    </row>
    <row r="263" spans="1:8" x14ac:dyDescent="0.25">
      <c r="A263" s="63">
        <f t="shared" si="4"/>
        <v>42997</v>
      </c>
      <c r="B263">
        <v>581.59</v>
      </c>
      <c r="C263">
        <v>50.08</v>
      </c>
      <c r="D263">
        <v>235.41</v>
      </c>
      <c r="E263">
        <v>134.47</v>
      </c>
      <c r="F263">
        <v>52.55</v>
      </c>
      <c r="G263">
        <v>58.03</v>
      </c>
      <c r="H263">
        <v>51.050000000000004</v>
      </c>
    </row>
    <row r="264" spans="1:8" x14ac:dyDescent="0.25">
      <c r="A264" s="63">
        <f t="shared" si="4"/>
        <v>42998</v>
      </c>
      <c r="B264">
        <v>578.30000000000007</v>
      </c>
      <c r="C264">
        <v>39.82</v>
      </c>
      <c r="D264">
        <v>237.78</v>
      </c>
      <c r="E264">
        <v>135.31</v>
      </c>
      <c r="F264">
        <v>55.55</v>
      </c>
      <c r="G264">
        <v>58.61</v>
      </c>
      <c r="H264">
        <v>51.23</v>
      </c>
    </row>
    <row r="265" spans="1:8" x14ac:dyDescent="0.25">
      <c r="A265" s="63">
        <f t="shared" si="4"/>
        <v>42999</v>
      </c>
      <c r="B265">
        <v>532.21</v>
      </c>
      <c r="C265">
        <v>38.22</v>
      </c>
      <c r="D265">
        <v>200.19</v>
      </c>
      <c r="E265">
        <v>130.16</v>
      </c>
      <c r="F265">
        <v>57.61</v>
      </c>
      <c r="G265">
        <v>56.78</v>
      </c>
      <c r="H265">
        <v>49.25</v>
      </c>
    </row>
    <row r="266" spans="1:8" x14ac:dyDescent="0.25">
      <c r="A266" s="63">
        <f t="shared" si="4"/>
        <v>43000</v>
      </c>
      <c r="B266">
        <v>562.41000000000008</v>
      </c>
      <c r="C266">
        <v>48.18</v>
      </c>
      <c r="D266">
        <v>206.74</v>
      </c>
      <c r="E266">
        <v>135.03</v>
      </c>
      <c r="F266">
        <v>57.89</v>
      </c>
      <c r="G266">
        <v>61.36</v>
      </c>
      <c r="H266">
        <v>53.21</v>
      </c>
    </row>
    <row r="267" spans="1:8" x14ac:dyDescent="0.25">
      <c r="A267" s="63">
        <f t="shared" si="4"/>
        <v>43001</v>
      </c>
      <c r="B267">
        <v>595.97</v>
      </c>
      <c r="C267">
        <v>62.66</v>
      </c>
      <c r="D267">
        <v>215.69</v>
      </c>
      <c r="E267">
        <v>135.31</v>
      </c>
      <c r="F267">
        <v>62.27</v>
      </c>
      <c r="G267">
        <v>67.53</v>
      </c>
      <c r="H267">
        <v>52.51</v>
      </c>
    </row>
    <row r="268" spans="1:8" x14ac:dyDescent="0.25">
      <c r="A268" s="63">
        <f t="shared" si="4"/>
        <v>43002</v>
      </c>
      <c r="B268">
        <v>608.37</v>
      </c>
      <c r="C268">
        <v>53.88</v>
      </c>
      <c r="D268">
        <v>238.6</v>
      </c>
      <c r="E268">
        <v>134.66</v>
      </c>
      <c r="F268">
        <v>61.2</v>
      </c>
      <c r="G268">
        <v>68.900000000000006</v>
      </c>
      <c r="H268">
        <v>51.13</v>
      </c>
    </row>
    <row r="269" spans="1:8" x14ac:dyDescent="0.25">
      <c r="A269" s="63">
        <f t="shared" si="4"/>
        <v>43003</v>
      </c>
      <c r="B269">
        <v>580.58000000000004</v>
      </c>
      <c r="C269">
        <v>55.48</v>
      </c>
      <c r="D269">
        <v>212.74</v>
      </c>
      <c r="E269">
        <v>133.43</v>
      </c>
      <c r="F269">
        <v>62.67</v>
      </c>
      <c r="G269">
        <v>64.34</v>
      </c>
      <c r="H269">
        <v>51.92</v>
      </c>
    </row>
    <row r="270" spans="1:8" x14ac:dyDescent="0.25">
      <c r="A270" s="63">
        <f t="shared" si="4"/>
        <v>43004</v>
      </c>
      <c r="B270">
        <v>578.54</v>
      </c>
      <c r="C270">
        <v>45.96</v>
      </c>
      <c r="D270">
        <v>229.43</v>
      </c>
      <c r="E270">
        <v>134.19999999999999</v>
      </c>
      <c r="F270">
        <v>62.14</v>
      </c>
      <c r="G270">
        <v>55.83</v>
      </c>
      <c r="H270">
        <v>50.98</v>
      </c>
    </row>
    <row r="271" spans="1:8" x14ac:dyDescent="0.25">
      <c r="A271" s="63">
        <f t="shared" si="4"/>
        <v>43005</v>
      </c>
      <c r="B271">
        <v>556.36</v>
      </c>
      <c r="C271">
        <v>44.88</v>
      </c>
      <c r="D271">
        <v>204.25</v>
      </c>
      <c r="E271">
        <v>136.84</v>
      </c>
      <c r="F271">
        <v>61.05</v>
      </c>
      <c r="G271">
        <v>56.52</v>
      </c>
      <c r="H271">
        <v>52.82</v>
      </c>
    </row>
    <row r="272" spans="1:8" x14ac:dyDescent="0.25">
      <c r="A272" s="63">
        <f t="shared" si="4"/>
        <v>43006</v>
      </c>
      <c r="B272">
        <v>567.81999999999994</v>
      </c>
      <c r="C272">
        <v>42.79</v>
      </c>
      <c r="D272">
        <v>221.57</v>
      </c>
      <c r="E272">
        <v>135.54</v>
      </c>
      <c r="F272">
        <v>60.46</v>
      </c>
      <c r="G272">
        <v>58.02</v>
      </c>
      <c r="H272">
        <v>49.44</v>
      </c>
    </row>
    <row r="273" spans="1:8" x14ac:dyDescent="0.25">
      <c r="A273" s="63">
        <f t="shared" si="4"/>
        <v>43007</v>
      </c>
      <c r="B273">
        <v>537.64</v>
      </c>
      <c r="C273">
        <v>42.62</v>
      </c>
      <c r="D273">
        <v>194.23</v>
      </c>
      <c r="E273">
        <v>132.93</v>
      </c>
      <c r="F273">
        <v>59.41</v>
      </c>
      <c r="G273">
        <v>57.97</v>
      </c>
      <c r="H273">
        <v>50.48</v>
      </c>
    </row>
    <row r="274" spans="1:8" x14ac:dyDescent="0.25">
      <c r="A274" s="63">
        <f t="shared" si="4"/>
        <v>43008</v>
      </c>
      <c r="B274">
        <v>750.93</v>
      </c>
      <c r="C274">
        <v>68.849999999999994</v>
      </c>
      <c r="D274">
        <v>230.31</v>
      </c>
      <c r="E274">
        <v>284.89</v>
      </c>
      <c r="F274">
        <v>61.52</v>
      </c>
      <c r="G274">
        <v>59.96</v>
      </c>
      <c r="H274">
        <v>45.4</v>
      </c>
    </row>
    <row r="275" spans="1:8" x14ac:dyDescent="0.25">
      <c r="A275" s="63">
        <f t="shared" si="4"/>
        <v>43009</v>
      </c>
      <c r="B275">
        <v>580.69000000000005</v>
      </c>
      <c r="C275">
        <v>59.76</v>
      </c>
      <c r="D275">
        <v>209.66</v>
      </c>
      <c r="E275">
        <v>152.58000000000001</v>
      </c>
      <c r="F275">
        <v>53.92</v>
      </c>
      <c r="G275">
        <v>59.13</v>
      </c>
      <c r="H275">
        <v>45.64</v>
      </c>
    </row>
    <row r="276" spans="1:8" x14ac:dyDescent="0.25">
      <c r="A276" s="63">
        <f t="shared" si="4"/>
        <v>43010</v>
      </c>
      <c r="B276">
        <v>1075.26</v>
      </c>
      <c r="C276">
        <v>112.2</v>
      </c>
      <c r="D276">
        <v>413.76</v>
      </c>
      <c r="E276">
        <v>284.18</v>
      </c>
      <c r="F276">
        <v>94.21</v>
      </c>
      <c r="G276">
        <v>99.55</v>
      </c>
      <c r="H276">
        <v>71.36</v>
      </c>
    </row>
    <row r="277" spans="1:8" x14ac:dyDescent="0.25">
      <c r="A277" s="63">
        <f t="shared" si="4"/>
        <v>43011</v>
      </c>
      <c r="B277">
        <v>1079.78</v>
      </c>
      <c r="C277">
        <v>108.86</v>
      </c>
      <c r="D277">
        <v>415.57</v>
      </c>
      <c r="E277">
        <v>308.5</v>
      </c>
      <c r="F277">
        <v>90.95</v>
      </c>
      <c r="G277">
        <v>91.58</v>
      </c>
      <c r="H277">
        <v>64.319999999999993</v>
      </c>
    </row>
    <row r="278" spans="1:8" x14ac:dyDescent="0.25">
      <c r="A278" s="63">
        <f t="shared" si="4"/>
        <v>43012</v>
      </c>
      <c r="B278">
        <v>10.79</v>
      </c>
      <c r="C278">
        <v>7.21</v>
      </c>
      <c r="G278">
        <v>3.58</v>
      </c>
    </row>
    <row r="279" spans="1:8" x14ac:dyDescent="0.25">
      <c r="A279" s="63">
        <f t="shared" si="4"/>
        <v>43013</v>
      </c>
      <c r="B279">
        <v>1069.3</v>
      </c>
      <c r="C279">
        <v>89.85</v>
      </c>
      <c r="D279">
        <v>461.22</v>
      </c>
      <c r="E279">
        <v>279.33999999999997</v>
      </c>
      <c r="F279">
        <v>78.89</v>
      </c>
      <c r="G279">
        <v>96.89</v>
      </c>
      <c r="H279">
        <v>63.11</v>
      </c>
    </row>
    <row r="280" spans="1:8" x14ac:dyDescent="0.25">
      <c r="A280" s="63">
        <f t="shared" si="4"/>
        <v>43014</v>
      </c>
      <c r="B280">
        <v>1049.03</v>
      </c>
      <c r="C280">
        <v>114.95</v>
      </c>
      <c r="D280">
        <v>371.63</v>
      </c>
      <c r="E280">
        <v>312.44</v>
      </c>
      <c r="F280">
        <v>97.34</v>
      </c>
      <c r="G280">
        <v>86.12</v>
      </c>
      <c r="H280">
        <v>66.55</v>
      </c>
    </row>
    <row r="281" spans="1:8" x14ac:dyDescent="0.25">
      <c r="A281" s="63">
        <f t="shared" si="4"/>
        <v>43015</v>
      </c>
      <c r="B281">
        <v>0</v>
      </c>
    </row>
    <row r="282" spans="1:8" x14ac:dyDescent="0.25">
      <c r="A282" s="63">
        <f t="shared" si="4"/>
        <v>43016</v>
      </c>
      <c r="B282">
        <v>0</v>
      </c>
    </row>
    <row r="283" spans="1:8" x14ac:dyDescent="0.25">
      <c r="A283" s="63">
        <f t="shared" si="4"/>
        <v>43017</v>
      </c>
      <c r="B283">
        <v>1153.1399999999999</v>
      </c>
      <c r="C283">
        <v>129.33000000000001</v>
      </c>
      <c r="D283">
        <v>444.23</v>
      </c>
      <c r="E283">
        <v>296.5</v>
      </c>
      <c r="F283">
        <v>102.28</v>
      </c>
      <c r="G283">
        <v>108.24</v>
      </c>
      <c r="H283">
        <v>72.56</v>
      </c>
    </row>
    <row r="284" spans="1:8" x14ac:dyDescent="0.25">
      <c r="A284" s="63">
        <f t="shared" si="4"/>
        <v>43018</v>
      </c>
      <c r="B284">
        <v>1143.81</v>
      </c>
      <c r="C284">
        <v>111.87</v>
      </c>
      <c r="D284">
        <v>434.58</v>
      </c>
      <c r="E284">
        <v>322.76</v>
      </c>
      <c r="F284">
        <v>97.95</v>
      </c>
      <c r="G284">
        <v>110.36</v>
      </c>
      <c r="H284">
        <v>66.290000000000006</v>
      </c>
    </row>
    <row r="285" spans="1:8" x14ac:dyDescent="0.25">
      <c r="A285" s="63">
        <f t="shared" si="4"/>
        <v>43019</v>
      </c>
      <c r="B285">
        <v>20.78</v>
      </c>
      <c r="C285">
        <v>6.21</v>
      </c>
      <c r="F285">
        <v>2.39</v>
      </c>
      <c r="G285">
        <v>12.18</v>
      </c>
    </row>
    <row r="286" spans="1:8" x14ac:dyDescent="0.25">
      <c r="A286" s="63">
        <f t="shared" si="4"/>
        <v>43020</v>
      </c>
      <c r="B286">
        <v>1166.02</v>
      </c>
      <c r="C286">
        <v>102.35</v>
      </c>
      <c r="D286">
        <v>486.26</v>
      </c>
      <c r="E286">
        <v>306.68</v>
      </c>
      <c r="F286">
        <v>94.22</v>
      </c>
      <c r="G286">
        <v>103.55</v>
      </c>
      <c r="H286">
        <v>72.959999999999994</v>
      </c>
    </row>
    <row r="287" spans="1:8" x14ac:dyDescent="0.25">
      <c r="A287" s="63">
        <f t="shared" si="4"/>
        <v>43021</v>
      </c>
      <c r="B287">
        <v>1133.77</v>
      </c>
      <c r="C287">
        <v>108.08</v>
      </c>
      <c r="D287">
        <v>422.95</v>
      </c>
      <c r="E287">
        <v>335.16</v>
      </c>
      <c r="F287">
        <v>92.81</v>
      </c>
      <c r="G287">
        <v>99.04</v>
      </c>
      <c r="H287">
        <v>75.73</v>
      </c>
    </row>
    <row r="288" spans="1:8" x14ac:dyDescent="0.25">
      <c r="A288" s="63">
        <f t="shared" si="4"/>
        <v>43022</v>
      </c>
      <c r="B288">
        <v>0</v>
      </c>
    </row>
    <row r="289" spans="1:8" x14ac:dyDescent="0.25">
      <c r="A289" s="63">
        <f t="shared" si="4"/>
        <v>43023</v>
      </c>
      <c r="B289">
        <v>0</v>
      </c>
    </row>
    <row r="290" spans="1:8" x14ac:dyDescent="0.25">
      <c r="A290" s="63">
        <f t="shared" si="4"/>
        <v>43024</v>
      </c>
      <c r="B290">
        <v>1160.0899999999999</v>
      </c>
      <c r="C290">
        <v>94.92</v>
      </c>
      <c r="D290">
        <v>473.88</v>
      </c>
      <c r="E290">
        <v>314</v>
      </c>
      <c r="F290">
        <v>91.76</v>
      </c>
      <c r="G290">
        <v>118.97</v>
      </c>
      <c r="H290">
        <v>66.56</v>
      </c>
    </row>
    <row r="291" spans="1:8" x14ac:dyDescent="0.25">
      <c r="A291" s="63">
        <f t="shared" si="4"/>
        <v>43025</v>
      </c>
      <c r="B291">
        <v>1137.81</v>
      </c>
      <c r="C291">
        <v>112.58</v>
      </c>
      <c r="D291">
        <v>445.45</v>
      </c>
      <c r="E291">
        <v>301.23</v>
      </c>
      <c r="F291">
        <v>95.61</v>
      </c>
      <c r="G291">
        <v>117.88</v>
      </c>
      <c r="H291">
        <v>65.06</v>
      </c>
    </row>
    <row r="292" spans="1:8" x14ac:dyDescent="0.25">
      <c r="A292" s="63">
        <f t="shared" si="4"/>
        <v>43026</v>
      </c>
      <c r="B292">
        <v>152.24999999999997</v>
      </c>
      <c r="C292">
        <v>21.8</v>
      </c>
      <c r="D292">
        <v>63.84</v>
      </c>
      <c r="E292">
        <v>50.12</v>
      </c>
      <c r="F292">
        <v>3.04</v>
      </c>
      <c r="G292">
        <v>13.45</v>
      </c>
    </row>
    <row r="293" spans="1:8" x14ac:dyDescent="0.25">
      <c r="A293" s="63">
        <f t="shared" si="4"/>
        <v>43027</v>
      </c>
      <c r="B293">
        <v>1135.3900000000001</v>
      </c>
      <c r="C293">
        <v>120.35</v>
      </c>
      <c r="D293">
        <v>448.87</v>
      </c>
      <c r="E293">
        <v>277.20999999999998</v>
      </c>
      <c r="F293">
        <v>94.14</v>
      </c>
      <c r="G293">
        <v>125</v>
      </c>
      <c r="H293">
        <v>69.819999999999993</v>
      </c>
    </row>
    <row r="294" spans="1:8" x14ac:dyDescent="0.25">
      <c r="A294" s="63">
        <f t="shared" si="4"/>
        <v>43028</v>
      </c>
      <c r="B294">
        <v>1106.81</v>
      </c>
      <c r="C294">
        <v>112.19999999999999</v>
      </c>
      <c r="D294">
        <v>410.73</v>
      </c>
      <c r="E294">
        <v>329.39</v>
      </c>
      <c r="F294">
        <v>98.13</v>
      </c>
      <c r="G294">
        <v>119.03</v>
      </c>
      <c r="H294">
        <v>37.33</v>
      </c>
    </row>
    <row r="295" spans="1:8" x14ac:dyDescent="0.25">
      <c r="A295" s="63">
        <f t="shared" si="4"/>
        <v>43029</v>
      </c>
      <c r="B295">
        <v>0</v>
      </c>
    </row>
    <row r="296" spans="1:8" x14ac:dyDescent="0.25">
      <c r="A296" s="63">
        <f t="shared" si="4"/>
        <v>43030</v>
      </c>
      <c r="B296">
        <v>0</v>
      </c>
    </row>
    <row r="297" spans="1:8" x14ac:dyDescent="0.25">
      <c r="A297" s="63">
        <f t="shared" si="4"/>
        <v>43031</v>
      </c>
      <c r="B297">
        <v>1106.57</v>
      </c>
      <c r="C297">
        <v>103.18</v>
      </c>
      <c r="D297">
        <v>393.76</v>
      </c>
      <c r="E297">
        <v>300.92</v>
      </c>
      <c r="F297">
        <v>105.64</v>
      </c>
      <c r="G297">
        <v>138.05000000000001</v>
      </c>
      <c r="H297">
        <v>65.02</v>
      </c>
    </row>
    <row r="298" spans="1:8" x14ac:dyDescent="0.25">
      <c r="A298" s="63">
        <f t="shared" si="4"/>
        <v>43032</v>
      </c>
      <c r="B298">
        <v>1211.49</v>
      </c>
      <c r="C298">
        <v>118.41</v>
      </c>
      <c r="D298">
        <v>475.89</v>
      </c>
      <c r="E298">
        <v>324.39999999999998</v>
      </c>
      <c r="F298">
        <v>93.98</v>
      </c>
      <c r="G298">
        <v>124.3</v>
      </c>
      <c r="H298">
        <v>74.510000000000005</v>
      </c>
    </row>
    <row r="299" spans="1:8" x14ac:dyDescent="0.25">
      <c r="A299" s="63">
        <f t="shared" si="4"/>
        <v>43033</v>
      </c>
      <c r="B299">
        <v>130.38999999999999</v>
      </c>
      <c r="C299">
        <v>4.04</v>
      </c>
      <c r="D299">
        <v>109.55</v>
      </c>
      <c r="F299">
        <v>7.19</v>
      </c>
      <c r="G299">
        <v>9.61</v>
      </c>
    </row>
    <row r="300" spans="1:8" x14ac:dyDescent="0.25">
      <c r="A300" s="63">
        <f t="shared" si="4"/>
        <v>43034</v>
      </c>
      <c r="B300">
        <v>1155.76</v>
      </c>
      <c r="C300">
        <v>101.88</v>
      </c>
      <c r="D300">
        <v>446.94</v>
      </c>
      <c r="E300">
        <v>303.26</v>
      </c>
      <c r="F300">
        <v>103.36</v>
      </c>
      <c r="G300">
        <v>128.63</v>
      </c>
      <c r="H300">
        <v>71.69</v>
      </c>
    </row>
    <row r="301" spans="1:8" x14ac:dyDescent="0.25">
      <c r="A301" s="63">
        <f t="shared" si="4"/>
        <v>43035</v>
      </c>
      <c r="B301">
        <v>1122.73</v>
      </c>
      <c r="C301">
        <v>79.86</v>
      </c>
      <c r="D301">
        <v>411.98</v>
      </c>
      <c r="E301">
        <v>322.51</v>
      </c>
      <c r="F301">
        <v>116.83</v>
      </c>
      <c r="G301">
        <v>112.42</v>
      </c>
      <c r="H301">
        <v>79.13</v>
      </c>
    </row>
    <row r="302" spans="1:8" x14ac:dyDescent="0.25">
      <c r="A302" s="63">
        <f t="shared" si="4"/>
        <v>43036</v>
      </c>
      <c r="B302">
        <v>0</v>
      </c>
    </row>
    <row r="303" spans="1:8" x14ac:dyDescent="0.25">
      <c r="A303" s="63">
        <f t="shared" si="4"/>
        <v>43037</v>
      </c>
      <c r="B303">
        <v>0</v>
      </c>
    </row>
    <row r="304" spans="1:8" x14ac:dyDescent="0.25">
      <c r="A304" s="63">
        <f t="shared" si="4"/>
        <v>43038</v>
      </c>
      <c r="B304">
        <v>1136.48</v>
      </c>
      <c r="C304">
        <v>121.9</v>
      </c>
      <c r="D304">
        <v>419.73</v>
      </c>
      <c r="E304">
        <v>276.35000000000002</v>
      </c>
      <c r="F304">
        <v>102.99</v>
      </c>
      <c r="G304">
        <v>134.66999999999999</v>
      </c>
      <c r="H304">
        <v>80.84</v>
      </c>
    </row>
    <row r="305" spans="1:8" x14ac:dyDescent="0.25">
      <c r="A305" s="63">
        <f t="shared" si="4"/>
        <v>43039</v>
      </c>
      <c r="B305">
        <v>1104.7800000000002</v>
      </c>
      <c r="C305">
        <v>115.79</v>
      </c>
      <c r="D305">
        <v>445.56</v>
      </c>
      <c r="E305">
        <v>233.55</v>
      </c>
      <c r="F305">
        <v>106.61</v>
      </c>
      <c r="G305">
        <v>111.01</v>
      </c>
      <c r="H305">
        <v>92.26</v>
      </c>
    </row>
    <row r="306" spans="1:8" x14ac:dyDescent="0.25">
      <c r="A306" s="63">
        <f t="shared" si="4"/>
        <v>43040</v>
      </c>
      <c r="B306">
        <v>83.07</v>
      </c>
      <c r="D306">
        <v>83.07</v>
      </c>
    </row>
    <row r="307" spans="1:8" x14ac:dyDescent="0.25">
      <c r="A307" s="63">
        <f t="shared" si="4"/>
        <v>43041</v>
      </c>
      <c r="B307">
        <v>1079.55</v>
      </c>
      <c r="C307">
        <v>91.13</v>
      </c>
      <c r="D307">
        <v>388.84</v>
      </c>
      <c r="E307">
        <v>296.06</v>
      </c>
      <c r="F307">
        <v>100.21</v>
      </c>
      <c r="G307">
        <v>111.32</v>
      </c>
      <c r="H307">
        <v>91.99</v>
      </c>
    </row>
    <row r="308" spans="1:8" x14ac:dyDescent="0.25">
      <c r="A308" s="63">
        <f t="shared" si="4"/>
        <v>43042</v>
      </c>
      <c r="B308">
        <v>828.35</v>
      </c>
      <c r="C308">
        <v>63.87</v>
      </c>
      <c r="D308">
        <v>375.57</v>
      </c>
      <c r="E308">
        <v>140.99</v>
      </c>
      <c r="F308">
        <v>100.79</v>
      </c>
      <c r="G308">
        <v>104.11</v>
      </c>
      <c r="H308">
        <v>43.02</v>
      </c>
    </row>
    <row r="309" spans="1:8" x14ac:dyDescent="0.25">
      <c r="A309" s="63">
        <f t="shared" si="4"/>
        <v>43043</v>
      </c>
      <c r="B309">
        <v>0</v>
      </c>
    </row>
    <row r="310" spans="1:8" x14ac:dyDescent="0.25">
      <c r="A310" s="63">
        <f t="shared" si="4"/>
        <v>43044</v>
      </c>
      <c r="B310">
        <v>0</v>
      </c>
    </row>
    <row r="311" spans="1:8" x14ac:dyDescent="0.25">
      <c r="A311" s="63">
        <f t="shared" si="4"/>
        <v>43045</v>
      </c>
      <c r="B311">
        <v>1071.27</v>
      </c>
      <c r="C311">
        <v>106.79</v>
      </c>
      <c r="D311">
        <v>386.58</v>
      </c>
      <c r="E311">
        <v>280.11</v>
      </c>
      <c r="F311">
        <v>84.86</v>
      </c>
      <c r="G311">
        <v>130.62</v>
      </c>
      <c r="H311">
        <v>82.31</v>
      </c>
    </row>
    <row r="312" spans="1:8" x14ac:dyDescent="0.25">
      <c r="A312" s="63">
        <f t="shared" si="4"/>
        <v>43046</v>
      </c>
      <c r="B312">
        <v>1047.72</v>
      </c>
      <c r="C312">
        <v>116.04</v>
      </c>
      <c r="D312">
        <v>385.22</v>
      </c>
      <c r="E312">
        <v>286.22000000000003</v>
      </c>
      <c r="F312">
        <v>84.35</v>
      </c>
      <c r="G312">
        <v>101.94</v>
      </c>
      <c r="H312">
        <v>73.95</v>
      </c>
    </row>
    <row r="313" spans="1:8" x14ac:dyDescent="0.25">
      <c r="A313" s="63">
        <f t="shared" si="4"/>
        <v>43047</v>
      </c>
      <c r="B313">
        <v>15.39</v>
      </c>
      <c r="C313">
        <v>10.17</v>
      </c>
      <c r="G313">
        <v>5.22</v>
      </c>
    </row>
    <row r="314" spans="1:8" x14ac:dyDescent="0.25">
      <c r="A314" s="63">
        <f t="shared" si="4"/>
        <v>43048</v>
      </c>
      <c r="B314">
        <v>930.34</v>
      </c>
      <c r="C314">
        <v>106.64</v>
      </c>
      <c r="D314">
        <v>383.66</v>
      </c>
      <c r="E314">
        <v>242.32</v>
      </c>
      <c r="F314">
        <v>66.37</v>
      </c>
      <c r="G314">
        <v>87.86</v>
      </c>
      <c r="H314">
        <v>43.49</v>
      </c>
    </row>
    <row r="315" spans="1:8" x14ac:dyDescent="0.25">
      <c r="A315" s="63">
        <f t="shared" si="4"/>
        <v>43049</v>
      </c>
      <c r="B315">
        <v>748.77</v>
      </c>
      <c r="C315">
        <v>77.540000000000006</v>
      </c>
      <c r="D315">
        <v>144.06</v>
      </c>
      <c r="E315">
        <v>286.79000000000002</v>
      </c>
      <c r="F315">
        <v>108.1</v>
      </c>
      <c r="G315">
        <v>81.48</v>
      </c>
      <c r="H315">
        <v>50.8</v>
      </c>
    </row>
    <row r="316" spans="1:8" x14ac:dyDescent="0.25">
      <c r="A316" s="63">
        <f t="shared" si="4"/>
        <v>43050</v>
      </c>
      <c r="B316">
        <v>0</v>
      </c>
    </row>
    <row r="317" spans="1:8" x14ac:dyDescent="0.25">
      <c r="A317" s="63">
        <f t="shared" si="4"/>
        <v>43051</v>
      </c>
      <c r="B317">
        <v>0</v>
      </c>
    </row>
    <row r="318" spans="1:8" x14ac:dyDescent="0.25">
      <c r="A318" s="63">
        <f t="shared" si="4"/>
        <v>43052</v>
      </c>
      <c r="B318">
        <v>1012.97</v>
      </c>
      <c r="C318">
        <v>122.89</v>
      </c>
      <c r="D318">
        <v>330.54</v>
      </c>
      <c r="E318">
        <v>249.6</v>
      </c>
      <c r="F318">
        <v>99.330000000000013</v>
      </c>
      <c r="G318">
        <v>123.83</v>
      </c>
      <c r="H318">
        <v>86.78</v>
      </c>
    </row>
    <row r="319" spans="1:8" x14ac:dyDescent="0.25">
      <c r="A319" s="63">
        <f t="shared" si="4"/>
        <v>43053</v>
      </c>
      <c r="B319">
        <v>1003.4300000000001</v>
      </c>
      <c r="C319">
        <v>82.24</v>
      </c>
      <c r="D319">
        <v>381.52</v>
      </c>
      <c r="E319">
        <v>266.5</v>
      </c>
      <c r="F319">
        <v>81.23</v>
      </c>
      <c r="G319">
        <v>102.86</v>
      </c>
      <c r="H319">
        <v>89.08</v>
      </c>
    </row>
    <row r="320" spans="1:8" x14ac:dyDescent="0.25">
      <c r="A320" s="63">
        <f t="shared" si="4"/>
        <v>43054</v>
      </c>
      <c r="B320">
        <v>79.989999999999995</v>
      </c>
      <c r="C320">
        <v>4.04</v>
      </c>
      <c r="D320">
        <v>41.11</v>
      </c>
      <c r="E320">
        <v>4.9000000000000004</v>
      </c>
      <c r="F320">
        <v>20.97</v>
      </c>
      <c r="G320">
        <v>5.22</v>
      </c>
      <c r="H320">
        <v>3.75</v>
      </c>
    </row>
    <row r="321" spans="1:8" x14ac:dyDescent="0.25">
      <c r="A321" s="63">
        <f t="shared" si="4"/>
        <v>43055</v>
      </c>
      <c r="B321">
        <v>985.78000000000009</v>
      </c>
      <c r="C321">
        <v>82.81</v>
      </c>
      <c r="D321">
        <v>401.56</v>
      </c>
      <c r="E321">
        <v>230.97</v>
      </c>
      <c r="F321">
        <v>85.23</v>
      </c>
      <c r="G321">
        <v>92.72</v>
      </c>
      <c r="H321">
        <v>92.49</v>
      </c>
    </row>
    <row r="322" spans="1:8" x14ac:dyDescent="0.25">
      <c r="A322" s="63">
        <f t="shared" si="4"/>
        <v>43056</v>
      </c>
      <c r="B322">
        <v>961.75</v>
      </c>
      <c r="C322">
        <v>93.48</v>
      </c>
      <c r="D322">
        <v>310.39999999999998</v>
      </c>
      <c r="E322">
        <v>244.6</v>
      </c>
      <c r="F322">
        <v>112.29</v>
      </c>
      <c r="G322">
        <v>101.28</v>
      </c>
      <c r="H322">
        <v>99.7</v>
      </c>
    </row>
    <row r="323" spans="1:8" x14ac:dyDescent="0.25">
      <c r="A323" s="63">
        <f t="shared" si="4"/>
        <v>43057</v>
      </c>
      <c r="B323">
        <v>0</v>
      </c>
    </row>
    <row r="324" spans="1:8" x14ac:dyDescent="0.25">
      <c r="A324" s="63">
        <f t="shared" ref="A324:A366" si="5">A323+1</f>
        <v>43058</v>
      </c>
      <c r="B324">
        <v>0</v>
      </c>
    </row>
    <row r="325" spans="1:8" x14ac:dyDescent="0.25">
      <c r="A325" s="63">
        <f t="shared" si="5"/>
        <v>43059</v>
      </c>
      <c r="B325">
        <v>1110.77</v>
      </c>
      <c r="C325">
        <v>104.29</v>
      </c>
      <c r="D325">
        <v>398.61</v>
      </c>
      <c r="E325">
        <v>247.16</v>
      </c>
      <c r="F325">
        <v>116.05</v>
      </c>
      <c r="G325">
        <v>133.01</v>
      </c>
      <c r="H325">
        <v>111.65</v>
      </c>
    </row>
    <row r="326" spans="1:8" x14ac:dyDescent="0.25">
      <c r="A326" s="63">
        <f t="shared" si="5"/>
        <v>43060</v>
      </c>
      <c r="B326">
        <v>1097.1799999999998</v>
      </c>
      <c r="C326">
        <v>98.82</v>
      </c>
      <c r="D326">
        <v>392</v>
      </c>
      <c r="E326">
        <v>262.44</v>
      </c>
      <c r="F326">
        <v>107.31</v>
      </c>
      <c r="G326">
        <v>129.97999999999999</v>
      </c>
      <c r="H326">
        <v>106.63</v>
      </c>
    </row>
    <row r="327" spans="1:8" x14ac:dyDescent="0.25">
      <c r="A327" s="63">
        <f t="shared" si="5"/>
        <v>43061</v>
      </c>
      <c r="B327">
        <v>42.040000000000006</v>
      </c>
      <c r="D327">
        <v>0.54</v>
      </c>
      <c r="F327">
        <v>10.65</v>
      </c>
      <c r="G327">
        <v>2.84</v>
      </c>
      <c r="H327">
        <v>28.01</v>
      </c>
    </row>
    <row r="328" spans="1:8" x14ac:dyDescent="0.25">
      <c r="A328" s="63">
        <f t="shared" si="5"/>
        <v>43062</v>
      </c>
      <c r="B328">
        <v>1084.57</v>
      </c>
      <c r="C328">
        <v>88.32</v>
      </c>
      <c r="D328">
        <v>412.16</v>
      </c>
      <c r="E328">
        <v>255.16</v>
      </c>
      <c r="F328">
        <v>107.84</v>
      </c>
      <c r="G328">
        <v>122.65</v>
      </c>
      <c r="H328">
        <v>98.44</v>
      </c>
    </row>
    <row r="329" spans="1:8" x14ac:dyDescent="0.25">
      <c r="A329" s="63">
        <f t="shared" si="5"/>
        <v>43063</v>
      </c>
      <c r="B329">
        <v>648.1</v>
      </c>
      <c r="C329">
        <v>50.83</v>
      </c>
      <c r="D329">
        <v>187.11</v>
      </c>
      <c r="E329">
        <v>127.95</v>
      </c>
      <c r="F329">
        <v>102.37</v>
      </c>
      <c r="G329">
        <v>80.44</v>
      </c>
      <c r="H329">
        <v>99.4</v>
      </c>
    </row>
    <row r="330" spans="1:8" x14ac:dyDescent="0.25">
      <c r="A330" s="63">
        <f t="shared" si="5"/>
        <v>43064</v>
      </c>
      <c r="B330">
        <v>0</v>
      </c>
    </row>
    <row r="331" spans="1:8" x14ac:dyDescent="0.25">
      <c r="A331" s="63">
        <f t="shared" si="5"/>
        <v>43065</v>
      </c>
      <c r="B331">
        <v>0</v>
      </c>
    </row>
    <row r="332" spans="1:8" x14ac:dyDescent="0.25">
      <c r="A332" s="63">
        <f t="shared" si="5"/>
        <v>43066</v>
      </c>
      <c r="B332">
        <v>1011.69</v>
      </c>
      <c r="C332">
        <v>97.14</v>
      </c>
      <c r="D332">
        <v>371.79</v>
      </c>
      <c r="E332">
        <v>251.08</v>
      </c>
      <c r="F332">
        <v>109.01</v>
      </c>
      <c r="G332">
        <v>84.68</v>
      </c>
      <c r="H332">
        <v>97.99</v>
      </c>
    </row>
    <row r="333" spans="1:8" x14ac:dyDescent="0.25">
      <c r="A333" s="63">
        <f t="shared" si="5"/>
        <v>43067</v>
      </c>
      <c r="B333">
        <v>933.34999999999991</v>
      </c>
      <c r="C333">
        <v>66.709999999999994</v>
      </c>
      <c r="D333">
        <v>358.42</v>
      </c>
      <c r="E333">
        <v>231.7</v>
      </c>
      <c r="F333">
        <v>105.01</v>
      </c>
      <c r="G333">
        <v>79.13</v>
      </c>
      <c r="H333">
        <v>92.38</v>
      </c>
    </row>
    <row r="334" spans="1:8" x14ac:dyDescent="0.25">
      <c r="A334" s="63">
        <f t="shared" si="5"/>
        <v>43068</v>
      </c>
      <c r="B334">
        <v>23.94</v>
      </c>
      <c r="F334">
        <v>23.94</v>
      </c>
    </row>
    <row r="335" spans="1:8" x14ac:dyDescent="0.25">
      <c r="A335" s="63">
        <f t="shared" si="5"/>
        <v>43069</v>
      </c>
      <c r="B335">
        <v>782.44</v>
      </c>
      <c r="C335">
        <v>49.58</v>
      </c>
      <c r="D335">
        <v>251.12</v>
      </c>
      <c r="E335">
        <v>220.74</v>
      </c>
      <c r="F335">
        <v>95.71</v>
      </c>
      <c r="G335">
        <v>72.73</v>
      </c>
      <c r="H335">
        <v>92.56</v>
      </c>
    </row>
    <row r="336" spans="1:8" x14ac:dyDescent="0.25">
      <c r="A336" s="63">
        <f t="shared" si="5"/>
        <v>43070</v>
      </c>
      <c r="B336">
        <v>168.68</v>
      </c>
      <c r="F336">
        <v>80.08</v>
      </c>
      <c r="G336">
        <v>43.24</v>
      </c>
      <c r="H336">
        <v>45.36</v>
      </c>
    </row>
    <row r="337" spans="1:8" x14ac:dyDescent="0.25">
      <c r="A337" s="63">
        <f t="shared" si="5"/>
        <v>43071</v>
      </c>
      <c r="B337">
        <v>0</v>
      </c>
    </row>
    <row r="338" spans="1:8" x14ac:dyDescent="0.25">
      <c r="A338" s="63">
        <f t="shared" si="5"/>
        <v>43072</v>
      </c>
      <c r="B338">
        <v>0</v>
      </c>
    </row>
    <row r="339" spans="1:8" x14ac:dyDescent="0.25">
      <c r="A339" s="63">
        <f t="shared" si="5"/>
        <v>43073</v>
      </c>
      <c r="B339">
        <v>1044.21</v>
      </c>
      <c r="C339">
        <v>90.48</v>
      </c>
      <c r="D339">
        <v>429.43</v>
      </c>
      <c r="E339">
        <v>226.06</v>
      </c>
      <c r="F339">
        <v>104.33</v>
      </c>
      <c r="G339">
        <v>102.65</v>
      </c>
      <c r="H339">
        <v>91.26</v>
      </c>
    </row>
    <row r="340" spans="1:8" x14ac:dyDescent="0.25">
      <c r="A340" s="63">
        <f t="shared" si="5"/>
        <v>43074</v>
      </c>
      <c r="B340">
        <v>1015.75</v>
      </c>
      <c r="C340">
        <v>94.82</v>
      </c>
      <c r="D340">
        <v>395.76</v>
      </c>
      <c r="E340">
        <v>222.85</v>
      </c>
      <c r="F340">
        <v>105.28</v>
      </c>
      <c r="G340">
        <v>103.09</v>
      </c>
      <c r="H340">
        <v>93.95</v>
      </c>
    </row>
    <row r="341" spans="1:8" x14ac:dyDescent="0.25">
      <c r="A341" s="63">
        <f t="shared" si="5"/>
        <v>43075</v>
      </c>
      <c r="B341">
        <v>1.08</v>
      </c>
      <c r="G341">
        <v>1.08</v>
      </c>
    </row>
    <row r="342" spans="1:8" x14ac:dyDescent="0.25">
      <c r="A342" s="63">
        <f t="shared" si="5"/>
        <v>43076</v>
      </c>
      <c r="B342">
        <v>821.63999999999987</v>
      </c>
      <c r="C342">
        <v>39.5</v>
      </c>
      <c r="D342">
        <v>278.11</v>
      </c>
      <c r="E342">
        <v>226.43</v>
      </c>
      <c r="F342">
        <v>105.37</v>
      </c>
      <c r="G342">
        <v>83.68</v>
      </c>
      <c r="H342">
        <v>88.55</v>
      </c>
    </row>
    <row r="343" spans="1:8" x14ac:dyDescent="0.25">
      <c r="A343" s="63">
        <f t="shared" si="5"/>
        <v>43077</v>
      </c>
      <c r="B343">
        <v>185.51999999999998</v>
      </c>
      <c r="F343">
        <v>100.11</v>
      </c>
      <c r="G343">
        <v>37.33</v>
      </c>
      <c r="H343">
        <v>48.08</v>
      </c>
    </row>
    <row r="344" spans="1:8" x14ac:dyDescent="0.25">
      <c r="A344" s="63">
        <f t="shared" si="5"/>
        <v>43078</v>
      </c>
      <c r="B344">
        <v>0</v>
      </c>
    </row>
    <row r="345" spans="1:8" x14ac:dyDescent="0.25">
      <c r="A345" s="63">
        <f t="shared" si="5"/>
        <v>43079</v>
      </c>
      <c r="B345">
        <v>0</v>
      </c>
    </row>
    <row r="346" spans="1:8" x14ac:dyDescent="0.25">
      <c r="A346" s="63">
        <f t="shared" si="5"/>
        <v>43080</v>
      </c>
      <c r="B346">
        <v>917.54000000000008</v>
      </c>
      <c r="C346">
        <v>68.27</v>
      </c>
      <c r="D346">
        <v>362.04</v>
      </c>
      <c r="E346">
        <v>205.79</v>
      </c>
      <c r="F346">
        <v>101.58</v>
      </c>
      <c r="G346">
        <v>90.76</v>
      </c>
      <c r="H346">
        <v>89.1</v>
      </c>
    </row>
    <row r="347" spans="1:8" x14ac:dyDescent="0.25">
      <c r="A347" s="63">
        <f t="shared" si="5"/>
        <v>43081</v>
      </c>
      <c r="B347">
        <v>852.31</v>
      </c>
      <c r="C347">
        <v>77.52</v>
      </c>
      <c r="D347">
        <v>294.95</v>
      </c>
      <c r="E347">
        <v>202.97</v>
      </c>
      <c r="F347">
        <v>100.09</v>
      </c>
      <c r="G347">
        <v>86.74</v>
      </c>
      <c r="H347">
        <v>90.04</v>
      </c>
    </row>
    <row r="348" spans="1:8" x14ac:dyDescent="0.25">
      <c r="A348" s="63">
        <f t="shared" si="5"/>
        <v>43082</v>
      </c>
      <c r="B348">
        <v>17.79</v>
      </c>
      <c r="F348">
        <v>3.13</v>
      </c>
      <c r="H348">
        <v>14.66</v>
      </c>
    </row>
    <row r="349" spans="1:8" x14ac:dyDescent="0.25">
      <c r="A349" s="63">
        <f t="shared" si="5"/>
        <v>43083</v>
      </c>
      <c r="B349">
        <v>841.6</v>
      </c>
      <c r="C349">
        <v>50.23</v>
      </c>
      <c r="D349">
        <v>296.35000000000002</v>
      </c>
      <c r="E349">
        <v>235.2</v>
      </c>
      <c r="F349">
        <v>97.54</v>
      </c>
      <c r="G349">
        <v>71.7</v>
      </c>
      <c r="H349">
        <v>90.58</v>
      </c>
    </row>
    <row r="350" spans="1:8" x14ac:dyDescent="0.25">
      <c r="A350" s="63">
        <f t="shared" si="5"/>
        <v>43084</v>
      </c>
      <c r="B350">
        <v>543.69000000000005</v>
      </c>
      <c r="C350">
        <v>65.78</v>
      </c>
      <c r="D350">
        <v>121.32</v>
      </c>
      <c r="E350">
        <v>136.51</v>
      </c>
      <c r="F350">
        <v>100.1</v>
      </c>
      <c r="G350">
        <v>27.06</v>
      </c>
      <c r="H350">
        <v>92.92</v>
      </c>
    </row>
    <row r="351" spans="1:8" x14ac:dyDescent="0.25">
      <c r="A351" s="63">
        <f t="shared" si="5"/>
        <v>43085</v>
      </c>
      <c r="B351">
        <v>0</v>
      </c>
    </row>
    <row r="352" spans="1:8" x14ac:dyDescent="0.25">
      <c r="A352" s="63">
        <f t="shared" si="5"/>
        <v>43086</v>
      </c>
      <c r="B352">
        <v>0</v>
      </c>
    </row>
    <row r="353" spans="1:8" x14ac:dyDescent="0.25">
      <c r="A353" s="63">
        <f t="shared" si="5"/>
        <v>43087</v>
      </c>
      <c r="B353">
        <v>1147.31</v>
      </c>
      <c r="C353">
        <v>103.48</v>
      </c>
      <c r="D353">
        <v>456.81</v>
      </c>
      <c r="E353">
        <v>269.44</v>
      </c>
      <c r="F353">
        <v>110.17</v>
      </c>
      <c r="G353">
        <v>112.49</v>
      </c>
      <c r="H353">
        <v>94.92</v>
      </c>
    </row>
    <row r="354" spans="1:8" x14ac:dyDescent="0.25">
      <c r="A354" s="63">
        <f t="shared" si="5"/>
        <v>43088</v>
      </c>
      <c r="B354">
        <v>961.94</v>
      </c>
      <c r="C354">
        <v>87.9</v>
      </c>
      <c r="D354">
        <v>353.45</v>
      </c>
      <c r="E354">
        <v>247.39</v>
      </c>
      <c r="F354">
        <v>95.46</v>
      </c>
      <c r="G354">
        <v>91.03</v>
      </c>
      <c r="H354">
        <v>86.71</v>
      </c>
    </row>
    <row r="355" spans="1:8" x14ac:dyDescent="0.25">
      <c r="A355" s="63">
        <f t="shared" si="5"/>
        <v>43089</v>
      </c>
      <c r="B355">
        <v>18.77</v>
      </c>
      <c r="F355">
        <v>4.1100000000000003</v>
      </c>
      <c r="H355">
        <v>14.66</v>
      </c>
    </row>
    <row r="356" spans="1:8" x14ac:dyDescent="0.25">
      <c r="A356" s="63">
        <f t="shared" si="5"/>
        <v>43090</v>
      </c>
      <c r="B356">
        <v>1057.3900000000001</v>
      </c>
      <c r="C356">
        <v>99.03</v>
      </c>
      <c r="D356">
        <v>418.26</v>
      </c>
      <c r="E356">
        <v>263.52999999999997</v>
      </c>
      <c r="F356">
        <v>93.33</v>
      </c>
      <c r="G356">
        <v>89.07</v>
      </c>
      <c r="H356">
        <v>94.17</v>
      </c>
    </row>
    <row r="357" spans="1:8" x14ac:dyDescent="0.25">
      <c r="A357" s="63">
        <f t="shared" si="5"/>
        <v>43091</v>
      </c>
      <c r="B357">
        <v>1061.8300000000002</v>
      </c>
      <c r="C357">
        <v>70.14</v>
      </c>
      <c r="D357">
        <v>441.48</v>
      </c>
      <c r="E357">
        <v>249.31</v>
      </c>
      <c r="F357">
        <v>91.31</v>
      </c>
      <c r="G357">
        <v>110.58</v>
      </c>
      <c r="H357">
        <v>99.01</v>
      </c>
    </row>
    <row r="358" spans="1:8" x14ac:dyDescent="0.25">
      <c r="A358" s="63">
        <f t="shared" si="5"/>
        <v>43092</v>
      </c>
      <c r="B358">
        <v>0</v>
      </c>
    </row>
    <row r="359" spans="1:8" x14ac:dyDescent="0.25">
      <c r="A359" s="63">
        <f t="shared" si="5"/>
        <v>43093</v>
      </c>
      <c r="B359">
        <v>0</v>
      </c>
    </row>
    <row r="360" spans="1:8" x14ac:dyDescent="0.25">
      <c r="A360" s="63">
        <f t="shared" si="5"/>
        <v>43094</v>
      </c>
      <c r="B360">
        <v>1072.8699999999999</v>
      </c>
      <c r="C360">
        <v>106</v>
      </c>
      <c r="D360">
        <v>396.64</v>
      </c>
      <c r="E360">
        <v>264.97000000000003</v>
      </c>
      <c r="F360">
        <v>87.43</v>
      </c>
      <c r="G360">
        <v>116.85</v>
      </c>
      <c r="H360">
        <v>100.98</v>
      </c>
    </row>
    <row r="361" spans="1:8" x14ac:dyDescent="0.25">
      <c r="A361" s="63">
        <f t="shared" si="5"/>
        <v>43095</v>
      </c>
      <c r="B361">
        <v>1051.8899999999999</v>
      </c>
      <c r="C361">
        <v>84.75</v>
      </c>
      <c r="D361">
        <v>428</v>
      </c>
      <c r="E361">
        <v>290.31</v>
      </c>
      <c r="F361">
        <v>68.489999999999995</v>
      </c>
      <c r="G361">
        <v>80.67</v>
      </c>
      <c r="H361">
        <v>99.67</v>
      </c>
    </row>
    <row r="362" spans="1:8" x14ac:dyDescent="0.25">
      <c r="A362" s="63">
        <f t="shared" si="5"/>
        <v>43096</v>
      </c>
      <c r="B362">
        <v>304.07</v>
      </c>
      <c r="C362">
        <v>28.51</v>
      </c>
      <c r="D362">
        <v>88.26</v>
      </c>
      <c r="E362">
        <v>101.92</v>
      </c>
      <c r="F362">
        <v>24.68</v>
      </c>
      <c r="G362">
        <v>25.94</v>
      </c>
      <c r="H362">
        <v>34.76</v>
      </c>
    </row>
    <row r="363" spans="1:8" x14ac:dyDescent="0.25">
      <c r="A363" s="63">
        <f t="shared" si="5"/>
        <v>43097</v>
      </c>
      <c r="B363">
        <v>318.07000000000005</v>
      </c>
      <c r="C363">
        <v>39.81</v>
      </c>
      <c r="D363">
        <v>87.31</v>
      </c>
      <c r="E363">
        <v>131.30000000000001</v>
      </c>
      <c r="F363">
        <v>19.55</v>
      </c>
      <c r="G363">
        <v>40.1</v>
      </c>
    </row>
    <row r="364" spans="1:8" x14ac:dyDescent="0.25">
      <c r="A364" s="63">
        <f t="shared" si="5"/>
        <v>43098</v>
      </c>
      <c r="B364">
        <v>0</v>
      </c>
    </row>
    <row r="365" spans="1:8" x14ac:dyDescent="0.25">
      <c r="A365" s="63">
        <f t="shared" si="5"/>
        <v>43099</v>
      </c>
      <c r="B365">
        <v>0</v>
      </c>
    </row>
    <row r="366" spans="1:8" x14ac:dyDescent="0.25">
      <c r="A366" s="63">
        <f t="shared" si="5"/>
        <v>43100</v>
      </c>
      <c r="B366">
        <v>0</v>
      </c>
    </row>
    <row r="367" spans="1:8" x14ac:dyDescent="0.25">
      <c r="A367" s="6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7"/>
  <sheetViews>
    <sheetView topLeftCell="A340" workbookViewId="0">
      <selection activeCell="N338" sqref="N338"/>
    </sheetView>
  </sheetViews>
  <sheetFormatPr defaultRowHeight="15" x14ac:dyDescent="0.25"/>
  <cols>
    <col min="1" max="1" width="10.140625" bestFit="1" customWidth="1"/>
  </cols>
  <sheetData>
    <row r="1" spans="1:8" x14ac:dyDescent="0.25">
      <c r="A1" t="s">
        <v>42</v>
      </c>
      <c r="B1" t="s">
        <v>41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</row>
    <row r="2" spans="1:8" x14ac:dyDescent="0.25">
      <c r="A2" s="63">
        <v>43101</v>
      </c>
      <c r="B2">
        <v>0</v>
      </c>
    </row>
    <row r="3" spans="1:8" x14ac:dyDescent="0.25">
      <c r="A3" s="63">
        <f>A2+1</f>
        <v>43102</v>
      </c>
      <c r="B3">
        <v>0</v>
      </c>
    </row>
    <row r="4" spans="1:8" x14ac:dyDescent="0.25">
      <c r="A4" s="63">
        <f t="shared" ref="A4:A67" si="0">A3+1</f>
        <v>43103</v>
      </c>
      <c r="B4">
        <v>0</v>
      </c>
    </row>
    <row r="5" spans="1:8" x14ac:dyDescent="0.25">
      <c r="A5" s="63">
        <f t="shared" si="0"/>
        <v>43104</v>
      </c>
      <c r="B5">
        <v>0</v>
      </c>
    </row>
    <row r="6" spans="1:8" x14ac:dyDescent="0.25">
      <c r="A6" s="63">
        <f t="shared" si="0"/>
        <v>43105</v>
      </c>
      <c r="B6">
        <v>0</v>
      </c>
    </row>
    <row r="7" spans="1:8" x14ac:dyDescent="0.25">
      <c r="A7" s="63">
        <f t="shared" si="0"/>
        <v>43106</v>
      </c>
      <c r="B7">
        <v>0</v>
      </c>
    </row>
    <row r="8" spans="1:8" x14ac:dyDescent="0.25">
      <c r="A8" s="63">
        <f t="shared" si="0"/>
        <v>43107</v>
      </c>
      <c r="B8">
        <v>0</v>
      </c>
    </row>
    <row r="9" spans="1:8" x14ac:dyDescent="0.25">
      <c r="A9" s="63">
        <f t="shared" si="0"/>
        <v>43108</v>
      </c>
      <c r="B9">
        <v>1064.53</v>
      </c>
      <c r="C9">
        <v>115.13</v>
      </c>
      <c r="D9">
        <v>429.07</v>
      </c>
      <c r="E9">
        <v>257.02</v>
      </c>
      <c r="F9">
        <v>67.41</v>
      </c>
      <c r="G9">
        <v>100.41</v>
      </c>
      <c r="H9">
        <v>95.49</v>
      </c>
    </row>
    <row r="10" spans="1:8" x14ac:dyDescent="0.25">
      <c r="A10" s="63">
        <f t="shared" si="0"/>
        <v>43109</v>
      </c>
      <c r="B10">
        <v>1104.3799999999999</v>
      </c>
      <c r="C10">
        <v>88.07</v>
      </c>
      <c r="D10">
        <v>417.26</v>
      </c>
      <c r="E10">
        <v>292.7</v>
      </c>
      <c r="F10">
        <v>100.64</v>
      </c>
      <c r="G10">
        <v>113.37</v>
      </c>
      <c r="H10">
        <v>92.34</v>
      </c>
    </row>
    <row r="11" spans="1:8" x14ac:dyDescent="0.25">
      <c r="A11" s="63">
        <f t="shared" si="0"/>
        <v>43110</v>
      </c>
      <c r="B11">
        <v>248.85</v>
      </c>
      <c r="C11">
        <v>19.059999999999999</v>
      </c>
      <c r="D11">
        <v>113.67</v>
      </c>
      <c r="E11">
        <v>80.459999999999994</v>
      </c>
      <c r="F11">
        <v>13.89</v>
      </c>
      <c r="G11">
        <v>7.56</v>
      </c>
      <c r="H11">
        <v>14.209999999999999</v>
      </c>
    </row>
    <row r="12" spans="1:8" x14ac:dyDescent="0.25">
      <c r="A12" s="63">
        <f t="shared" si="0"/>
        <v>43111</v>
      </c>
      <c r="B12">
        <v>1059.3499999999999</v>
      </c>
      <c r="C12">
        <v>80.64</v>
      </c>
      <c r="D12">
        <v>422.21</v>
      </c>
      <c r="E12">
        <v>279.04000000000002</v>
      </c>
      <c r="F12">
        <v>88.93</v>
      </c>
      <c r="G12">
        <v>98.04</v>
      </c>
      <c r="H12">
        <v>90.49</v>
      </c>
    </row>
    <row r="13" spans="1:8" x14ac:dyDescent="0.25">
      <c r="A13" s="63">
        <f t="shared" si="0"/>
        <v>43112</v>
      </c>
      <c r="B13">
        <v>1083.25</v>
      </c>
      <c r="C13">
        <v>88.71</v>
      </c>
      <c r="D13">
        <v>424.37</v>
      </c>
      <c r="E13">
        <v>297.02</v>
      </c>
      <c r="F13">
        <v>79.739999999999995</v>
      </c>
      <c r="G13">
        <v>104.45</v>
      </c>
      <c r="H13">
        <v>88.96</v>
      </c>
    </row>
    <row r="14" spans="1:8" x14ac:dyDescent="0.25">
      <c r="A14" s="63">
        <f t="shared" si="0"/>
        <v>43113</v>
      </c>
      <c r="B14">
        <v>0</v>
      </c>
    </row>
    <row r="15" spans="1:8" x14ac:dyDescent="0.25">
      <c r="A15" s="63">
        <f t="shared" si="0"/>
        <v>43114</v>
      </c>
      <c r="B15">
        <v>0</v>
      </c>
    </row>
    <row r="16" spans="1:8" x14ac:dyDescent="0.25">
      <c r="A16" s="63">
        <f t="shared" si="0"/>
        <v>43115</v>
      </c>
      <c r="B16">
        <v>1077.22</v>
      </c>
      <c r="C16">
        <v>99.64</v>
      </c>
      <c r="D16">
        <v>403.99</v>
      </c>
      <c r="E16">
        <v>268.25</v>
      </c>
      <c r="F16">
        <v>89.9</v>
      </c>
      <c r="G16">
        <v>121.93</v>
      </c>
      <c r="H16">
        <v>93.51</v>
      </c>
    </row>
    <row r="17" spans="1:8" x14ac:dyDescent="0.25">
      <c r="A17" s="63">
        <f t="shared" si="0"/>
        <v>43116</v>
      </c>
      <c r="B17">
        <v>1070.31</v>
      </c>
      <c r="C17">
        <v>93.53</v>
      </c>
      <c r="D17">
        <v>389.7</v>
      </c>
      <c r="E17">
        <v>300.45999999999998</v>
      </c>
      <c r="F17">
        <v>89.09</v>
      </c>
      <c r="G17">
        <v>107.66</v>
      </c>
      <c r="H17">
        <v>89.87</v>
      </c>
    </row>
    <row r="18" spans="1:8" x14ac:dyDescent="0.25">
      <c r="A18" s="63">
        <f t="shared" si="0"/>
        <v>43117</v>
      </c>
      <c r="B18">
        <v>198.5</v>
      </c>
      <c r="C18">
        <v>25.64</v>
      </c>
      <c r="D18">
        <v>156.22999999999999</v>
      </c>
      <c r="F18">
        <v>16.39</v>
      </c>
      <c r="G18">
        <v>0.24</v>
      </c>
    </row>
    <row r="19" spans="1:8" x14ac:dyDescent="0.25">
      <c r="A19" s="63">
        <f t="shared" si="0"/>
        <v>43118</v>
      </c>
      <c r="B19">
        <v>1059.1000000000001</v>
      </c>
      <c r="C19">
        <v>79.66</v>
      </c>
      <c r="D19">
        <v>414.91</v>
      </c>
      <c r="E19">
        <v>287.60000000000002</v>
      </c>
      <c r="F19">
        <v>80.91</v>
      </c>
      <c r="G19">
        <v>105.96</v>
      </c>
      <c r="H19">
        <v>90.06</v>
      </c>
    </row>
    <row r="20" spans="1:8" x14ac:dyDescent="0.25">
      <c r="A20" s="63">
        <f t="shared" si="0"/>
        <v>43119</v>
      </c>
      <c r="B20">
        <v>1074.3599999999999</v>
      </c>
      <c r="C20">
        <v>86.9</v>
      </c>
      <c r="D20">
        <v>430.17</v>
      </c>
      <c r="E20">
        <v>289.20999999999998</v>
      </c>
      <c r="F20">
        <v>79.22</v>
      </c>
      <c r="G20">
        <v>104.41</v>
      </c>
      <c r="H20">
        <v>84.45</v>
      </c>
    </row>
    <row r="21" spans="1:8" x14ac:dyDescent="0.25">
      <c r="A21" s="63">
        <f t="shared" si="0"/>
        <v>43120</v>
      </c>
      <c r="B21">
        <v>0</v>
      </c>
    </row>
    <row r="22" spans="1:8" x14ac:dyDescent="0.25">
      <c r="A22" s="63">
        <f t="shared" si="0"/>
        <v>43121</v>
      </c>
      <c r="B22">
        <v>0</v>
      </c>
    </row>
    <row r="23" spans="1:8" x14ac:dyDescent="0.25">
      <c r="A23" s="63">
        <f t="shared" si="0"/>
        <v>43122</v>
      </c>
      <c r="B23">
        <v>1133.1300000000001</v>
      </c>
      <c r="C23">
        <v>97.02</v>
      </c>
      <c r="D23">
        <v>445.09</v>
      </c>
      <c r="E23">
        <v>281.10000000000002</v>
      </c>
      <c r="F23">
        <v>96.04</v>
      </c>
      <c r="G23">
        <v>127.96</v>
      </c>
      <c r="H23">
        <v>85.92</v>
      </c>
    </row>
    <row r="24" spans="1:8" x14ac:dyDescent="0.25">
      <c r="A24" s="63">
        <f t="shared" si="0"/>
        <v>43123</v>
      </c>
      <c r="B24">
        <v>1149.2900000000002</v>
      </c>
      <c r="C24">
        <v>85.32</v>
      </c>
      <c r="D24">
        <v>462.13</v>
      </c>
      <c r="E24">
        <v>298.43</v>
      </c>
      <c r="F24">
        <v>91.06</v>
      </c>
      <c r="G24">
        <v>126.15</v>
      </c>
      <c r="H24">
        <v>86.2</v>
      </c>
    </row>
    <row r="25" spans="1:8" x14ac:dyDescent="0.25">
      <c r="A25" s="63">
        <f t="shared" si="0"/>
        <v>43124</v>
      </c>
      <c r="B25">
        <v>160.76999999999998</v>
      </c>
      <c r="C25">
        <v>15.99</v>
      </c>
      <c r="D25">
        <v>110.74</v>
      </c>
      <c r="F25">
        <v>10.15</v>
      </c>
      <c r="G25">
        <v>23.89</v>
      </c>
    </row>
    <row r="26" spans="1:8" x14ac:dyDescent="0.25">
      <c r="A26" s="63">
        <f t="shared" si="0"/>
        <v>43125</v>
      </c>
      <c r="B26">
        <v>1069.5999999999999</v>
      </c>
      <c r="C26">
        <v>52.21</v>
      </c>
      <c r="D26">
        <v>429.71</v>
      </c>
      <c r="E26">
        <v>289.12</v>
      </c>
      <c r="F26">
        <v>104.12</v>
      </c>
      <c r="G26">
        <v>104.54</v>
      </c>
      <c r="H26">
        <v>89.9</v>
      </c>
    </row>
    <row r="27" spans="1:8" x14ac:dyDescent="0.25">
      <c r="A27" s="63">
        <f t="shared" si="0"/>
        <v>43126</v>
      </c>
      <c r="B27">
        <v>1168.31</v>
      </c>
      <c r="C27">
        <v>106.79</v>
      </c>
      <c r="D27">
        <v>455.31</v>
      </c>
      <c r="E27">
        <v>313.68</v>
      </c>
      <c r="F27">
        <v>93.56</v>
      </c>
      <c r="G27">
        <v>106.14</v>
      </c>
      <c r="H27">
        <v>92.83</v>
      </c>
    </row>
    <row r="28" spans="1:8" x14ac:dyDescent="0.25">
      <c r="A28" s="63">
        <f t="shared" si="0"/>
        <v>43127</v>
      </c>
      <c r="B28">
        <v>0</v>
      </c>
    </row>
    <row r="29" spans="1:8" x14ac:dyDescent="0.25">
      <c r="A29" s="63">
        <f t="shared" si="0"/>
        <v>43128</v>
      </c>
      <c r="B29">
        <v>0</v>
      </c>
    </row>
    <row r="30" spans="1:8" x14ac:dyDescent="0.25">
      <c r="A30" s="63">
        <f t="shared" si="0"/>
        <v>43129</v>
      </c>
      <c r="B30">
        <v>1093.1599999999999</v>
      </c>
      <c r="C30">
        <v>104.19</v>
      </c>
      <c r="D30">
        <v>389.21</v>
      </c>
      <c r="E30">
        <v>292.47000000000003</v>
      </c>
      <c r="F30">
        <v>102.34</v>
      </c>
      <c r="G30">
        <v>119.07</v>
      </c>
      <c r="H30">
        <v>85.88</v>
      </c>
    </row>
    <row r="31" spans="1:8" x14ac:dyDescent="0.25">
      <c r="A31" s="63">
        <f t="shared" si="0"/>
        <v>43130</v>
      </c>
      <c r="B31">
        <v>1037.4100000000001</v>
      </c>
      <c r="C31">
        <v>79.900000000000006</v>
      </c>
      <c r="D31">
        <v>352.61</v>
      </c>
      <c r="E31">
        <v>317.70999999999998</v>
      </c>
      <c r="F31">
        <v>93.53</v>
      </c>
      <c r="G31">
        <v>107.2</v>
      </c>
      <c r="H31">
        <v>86.46</v>
      </c>
    </row>
    <row r="32" spans="1:8" x14ac:dyDescent="0.25">
      <c r="A32" s="63">
        <f t="shared" si="0"/>
        <v>43131</v>
      </c>
      <c r="B32">
        <v>375.52000000000004</v>
      </c>
      <c r="C32">
        <v>31.51</v>
      </c>
      <c r="D32">
        <v>208.16</v>
      </c>
      <c r="E32">
        <v>95.41</v>
      </c>
      <c r="F32">
        <v>33.03</v>
      </c>
      <c r="G32">
        <v>7.41</v>
      </c>
    </row>
    <row r="33" spans="1:8" x14ac:dyDescent="0.25">
      <c r="A33" s="63">
        <f t="shared" si="0"/>
        <v>43132</v>
      </c>
      <c r="B33">
        <v>1075.0899999999999</v>
      </c>
      <c r="C33">
        <v>92.05</v>
      </c>
      <c r="D33">
        <v>383.5</v>
      </c>
      <c r="E33">
        <v>307.99</v>
      </c>
      <c r="F33">
        <v>95.27</v>
      </c>
      <c r="G33">
        <v>115.72</v>
      </c>
      <c r="H33">
        <v>80.56</v>
      </c>
    </row>
    <row r="34" spans="1:8" x14ac:dyDescent="0.25">
      <c r="A34" s="63">
        <f t="shared" si="0"/>
        <v>43133</v>
      </c>
      <c r="B34">
        <v>1139.78</v>
      </c>
      <c r="C34">
        <v>107.21</v>
      </c>
      <c r="D34">
        <v>424.16</v>
      </c>
      <c r="E34">
        <v>294.19</v>
      </c>
      <c r="F34">
        <v>109.33</v>
      </c>
      <c r="G34">
        <v>118.98</v>
      </c>
      <c r="H34">
        <v>85.91</v>
      </c>
    </row>
    <row r="35" spans="1:8" x14ac:dyDescent="0.25">
      <c r="A35" s="63">
        <f t="shared" si="0"/>
        <v>43134</v>
      </c>
      <c r="B35">
        <v>0</v>
      </c>
    </row>
    <row r="36" spans="1:8" x14ac:dyDescent="0.25">
      <c r="A36" s="63">
        <f t="shared" si="0"/>
        <v>43135</v>
      </c>
      <c r="B36">
        <v>0</v>
      </c>
    </row>
    <row r="37" spans="1:8" x14ac:dyDescent="0.25">
      <c r="A37" s="63">
        <f t="shared" si="0"/>
        <v>43136</v>
      </c>
      <c r="B37">
        <v>1144.48</v>
      </c>
      <c r="C37">
        <v>119.99</v>
      </c>
      <c r="D37">
        <v>404.49</v>
      </c>
      <c r="E37">
        <v>292.51</v>
      </c>
      <c r="F37">
        <v>100.12</v>
      </c>
      <c r="G37">
        <v>140.78</v>
      </c>
      <c r="H37">
        <v>86.59</v>
      </c>
    </row>
    <row r="38" spans="1:8" x14ac:dyDescent="0.25">
      <c r="A38" s="63">
        <f t="shared" si="0"/>
        <v>43137</v>
      </c>
      <c r="B38">
        <v>1142.72</v>
      </c>
      <c r="C38">
        <v>85.38</v>
      </c>
      <c r="D38">
        <v>428.49</v>
      </c>
      <c r="E38">
        <v>299.91000000000003</v>
      </c>
      <c r="F38">
        <v>105.53</v>
      </c>
      <c r="G38">
        <v>137.68</v>
      </c>
      <c r="H38">
        <v>85.73</v>
      </c>
    </row>
    <row r="39" spans="1:8" x14ac:dyDescent="0.25">
      <c r="A39" s="63">
        <f t="shared" si="0"/>
        <v>43138</v>
      </c>
      <c r="B39">
        <v>1103.1199999999999</v>
      </c>
      <c r="C39">
        <v>114.5</v>
      </c>
      <c r="D39">
        <v>426.1</v>
      </c>
      <c r="E39">
        <v>331.03</v>
      </c>
      <c r="F39">
        <v>94.9</v>
      </c>
      <c r="G39">
        <v>136.59</v>
      </c>
    </row>
    <row r="40" spans="1:8" x14ac:dyDescent="0.25">
      <c r="A40" s="63">
        <f t="shared" si="0"/>
        <v>43139</v>
      </c>
      <c r="B40">
        <v>1094.26</v>
      </c>
      <c r="C40">
        <v>104.36</v>
      </c>
      <c r="D40">
        <v>379.79</v>
      </c>
      <c r="E40">
        <v>298.13</v>
      </c>
      <c r="F40">
        <v>96.86</v>
      </c>
      <c r="G40">
        <v>126.38</v>
      </c>
      <c r="H40">
        <v>88.74</v>
      </c>
    </row>
    <row r="41" spans="1:8" x14ac:dyDescent="0.25">
      <c r="A41" s="63">
        <f t="shared" si="0"/>
        <v>43140</v>
      </c>
      <c r="B41">
        <v>1179.1500000000001</v>
      </c>
      <c r="C41">
        <v>113.9</v>
      </c>
      <c r="D41">
        <v>429.65</v>
      </c>
      <c r="E41">
        <v>322.60000000000002</v>
      </c>
      <c r="F41">
        <v>91.73</v>
      </c>
      <c r="G41">
        <v>133.77000000000001</v>
      </c>
      <c r="H41">
        <v>87.5</v>
      </c>
    </row>
    <row r="42" spans="1:8" x14ac:dyDescent="0.25">
      <c r="A42" s="63">
        <f t="shared" si="0"/>
        <v>43141</v>
      </c>
      <c r="B42">
        <v>992.73</v>
      </c>
      <c r="C42">
        <v>98.14</v>
      </c>
      <c r="D42">
        <v>374.65</v>
      </c>
      <c r="E42">
        <v>313.47000000000003</v>
      </c>
      <c r="F42">
        <v>83.18</v>
      </c>
      <c r="G42">
        <v>123.29</v>
      </c>
    </row>
    <row r="43" spans="1:8" x14ac:dyDescent="0.25">
      <c r="A43" s="63">
        <f t="shared" si="0"/>
        <v>43142</v>
      </c>
      <c r="B43">
        <v>542.79999999999995</v>
      </c>
      <c r="C43">
        <v>94.77</v>
      </c>
      <c r="D43">
        <v>346.52</v>
      </c>
      <c r="E43">
        <v>101.51</v>
      </c>
    </row>
    <row r="44" spans="1:8" x14ac:dyDescent="0.25">
      <c r="A44" s="63">
        <f t="shared" si="0"/>
        <v>43143</v>
      </c>
      <c r="B44">
        <v>1021.95</v>
      </c>
      <c r="C44">
        <v>104.93</v>
      </c>
      <c r="D44">
        <v>348.51</v>
      </c>
      <c r="E44">
        <v>247.66</v>
      </c>
      <c r="F44">
        <v>102.75</v>
      </c>
      <c r="G44">
        <v>127.61</v>
      </c>
      <c r="H44">
        <v>90.49</v>
      </c>
    </row>
    <row r="45" spans="1:8" x14ac:dyDescent="0.25">
      <c r="A45" s="63">
        <f t="shared" si="0"/>
        <v>43144</v>
      </c>
      <c r="B45">
        <v>1022.1700000000001</v>
      </c>
      <c r="C45">
        <v>97.1</v>
      </c>
      <c r="D45">
        <v>357.22</v>
      </c>
      <c r="E45">
        <v>246.23</v>
      </c>
      <c r="F45">
        <v>95.04</v>
      </c>
      <c r="G45">
        <v>130.55000000000001</v>
      </c>
      <c r="H45">
        <v>96.03</v>
      </c>
    </row>
    <row r="46" spans="1:8" x14ac:dyDescent="0.25">
      <c r="A46" s="63">
        <f t="shared" si="0"/>
        <v>43145</v>
      </c>
      <c r="B46">
        <v>959.93</v>
      </c>
      <c r="C46">
        <v>86.15</v>
      </c>
      <c r="D46">
        <v>378.92</v>
      </c>
      <c r="E46">
        <v>282.19</v>
      </c>
      <c r="F46">
        <v>83.35</v>
      </c>
      <c r="G46">
        <v>119.79</v>
      </c>
      <c r="H46">
        <v>9.5299999999999994</v>
      </c>
    </row>
    <row r="47" spans="1:8" x14ac:dyDescent="0.25">
      <c r="A47" s="63">
        <f t="shared" si="0"/>
        <v>43146</v>
      </c>
      <c r="B47">
        <v>1057.1600000000001</v>
      </c>
      <c r="C47">
        <v>95.37</v>
      </c>
      <c r="D47">
        <v>394.15</v>
      </c>
      <c r="E47">
        <v>290.5</v>
      </c>
      <c r="F47">
        <v>87.36</v>
      </c>
      <c r="G47">
        <v>97.97</v>
      </c>
      <c r="H47">
        <v>91.81</v>
      </c>
    </row>
    <row r="48" spans="1:8" x14ac:dyDescent="0.25">
      <c r="A48" s="63">
        <f t="shared" si="0"/>
        <v>43147</v>
      </c>
      <c r="B48">
        <v>1081.6199999999999</v>
      </c>
      <c r="C48">
        <v>93.84</v>
      </c>
      <c r="D48">
        <v>406.42</v>
      </c>
      <c r="E48">
        <v>302.37</v>
      </c>
      <c r="F48">
        <v>85.76</v>
      </c>
      <c r="G48">
        <v>106.87</v>
      </c>
      <c r="H48">
        <v>86.36</v>
      </c>
    </row>
    <row r="49" spans="1:8" x14ac:dyDescent="0.25">
      <c r="A49" s="63">
        <f t="shared" si="0"/>
        <v>43148</v>
      </c>
      <c r="B49">
        <v>672.68999999999994</v>
      </c>
      <c r="C49">
        <v>85.68</v>
      </c>
      <c r="D49">
        <v>343.21</v>
      </c>
      <c r="E49">
        <v>131.41999999999999</v>
      </c>
      <c r="F49">
        <v>38.78</v>
      </c>
      <c r="G49">
        <v>73.599999999999994</v>
      </c>
    </row>
    <row r="50" spans="1:8" x14ac:dyDescent="0.25">
      <c r="A50" s="63">
        <f t="shared" si="0"/>
        <v>43149</v>
      </c>
      <c r="B50">
        <v>517.4</v>
      </c>
      <c r="C50">
        <v>109.68</v>
      </c>
      <c r="D50">
        <v>334.59</v>
      </c>
      <c r="G50">
        <v>73.13</v>
      </c>
    </row>
    <row r="51" spans="1:8" x14ac:dyDescent="0.25">
      <c r="A51" s="63">
        <f t="shared" si="0"/>
        <v>43150</v>
      </c>
      <c r="B51">
        <v>980.73</v>
      </c>
      <c r="C51">
        <v>46.81</v>
      </c>
      <c r="D51">
        <v>369.57</v>
      </c>
      <c r="E51">
        <v>271.44</v>
      </c>
      <c r="F51">
        <v>83.22</v>
      </c>
      <c r="G51">
        <v>119.25</v>
      </c>
      <c r="H51">
        <v>90.44</v>
      </c>
    </row>
    <row r="52" spans="1:8" x14ac:dyDescent="0.25">
      <c r="A52" s="63">
        <f t="shared" si="0"/>
        <v>43151</v>
      </c>
      <c r="B52">
        <v>1043.01</v>
      </c>
      <c r="C52">
        <v>96.3</v>
      </c>
      <c r="D52">
        <v>389.21</v>
      </c>
      <c r="E52">
        <v>291.48</v>
      </c>
      <c r="F52">
        <v>92.77</v>
      </c>
      <c r="G52">
        <v>89.53</v>
      </c>
      <c r="H52">
        <v>83.72</v>
      </c>
    </row>
    <row r="53" spans="1:8" x14ac:dyDescent="0.25">
      <c r="A53" s="63">
        <f t="shared" si="0"/>
        <v>43152</v>
      </c>
      <c r="B53">
        <v>991</v>
      </c>
      <c r="C53">
        <v>95.95</v>
      </c>
      <c r="D53">
        <v>392.83</v>
      </c>
      <c r="E53">
        <v>296.10000000000002</v>
      </c>
      <c r="F53">
        <v>100.98</v>
      </c>
      <c r="G53">
        <v>89.49</v>
      </c>
      <c r="H53">
        <v>15.65</v>
      </c>
    </row>
    <row r="54" spans="1:8" x14ac:dyDescent="0.25">
      <c r="A54" s="63">
        <f t="shared" si="0"/>
        <v>43153</v>
      </c>
      <c r="B54">
        <v>1028.3699999999999</v>
      </c>
      <c r="C54">
        <v>94.02</v>
      </c>
      <c r="D54">
        <v>374.24</v>
      </c>
      <c r="E54">
        <v>282.23</v>
      </c>
      <c r="F54">
        <v>101.55</v>
      </c>
      <c r="G54">
        <v>93.06</v>
      </c>
      <c r="H54">
        <v>83.27</v>
      </c>
    </row>
    <row r="55" spans="1:8" x14ac:dyDescent="0.25">
      <c r="A55" s="63">
        <f t="shared" si="0"/>
        <v>43154</v>
      </c>
      <c r="B55">
        <v>974.96</v>
      </c>
      <c r="C55">
        <v>74.45</v>
      </c>
      <c r="D55">
        <v>353.64</v>
      </c>
      <c r="E55">
        <v>296.95</v>
      </c>
      <c r="F55">
        <v>94.23</v>
      </c>
      <c r="G55">
        <v>75.61</v>
      </c>
      <c r="H55">
        <v>80.08</v>
      </c>
    </row>
    <row r="56" spans="1:8" x14ac:dyDescent="0.25">
      <c r="A56" s="63">
        <f t="shared" si="0"/>
        <v>43155</v>
      </c>
      <c r="B56">
        <v>923.51</v>
      </c>
      <c r="C56">
        <v>84.73</v>
      </c>
      <c r="D56">
        <v>423.98</v>
      </c>
      <c r="E56">
        <v>293.89999999999998</v>
      </c>
      <c r="F56">
        <v>41.86</v>
      </c>
      <c r="G56">
        <v>79.040000000000006</v>
      </c>
    </row>
    <row r="57" spans="1:8" x14ac:dyDescent="0.25">
      <c r="A57" s="63">
        <f t="shared" si="0"/>
        <v>43156</v>
      </c>
      <c r="B57">
        <v>586.50000000000011</v>
      </c>
      <c r="C57">
        <v>91.68</v>
      </c>
      <c r="D57">
        <v>351.86</v>
      </c>
      <c r="E57">
        <v>73.63</v>
      </c>
      <c r="G57">
        <v>69.33</v>
      </c>
    </row>
    <row r="58" spans="1:8" x14ac:dyDescent="0.25">
      <c r="A58" s="63">
        <f t="shared" si="0"/>
        <v>43157</v>
      </c>
      <c r="B58">
        <v>956.99</v>
      </c>
      <c r="C58">
        <v>80.239999999999995</v>
      </c>
      <c r="D58">
        <v>306.77999999999997</v>
      </c>
      <c r="E58">
        <v>268.60000000000002</v>
      </c>
      <c r="F58">
        <v>101.23</v>
      </c>
      <c r="G58">
        <v>107.99</v>
      </c>
      <c r="H58">
        <v>92.15</v>
      </c>
    </row>
    <row r="59" spans="1:8" x14ac:dyDescent="0.25">
      <c r="A59" s="63">
        <f t="shared" si="0"/>
        <v>43158</v>
      </c>
      <c r="B59">
        <v>1100.47</v>
      </c>
      <c r="C59">
        <v>77.09</v>
      </c>
      <c r="D59">
        <v>429.22</v>
      </c>
      <c r="E59">
        <v>300.67</v>
      </c>
      <c r="F59">
        <v>98.26</v>
      </c>
      <c r="G59">
        <v>105.22</v>
      </c>
      <c r="H59">
        <v>90.01</v>
      </c>
    </row>
    <row r="60" spans="1:8" x14ac:dyDescent="0.25">
      <c r="A60" s="63">
        <f t="shared" si="0"/>
        <v>43159</v>
      </c>
      <c r="B60">
        <v>1011.1899999999998</v>
      </c>
      <c r="C60">
        <v>102.4</v>
      </c>
      <c r="D60">
        <v>401.37</v>
      </c>
      <c r="E60">
        <v>300.08</v>
      </c>
      <c r="F60">
        <v>90.37</v>
      </c>
      <c r="G60">
        <v>96.8</v>
      </c>
      <c r="H60">
        <v>20.170000000000002</v>
      </c>
    </row>
    <row r="61" spans="1:8" x14ac:dyDescent="0.25">
      <c r="A61" s="63">
        <f t="shared" si="0"/>
        <v>43160</v>
      </c>
      <c r="B61">
        <v>1034.22</v>
      </c>
      <c r="C61">
        <v>74.290000000000006</v>
      </c>
      <c r="D61">
        <v>389.21</v>
      </c>
      <c r="E61">
        <v>287.58999999999997</v>
      </c>
      <c r="F61">
        <v>85.99</v>
      </c>
      <c r="G61">
        <v>106.44</v>
      </c>
      <c r="H61">
        <v>90.7</v>
      </c>
    </row>
    <row r="62" spans="1:8" x14ac:dyDescent="0.25">
      <c r="A62" s="63">
        <f t="shared" si="0"/>
        <v>43161</v>
      </c>
      <c r="B62">
        <v>968.08999999999992</v>
      </c>
      <c r="C62">
        <v>68.75</v>
      </c>
      <c r="D62">
        <v>395.35</v>
      </c>
      <c r="E62">
        <v>238.44</v>
      </c>
      <c r="F62">
        <v>78.94</v>
      </c>
      <c r="G62">
        <v>94.3</v>
      </c>
      <c r="H62">
        <v>92.31</v>
      </c>
    </row>
    <row r="63" spans="1:8" x14ac:dyDescent="0.25">
      <c r="A63" s="63">
        <f t="shared" si="0"/>
        <v>43162</v>
      </c>
      <c r="B63">
        <v>630.49</v>
      </c>
      <c r="C63">
        <v>70.03</v>
      </c>
      <c r="D63">
        <v>241.86</v>
      </c>
      <c r="E63">
        <v>241.65</v>
      </c>
      <c r="G63">
        <v>76.95</v>
      </c>
    </row>
    <row r="64" spans="1:8" x14ac:dyDescent="0.25">
      <c r="A64" s="63">
        <f t="shared" si="0"/>
        <v>43163</v>
      </c>
      <c r="B64">
        <v>576.62000000000012</v>
      </c>
      <c r="C64">
        <v>64.510000000000005</v>
      </c>
      <c r="D64">
        <v>248.71</v>
      </c>
      <c r="E64">
        <v>177.83</v>
      </c>
      <c r="F64">
        <v>2.04</v>
      </c>
      <c r="G64">
        <v>83.53</v>
      </c>
    </row>
    <row r="65" spans="1:8" x14ac:dyDescent="0.25">
      <c r="A65" s="63">
        <f t="shared" si="0"/>
        <v>43164</v>
      </c>
      <c r="B65">
        <v>965.94000000000017</v>
      </c>
      <c r="C65">
        <v>83.73</v>
      </c>
      <c r="D65">
        <v>307.60000000000002</v>
      </c>
      <c r="E65">
        <v>270.58999999999997</v>
      </c>
      <c r="F65">
        <v>86.08</v>
      </c>
      <c r="G65">
        <v>123.09</v>
      </c>
      <c r="H65">
        <v>94.85</v>
      </c>
    </row>
    <row r="66" spans="1:8" x14ac:dyDescent="0.25">
      <c r="A66" s="63">
        <f t="shared" si="0"/>
        <v>43165</v>
      </c>
      <c r="B66">
        <v>936.09</v>
      </c>
      <c r="C66">
        <v>74.41</v>
      </c>
      <c r="D66">
        <v>346.82</v>
      </c>
      <c r="E66">
        <v>246.75</v>
      </c>
      <c r="F66">
        <v>83.36</v>
      </c>
      <c r="G66">
        <v>90.52</v>
      </c>
      <c r="H66">
        <v>94.23</v>
      </c>
    </row>
    <row r="67" spans="1:8" x14ac:dyDescent="0.25">
      <c r="A67" s="63">
        <f t="shared" si="0"/>
        <v>43166</v>
      </c>
      <c r="B67">
        <v>934.02</v>
      </c>
      <c r="C67">
        <v>106.5</v>
      </c>
      <c r="D67">
        <v>369.66</v>
      </c>
      <c r="E67">
        <v>252.45</v>
      </c>
      <c r="F67">
        <v>83.41</v>
      </c>
      <c r="G67">
        <v>79.02</v>
      </c>
      <c r="H67">
        <v>42.98</v>
      </c>
    </row>
    <row r="68" spans="1:8" x14ac:dyDescent="0.25">
      <c r="A68" s="63">
        <f t="shared" ref="A68:A131" si="1">A67+1</f>
        <v>43167</v>
      </c>
      <c r="B68">
        <v>945.36000000000013</v>
      </c>
      <c r="C68">
        <v>95.31</v>
      </c>
      <c r="D68">
        <v>378.36</v>
      </c>
      <c r="E68">
        <v>271.68</v>
      </c>
      <c r="F68">
        <v>79.81</v>
      </c>
      <c r="G68">
        <v>80.14</v>
      </c>
      <c r="H68">
        <v>40.06</v>
      </c>
    </row>
    <row r="69" spans="1:8" x14ac:dyDescent="0.25">
      <c r="A69" s="63">
        <f t="shared" si="1"/>
        <v>43168</v>
      </c>
      <c r="B69">
        <v>959.81000000000017</v>
      </c>
      <c r="C69">
        <v>82.15</v>
      </c>
      <c r="D69">
        <v>375.32</v>
      </c>
      <c r="E69">
        <v>262.92</v>
      </c>
      <c r="F69">
        <v>79.680000000000007</v>
      </c>
      <c r="G69">
        <v>81.13</v>
      </c>
      <c r="H69">
        <v>78.61</v>
      </c>
    </row>
    <row r="70" spans="1:8" x14ac:dyDescent="0.25">
      <c r="A70" s="63">
        <f t="shared" si="1"/>
        <v>43169</v>
      </c>
      <c r="B70">
        <v>736.97</v>
      </c>
      <c r="C70">
        <v>67.7</v>
      </c>
      <c r="D70">
        <v>337.99</v>
      </c>
      <c r="E70">
        <v>265.7</v>
      </c>
      <c r="G70">
        <v>65.58</v>
      </c>
    </row>
    <row r="71" spans="1:8" x14ac:dyDescent="0.25">
      <c r="A71" s="63">
        <f t="shared" si="1"/>
        <v>43170</v>
      </c>
      <c r="B71">
        <v>252.76999999999998</v>
      </c>
      <c r="C71">
        <v>40.1</v>
      </c>
      <c r="D71">
        <v>161.97</v>
      </c>
      <c r="E71">
        <v>9.4700000000000006</v>
      </c>
      <c r="G71">
        <v>41.23</v>
      </c>
    </row>
    <row r="72" spans="1:8" x14ac:dyDescent="0.25">
      <c r="A72" s="63">
        <f t="shared" si="1"/>
        <v>43171</v>
      </c>
      <c r="B72">
        <v>853.83999999999992</v>
      </c>
      <c r="C72">
        <v>68.900000000000006</v>
      </c>
      <c r="D72">
        <v>296.01</v>
      </c>
      <c r="E72">
        <v>232.28</v>
      </c>
      <c r="F72">
        <v>77.41</v>
      </c>
      <c r="G72">
        <v>96.54</v>
      </c>
      <c r="H72">
        <v>82.7</v>
      </c>
    </row>
    <row r="73" spans="1:8" x14ac:dyDescent="0.25">
      <c r="A73" s="63">
        <f t="shared" si="1"/>
        <v>43172</v>
      </c>
      <c r="B73">
        <v>935.48000000000013</v>
      </c>
      <c r="C73">
        <v>92.82</v>
      </c>
      <c r="D73">
        <v>361.99</v>
      </c>
      <c r="E73">
        <v>245.14</v>
      </c>
      <c r="F73">
        <v>95.44</v>
      </c>
      <c r="G73">
        <v>99.21</v>
      </c>
      <c r="H73">
        <v>40.880000000000003</v>
      </c>
    </row>
    <row r="74" spans="1:8" x14ac:dyDescent="0.25">
      <c r="A74" s="63">
        <f t="shared" si="1"/>
        <v>43173</v>
      </c>
      <c r="B74">
        <v>1023.8399999999999</v>
      </c>
      <c r="C74">
        <v>100.12</v>
      </c>
      <c r="D74">
        <v>396.23</v>
      </c>
      <c r="E74">
        <v>295.93</v>
      </c>
      <c r="F74">
        <v>93.5</v>
      </c>
      <c r="G74">
        <v>96.17</v>
      </c>
      <c r="H74">
        <v>41.89</v>
      </c>
    </row>
    <row r="75" spans="1:8" x14ac:dyDescent="0.25">
      <c r="A75" s="63">
        <f t="shared" si="1"/>
        <v>43174</v>
      </c>
      <c r="B75">
        <v>981.38999999999987</v>
      </c>
      <c r="C75">
        <v>80.88</v>
      </c>
      <c r="D75">
        <v>374.19</v>
      </c>
      <c r="E75">
        <v>297.27999999999997</v>
      </c>
      <c r="F75">
        <v>88.52</v>
      </c>
      <c r="G75">
        <v>97.33</v>
      </c>
      <c r="H75">
        <v>43.19</v>
      </c>
    </row>
    <row r="76" spans="1:8" x14ac:dyDescent="0.25">
      <c r="A76" s="63">
        <f t="shared" si="1"/>
        <v>43175</v>
      </c>
      <c r="B76">
        <v>1041.24</v>
      </c>
      <c r="C76">
        <v>105.8</v>
      </c>
      <c r="D76">
        <v>393.5</v>
      </c>
      <c r="E76">
        <v>306.61</v>
      </c>
      <c r="F76">
        <v>87.25</v>
      </c>
      <c r="G76">
        <v>104.27</v>
      </c>
      <c r="H76">
        <v>43.81</v>
      </c>
    </row>
    <row r="77" spans="1:8" x14ac:dyDescent="0.25">
      <c r="A77" s="63">
        <f t="shared" si="1"/>
        <v>43176</v>
      </c>
      <c r="B77">
        <v>868.74</v>
      </c>
      <c r="C77">
        <v>63.29</v>
      </c>
      <c r="D77">
        <v>372.26</v>
      </c>
      <c r="E77">
        <v>308.41000000000003</v>
      </c>
      <c r="F77">
        <v>22.05</v>
      </c>
      <c r="G77">
        <v>102.73</v>
      </c>
    </row>
    <row r="78" spans="1:8" x14ac:dyDescent="0.25">
      <c r="A78" s="63">
        <f t="shared" si="1"/>
        <v>43177</v>
      </c>
      <c r="B78">
        <v>730.53</v>
      </c>
      <c r="C78">
        <v>70.55</v>
      </c>
      <c r="D78">
        <v>364.8</v>
      </c>
      <c r="E78">
        <v>187.29</v>
      </c>
      <c r="G78">
        <v>107.89</v>
      </c>
    </row>
    <row r="79" spans="1:8" x14ac:dyDescent="0.25">
      <c r="A79" s="63">
        <f t="shared" si="1"/>
        <v>43178</v>
      </c>
      <c r="B79">
        <v>1057.78</v>
      </c>
      <c r="C79">
        <v>99.4</v>
      </c>
      <c r="D79">
        <v>410.73</v>
      </c>
      <c r="E79">
        <v>251.02</v>
      </c>
      <c r="F79">
        <v>92.01</v>
      </c>
      <c r="G79">
        <v>110.85</v>
      </c>
      <c r="H79">
        <v>93.77</v>
      </c>
    </row>
    <row r="80" spans="1:8" x14ac:dyDescent="0.25">
      <c r="A80" s="63">
        <f t="shared" si="1"/>
        <v>43179</v>
      </c>
      <c r="B80">
        <v>997.74</v>
      </c>
      <c r="C80">
        <v>84.14</v>
      </c>
      <c r="D80">
        <v>370.7</v>
      </c>
      <c r="E80">
        <v>248.51</v>
      </c>
      <c r="F80">
        <v>95.21</v>
      </c>
      <c r="G80">
        <v>102</v>
      </c>
      <c r="H80">
        <v>97.18</v>
      </c>
    </row>
    <row r="81" spans="1:8" x14ac:dyDescent="0.25">
      <c r="A81" s="63">
        <f t="shared" si="1"/>
        <v>43180</v>
      </c>
      <c r="B81">
        <v>936.32999999999993</v>
      </c>
      <c r="C81">
        <v>78.52</v>
      </c>
      <c r="D81">
        <v>392.47</v>
      </c>
      <c r="E81">
        <v>267.12</v>
      </c>
      <c r="F81">
        <v>91.18</v>
      </c>
      <c r="G81">
        <v>107.04</v>
      </c>
    </row>
    <row r="82" spans="1:8" x14ac:dyDescent="0.25">
      <c r="A82" s="63">
        <f t="shared" si="1"/>
        <v>43181</v>
      </c>
      <c r="B82">
        <v>1040.9000000000001</v>
      </c>
      <c r="C82">
        <v>95.02</v>
      </c>
      <c r="D82">
        <v>397.68</v>
      </c>
      <c r="E82">
        <v>265.92</v>
      </c>
      <c r="F82">
        <v>90.63</v>
      </c>
      <c r="G82">
        <v>95.27</v>
      </c>
      <c r="H82">
        <v>96.38</v>
      </c>
    </row>
    <row r="83" spans="1:8" x14ac:dyDescent="0.25">
      <c r="A83" s="63">
        <f t="shared" si="1"/>
        <v>43182</v>
      </c>
      <c r="B83">
        <v>984.11000000000013</v>
      </c>
      <c r="C83">
        <v>100.66</v>
      </c>
      <c r="D83">
        <v>395.05</v>
      </c>
      <c r="E83">
        <v>268.47000000000003</v>
      </c>
      <c r="F83">
        <v>82.73</v>
      </c>
      <c r="G83">
        <v>96.13</v>
      </c>
      <c r="H83">
        <v>41.07</v>
      </c>
    </row>
    <row r="84" spans="1:8" x14ac:dyDescent="0.25">
      <c r="A84" s="63">
        <f t="shared" si="1"/>
        <v>43183</v>
      </c>
      <c r="B84">
        <v>757.27</v>
      </c>
      <c r="C84">
        <v>72.59</v>
      </c>
      <c r="D84">
        <v>328</v>
      </c>
      <c r="E84">
        <v>254.92</v>
      </c>
      <c r="F84">
        <v>1.36</v>
      </c>
      <c r="G84">
        <v>100.4</v>
      </c>
    </row>
    <row r="85" spans="1:8" x14ac:dyDescent="0.25">
      <c r="A85" s="63">
        <f t="shared" si="1"/>
        <v>43184</v>
      </c>
      <c r="B85">
        <v>675.89</v>
      </c>
      <c r="C85">
        <v>70.34</v>
      </c>
      <c r="D85">
        <v>308.33999999999997</v>
      </c>
      <c r="E85">
        <v>188.87</v>
      </c>
      <c r="G85">
        <v>108.34</v>
      </c>
    </row>
    <row r="86" spans="1:8" x14ac:dyDescent="0.25">
      <c r="A86" s="63">
        <f t="shared" si="1"/>
        <v>43185</v>
      </c>
      <c r="B86">
        <v>1001.68</v>
      </c>
      <c r="C86">
        <v>85.06</v>
      </c>
      <c r="D86">
        <v>363.07</v>
      </c>
      <c r="E86">
        <v>258.87</v>
      </c>
      <c r="F86">
        <v>80.52</v>
      </c>
      <c r="G86">
        <v>118.87</v>
      </c>
      <c r="H86">
        <v>95.29</v>
      </c>
    </row>
    <row r="87" spans="1:8" x14ac:dyDescent="0.25">
      <c r="A87" s="63">
        <f t="shared" si="1"/>
        <v>43186</v>
      </c>
      <c r="B87">
        <v>1003.08</v>
      </c>
      <c r="C87">
        <v>83.33</v>
      </c>
      <c r="D87">
        <v>343.15</v>
      </c>
      <c r="E87">
        <v>292.29000000000002</v>
      </c>
      <c r="F87">
        <v>89.23</v>
      </c>
      <c r="G87">
        <v>96.36</v>
      </c>
      <c r="H87">
        <v>98.72</v>
      </c>
    </row>
    <row r="88" spans="1:8" x14ac:dyDescent="0.25">
      <c r="A88" s="63">
        <f t="shared" si="1"/>
        <v>43187</v>
      </c>
      <c r="B88">
        <v>952.23000000000013</v>
      </c>
      <c r="C88">
        <v>100.79</v>
      </c>
      <c r="D88">
        <v>362.23</v>
      </c>
      <c r="E88">
        <v>302.69</v>
      </c>
      <c r="F88">
        <v>86.19</v>
      </c>
      <c r="G88">
        <v>100.33</v>
      </c>
    </row>
    <row r="89" spans="1:8" x14ac:dyDescent="0.25">
      <c r="A89" s="63">
        <f t="shared" si="1"/>
        <v>43188</v>
      </c>
      <c r="B89">
        <v>983.31</v>
      </c>
      <c r="C89">
        <v>73.08</v>
      </c>
      <c r="D89">
        <v>360.22</v>
      </c>
      <c r="E89">
        <v>290.44</v>
      </c>
      <c r="F89">
        <v>86.65</v>
      </c>
      <c r="G89">
        <v>78.23</v>
      </c>
      <c r="H89">
        <v>94.69</v>
      </c>
    </row>
    <row r="90" spans="1:8" x14ac:dyDescent="0.25">
      <c r="A90" s="63">
        <f t="shared" si="1"/>
        <v>43189</v>
      </c>
      <c r="B90">
        <v>940.47</v>
      </c>
      <c r="C90">
        <v>80.06</v>
      </c>
      <c r="D90">
        <v>327.66000000000003</v>
      </c>
      <c r="E90">
        <v>302.45999999999998</v>
      </c>
      <c r="F90">
        <v>90.79</v>
      </c>
      <c r="G90">
        <v>90.84</v>
      </c>
      <c r="H90">
        <v>48.66</v>
      </c>
    </row>
    <row r="91" spans="1:8" x14ac:dyDescent="0.25">
      <c r="A91" s="63">
        <f t="shared" si="1"/>
        <v>43190</v>
      </c>
      <c r="B91">
        <v>772.58999999999992</v>
      </c>
      <c r="C91">
        <v>67.34</v>
      </c>
      <c r="D91">
        <v>330.42</v>
      </c>
      <c r="E91">
        <v>272.14999999999998</v>
      </c>
      <c r="G91">
        <v>102.68</v>
      </c>
    </row>
    <row r="92" spans="1:8" x14ac:dyDescent="0.25">
      <c r="A92" s="63">
        <f t="shared" si="1"/>
        <v>43191</v>
      </c>
      <c r="B92">
        <v>469.84000000000003</v>
      </c>
      <c r="C92">
        <v>84.78</v>
      </c>
      <c r="D92">
        <v>296.92</v>
      </c>
      <c r="G92">
        <v>88.14</v>
      </c>
    </row>
    <row r="93" spans="1:8" x14ac:dyDescent="0.25">
      <c r="A93" s="63">
        <f t="shared" si="1"/>
        <v>43192</v>
      </c>
      <c r="B93">
        <v>989.80000000000007</v>
      </c>
      <c r="C93">
        <v>98.88</v>
      </c>
      <c r="D93">
        <v>382.08</v>
      </c>
      <c r="E93">
        <v>205.67</v>
      </c>
      <c r="F93">
        <v>94.09</v>
      </c>
      <c r="G93">
        <v>112.24</v>
      </c>
      <c r="H93">
        <v>96.84</v>
      </c>
    </row>
    <row r="94" spans="1:8" x14ac:dyDescent="0.25">
      <c r="A94" s="63">
        <f t="shared" si="1"/>
        <v>43193</v>
      </c>
      <c r="B94">
        <v>1025.99</v>
      </c>
      <c r="C94">
        <v>84.7</v>
      </c>
      <c r="D94">
        <v>370.36</v>
      </c>
      <c r="E94">
        <v>272.58</v>
      </c>
      <c r="F94">
        <v>91.54</v>
      </c>
      <c r="G94">
        <v>112.11</v>
      </c>
      <c r="H94">
        <v>94.7</v>
      </c>
    </row>
    <row r="95" spans="1:8" x14ac:dyDescent="0.25">
      <c r="A95" s="63">
        <f t="shared" si="1"/>
        <v>43194</v>
      </c>
      <c r="B95">
        <v>977.93999999999994</v>
      </c>
      <c r="C95">
        <v>86.09</v>
      </c>
      <c r="D95">
        <v>412.53</v>
      </c>
      <c r="E95">
        <v>274.72000000000003</v>
      </c>
      <c r="F95">
        <v>96.28</v>
      </c>
      <c r="G95">
        <v>108.02</v>
      </c>
      <c r="H95">
        <v>0.3</v>
      </c>
    </row>
    <row r="96" spans="1:8" x14ac:dyDescent="0.25">
      <c r="A96" s="63">
        <f t="shared" si="1"/>
        <v>43195</v>
      </c>
      <c r="B96">
        <v>1031.08</v>
      </c>
      <c r="C96">
        <v>81.91</v>
      </c>
      <c r="D96">
        <v>383.1</v>
      </c>
      <c r="E96">
        <v>265.29000000000002</v>
      </c>
      <c r="F96">
        <v>79.34</v>
      </c>
      <c r="G96">
        <v>126.05000000000001</v>
      </c>
      <c r="H96">
        <v>95.389999999999986</v>
      </c>
    </row>
    <row r="97" spans="1:8" x14ac:dyDescent="0.25">
      <c r="A97" s="63">
        <f t="shared" si="1"/>
        <v>43196</v>
      </c>
      <c r="B97">
        <v>973.35</v>
      </c>
      <c r="C97">
        <v>93.18</v>
      </c>
      <c r="D97">
        <v>345.11</v>
      </c>
      <c r="E97">
        <v>279.74</v>
      </c>
      <c r="F97">
        <v>99.76</v>
      </c>
      <c r="G97">
        <v>104.19</v>
      </c>
      <c r="H97">
        <v>51.37</v>
      </c>
    </row>
    <row r="98" spans="1:8" x14ac:dyDescent="0.25">
      <c r="A98" s="63">
        <f t="shared" si="1"/>
        <v>43197</v>
      </c>
      <c r="B98">
        <v>784.14</v>
      </c>
      <c r="C98">
        <v>46.99</v>
      </c>
      <c r="D98">
        <v>351.97</v>
      </c>
      <c r="E98">
        <v>216.89</v>
      </c>
      <c r="F98">
        <v>37.159999999999997</v>
      </c>
      <c r="G98">
        <v>82.33</v>
      </c>
      <c r="H98">
        <v>48.8</v>
      </c>
    </row>
    <row r="99" spans="1:8" x14ac:dyDescent="0.25">
      <c r="A99" s="63">
        <f t="shared" si="1"/>
        <v>43198</v>
      </c>
      <c r="B99">
        <v>786.06999999999994</v>
      </c>
      <c r="C99">
        <v>77.55</v>
      </c>
      <c r="D99">
        <v>363.71</v>
      </c>
      <c r="E99">
        <v>261.58999999999997</v>
      </c>
      <c r="G99">
        <v>83.22</v>
      </c>
    </row>
    <row r="100" spans="1:8" x14ac:dyDescent="0.25">
      <c r="A100" s="63">
        <f t="shared" si="1"/>
        <v>43199</v>
      </c>
      <c r="B100">
        <v>910.78</v>
      </c>
      <c r="C100">
        <v>85.48</v>
      </c>
      <c r="D100">
        <v>318.42</v>
      </c>
      <c r="E100">
        <v>253.84</v>
      </c>
      <c r="F100">
        <v>86.62</v>
      </c>
      <c r="G100">
        <v>117</v>
      </c>
      <c r="H100">
        <v>49.42</v>
      </c>
    </row>
    <row r="101" spans="1:8" x14ac:dyDescent="0.25">
      <c r="A101" s="63">
        <f t="shared" si="1"/>
        <v>43200</v>
      </c>
      <c r="B101">
        <v>897.07999999999993</v>
      </c>
      <c r="C101">
        <v>71</v>
      </c>
      <c r="D101">
        <v>314.82</v>
      </c>
      <c r="E101">
        <v>257.47000000000003</v>
      </c>
      <c r="F101">
        <v>82.12</v>
      </c>
      <c r="G101">
        <v>114.65</v>
      </c>
      <c r="H101">
        <v>57.02</v>
      </c>
    </row>
    <row r="102" spans="1:8" x14ac:dyDescent="0.25">
      <c r="A102" s="63">
        <f t="shared" si="1"/>
        <v>43201</v>
      </c>
      <c r="B102">
        <v>837.55</v>
      </c>
      <c r="C102">
        <v>49.75</v>
      </c>
      <c r="D102">
        <v>298.27</v>
      </c>
      <c r="E102">
        <v>215.74</v>
      </c>
      <c r="F102">
        <v>78.89</v>
      </c>
      <c r="G102">
        <v>113.35</v>
      </c>
      <c r="H102">
        <v>81.55</v>
      </c>
    </row>
    <row r="103" spans="1:8" x14ac:dyDescent="0.25">
      <c r="A103" s="63">
        <f t="shared" si="1"/>
        <v>43202</v>
      </c>
      <c r="B103">
        <v>789.08000000000015</v>
      </c>
      <c r="C103">
        <v>45.79</v>
      </c>
      <c r="D103">
        <v>285.07</v>
      </c>
      <c r="E103">
        <v>222.22</v>
      </c>
      <c r="F103">
        <v>76.48</v>
      </c>
      <c r="G103">
        <v>99.82</v>
      </c>
      <c r="H103">
        <v>59.7</v>
      </c>
    </row>
    <row r="104" spans="1:8" x14ac:dyDescent="0.25">
      <c r="A104" s="63">
        <f t="shared" si="1"/>
        <v>43203</v>
      </c>
      <c r="B104">
        <v>791.37</v>
      </c>
      <c r="C104">
        <v>66.08</v>
      </c>
      <c r="D104">
        <v>309.23</v>
      </c>
      <c r="E104">
        <v>193.33</v>
      </c>
      <c r="F104">
        <v>65.87</v>
      </c>
      <c r="G104">
        <v>98.25</v>
      </c>
      <c r="H104">
        <v>58.61</v>
      </c>
    </row>
    <row r="105" spans="1:8" x14ac:dyDescent="0.25">
      <c r="A105" s="63">
        <f t="shared" si="1"/>
        <v>43204</v>
      </c>
      <c r="B105">
        <v>600.96</v>
      </c>
      <c r="C105">
        <v>61.83</v>
      </c>
      <c r="D105">
        <v>232.8</v>
      </c>
      <c r="E105">
        <v>164.48</v>
      </c>
      <c r="F105">
        <v>21.12</v>
      </c>
      <c r="G105">
        <v>72.260000000000005</v>
      </c>
      <c r="H105">
        <v>48.47</v>
      </c>
    </row>
    <row r="106" spans="1:8" x14ac:dyDescent="0.25">
      <c r="A106" s="63">
        <f t="shared" si="1"/>
        <v>43205</v>
      </c>
      <c r="B106">
        <v>527.02</v>
      </c>
      <c r="C106">
        <v>50.6</v>
      </c>
      <c r="D106">
        <v>212.8</v>
      </c>
      <c r="E106">
        <v>142.24</v>
      </c>
      <c r="G106">
        <v>71.94</v>
      </c>
      <c r="H106">
        <v>49.44</v>
      </c>
    </row>
    <row r="107" spans="1:8" x14ac:dyDescent="0.25">
      <c r="A107" s="63">
        <f t="shared" si="1"/>
        <v>43206</v>
      </c>
      <c r="B107">
        <v>732.41</v>
      </c>
      <c r="C107">
        <v>60.4</v>
      </c>
      <c r="D107">
        <v>264.08</v>
      </c>
      <c r="E107">
        <v>198.5</v>
      </c>
      <c r="F107">
        <v>74.03</v>
      </c>
      <c r="G107">
        <v>85.36</v>
      </c>
      <c r="H107">
        <v>50.04</v>
      </c>
    </row>
    <row r="108" spans="1:8" x14ac:dyDescent="0.25">
      <c r="A108" s="63">
        <f t="shared" si="1"/>
        <v>43207</v>
      </c>
      <c r="B108">
        <v>702.46</v>
      </c>
      <c r="C108">
        <v>58.5</v>
      </c>
      <c r="D108">
        <v>259.95</v>
      </c>
      <c r="E108">
        <v>174.23</v>
      </c>
      <c r="F108">
        <v>87.62</v>
      </c>
      <c r="G108">
        <v>79.47</v>
      </c>
      <c r="H108">
        <v>42.69</v>
      </c>
    </row>
    <row r="109" spans="1:8" x14ac:dyDescent="0.25">
      <c r="A109" s="63">
        <f t="shared" si="1"/>
        <v>43208</v>
      </c>
      <c r="B109">
        <v>776.4</v>
      </c>
      <c r="C109">
        <v>57.83</v>
      </c>
      <c r="D109">
        <v>334.75</v>
      </c>
      <c r="E109">
        <v>193.46</v>
      </c>
      <c r="F109">
        <v>84.15</v>
      </c>
      <c r="G109">
        <v>53.26</v>
      </c>
      <c r="H109">
        <v>52.95</v>
      </c>
    </row>
    <row r="110" spans="1:8" x14ac:dyDescent="0.25">
      <c r="A110" s="63">
        <f t="shared" si="1"/>
        <v>43209</v>
      </c>
      <c r="B110">
        <v>679.09</v>
      </c>
      <c r="C110">
        <v>74.75</v>
      </c>
      <c r="D110">
        <v>302.81</v>
      </c>
      <c r="E110">
        <v>165.98</v>
      </c>
      <c r="F110">
        <v>76.84</v>
      </c>
      <c r="G110">
        <v>4.59</v>
      </c>
      <c r="H110">
        <v>54.12</v>
      </c>
    </row>
    <row r="111" spans="1:8" x14ac:dyDescent="0.25">
      <c r="A111" s="63">
        <f t="shared" si="1"/>
        <v>43210</v>
      </c>
      <c r="B111">
        <v>582.34</v>
      </c>
      <c r="C111">
        <v>58.01</v>
      </c>
      <c r="D111">
        <v>315.99</v>
      </c>
      <c r="F111">
        <v>68.680000000000007</v>
      </c>
      <c r="G111">
        <v>87.29</v>
      </c>
      <c r="H111">
        <v>52.37</v>
      </c>
    </row>
    <row r="112" spans="1:8" x14ac:dyDescent="0.25">
      <c r="A112" s="63">
        <f t="shared" si="1"/>
        <v>43211</v>
      </c>
      <c r="B112">
        <v>635.04999999999995</v>
      </c>
      <c r="C112">
        <v>63.98</v>
      </c>
      <c r="D112">
        <v>246.98</v>
      </c>
      <c r="E112">
        <v>186.35</v>
      </c>
      <c r="G112">
        <v>86.2</v>
      </c>
      <c r="H112">
        <v>51.54</v>
      </c>
    </row>
    <row r="113" spans="1:8" x14ac:dyDescent="0.25">
      <c r="A113" s="63">
        <f t="shared" si="1"/>
        <v>43212</v>
      </c>
      <c r="B113">
        <v>772.25000000000011</v>
      </c>
      <c r="C113">
        <v>52.43</v>
      </c>
      <c r="D113">
        <v>307.31</v>
      </c>
      <c r="E113">
        <v>259.95</v>
      </c>
      <c r="G113">
        <v>98.93</v>
      </c>
      <c r="H113">
        <v>53.63</v>
      </c>
    </row>
    <row r="114" spans="1:8" x14ac:dyDescent="0.25">
      <c r="A114" s="63">
        <f t="shared" si="1"/>
        <v>43213</v>
      </c>
      <c r="B114">
        <v>879.89999999999986</v>
      </c>
      <c r="C114">
        <v>91.05</v>
      </c>
      <c r="D114">
        <v>294.02</v>
      </c>
      <c r="E114">
        <v>265.52</v>
      </c>
      <c r="F114">
        <v>77.040000000000006</v>
      </c>
      <c r="G114">
        <v>100.23</v>
      </c>
      <c r="H114">
        <v>52.04</v>
      </c>
    </row>
    <row r="115" spans="1:8" x14ac:dyDescent="0.25">
      <c r="A115" s="63">
        <f t="shared" si="1"/>
        <v>43214</v>
      </c>
      <c r="B115">
        <v>979.81</v>
      </c>
      <c r="C115">
        <v>74.38</v>
      </c>
      <c r="D115">
        <v>370.63</v>
      </c>
      <c r="E115">
        <v>295.83</v>
      </c>
      <c r="F115">
        <v>91.61</v>
      </c>
      <c r="G115">
        <v>94.41</v>
      </c>
      <c r="H115">
        <v>52.95</v>
      </c>
    </row>
    <row r="116" spans="1:8" x14ac:dyDescent="0.25">
      <c r="A116" s="63">
        <f t="shared" si="1"/>
        <v>43215</v>
      </c>
      <c r="B116">
        <v>962.0999999999998</v>
      </c>
      <c r="C116">
        <v>105.85</v>
      </c>
      <c r="D116">
        <v>356.59</v>
      </c>
      <c r="E116">
        <v>282.2</v>
      </c>
      <c r="F116">
        <v>82.55</v>
      </c>
      <c r="G116">
        <v>81.400000000000006</v>
      </c>
      <c r="H116">
        <v>53.51</v>
      </c>
    </row>
    <row r="117" spans="1:8" x14ac:dyDescent="0.25">
      <c r="A117" s="63">
        <f t="shared" si="1"/>
        <v>43216</v>
      </c>
      <c r="B117">
        <v>931.56</v>
      </c>
      <c r="C117">
        <v>95.94</v>
      </c>
      <c r="D117">
        <v>331.87</v>
      </c>
      <c r="E117">
        <v>287.06</v>
      </c>
      <c r="F117">
        <v>76.650000000000006</v>
      </c>
      <c r="G117">
        <v>83.5</v>
      </c>
      <c r="H117">
        <v>56.54</v>
      </c>
    </row>
    <row r="118" spans="1:8" x14ac:dyDescent="0.25">
      <c r="A118" s="63">
        <f t="shared" si="1"/>
        <v>43217</v>
      </c>
      <c r="B118">
        <v>997.24999999999989</v>
      </c>
      <c r="C118">
        <v>99.54</v>
      </c>
      <c r="D118">
        <v>388.08</v>
      </c>
      <c r="E118">
        <v>300.41000000000003</v>
      </c>
      <c r="F118">
        <v>69.16</v>
      </c>
      <c r="G118">
        <v>84.16</v>
      </c>
      <c r="H118">
        <v>55.9</v>
      </c>
    </row>
    <row r="119" spans="1:8" x14ac:dyDescent="0.25">
      <c r="A119" s="63">
        <f t="shared" si="1"/>
        <v>43218</v>
      </c>
      <c r="B119">
        <v>797.5200000000001</v>
      </c>
      <c r="C119">
        <v>48.29</v>
      </c>
      <c r="D119">
        <v>357.71</v>
      </c>
      <c r="E119">
        <v>203.51</v>
      </c>
      <c r="F119">
        <v>59.45</v>
      </c>
      <c r="G119">
        <v>73.72</v>
      </c>
      <c r="H119">
        <v>54.84</v>
      </c>
    </row>
    <row r="120" spans="1:8" x14ac:dyDescent="0.25">
      <c r="A120" s="63">
        <f t="shared" si="1"/>
        <v>43219</v>
      </c>
      <c r="B120">
        <v>721.18</v>
      </c>
      <c r="C120">
        <v>46.06</v>
      </c>
      <c r="D120">
        <v>305.33</v>
      </c>
      <c r="E120">
        <v>192.58</v>
      </c>
      <c r="F120">
        <v>47.53</v>
      </c>
      <c r="G120">
        <v>74.92</v>
      </c>
      <c r="H120">
        <v>54.76</v>
      </c>
    </row>
    <row r="121" spans="1:8" x14ac:dyDescent="0.25">
      <c r="A121" s="63">
        <f t="shared" si="1"/>
        <v>43220</v>
      </c>
      <c r="B121">
        <v>396.14</v>
      </c>
      <c r="C121">
        <v>48.53</v>
      </c>
      <c r="E121">
        <v>190.03</v>
      </c>
      <c r="F121">
        <v>47.83</v>
      </c>
      <c r="G121">
        <v>57</v>
      </c>
      <c r="H121">
        <v>52.75</v>
      </c>
    </row>
    <row r="122" spans="1:8" x14ac:dyDescent="0.25">
      <c r="A122" s="63">
        <f t="shared" si="1"/>
        <v>43221</v>
      </c>
      <c r="B122">
        <v>384.98009999999999</v>
      </c>
      <c r="C122">
        <v>38.56</v>
      </c>
      <c r="D122">
        <v>1E-4</v>
      </c>
      <c r="E122">
        <v>168.69</v>
      </c>
      <c r="F122">
        <v>65.39</v>
      </c>
      <c r="G122">
        <v>59.32</v>
      </c>
      <c r="H122">
        <v>53.02</v>
      </c>
    </row>
    <row r="123" spans="1:8" x14ac:dyDescent="0.25">
      <c r="A123" s="63">
        <f t="shared" si="1"/>
        <v>43222</v>
      </c>
      <c r="B123">
        <v>780.6</v>
      </c>
      <c r="C123">
        <v>54.97</v>
      </c>
      <c r="D123">
        <v>341.85</v>
      </c>
      <c r="E123">
        <v>204.77</v>
      </c>
      <c r="F123">
        <v>55.79</v>
      </c>
      <c r="G123">
        <v>73.09</v>
      </c>
      <c r="H123">
        <v>50.13</v>
      </c>
    </row>
    <row r="124" spans="1:8" x14ac:dyDescent="0.25">
      <c r="A124" s="63">
        <f t="shared" si="1"/>
        <v>43223</v>
      </c>
      <c r="B124">
        <v>687.81</v>
      </c>
      <c r="C124">
        <v>62.35</v>
      </c>
      <c r="D124">
        <v>310.08999999999997</v>
      </c>
      <c r="E124">
        <v>158.15</v>
      </c>
      <c r="F124">
        <v>36.04</v>
      </c>
      <c r="G124">
        <v>70.930000000000007</v>
      </c>
      <c r="H124">
        <v>50.25</v>
      </c>
    </row>
    <row r="125" spans="1:8" x14ac:dyDescent="0.25">
      <c r="A125" s="63">
        <f t="shared" si="1"/>
        <v>43224</v>
      </c>
      <c r="B125">
        <v>597.20000000000005</v>
      </c>
      <c r="C125">
        <v>90.91</v>
      </c>
      <c r="D125">
        <v>240.06</v>
      </c>
      <c r="E125">
        <v>116.64</v>
      </c>
      <c r="F125">
        <v>60.72</v>
      </c>
      <c r="G125">
        <v>36.51</v>
      </c>
      <c r="H125">
        <v>52.36</v>
      </c>
    </row>
    <row r="126" spans="1:8" x14ac:dyDescent="0.25">
      <c r="A126" s="63">
        <f t="shared" si="1"/>
        <v>43225</v>
      </c>
      <c r="B126">
        <v>200.2</v>
      </c>
      <c r="D126">
        <v>81.48</v>
      </c>
      <c r="F126">
        <v>67.959999999999994</v>
      </c>
      <c r="H126">
        <v>50.76</v>
      </c>
    </row>
    <row r="127" spans="1:8" x14ac:dyDescent="0.25">
      <c r="A127" s="63">
        <f t="shared" si="1"/>
        <v>43226</v>
      </c>
      <c r="B127">
        <v>273.74</v>
      </c>
      <c r="C127">
        <v>61.65</v>
      </c>
      <c r="E127">
        <v>113.32</v>
      </c>
      <c r="F127">
        <v>52.59</v>
      </c>
      <c r="G127">
        <v>46.18</v>
      </c>
    </row>
    <row r="128" spans="1:8" x14ac:dyDescent="0.25">
      <c r="A128" s="63">
        <f t="shared" si="1"/>
        <v>43227</v>
      </c>
      <c r="B128">
        <v>894.47</v>
      </c>
      <c r="C128">
        <v>79.3</v>
      </c>
      <c r="D128">
        <v>391.3</v>
      </c>
      <c r="E128">
        <v>226.35</v>
      </c>
      <c r="F128">
        <v>58.52</v>
      </c>
      <c r="G128">
        <v>86.87</v>
      </c>
      <c r="H128">
        <v>52.13</v>
      </c>
    </row>
    <row r="129" spans="1:8" x14ac:dyDescent="0.25">
      <c r="A129" s="63">
        <f t="shared" si="1"/>
        <v>43228</v>
      </c>
      <c r="B129">
        <v>803.77</v>
      </c>
      <c r="C129">
        <v>73.94</v>
      </c>
      <c r="D129">
        <v>332.36</v>
      </c>
      <c r="E129">
        <v>228.1</v>
      </c>
      <c r="F129">
        <v>49.34</v>
      </c>
      <c r="G129">
        <v>63.64</v>
      </c>
      <c r="H129">
        <v>56.39</v>
      </c>
    </row>
    <row r="130" spans="1:8" x14ac:dyDescent="0.25">
      <c r="A130" s="63">
        <f t="shared" si="1"/>
        <v>43229</v>
      </c>
      <c r="B130">
        <v>0</v>
      </c>
    </row>
    <row r="131" spans="1:8" x14ac:dyDescent="0.25">
      <c r="A131" s="63">
        <f t="shared" si="1"/>
        <v>43230</v>
      </c>
      <c r="B131">
        <v>851.48</v>
      </c>
      <c r="C131">
        <v>80.489999999999995</v>
      </c>
      <c r="D131">
        <v>336.48</v>
      </c>
      <c r="E131">
        <v>220.9</v>
      </c>
      <c r="F131">
        <v>89.43</v>
      </c>
      <c r="G131">
        <v>67.12</v>
      </c>
      <c r="H131">
        <v>57.06</v>
      </c>
    </row>
    <row r="132" spans="1:8" x14ac:dyDescent="0.25">
      <c r="A132" s="63">
        <f t="shared" ref="A132:A195" si="2">A131+1</f>
        <v>43231</v>
      </c>
      <c r="B132">
        <v>698.42000000000007</v>
      </c>
      <c r="C132">
        <v>61.62</v>
      </c>
      <c r="D132">
        <v>238.7</v>
      </c>
      <c r="E132">
        <v>198.4</v>
      </c>
      <c r="F132">
        <v>62.44</v>
      </c>
      <c r="G132">
        <v>76.959999999999994</v>
      </c>
      <c r="H132">
        <v>60.3</v>
      </c>
    </row>
    <row r="133" spans="1:8" x14ac:dyDescent="0.25">
      <c r="A133" s="63">
        <f t="shared" si="2"/>
        <v>43232</v>
      </c>
      <c r="B133">
        <v>657.26</v>
      </c>
      <c r="C133">
        <v>70.489999999999995</v>
      </c>
      <c r="D133">
        <v>192.13</v>
      </c>
      <c r="E133">
        <v>185.92</v>
      </c>
      <c r="F133">
        <v>80.63</v>
      </c>
      <c r="G133">
        <v>72.98</v>
      </c>
      <c r="H133">
        <v>55.11</v>
      </c>
    </row>
    <row r="134" spans="1:8" x14ac:dyDescent="0.25">
      <c r="A134" s="63">
        <f t="shared" si="2"/>
        <v>43233</v>
      </c>
      <c r="B134">
        <v>634.63</v>
      </c>
      <c r="C134">
        <v>88.62</v>
      </c>
      <c r="D134">
        <v>214.25</v>
      </c>
      <c r="E134">
        <v>180.89</v>
      </c>
      <c r="F134">
        <v>80.13</v>
      </c>
      <c r="G134">
        <v>70.739999999999995</v>
      </c>
    </row>
    <row r="135" spans="1:8" x14ac:dyDescent="0.25">
      <c r="A135" s="63">
        <f t="shared" si="2"/>
        <v>43234</v>
      </c>
      <c r="B135">
        <v>846.46999999999991</v>
      </c>
      <c r="C135">
        <v>78.41</v>
      </c>
      <c r="D135">
        <v>327.33</v>
      </c>
      <c r="E135">
        <v>203.8</v>
      </c>
      <c r="F135">
        <v>60.92</v>
      </c>
      <c r="G135">
        <v>119.64</v>
      </c>
      <c r="H135">
        <v>56.37</v>
      </c>
    </row>
    <row r="136" spans="1:8" x14ac:dyDescent="0.25">
      <c r="A136" s="63">
        <f t="shared" si="2"/>
        <v>43235</v>
      </c>
      <c r="B136">
        <v>931.77</v>
      </c>
      <c r="C136">
        <v>81.900000000000006</v>
      </c>
      <c r="D136">
        <v>355.11</v>
      </c>
      <c r="E136">
        <v>245.88</v>
      </c>
      <c r="F136">
        <v>91.53</v>
      </c>
      <c r="G136">
        <v>102.52</v>
      </c>
      <c r="H136">
        <v>54.83</v>
      </c>
    </row>
    <row r="137" spans="1:8" x14ac:dyDescent="0.25">
      <c r="A137" s="63">
        <f t="shared" si="2"/>
        <v>43236</v>
      </c>
      <c r="B137">
        <v>880.57</v>
      </c>
      <c r="C137">
        <v>83.98</v>
      </c>
      <c r="D137">
        <v>341.2</v>
      </c>
      <c r="E137">
        <v>231.9</v>
      </c>
      <c r="F137">
        <v>75.58</v>
      </c>
      <c r="G137">
        <v>92.56</v>
      </c>
      <c r="H137">
        <v>55.35</v>
      </c>
    </row>
    <row r="138" spans="1:8" x14ac:dyDescent="0.25">
      <c r="A138" s="63">
        <f t="shared" si="2"/>
        <v>43237</v>
      </c>
      <c r="B138">
        <v>886.72</v>
      </c>
      <c r="C138">
        <v>94.67</v>
      </c>
      <c r="D138">
        <v>333.49</v>
      </c>
      <c r="E138">
        <v>232.46</v>
      </c>
      <c r="F138">
        <v>85.33</v>
      </c>
      <c r="G138">
        <v>86.02</v>
      </c>
      <c r="H138">
        <v>54.75</v>
      </c>
    </row>
    <row r="139" spans="1:8" x14ac:dyDescent="0.25">
      <c r="A139" s="63">
        <f t="shared" si="2"/>
        <v>43238</v>
      </c>
      <c r="B139">
        <v>809.67</v>
      </c>
      <c r="C139">
        <v>77.290000000000006</v>
      </c>
      <c r="D139">
        <v>299.83999999999997</v>
      </c>
      <c r="E139">
        <v>201.16</v>
      </c>
      <c r="F139">
        <v>81.73</v>
      </c>
      <c r="G139">
        <v>93.92</v>
      </c>
      <c r="H139">
        <v>55.73</v>
      </c>
    </row>
    <row r="140" spans="1:8" x14ac:dyDescent="0.25">
      <c r="A140" s="63">
        <f t="shared" si="2"/>
        <v>43239</v>
      </c>
      <c r="B140">
        <v>708.84</v>
      </c>
      <c r="C140">
        <v>83.56</v>
      </c>
      <c r="D140">
        <v>275.89</v>
      </c>
      <c r="E140">
        <v>161.97</v>
      </c>
      <c r="F140">
        <v>70.22</v>
      </c>
      <c r="G140">
        <v>61.73</v>
      </c>
      <c r="H140">
        <v>55.47</v>
      </c>
    </row>
    <row r="141" spans="1:8" x14ac:dyDescent="0.25">
      <c r="A141" s="63">
        <f t="shared" si="2"/>
        <v>43240</v>
      </c>
      <c r="B141">
        <v>780.2</v>
      </c>
      <c r="C141">
        <v>86.06</v>
      </c>
      <c r="D141">
        <v>256.14999999999998</v>
      </c>
      <c r="E141">
        <v>222.1</v>
      </c>
      <c r="F141">
        <v>91.35</v>
      </c>
      <c r="G141">
        <v>69.099999999999994</v>
      </c>
      <c r="H141">
        <v>55.44</v>
      </c>
    </row>
    <row r="142" spans="1:8" x14ac:dyDescent="0.25">
      <c r="A142" s="63">
        <f t="shared" si="2"/>
        <v>43241</v>
      </c>
      <c r="B142">
        <v>836.54</v>
      </c>
      <c r="C142">
        <v>72.239999999999995</v>
      </c>
      <c r="D142">
        <v>317.54000000000002</v>
      </c>
      <c r="E142">
        <v>215.65</v>
      </c>
      <c r="F142">
        <v>77.650000000000006</v>
      </c>
      <c r="G142">
        <v>93.02</v>
      </c>
      <c r="H142">
        <v>60.44</v>
      </c>
    </row>
    <row r="143" spans="1:8" x14ac:dyDescent="0.25">
      <c r="A143" s="63">
        <f t="shared" si="2"/>
        <v>43242</v>
      </c>
      <c r="B143">
        <v>880.52</v>
      </c>
      <c r="C143">
        <v>74.8</v>
      </c>
      <c r="D143">
        <v>363.7</v>
      </c>
      <c r="E143">
        <v>226.72</v>
      </c>
      <c r="F143">
        <v>77.010000000000005</v>
      </c>
      <c r="G143">
        <v>76.11</v>
      </c>
      <c r="H143">
        <v>62.18</v>
      </c>
    </row>
    <row r="144" spans="1:8" x14ac:dyDescent="0.25">
      <c r="A144" s="63">
        <f t="shared" si="2"/>
        <v>43243</v>
      </c>
      <c r="B144">
        <v>883.92000000000007</v>
      </c>
      <c r="C144">
        <v>77.55</v>
      </c>
      <c r="D144">
        <v>371.47</v>
      </c>
      <c r="E144">
        <v>229.41</v>
      </c>
      <c r="F144">
        <v>86.12</v>
      </c>
      <c r="G144">
        <v>54.88</v>
      </c>
      <c r="H144">
        <v>64.489999999999995</v>
      </c>
    </row>
    <row r="145" spans="1:8" x14ac:dyDescent="0.25">
      <c r="A145" s="63">
        <f t="shared" si="2"/>
        <v>43244</v>
      </c>
      <c r="B145">
        <v>845.48</v>
      </c>
      <c r="C145">
        <v>44.88</v>
      </c>
      <c r="D145">
        <v>340.63</v>
      </c>
      <c r="E145">
        <v>236.62</v>
      </c>
      <c r="F145">
        <v>83.23</v>
      </c>
      <c r="G145">
        <v>74.930000000000007</v>
      </c>
      <c r="H145">
        <v>65.19</v>
      </c>
    </row>
    <row r="146" spans="1:8" x14ac:dyDescent="0.25">
      <c r="A146" s="63">
        <f t="shared" si="2"/>
        <v>43245</v>
      </c>
      <c r="B146">
        <v>746.8</v>
      </c>
      <c r="C146">
        <v>58.66</v>
      </c>
      <c r="D146">
        <v>273.47000000000003</v>
      </c>
      <c r="E146">
        <v>174.67</v>
      </c>
      <c r="F146">
        <v>89.98</v>
      </c>
      <c r="G146">
        <v>84.92</v>
      </c>
      <c r="H146">
        <v>65.099999999999994</v>
      </c>
    </row>
    <row r="147" spans="1:8" x14ac:dyDescent="0.25">
      <c r="A147" s="63">
        <f t="shared" si="2"/>
        <v>43246</v>
      </c>
      <c r="B147">
        <v>624.52</v>
      </c>
      <c r="C147">
        <v>35.46</v>
      </c>
      <c r="D147">
        <v>202.51</v>
      </c>
      <c r="E147">
        <v>169.93</v>
      </c>
      <c r="F147">
        <v>81.760000000000005</v>
      </c>
      <c r="G147">
        <v>72.55</v>
      </c>
      <c r="H147">
        <v>62.31</v>
      </c>
    </row>
    <row r="148" spans="1:8" x14ac:dyDescent="0.25">
      <c r="A148" s="63">
        <f t="shared" si="2"/>
        <v>43247</v>
      </c>
      <c r="B148">
        <v>643.97</v>
      </c>
      <c r="C148">
        <v>48.42</v>
      </c>
      <c r="D148">
        <v>177.95</v>
      </c>
      <c r="E148">
        <v>176.81</v>
      </c>
      <c r="F148">
        <v>98.69</v>
      </c>
      <c r="G148">
        <v>79.569999999999993</v>
      </c>
      <c r="H148">
        <v>62.53</v>
      </c>
    </row>
    <row r="149" spans="1:8" x14ac:dyDescent="0.25">
      <c r="A149" s="63">
        <f t="shared" si="2"/>
        <v>43248</v>
      </c>
      <c r="B149">
        <v>837.05</v>
      </c>
      <c r="C149">
        <v>101.03</v>
      </c>
      <c r="D149">
        <v>282.86</v>
      </c>
      <c r="E149">
        <v>197.66</v>
      </c>
      <c r="F149">
        <v>82.9</v>
      </c>
      <c r="G149">
        <v>108.87</v>
      </c>
      <c r="H149">
        <v>63.73</v>
      </c>
    </row>
    <row r="150" spans="1:8" x14ac:dyDescent="0.25">
      <c r="A150" s="63">
        <f t="shared" si="2"/>
        <v>43249</v>
      </c>
      <c r="B150">
        <v>917.63999999999987</v>
      </c>
      <c r="C150">
        <v>90.57</v>
      </c>
      <c r="D150">
        <v>342.26</v>
      </c>
      <c r="E150">
        <v>225.45</v>
      </c>
      <c r="F150">
        <v>84.77</v>
      </c>
      <c r="G150">
        <v>112.32</v>
      </c>
      <c r="H150">
        <v>62.27</v>
      </c>
    </row>
    <row r="151" spans="1:8" x14ac:dyDescent="0.25">
      <c r="A151" s="63">
        <f t="shared" si="2"/>
        <v>43250</v>
      </c>
      <c r="B151">
        <v>973.87</v>
      </c>
      <c r="C151">
        <v>101.92</v>
      </c>
      <c r="D151">
        <v>365.5</v>
      </c>
      <c r="E151">
        <v>253.63</v>
      </c>
      <c r="F151">
        <v>90.98</v>
      </c>
      <c r="G151">
        <v>97.43</v>
      </c>
      <c r="H151">
        <v>64.41</v>
      </c>
    </row>
    <row r="152" spans="1:8" x14ac:dyDescent="0.25">
      <c r="A152" s="63">
        <f t="shared" si="2"/>
        <v>43251</v>
      </c>
      <c r="B152">
        <v>1000.1500000000001</v>
      </c>
      <c r="C152">
        <v>111.82</v>
      </c>
      <c r="D152">
        <v>394.66</v>
      </c>
      <c r="E152">
        <v>259.95999999999998</v>
      </c>
      <c r="F152">
        <v>73.44</v>
      </c>
      <c r="G152">
        <v>95.76</v>
      </c>
      <c r="H152">
        <v>64.510000000000005</v>
      </c>
    </row>
    <row r="153" spans="1:8" x14ac:dyDescent="0.25">
      <c r="A153" s="63">
        <f t="shared" si="2"/>
        <v>43252</v>
      </c>
      <c r="B153">
        <v>1017.95</v>
      </c>
      <c r="C153">
        <v>102.85</v>
      </c>
      <c r="D153">
        <v>403.63</v>
      </c>
      <c r="E153">
        <v>259.02</v>
      </c>
      <c r="F153">
        <v>86.2</v>
      </c>
      <c r="G153">
        <v>100.93</v>
      </c>
      <c r="H153">
        <v>65.319999999999993</v>
      </c>
    </row>
    <row r="154" spans="1:8" x14ac:dyDescent="0.25">
      <c r="A154" s="63">
        <f t="shared" si="2"/>
        <v>43253</v>
      </c>
      <c r="B154">
        <v>1017.4100000000001</v>
      </c>
      <c r="C154">
        <v>109.28</v>
      </c>
      <c r="D154">
        <v>416.05</v>
      </c>
      <c r="E154">
        <v>251.81</v>
      </c>
      <c r="F154">
        <v>85.62</v>
      </c>
      <c r="G154">
        <v>92.21</v>
      </c>
      <c r="H154">
        <v>62.44</v>
      </c>
    </row>
    <row r="155" spans="1:8" x14ac:dyDescent="0.25">
      <c r="A155" s="63">
        <f t="shared" si="2"/>
        <v>43254</v>
      </c>
      <c r="B155">
        <v>848.67</v>
      </c>
      <c r="C155">
        <v>22.96</v>
      </c>
      <c r="D155">
        <v>374.41</v>
      </c>
      <c r="E155">
        <v>200.23</v>
      </c>
      <c r="F155">
        <v>91.16</v>
      </c>
      <c r="G155">
        <v>97.39</v>
      </c>
      <c r="H155">
        <v>62.52</v>
      </c>
    </row>
    <row r="156" spans="1:8" x14ac:dyDescent="0.25">
      <c r="A156" s="63">
        <f t="shared" si="2"/>
        <v>43255</v>
      </c>
      <c r="B156">
        <v>986.79000000000008</v>
      </c>
      <c r="C156">
        <v>78.569999999999993</v>
      </c>
      <c r="D156">
        <v>335.7</v>
      </c>
      <c r="E156">
        <v>298.41000000000003</v>
      </c>
      <c r="F156">
        <v>87.66</v>
      </c>
      <c r="G156">
        <v>118.7</v>
      </c>
      <c r="H156">
        <v>67.75</v>
      </c>
    </row>
    <row r="157" spans="1:8" x14ac:dyDescent="0.25">
      <c r="A157" s="63">
        <f t="shared" si="2"/>
        <v>43256</v>
      </c>
      <c r="B157">
        <v>1037.95</v>
      </c>
      <c r="C157">
        <v>100.77</v>
      </c>
      <c r="D157">
        <v>379.94</v>
      </c>
      <c r="E157">
        <v>285.82</v>
      </c>
      <c r="F157">
        <v>99.17</v>
      </c>
      <c r="G157">
        <v>109.85</v>
      </c>
      <c r="H157">
        <v>62.4</v>
      </c>
    </row>
    <row r="158" spans="1:8" x14ac:dyDescent="0.25">
      <c r="A158" s="63">
        <f t="shared" si="2"/>
        <v>43257</v>
      </c>
      <c r="B158">
        <v>981.21999999999991</v>
      </c>
      <c r="C158">
        <v>91.39</v>
      </c>
      <c r="D158">
        <v>336.38</v>
      </c>
      <c r="E158">
        <v>291.02</v>
      </c>
      <c r="F158">
        <v>89.63</v>
      </c>
      <c r="G158">
        <v>110.39</v>
      </c>
      <c r="H158">
        <v>62.41</v>
      </c>
    </row>
    <row r="159" spans="1:8" x14ac:dyDescent="0.25">
      <c r="A159" s="63">
        <f t="shared" si="2"/>
        <v>43258</v>
      </c>
      <c r="B159">
        <v>998.04</v>
      </c>
      <c r="C159">
        <v>83.43</v>
      </c>
      <c r="D159">
        <v>377.75</v>
      </c>
      <c r="E159">
        <v>287.02999999999997</v>
      </c>
      <c r="F159">
        <v>87.4</v>
      </c>
      <c r="G159">
        <v>99.25</v>
      </c>
      <c r="H159">
        <v>63.18</v>
      </c>
    </row>
    <row r="160" spans="1:8" x14ac:dyDescent="0.25">
      <c r="A160" s="63">
        <f t="shared" si="2"/>
        <v>43259</v>
      </c>
      <c r="B160">
        <v>982.13</v>
      </c>
      <c r="C160">
        <v>76.88</v>
      </c>
      <c r="D160">
        <v>361.14</v>
      </c>
      <c r="E160">
        <v>298.94</v>
      </c>
      <c r="F160">
        <v>79.02</v>
      </c>
      <c r="G160">
        <v>103.86</v>
      </c>
      <c r="H160">
        <v>62.29</v>
      </c>
    </row>
    <row r="161" spans="1:8" x14ac:dyDescent="0.25">
      <c r="A161" s="63">
        <f t="shared" si="2"/>
        <v>43260</v>
      </c>
      <c r="B161">
        <v>1004.06</v>
      </c>
      <c r="C161">
        <v>72.02</v>
      </c>
      <c r="D161">
        <v>395.35</v>
      </c>
      <c r="E161">
        <v>266.38</v>
      </c>
      <c r="F161">
        <v>105.62</v>
      </c>
      <c r="G161">
        <v>103.54</v>
      </c>
      <c r="H161">
        <v>61.15</v>
      </c>
    </row>
    <row r="162" spans="1:8" x14ac:dyDescent="0.25">
      <c r="A162" s="63">
        <f t="shared" si="2"/>
        <v>43261</v>
      </c>
      <c r="B162">
        <v>927.92000000000007</v>
      </c>
      <c r="C162">
        <v>95.43</v>
      </c>
      <c r="D162">
        <v>390.12</v>
      </c>
      <c r="E162">
        <v>195.7</v>
      </c>
      <c r="F162">
        <v>91.95</v>
      </c>
      <c r="G162">
        <v>91.23</v>
      </c>
      <c r="H162">
        <v>63.49</v>
      </c>
    </row>
    <row r="163" spans="1:8" x14ac:dyDescent="0.25">
      <c r="A163" s="63">
        <f t="shared" si="2"/>
        <v>43262</v>
      </c>
      <c r="B163">
        <v>1032.04</v>
      </c>
      <c r="C163">
        <v>98.27</v>
      </c>
      <c r="D163">
        <v>392.28</v>
      </c>
      <c r="E163">
        <v>291.99</v>
      </c>
      <c r="F163">
        <v>87.57</v>
      </c>
      <c r="G163">
        <v>101.8</v>
      </c>
      <c r="H163">
        <v>60.13</v>
      </c>
    </row>
    <row r="164" spans="1:8" x14ac:dyDescent="0.25">
      <c r="A164" s="63">
        <f t="shared" si="2"/>
        <v>43263</v>
      </c>
      <c r="B164">
        <v>1088.28</v>
      </c>
      <c r="C164">
        <v>90.63</v>
      </c>
      <c r="D164">
        <v>440.95</v>
      </c>
      <c r="E164">
        <v>302.97000000000003</v>
      </c>
      <c r="F164">
        <v>93.5</v>
      </c>
      <c r="G164">
        <v>102.96</v>
      </c>
      <c r="H164">
        <v>57.27</v>
      </c>
    </row>
    <row r="165" spans="1:8" x14ac:dyDescent="0.25">
      <c r="A165" s="63">
        <f t="shared" si="2"/>
        <v>43264</v>
      </c>
      <c r="B165">
        <v>996.77</v>
      </c>
      <c r="C165">
        <v>99.41</v>
      </c>
      <c r="D165">
        <v>362.74</v>
      </c>
      <c r="E165">
        <v>300.10000000000002</v>
      </c>
      <c r="F165">
        <v>71.05</v>
      </c>
      <c r="G165">
        <v>105.02</v>
      </c>
      <c r="H165">
        <v>58.45</v>
      </c>
    </row>
    <row r="166" spans="1:8" x14ac:dyDescent="0.25">
      <c r="A166" s="63">
        <f t="shared" si="2"/>
        <v>43265</v>
      </c>
      <c r="B166">
        <v>1019.8799999999999</v>
      </c>
      <c r="C166">
        <v>107.39</v>
      </c>
      <c r="D166">
        <v>377.11</v>
      </c>
      <c r="E166">
        <v>281.31</v>
      </c>
      <c r="F166">
        <v>82.31</v>
      </c>
      <c r="G166">
        <v>113.3</v>
      </c>
      <c r="H166">
        <v>58.46</v>
      </c>
    </row>
    <row r="167" spans="1:8" x14ac:dyDescent="0.25">
      <c r="A167" s="63">
        <f t="shared" si="2"/>
        <v>43266</v>
      </c>
      <c r="B167">
        <v>1003.85</v>
      </c>
      <c r="C167">
        <v>96.37</v>
      </c>
      <c r="D167">
        <v>374.79</v>
      </c>
      <c r="E167">
        <v>278.36</v>
      </c>
      <c r="F167">
        <v>83.1</v>
      </c>
      <c r="G167">
        <v>112.91</v>
      </c>
      <c r="H167">
        <v>58.32</v>
      </c>
    </row>
    <row r="168" spans="1:8" x14ac:dyDescent="0.25">
      <c r="A168" s="63">
        <f t="shared" si="2"/>
        <v>43267</v>
      </c>
      <c r="B168">
        <v>971.26</v>
      </c>
      <c r="C168">
        <v>99.13</v>
      </c>
      <c r="D168">
        <v>359.72</v>
      </c>
      <c r="E168">
        <v>279.49</v>
      </c>
      <c r="F168">
        <v>85.55</v>
      </c>
      <c r="G168">
        <v>90.97</v>
      </c>
      <c r="H168">
        <v>56.4</v>
      </c>
    </row>
    <row r="169" spans="1:8" x14ac:dyDescent="0.25">
      <c r="A169" s="63">
        <f t="shared" si="2"/>
        <v>43268</v>
      </c>
      <c r="B169">
        <v>1079.25</v>
      </c>
      <c r="C169">
        <v>110.36</v>
      </c>
      <c r="D169">
        <v>394.97</v>
      </c>
      <c r="E169">
        <v>292.74</v>
      </c>
      <c r="F169">
        <v>93.98</v>
      </c>
      <c r="G169">
        <v>130.76</v>
      </c>
      <c r="H169">
        <v>56.44</v>
      </c>
    </row>
    <row r="170" spans="1:8" x14ac:dyDescent="0.25">
      <c r="A170" s="63">
        <f t="shared" si="2"/>
        <v>43269</v>
      </c>
      <c r="B170">
        <v>1007.4900000000001</v>
      </c>
      <c r="C170">
        <v>95.08</v>
      </c>
      <c r="D170">
        <v>357.42</v>
      </c>
      <c r="E170">
        <v>293.73</v>
      </c>
      <c r="F170">
        <v>81.22</v>
      </c>
      <c r="G170">
        <v>118.96</v>
      </c>
      <c r="H170">
        <v>61.08</v>
      </c>
    </row>
    <row r="171" spans="1:8" x14ac:dyDescent="0.25">
      <c r="A171" s="63">
        <f t="shared" si="2"/>
        <v>43270</v>
      </c>
      <c r="B171">
        <v>984.87999999999988</v>
      </c>
      <c r="C171">
        <v>89.28</v>
      </c>
      <c r="D171">
        <v>383.78</v>
      </c>
      <c r="E171">
        <v>270.47000000000003</v>
      </c>
      <c r="F171">
        <v>80.150000000000006</v>
      </c>
      <c r="G171">
        <v>101.26</v>
      </c>
      <c r="H171">
        <v>59.94</v>
      </c>
    </row>
    <row r="172" spans="1:8" x14ac:dyDescent="0.25">
      <c r="A172" s="63">
        <f t="shared" si="2"/>
        <v>43271</v>
      </c>
      <c r="B172">
        <v>978.5</v>
      </c>
      <c r="C172">
        <v>97.24</v>
      </c>
      <c r="D172">
        <v>384.31</v>
      </c>
      <c r="E172">
        <v>238.98</v>
      </c>
      <c r="F172">
        <v>80.12</v>
      </c>
      <c r="G172">
        <v>116.81</v>
      </c>
      <c r="H172">
        <v>61.04</v>
      </c>
    </row>
    <row r="173" spans="1:8" x14ac:dyDescent="0.25">
      <c r="A173" s="63">
        <f t="shared" si="2"/>
        <v>43272</v>
      </c>
      <c r="B173">
        <v>1079.55</v>
      </c>
      <c r="C173">
        <v>121.08</v>
      </c>
      <c r="D173">
        <v>400.33</v>
      </c>
      <c r="E173">
        <v>284.52</v>
      </c>
      <c r="F173">
        <v>91.89</v>
      </c>
      <c r="G173">
        <v>121.81</v>
      </c>
      <c r="H173">
        <v>59.92</v>
      </c>
    </row>
    <row r="174" spans="1:8" x14ac:dyDescent="0.25">
      <c r="A174" s="63">
        <f t="shared" si="2"/>
        <v>43273</v>
      </c>
      <c r="B174">
        <v>1080.08</v>
      </c>
      <c r="C174">
        <v>109.05</v>
      </c>
      <c r="D174">
        <v>443.46</v>
      </c>
      <c r="E174">
        <v>259.58999999999997</v>
      </c>
      <c r="F174">
        <v>80.2</v>
      </c>
      <c r="G174">
        <v>127.62</v>
      </c>
      <c r="H174">
        <v>60.16</v>
      </c>
    </row>
    <row r="175" spans="1:8" x14ac:dyDescent="0.25">
      <c r="A175" s="63">
        <f t="shared" si="2"/>
        <v>43274</v>
      </c>
      <c r="B175">
        <v>1035.69</v>
      </c>
      <c r="C175">
        <v>78.61</v>
      </c>
      <c r="D175">
        <v>391.32</v>
      </c>
      <c r="E175">
        <v>288.13</v>
      </c>
      <c r="F175">
        <v>98.2</v>
      </c>
      <c r="G175">
        <v>119.43</v>
      </c>
      <c r="H175">
        <v>60</v>
      </c>
    </row>
    <row r="176" spans="1:8" x14ac:dyDescent="0.25">
      <c r="A176" s="63">
        <f t="shared" si="2"/>
        <v>43275</v>
      </c>
      <c r="B176">
        <v>537.65</v>
      </c>
      <c r="C176">
        <v>40.79</v>
      </c>
      <c r="D176">
        <v>193.35</v>
      </c>
      <c r="E176">
        <v>130.49</v>
      </c>
      <c r="F176">
        <v>50.17</v>
      </c>
      <c r="G176">
        <v>63.74</v>
      </c>
      <c r="H176">
        <v>59.11</v>
      </c>
    </row>
    <row r="177" spans="1:8" x14ac:dyDescent="0.25">
      <c r="A177" s="63">
        <f t="shared" si="2"/>
        <v>43276</v>
      </c>
      <c r="B177">
        <v>942.74</v>
      </c>
      <c r="C177">
        <v>98.02</v>
      </c>
      <c r="D177">
        <v>361.49</v>
      </c>
      <c r="E177">
        <v>215.72</v>
      </c>
      <c r="F177">
        <v>86.13</v>
      </c>
      <c r="G177">
        <v>123.5</v>
      </c>
      <c r="H177">
        <v>57.88</v>
      </c>
    </row>
    <row r="178" spans="1:8" x14ac:dyDescent="0.25">
      <c r="A178" s="63">
        <f t="shared" si="2"/>
        <v>43277</v>
      </c>
      <c r="B178">
        <v>1006.86</v>
      </c>
      <c r="C178">
        <v>105.59</v>
      </c>
      <c r="D178">
        <v>371.4</v>
      </c>
      <c r="E178">
        <v>266.89</v>
      </c>
      <c r="F178">
        <v>87.1</v>
      </c>
      <c r="G178">
        <v>113.53</v>
      </c>
      <c r="H178">
        <v>62.35</v>
      </c>
    </row>
    <row r="179" spans="1:8" x14ac:dyDescent="0.25">
      <c r="A179" s="63">
        <f t="shared" si="2"/>
        <v>43278</v>
      </c>
      <c r="B179">
        <v>1006.3899999999999</v>
      </c>
      <c r="C179">
        <v>118.14</v>
      </c>
      <c r="D179">
        <v>380.15</v>
      </c>
      <c r="E179">
        <v>251.73</v>
      </c>
      <c r="F179">
        <v>90.06</v>
      </c>
      <c r="G179">
        <v>106.55</v>
      </c>
      <c r="H179">
        <v>59.76</v>
      </c>
    </row>
    <row r="180" spans="1:8" x14ac:dyDescent="0.25">
      <c r="A180" s="63">
        <f t="shared" si="2"/>
        <v>43279</v>
      </c>
      <c r="B180">
        <v>948.25</v>
      </c>
      <c r="C180">
        <v>97.42</v>
      </c>
      <c r="D180">
        <v>340.79</v>
      </c>
      <c r="E180">
        <v>251.55</v>
      </c>
      <c r="F180">
        <v>90.56</v>
      </c>
      <c r="G180">
        <v>108.2</v>
      </c>
      <c r="H180">
        <v>59.73</v>
      </c>
    </row>
    <row r="181" spans="1:8" x14ac:dyDescent="0.25">
      <c r="A181" s="63">
        <f t="shared" si="2"/>
        <v>43280</v>
      </c>
      <c r="B181">
        <v>1067.1200000000001</v>
      </c>
      <c r="C181">
        <v>102.93</v>
      </c>
      <c r="D181">
        <v>411.72</v>
      </c>
      <c r="E181">
        <v>294.08</v>
      </c>
      <c r="F181">
        <v>86.66</v>
      </c>
      <c r="G181">
        <v>111.08</v>
      </c>
      <c r="H181">
        <v>60.65</v>
      </c>
    </row>
    <row r="182" spans="1:8" x14ac:dyDescent="0.25">
      <c r="A182" s="63">
        <f t="shared" si="2"/>
        <v>43281</v>
      </c>
      <c r="B182">
        <v>1071</v>
      </c>
      <c r="C182">
        <v>69.58</v>
      </c>
      <c r="D182">
        <v>419.39</v>
      </c>
      <c r="E182">
        <v>307.49</v>
      </c>
      <c r="F182">
        <v>85.83</v>
      </c>
      <c r="G182">
        <v>128.04</v>
      </c>
      <c r="H182">
        <v>60.67</v>
      </c>
    </row>
    <row r="183" spans="1:8" x14ac:dyDescent="0.25">
      <c r="A183" s="63">
        <f t="shared" si="2"/>
        <v>43282</v>
      </c>
      <c r="B183">
        <v>1061.01</v>
      </c>
      <c r="C183">
        <v>78.209999999999994</v>
      </c>
      <c r="D183">
        <v>399.38</v>
      </c>
      <c r="E183">
        <v>308.20999999999998</v>
      </c>
      <c r="F183">
        <v>93.2</v>
      </c>
      <c r="G183">
        <v>119.33</v>
      </c>
      <c r="H183">
        <v>62.68</v>
      </c>
    </row>
    <row r="184" spans="1:8" x14ac:dyDescent="0.25">
      <c r="A184" s="63">
        <f t="shared" si="2"/>
        <v>43283</v>
      </c>
      <c r="B184">
        <v>989.74</v>
      </c>
      <c r="C184">
        <v>104.62</v>
      </c>
      <c r="D184">
        <v>371.08</v>
      </c>
      <c r="E184">
        <v>260.49</v>
      </c>
      <c r="F184">
        <v>74.72</v>
      </c>
      <c r="G184">
        <v>113.32</v>
      </c>
      <c r="H184">
        <v>65.510000000000005</v>
      </c>
    </row>
    <row r="185" spans="1:8" x14ac:dyDescent="0.25">
      <c r="A185" s="63">
        <f t="shared" si="2"/>
        <v>43284</v>
      </c>
      <c r="B185">
        <v>1004.6400000000001</v>
      </c>
      <c r="C185">
        <v>85.69</v>
      </c>
      <c r="D185">
        <v>383.83</v>
      </c>
      <c r="E185">
        <v>277</v>
      </c>
      <c r="F185">
        <v>79.7</v>
      </c>
      <c r="G185">
        <v>114.44</v>
      </c>
      <c r="H185">
        <v>63.98</v>
      </c>
    </row>
    <row r="186" spans="1:8" x14ac:dyDescent="0.25">
      <c r="A186" s="63">
        <f t="shared" si="2"/>
        <v>43285</v>
      </c>
      <c r="B186">
        <v>1036.08</v>
      </c>
      <c r="C186">
        <v>93.66</v>
      </c>
      <c r="D186">
        <v>415.15</v>
      </c>
      <c r="E186">
        <v>268.64</v>
      </c>
      <c r="F186">
        <v>77.87</v>
      </c>
      <c r="G186">
        <v>116.39</v>
      </c>
      <c r="H186">
        <v>64.37</v>
      </c>
    </row>
    <row r="187" spans="1:8" x14ac:dyDescent="0.25">
      <c r="A187" s="63">
        <f t="shared" si="2"/>
        <v>43286</v>
      </c>
      <c r="B187">
        <v>1052.5900000000001</v>
      </c>
      <c r="C187">
        <v>106.87</v>
      </c>
      <c r="D187">
        <v>403.83</v>
      </c>
      <c r="E187">
        <v>293.63</v>
      </c>
      <c r="F187">
        <v>73.19</v>
      </c>
      <c r="G187">
        <v>108.68</v>
      </c>
      <c r="H187">
        <v>66.39</v>
      </c>
    </row>
    <row r="188" spans="1:8" x14ac:dyDescent="0.25">
      <c r="A188" s="63">
        <f t="shared" si="2"/>
        <v>43287</v>
      </c>
      <c r="B188">
        <v>1066.5900000000001</v>
      </c>
      <c r="C188">
        <v>73.48</v>
      </c>
      <c r="D188">
        <v>418.73</v>
      </c>
      <c r="E188">
        <v>297.7</v>
      </c>
      <c r="F188">
        <v>73.88</v>
      </c>
      <c r="G188">
        <v>128.12</v>
      </c>
      <c r="H188">
        <v>74.680000000000007</v>
      </c>
    </row>
    <row r="189" spans="1:8" x14ac:dyDescent="0.25">
      <c r="A189" s="63">
        <f t="shared" si="2"/>
        <v>43288</v>
      </c>
      <c r="B189">
        <v>1068.26</v>
      </c>
      <c r="C189">
        <v>88.7</v>
      </c>
      <c r="D189">
        <v>420.66</v>
      </c>
      <c r="E189">
        <v>271.25</v>
      </c>
      <c r="F189">
        <v>75.56</v>
      </c>
      <c r="G189">
        <v>130.29</v>
      </c>
      <c r="H189">
        <v>81.8</v>
      </c>
    </row>
    <row r="190" spans="1:8" x14ac:dyDescent="0.25">
      <c r="A190" s="63">
        <f t="shared" si="2"/>
        <v>43289</v>
      </c>
      <c r="B190">
        <v>1037.1300000000001</v>
      </c>
      <c r="C190">
        <v>74.61</v>
      </c>
      <c r="D190">
        <v>401.57</v>
      </c>
      <c r="E190">
        <v>269.85000000000002</v>
      </c>
      <c r="F190">
        <v>78.59</v>
      </c>
      <c r="G190">
        <v>126.12</v>
      </c>
      <c r="H190">
        <v>86.39</v>
      </c>
    </row>
    <row r="191" spans="1:8" x14ac:dyDescent="0.25">
      <c r="A191" s="63">
        <f t="shared" si="2"/>
        <v>43290</v>
      </c>
      <c r="B191">
        <v>989.3900000000001</v>
      </c>
      <c r="C191">
        <v>79.86</v>
      </c>
      <c r="D191">
        <v>387.46</v>
      </c>
      <c r="E191">
        <v>250.52</v>
      </c>
      <c r="F191">
        <v>76.11</v>
      </c>
      <c r="G191">
        <v>115.68</v>
      </c>
      <c r="H191">
        <v>79.760000000000005</v>
      </c>
    </row>
    <row r="192" spans="1:8" x14ac:dyDescent="0.25">
      <c r="A192" s="63">
        <f t="shared" si="2"/>
        <v>43291</v>
      </c>
      <c r="B192">
        <v>976.51</v>
      </c>
      <c r="C192">
        <v>97.29</v>
      </c>
      <c r="D192">
        <v>369.54</v>
      </c>
      <c r="E192">
        <v>287.76</v>
      </c>
      <c r="F192">
        <v>75.77</v>
      </c>
      <c r="G192">
        <v>80.790000000000006</v>
      </c>
      <c r="H192">
        <v>65.36</v>
      </c>
    </row>
    <row r="193" spans="1:8" x14ac:dyDescent="0.25">
      <c r="A193" s="63">
        <f t="shared" si="2"/>
        <v>43292</v>
      </c>
      <c r="B193">
        <v>1050.74</v>
      </c>
      <c r="C193">
        <v>75.31</v>
      </c>
      <c r="D193">
        <v>366.1</v>
      </c>
      <c r="E193">
        <v>301.66000000000003</v>
      </c>
      <c r="F193">
        <v>88.14</v>
      </c>
      <c r="G193">
        <v>137.22999999999999</v>
      </c>
      <c r="H193">
        <v>82.3</v>
      </c>
    </row>
    <row r="194" spans="1:8" x14ac:dyDescent="0.25">
      <c r="A194" s="63">
        <f t="shared" si="2"/>
        <v>43293</v>
      </c>
      <c r="B194">
        <v>1068.8899999999999</v>
      </c>
      <c r="C194">
        <v>91.84</v>
      </c>
      <c r="D194">
        <v>421.3</v>
      </c>
      <c r="E194">
        <v>275.02999999999997</v>
      </c>
      <c r="F194">
        <v>98.76</v>
      </c>
      <c r="G194">
        <v>117.3</v>
      </c>
      <c r="H194">
        <v>64.66</v>
      </c>
    </row>
    <row r="195" spans="1:8" x14ac:dyDescent="0.25">
      <c r="A195" s="63">
        <f t="shared" si="2"/>
        <v>43294</v>
      </c>
      <c r="B195">
        <v>1009.04</v>
      </c>
      <c r="C195">
        <v>79.16</v>
      </c>
      <c r="D195">
        <v>363.5</v>
      </c>
      <c r="E195">
        <v>302.88</v>
      </c>
      <c r="F195">
        <v>94.17</v>
      </c>
      <c r="G195">
        <v>107.34</v>
      </c>
      <c r="H195">
        <v>61.99</v>
      </c>
    </row>
    <row r="196" spans="1:8" x14ac:dyDescent="0.25">
      <c r="A196" s="63">
        <f t="shared" ref="A196:A259" si="3">A195+1</f>
        <v>43295</v>
      </c>
      <c r="B196">
        <v>977.44000000000017</v>
      </c>
      <c r="C196">
        <v>88.97</v>
      </c>
      <c r="D196">
        <v>347.1</v>
      </c>
      <c r="E196">
        <v>285.05</v>
      </c>
      <c r="F196">
        <v>82.75</v>
      </c>
      <c r="G196">
        <v>111.23</v>
      </c>
      <c r="H196">
        <v>62.34</v>
      </c>
    </row>
    <row r="197" spans="1:8" x14ac:dyDescent="0.25">
      <c r="A197" s="63">
        <f t="shared" si="3"/>
        <v>43296</v>
      </c>
      <c r="B197">
        <v>943.90000000000009</v>
      </c>
      <c r="C197">
        <v>63.11</v>
      </c>
      <c r="D197">
        <v>341.92</v>
      </c>
      <c r="E197">
        <v>301.88</v>
      </c>
      <c r="F197">
        <v>76.930000000000007</v>
      </c>
      <c r="G197">
        <v>98.87</v>
      </c>
      <c r="H197">
        <v>61.19</v>
      </c>
    </row>
    <row r="198" spans="1:8" x14ac:dyDescent="0.25">
      <c r="A198" s="63">
        <f t="shared" si="3"/>
        <v>43297</v>
      </c>
      <c r="B198">
        <v>889.05</v>
      </c>
      <c r="C198">
        <v>85.41</v>
      </c>
      <c r="D198">
        <v>321.62</v>
      </c>
      <c r="E198">
        <v>239.29</v>
      </c>
      <c r="F198">
        <v>63.84</v>
      </c>
      <c r="G198">
        <v>114</v>
      </c>
      <c r="H198">
        <v>64.89</v>
      </c>
    </row>
    <row r="199" spans="1:8" x14ac:dyDescent="0.25">
      <c r="A199" s="63">
        <f t="shared" si="3"/>
        <v>43298</v>
      </c>
      <c r="B199">
        <v>912.68</v>
      </c>
      <c r="C199">
        <v>93.99</v>
      </c>
      <c r="D199">
        <v>348.22</v>
      </c>
      <c r="E199">
        <v>229.23</v>
      </c>
      <c r="F199">
        <v>72.39</v>
      </c>
      <c r="G199">
        <v>102.43</v>
      </c>
      <c r="H199">
        <v>66.42</v>
      </c>
    </row>
    <row r="200" spans="1:8" x14ac:dyDescent="0.25">
      <c r="A200" s="63">
        <f t="shared" si="3"/>
        <v>43299</v>
      </c>
      <c r="B200">
        <v>995.04000000000008</v>
      </c>
      <c r="C200">
        <v>71.55</v>
      </c>
      <c r="D200">
        <v>416.77</v>
      </c>
      <c r="E200">
        <v>287.89</v>
      </c>
      <c r="F200">
        <v>78.099999999999994</v>
      </c>
      <c r="G200">
        <v>78.06</v>
      </c>
      <c r="H200">
        <v>62.67</v>
      </c>
    </row>
    <row r="201" spans="1:8" x14ac:dyDescent="0.25">
      <c r="A201" s="63">
        <f t="shared" si="3"/>
        <v>43300</v>
      </c>
      <c r="B201">
        <v>1001.17</v>
      </c>
      <c r="C201">
        <v>82.45</v>
      </c>
      <c r="D201">
        <v>374.04</v>
      </c>
      <c r="E201">
        <v>303.74</v>
      </c>
      <c r="F201">
        <v>74.569999999999993</v>
      </c>
      <c r="G201">
        <v>99.7</v>
      </c>
      <c r="H201">
        <v>66.67</v>
      </c>
    </row>
    <row r="202" spans="1:8" x14ac:dyDescent="0.25">
      <c r="A202" s="63">
        <f t="shared" si="3"/>
        <v>43301</v>
      </c>
      <c r="B202">
        <v>1006.58</v>
      </c>
      <c r="C202">
        <v>91.77</v>
      </c>
      <c r="D202">
        <v>374.87</v>
      </c>
      <c r="E202">
        <v>289.31</v>
      </c>
      <c r="F202">
        <v>77.599999999999994</v>
      </c>
      <c r="G202">
        <v>107.14</v>
      </c>
      <c r="H202">
        <v>65.89</v>
      </c>
    </row>
    <row r="203" spans="1:8" x14ac:dyDescent="0.25">
      <c r="A203" s="63">
        <f t="shared" si="3"/>
        <v>43302</v>
      </c>
      <c r="B203">
        <v>1014.53</v>
      </c>
      <c r="C203">
        <v>80.319999999999993</v>
      </c>
      <c r="D203">
        <v>396.79</v>
      </c>
      <c r="E203">
        <v>285.12</v>
      </c>
      <c r="F203">
        <v>82.72</v>
      </c>
      <c r="G203">
        <v>103.79</v>
      </c>
      <c r="H203">
        <v>65.790000000000006</v>
      </c>
    </row>
    <row r="204" spans="1:8" x14ac:dyDescent="0.25">
      <c r="A204" s="63">
        <f t="shared" si="3"/>
        <v>43303</v>
      </c>
      <c r="B204">
        <v>667.77</v>
      </c>
      <c r="C204">
        <v>75.81</v>
      </c>
      <c r="D204">
        <v>170.57</v>
      </c>
      <c r="E204">
        <v>177.78</v>
      </c>
      <c r="F204">
        <v>81.739999999999995</v>
      </c>
      <c r="G204">
        <v>93.14</v>
      </c>
      <c r="H204">
        <v>68.73</v>
      </c>
    </row>
    <row r="205" spans="1:8" x14ac:dyDescent="0.25">
      <c r="A205" s="63">
        <f t="shared" si="3"/>
        <v>43304</v>
      </c>
      <c r="B205">
        <v>818.19</v>
      </c>
      <c r="C205">
        <v>85.13</v>
      </c>
      <c r="D205">
        <v>278</v>
      </c>
      <c r="E205">
        <v>201.12</v>
      </c>
      <c r="F205">
        <v>86.38</v>
      </c>
      <c r="G205">
        <v>106.21</v>
      </c>
      <c r="H205">
        <v>61.35</v>
      </c>
    </row>
    <row r="206" spans="1:8" x14ac:dyDescent="0.25">
      <c r="A206" s="63">
        <f t="shared" si="3"/>
        <v>43305</v>
      </c>
      <c r="B206">
        <v>1039.6300000000001</v>
      </c>
      <c r="C206">
        <v>102.28</v>
      </c>
      <c r="D206">
        <v>364.3</v>
      </c>
      <c r="E206">
        <v>293.70999999999998</v>
      </c>
      <c r="F206">
        <v>91.36</v>
      </c>
      <c r="G206">
        <v>118.56</v>
      </c>
      <c r="H206">
        <v>69.42</v>
      </c>
    </row>
    <row r="207" spans="1:8" x14ac:dyDescent="0.25">
      <c r="A207" s="63">
        <f t="shared" si="3"/>
        <v>43306</v>
      </c>
      <c r="B207">
        <v>1071.18</v>
      </c>
      <c r="C207">
        <v>88.58</v>
      </c>
      <c r="D207">
        <v>409.14</v>
      </c>
      <c r="E207">
        <v>297.51</v>
      </c>
      <c r="F207">
        <v>89.8</v>
      </c>
      <c r="G207">
        <v>115.71</v>
      </c>
      <c r="H207">
        <v>70.44</v>
      </c>
    </row>
    <row r="208" spans="1:8" x14ac:dyDescent="0.25">
      <c r="A208" s="63">
        <f t="shared" si="3"/>
        <v>43307</v>
      </c>
      <c r="B208">
        <v>1044.56</v>
      </c>
      <c r="C208">
        <v>81.709999999999994</v>
      </c>
      <c r="D208">
        <v>407.01</v>
      </c>
      <c r="E208">
        <v>283.14999999999998</v>
      </c>
      <c r="F208">
        <v>87.79</v>
      </c>
      <c r="G208">
        <v>116.74</v>
      </c>
      <c r="H208">
        <v>68.16</v>
      </c>
    </row>
    <row r="209" spans="1:8" x14ac:dyDescent="0.25">
      <c r="A209" s="63">
        <f t="shared" si="3"/>
        <v>43308</v>
      </c>
      <c r="B209">
        <v>953.27</v>
      </c>
      <c r="C209">
        <v>63.96</v>
      </c>
      <c r="D209">
        <v>336.74</v>
      </c>
      <c r="E209">
        <v>288.87</v>
      </c>
      <c r="F209">
        <v>93.21</v>
      </c>
      <c r="G209">
        <v>110.03</v>
      </c>
      <c r="H209">
        <v>60.46</v>
      </c>
    </row>
    <row r="210" spans="1:8" x14ac:dyDescent="0.25">
      <c r="A210" s="63">
        <f t="shared" si="3"/>
        <v>43309</v>
      </c>
      <c r="B210">
        <v>973.3599999999999</v>
      </c>
      <c r="C210">
        <v>74.92</v>
      </c>
      <c r="D210">
        <v>375.05</v>
      </c>
      <c r="E210">
        <v>278.10000000000002</v>
      </c>
      <c r="F210">
        <v>85.3</v>
      </c>
      <c r="G210">
        <v>98.8</v>
      </c>
      <c r="H210">
        <v>61.19</v>
      </c>
    </row>
    <row r="211" spans="1:8" x14ac:dyDescent="0.25">
      <c r="A211" s="63">
        <f t="shared" si="3"/>
        <v>43310</v>
      </c>
      <c r="B211">
        <v>987.08000000000015</v>
      </c>
      <c r="C211">
        <v>97.59</v>
      </c>
      <c r="D211">
        <v>375.61</v>
      </c>
      <c r="E211">
        <v>277.16000000000003</v>
      </c>
      <c r="F211">
        <v>81.180000000000007</v>
      </c>
      <c r="G211">
        <v>94.25</v>
      </c>
      <c r="H211">
        <v>61.29</v>
      </c>
    </row>
    <row r="212" spans="1:8" x14ac:dyDescent="0.25">
      <c r="A212" s="63">
        <f t="shared" si="3"/>
        <v>43311</v>
      </c>
      <c r="B212">
        <v>1000.36</v>
      </c>
      <c r="C212">
        <v>89.7</v>
      </c>
      <c r="D212">
        <v>375.6</v>
      </c>
      <c r="E212">
        <v>286.73</v>
      </c>
      <c r="F212">
        <v>79.86</v>
      </c>
      <c r="G212">
        <v>104.32</v>
      </c>
      <c r="H212">
        <v>64.150000000000006</v>
      </c>
    </row>
    <row r="213" spans="1:8" x14ac:dyDescent="0.25">
      <c r="A213" s="63">
        <f t="shared" si="3"/>
        <v>43312</v>
      </c>
      <c r="B213">
        <v>1003.1999999999999</v>
      </c>
      <c r="C213">
        <v>81.709999999999994</v>
      </c>
      <c r="D213">
        <v>375.56</v>
      </c>
      <c r="E213">
        <v>284.79000000000002</v>
      </c>
      <c r="F213">
        <v>79.209999999999994</v>
      </c>
      <c r="G213">
        <v>122.16</v>
      </c>
      <c r="H213">
        <v>59.77</v>
      </c>
    </row>
    <row r="214" spans="1:8" x14ac:dyDescent="0.25">
      <c r="A214" s="63">
        <f t="shared" si="3"/>
        <v>43313</v>
      </c>
      <c r="B214">
        <v>1005.91</v>
      </c>
      <c r="C214">
        <v>89.89</v>
      </c>
      <c r="D214">
        <v>368.75</v>
      </c>
      <c r="E214">
        <v>287.85000000000002</v>
      </c>
      <c r="F214">
        <v>78.069999999999993</v>
      </c>
      <c r="G214">
        <v>119.5</v>
      </c>
      <c r="H214">
        <v>61.85</v>
      </c>
    </row>
    <row r="215" spans="1:8" x14ac:dyDescent="0.25">
      <c r="A215" s="63">
        <f t="shared" si="3"/>
        <v>43314</v>
      </c>
      <c r="B215">
        <v>1018.6099999999999</v>
      </c>
      <c r="C215">
        <v>80.97</v>
      </c>
      <c r="D215">
        <v>395.09</v>
      </c>
      <c r="E215">
        <v>301.57</v>
      </c>
      <c r="F215">
        <v>73.59</v>
      </c>
      <c r="G215">
        <v>108.68</v>
      </c>
      <c r="H215">
        <v>58.71</v>
      </c>
    </row>
    <row r="216" spans="1:8" x14ac:dyDescent="0.25">
      <c r="A216" s="63">
        <f t="shared" si="3"/>
        <v>43315</v>
      </c>
      <c r="B216">
        <v>1026.8899999999999</v>
      </c>
      <c r="C216">
        <v>96.04</v>
      </c>
      <c r="D216">
        <v>377.27</v>
      </c>
      <c r="E216">
        <v>305.45999999999998</v>
      </c>
      <c r="F216">
        <v>70.349999999999994</v>
      </c>
      <c r="G216">
        <v>117.69</v>
      </c>
      <c r="H216">
        <v>60.08</v>
      </c>
    </row>
    <row r="217" spans="1:8" x14ac:dyDescent="0.25">
      <c r="A217" s="63">
        <f t="shared" si="3"/>
        <v>43316</v>
      </c>
      <c r="B217">
        <v>932.33</v>
      </c>
      <c r="C217">
        <v>85.1</v>
      </c>
      <c r="D217">
        <v>359.02</v>
      </c>
      <c r="E217">
        <v>237.92</v>
      </c>
      <c r="F217">
        <v>79.89</v>
      </c>
      <c r="G217">
        <v>110.57</v>
      </c>
      <c r="H217">
        <v>59.83</v>
      </c>
    </row>
    <row r="218" spans="1:8" x14ac:dyDescent="0.25">
      <c r="A218" s="63">
        <f t="shared" si="3"/>
        <v>43317</v>
      </c>
      <c r="B218">
        <v>931.5200000000001</v>
      </c>
      <c r="C218">
        <v>62.88</v>
      </c>
      <c r="D218">
        <v>389.85</v>
      </c>
      <c r="E218">
        <v>244.81</v>
      </c>
      <c r="F218">
        <v>77.930000000000007</v>
      </c>
      <c r="G218">
        <v>96.34</v>
      </c>
      <c r="H218">
        <v>59.71</v>
      </c>
    </row>
    <row r="219" spans="1:8" x14ac:dyDescent="0.25">
      <c r="A219" s="63">
        <f t="shared" si="3"/>
        <v>43318</v>
      </c>
      <c r="B219">
        <v>924.95999999999992</v>
      </c>
      <c r="C219">
        <v>105.42</v>
      </c>
      <c r="D219">
        <v>326.85000000000002</v>
      </c>
      <c r="E219">
        <v>275.58999999999997</v>
      </c>
      <c r="F219">
        <v>67.63</v>
      </c>
      <c r="G219">
        <v>87.54</v>
      </c>
      <c r="H219">
        <v>61.93</v>
      </c>
    </row>
    <row r="220" spans="1:8" x14ac:dyDescent="0.25">
      <c r="A220" s="63">
        <f t="shared" si="3"/>
        <v>43319</v>
      </c>
      <c r="B220">
        <v>1021.1499999999999</v>
      </c>
      <c r="C220">
        <v>94.17</v>
      </c>
      <c r="D220">
        <v>397.83</v>
      </c>
      <c r="E220">
        <v>271.57</v>
      </c>
      <c r="F220">
        <v>87.03</v>
      </c>
      <c r="G220">
        <v>112.13</v>
      </c>
      <c r="H220">
        <v>58.42</v>
      </c>
    </row>
    <row r="221" spans="1:8" x14ac:dyDescent="0.25">
      <c r="A221" s="63">
        <f t="shared" si="3"/>
        <v>43320</v>
      </c>
      <c r="B221">
        <v>1025.0899999999999</v>
      </c>
      <c r="C221">
        <v>104.64</v>
      </c>
      <c r="D221">
        <v>379.02</v>
      </c>
      <c r="E221">
        <v>274.79000000000002</v>
      </c>
      <c r="F221">
        <v>88.02</v>
      </c>
      <c r="G221">
        <v>119.54</v>
      </c>
      <c r="H221">
        <v>59.08</v>
      </c>
    </row>
    <row r="222" spans="1:8" x14ac:dyDescent="0.25">
      <c r="A222" s="63">
        <f t="shared" si="3"/>
        <v>43321</v>
      </c>
      <c r="B222">
        <v>1014.48</v>
      </c>
      <c r="C222">
        <v>83.72</v>
      </c>
      <c r="D222">
        <v>366.19</v>
      </c>
      <c r="E222">
        <v>296</v>
      </c>
      <c r="F222">
        <v>90.09</v>
      </c>
      <c r="G222">
        <v>116.99</v>
      </c>
      <c r="H222">
        <v>61.49</v>
      </c>
    </row>
    <row r="223" spans="1:8" x14ac:dyDescent="0.25">
      <c r="A223" s="63">
        <f t="shared" si="3"/>
        <v>43322</v>
      </c>
      <c r="B223">
        <v>992.66</v>
      </c>
      <c r="C223">
        <v>89.64</v>
      </c>
      <c r="D223">
        <v>383.9</v>
      </c>
      <c r="E223">
        <v>270.74</v>
      </c>
      <c r="F223">
        <v>85.97</v>
      </c>
      <c r="G223">
        <v>102.75</v>
      </c>
      <c r="H223">
        <v>59.66</v>
      </c>
    </row>
    <row r="224" spans="1:8" x14ac:dyDescent="0.25">
      <c r="A224" s="63">
        <f t="shared" si="3"/>
        <v>43323</v>
      </c>
      <c r="B224">
        <v>987.7600000000001</v>
      </c>
      <c r="C224">
        <v>71.459999999999994</v>
      </c>
      <c r="D224">
        <v>355.83</v>
      </c>
      <c r="E224">
        <v>302.98</v>
      </c>
      <c r="F224">
        <v>83.18</v>
      </c>
      <c r="G224">
        <v>115.34</v>
      </c>
      <c r="H224">
        <v>58.97</v>
      </c>
    </row>
    <row r="225" spans="1:8" x14ac:dyDescent="0.25">
      <c r="A225" s="63">
        <f t="shared" si="3"/>
        <v>43324</v>
      </c>
      <c r="B225">
        <v>947.63</v>
      </c>
      <c r="C225">
        <v>90.64</v>
      </c>
      <c r="D225">
        <v>297.52</v>
      </c>
      <c r="E225">
        <v>304.52</v>
      </c>
      <c r="F225">
        <v>90.45</v>
      </c>
      <c r="G225">
        <v>105.26</v>
      </c>
      <c r="H225">
        <v>59.24</v>
      </c>
    </row>
    <row r="226" spans="1:8" x14ac:dyDescent="0.25">
      <c r="A226" s="63">
        <f t="shared" si="3"/>
        <v>43325</v>
      </c>
      <c r="B226">
        <v>962.36999999999989</v>
      </c>
      <c r="C226">
        <v>88.47</v>
      </c>
      <c r="D226">
        <v>347.54</v>
      </c>
      <c r="E226">
        <v>281.74</v>
      </c>
      <c r="F226">
        <v>76.27</v>
      </c>
      <c r="G226">
        <v>108.04</v>
      </c>
      <c r="H226">
        <v>60.31</v>
      </c>
    </row>
    <row r="227" spans="1:8" x14ac:dyDescent="0.25">
      <c r="A227" s="63">
        <f t="shared" si="3"/>
        <v>43326</v>
      </c>
      <c r="B227">
        <v>1028.75</v>
      </c>
      <c r="C227">
        <v>111.7</v>
      </c>
      <c r="D227">
        <v>366.09</v>
      </c>
      <c r="E227">
        <v>295.95</v>
      </c>
      <c r="F227">
        <v>80.239999999999995</v>
      </c>
      <c r="G227">
        <v>116.24</v>
      </c>
      <c r="H227">
        <v>58.53</v>
      </c>
    </row>
    <row r="228" spans="1:8" x14ac:dyDescent="0.25">
      <c r="A228" s="63">
        <f t="shared" si="3"/>
        <v>43327</v>
      </c>
      <c r="B228">
        <v>1002.4399999999999</v>
      </c>
      <c r="C228">
        <v>122.91</v>
      </c>
      <c r="D228">
        <v>365.11</v>
      </c>
      <c r="E228">
        <v>255.44</v>
      </c>
      <c r="F228">
        <v>84.55</v>
      </c>
      <c r="G228">
        <v>115.54</v>
      </c>
      <c r="H228">
        <v>58.89</v>
      </c>
    </row>
    <row r="229" spans="1:8" x14ac:dyDescent="0.25">
      <c r="A229" s="63">
        <f t="shared" si="3"/>
        <v>43328</v>
      </c>
      <c r="B229">
        <v>963.56</v>
      </c>
      <c r="C229">
        <v>82.9</v>
      </c>
      <c r="D229">
        <v>339.48</v>
      </c>
      <c r="E229">
        <v>281.33999999999997</v>
      </c>
      <c r="F229">
        <v>87.74</v>
      </c>
      <c r="G229">
        <v>113.66</v>
      </c>
      <c r="H229">
        <v>58.44</v>
      </c>
    </row>
    <row r="230" spans="1:8" x14ac:dyDescent="0.25">
      <c r="A230" s="63">
        <f t="shared" si="3"/>
        <v>43329</v>
      </c>
      <c r="B230">
        <v>1047.6500000000001</v>
      </c>
      <c r="C230">
        <v>100.29</v>
      </c>
      <c r="D230">
        <v>407.95</v>
      </c>
      <c r="E230">
        <v>278.04000000000002</v>
      </c>
      <c r="F230">
        <v>80.959999999999994</v>
      </c>
      <c r="G230">
        <v>122.22</v>
      </c>
      <c r="H230">
        <v>58.19</v>
      </c>
    </row>
    <row r="231" spans="1:8" x14ac:dyDescent="0.25">
      <c r="A231" s="63">
        <f t="shared" si="3"/>
        <v>43330</v>
      </c>
      <c r="B231">
        <v>1032.7099999999998</v>
      </c>
      <c r="C231">
        <v>104.65</v>
      </c>
      <c r="D231">
        <v>401.35</v>
      </c>
      <c r="E231">
        <v>283.58999999999997</v>
      </c>
      <c r="F231">
        <v>71.150000000000006</v>
      </c>
      <c r="G231">
        <v>111.24</v>
      </c>
      <c r="H231">
        <v>60.73</v>
      </c>
    </row>
    <row r="232" spans="1:8" x14ac:dyDescent="0.25">
      <c r="A232" s="63">
        <f t="shared" si="3"/>
        <v>43331</v>
      </c>
      <c r="B232">
        <v>979.96999999999991</v>
      </c>
      <c r="C232">
        <v>84.5</v>
      </c>
      <c r="D232">
        <v>378.38</v>
      </c>
      <c r="E232">
        <v>272.68</v>
      </c>
      <c r="F232">
        <v>80.39</v>
      </c>
      <c r="G232">
        <v>105.1</v>
      </c>
      <c r="H232">
        <v>58.92</v>
      </c>
    </row>
    <row r="233" spans="1:8" x14ac:dyDescent="0.25">
      <c r="A233" s="63">
        <f t="shared" si="3"/>
        <v>43332</v>
      </c>
      <c r="B233">
        <v>976.51999999999987</v>
      </c>
      <c r="C233">
        <v>91.99</v>
      </c>
      <c r="D233">
        <v>355.18</v>
      </c>
      <c r="E233">
        <v>283.10000000000002</v>
      </c>
      <c r="F233">
        <v>73.67</v>
      </c>
      <c r="G233">
        <v>113.78</v>
      </c>
      <c r="H233">
        <v>58.8</v>
      </c>
    </row>
    <row r="234" spans="1:8" x14ac:dyDescent="0.25">
      <c r="A234" s="63">
        <f t="shared" si="3"/>
        <v>43333</v>
      </c>
      <c r="B234">
        <v>1015.63</v>
      </c>
      <c r="C234">
        <v>106.36</v>
      </c>
      <c r="D234">
        <v>366.35</v>
      </c>
      <c r="E234">
        <v>278.23</v>
      </c>
      <c r="F234">
        <v>86.47</v>
      </c>
      <c r="G234">
        <v>116.81</v>
      </c>
      <c r="H234">
        <v>61.41</v>
      </c>
    </row>
    <row r="235" spans="1:8" x14ac:dyDescent="0.25">
      <c r="A235" s="63">
        <f t="shared" si="3"/>
        <v>43334</v>
      </c>
      <c r="B235">
        <v>994.04</v>
      </c>
      <c r="C235">
        <v>88.08</v>
      </c>
      <c r="D235">
        <v>346.99</v>
      </c>
      <c r="E235">
        <v>292.52999999999997</v>
      </c>
      <c r="F235">
        <v>92.55</v>
      </c>
      <c r="G235">
        <v>112.45</v>
      </c>
      <c r="H235">
        <v>61.44</v>
      </c>
    </row>
    <row r="236" spans="1:8" x14ac:dyDescent="0.25">
      <c r="A236" s="63">
        <f t="shared" si="3"/>
        <v>43335</v>
      </c>
      <c r="B236">
        <v>1093.4100000000001</v>
      </c>
      <c r="C236">
        <v>116.65</v>
      </c>
      <c r="D236">
        <v>420.81</v>
      </c>
      <c r="E236">
        <v>296.88</v>
      </c>
      <c r="F236">
        <v>86.73</v>
      </c>
      <c r="G236">
        <v>110.53</v>
      </c>
      <c r="H236">
        <v>61.81</v>
      </c>
    </row>
    <row r="237" spans="1:8" x14ac:dyDescent="0.25">
      <c r="A237" s="63">
        <f t="shared" si="3"/>
        <v>43336</v>
      </c>
      <c r="B237">
        <v>1023.7300000000001</v>
      </c>
      <c r="C237">
        <v>90.05</v>
      </c>
      <c r="D237">
        <v>372.89</v>
      </c>
      <c r="E237">
        <v>295.49</v>
      </c>
      <c r="F237">
        <v>89.4</v>
      </c>
      <c r="G237">
        <v>113.45</v>
      </c>
      <c r="H237">
        <v>62.45</v>
      </c>
    </row>
    <row r="238" spans="1:8" x14ac:dyDescent="0.25">
      <c r="A238" s="63">
        <f t="shared" si="3"/>
        <v>43337</v>
      </c>
      <c r="B238">
        <v>1056.8499999999999</v>
      </c>
      <c r="C238">
        <v>75.63</v>
      </c>
      <c r="D238">
        <v>434.93</v>
      </c>
      <c r="E238">
        <v>301.02999999999997</v>
      </c>
      <c r="F238">
        <v>74.010000000000005</v>
      </c>
      <c r="G238">
        <v>108.79</v>
      </c>
      <c r="H238">
        <v>62.46</v>
      </c>
    </row>
    <row r="239" spans="1:8" x14ac:dyDescent="0.25">
      <c r="A239" s="63">
        <f t="shared" si="3"/>
        <v>43338</v>
      </c>
      <c r="B239">
        <v>930.76</v>
      </c>
      <c r="C239">
        <v>80.48</v>
      </c>
      <c r="D239">
        <v>356.16</v>
      </c>
      <c r="E239">
        <v>249.42</v>
      </c>
      <c r="F239">
        <v>75.63</v>
      </c>
      <c r="G239">
        <v>106.64</v>
      </c>
      <c r="H239">
        <v>62.43</v>
      </c>
    </row>
    <row r="240" spans="1:8" x14ac:dyDescent="0.25">
      <c r="A240" s="63">
        <f t="shared" si="3"/>
        <v>43339</v>
      </c>
      <c r="B240">
        <v>892.38</v>
      </c>
      <c r="C240">
        <v>84.86</v>
      </c>
      <c r="D240">
        <v>317.67</v>
      </c>
      <c r="E240">
        <v>251.31</v>
      </c>
      <c r="F240">
        <v>71.83</v>
      </c>
      <c r="G240">
        <v>106.03</v>
      </c>
      <c r="H240">
        <v>60.68</v>
      </c>
    </row>
    <row r="241" spans="1:8" x14ac:dyDescent="0.25">
      <c r="A241" s="63">
        <f t="shared" si="3"/>
        <v>43340</v>
      </c>
      <c r="B241">
        <v>1043.95</v>
      </c>
      <c r="C241">
        <v>98.89</v>
      </c>
      <c r="D241">
        <v>390.02</v>
      </c>
      <c r="E241">
        <v>282.44</v>
      </c>
      <c r="F241">
        <v>87.33</v>
      </c>
      <c r="G241">
        <v>124.5</v>
      </c>
      <c r="H241">
        <v>60.77</v>
      </c>
    </row>
    <row r="242" spans="1:8" x14ac:dyDescent="0.25">
      <c r="A242" s="63">
        <f t="shared" si="3"/>
        <v>43341</v>
      </c>
      <c r="B242">
        <v>1026.6400000000001</v>
      </c>
      <c r="C242">
        <v>103.86</v>
      </c>
      <c r="D242">
        <v>384.18</v>
      </c>
      <c r="E242">
        <v>274.68</v>
      </c>
      <c r="F242">
        <v>79.92</v>
      </c>
      <c r="G242">
        <v>122.86</v>
      </c>
      <c r="H242">
        <v>61.14</v>
      </c>
    </row>
    <row r="243" spans="1:8" x14ac:dyDescent="0.25">
      <c r="A243" s="63">
        <f t="shared" si="3"/>
        <v>43342</v>
      </c>
      <c r="B243">
        <v>1022.1899999999999</v>
      </c>
      <c r="C243">
        <v>91.21</v>
      </c>
      <c r="D243">
        <v>375.55</v>
      </c>
      <c r="E243">
        <v>290.83999999999997</v>
      </c>
      <c r="F243">
        <v>84.61</v>
      </c>
      <c r="G243">
        <v>118.72</v>
      </c>
      <c r="H243">
        <v>61.26</v>
      </c>
    </row>
    <row r="244" spans="1:8" x14ac:dyDescent="0.25">
      <c r="A244" s="63">
        <f t="shared" si="3"/>
        <v>43343</v>
      </c>
      <c r="B244">
        <v>988.81000000000006</v>
      </c>
      <c r="C244">
        <v>83.12</v>
      </c>
      <c r="D244">
        <v>363.18</v>
      </c>
      <c r="E244">
        <v>286.05</v>
      </c>
      <c r="F244">
        <v>84.77</v>
      </c>
      <c r="G244">
        <v>112.1</v>
      </c>
      <c r="H244">
        <v>59.59</v>
      </c>
    </row>
    <row r="245" spans="1:8" x14ac:dyDescent="0.25">
      <c r="A245" s="63">
        <f t="shared" si="3"/>
        <v>43344</v>
      </c>
      <c r="B245">
        <v>1075.24</v>
      </c>
      <c r="C245">
        <v>95.98</v>
      </c>
      <c r="D245">
        <v>420.67</v>
      </c>
      <c r="E245">
        <v>295.52</v>
      </c>
      <c r="F245">
        <v>80.56</v>
      </c>
      <c r="G245">
        <v>121.37</v>
      </c>
      <c r="H245">
        <v>61.14</v>
      </c>
    </row>
    <row r="246" spans="1:8" x14ac:dyDescent="0.25">
      <c r="A246" s="63">
        <f t="shared" si="3"/>
        <v>43345</v>
      </c>
      <c r="B246">
        <v>869.75</v>
      </c>
      <c r="C246">
        <v>83.44</v>
      </c>
      <c r="D246">
        <v>350.16</v>
      </c>
      <c r="E246">
        <v>178.86</v>
      </c>
      <c r="F246">
        <v>81.260000000000005</v>
      </c>
      <c r="G246">
        <v>114.35</v>
      </c>
      <c r="H246">
        <v>61.68</v>
      </c>
    </row>
    <row r="247" spans="1:8" x14ac:dyDescent="0.25">
      <c r="A247" s="63">
        <f t="shared" si="3"/>
        <v>43346</v>
      </c>
      <c r="B247">
        <v>970.45</v>
      </c>
      <c r="C247">
        <v>101.67</v>
      </c>
      <c r="D247">
        <v>356.9</v>
      </c>
      <c r="E247">
        <v>261.98</v>
      </c>
      <c r="F247">
        <v>79.09</v>
      </c>
      <c r="G247">
        <v>111.24</v>
      </c>
      <c r="H247">
        <v>59.57</v>
      </c>
    </row>
    <row r="248" spans="1:8" x14ac:dyDescent="0.25">
      <c r="A248" s="63">
        <f t="shared" si="3"/>
        <v>43347</v>
      </c>
      <c r="B248">
        <v>1039.6399999999999</v>
      </c>
      <c r="C248">
        <v>92.32</v>
      </c>
      <c r="D248">
        <v>409.13</v>
      </c>
      <c r="E248">
        <v>269.39</v>
      </c>
      <c r="F248">
        <v>86.92</v>
      </c>
      <c r="G248">
        <v>118.14</v>
      </c>
      <c r="H248">
        <v>63.74</v>
      </c>
    </row>
    <row r="249" spans="1:8" x14ac:dyDescent="0.25">
      <c r="A249" s="63">
        <f t="shared" si="3"/>
        <v>43348</v>
      </c>
      <c r="B249">
        <v>950.40000000000009</v>
      </c>
      <c r="C249">
        <v>90.9</v>
      </c>
      <c r="D249">
        <v>338.97</v>
      </c>
      <c r="E249">
        <v>260.36</v>
      </c>
      <c r="F249">
        <v>81.72</v>
      </c>
      <c r="G249">
        <v>118.21</v>
      </c>
      <c r="H249">
        <v>60.24</v>
      </c>
    </row>
    <row r="250" spans="1:8" x14ac:dyDescent="0.25">
      <c r="A250" s="63">
        <f t="shared" si="3"/>
        <v>43349</v>
      </c>
      <c r="B250">
        <v>955.15</v>
      </c>
      <c r="C250">
        <v>75.989999999999995</v>
      </c>
      <c r="D250">
        <v>379.92</v>
      </c>
      <c r="E250">
        <v>253.66</v>
      </c>
      <c r="F250">
        <v>76.17</v>
      </c>
      <c r="G250">
        <v>110.37</v>
      </c>
      <c r="H250">
        <v>59.04</v>
      </c>
    </row>
    <row r="251" spans="1:8" x14ac:dyDescent="0.25">
      <c r="A251" s="63">
        <f t="shared" si="3"/>
        <v>43350</v>
      </c>
      <c r="B251">
        <v>1007.01</v>
      </c>
      <c r="C251">
        <v>93.27</v>
      </c>
      <c r="D251">
        <v>413.92</v>
      </c>
      <c r="E251">
        <v>251.76</v>
      </c>
      <c r="F251">
        <v>77.67</v>
      </c>
      <c r="G251">
        <v>108.43</v>
      </c>
      <c r="H251">
        <v>61.96</v>
      </c>
    </row>
    <row r="252" spans="1:8" x14ac:dyDescent="0.25">
      <c r="A252" s="63">
        <f t="shared" si="3"/>
        <v>43351</v>
      </c>
      <c r="B252">
        <v>997.89</v>
      </c>
      <c r="C252">
        <v>83.75</v>
      </c>
      <c r="D252">
        <v>402.46</v>
      </c>
      <c r="E252">
        <v>269.77999999999997</v>
      </c>
      <c r="F252">
        <v>69.13</v>
      </c>
      <c r="G252">
        <v>110.1</v>
      </c>
      <c r="H252">
        <v>62.67</v>
      </c>
    </row>
    <row r="253" spans="1:8" x14ac:dyDescent="0.25">
      <c r="A253" s="63">
        <f t="shared" si="3"/>
        <v>43352</v>
      </c>
      <c r="B253">
        <v>952.96</v>
      </c>
      <c r="C253">
        <v>82.39</v>
      </c>
      <c r="D253">
        <v>358.1</v>
      </c>
      <c r="E253">
        <v>271.45</v>
      </c>
      <c r="F253">
        <v>75.849999999999994</v>
      </c>
      <c r="G253">
        <v>105.55</v>
      </c>
      <c r="H253">
        <v>59.62</v>
      </c>
    </row>
    <row r="254" spans="1:8" x14ac:dyDescent="0.25">
      <c r="A254" s="63">
        <f t="shared" si="3"/>
        <v>43353</v>
      </c>
      <c r="B254">
        <v>970.05</v>
      </c>
      <c r="C254">
        <v>103.96</v>
      </c>
      <c r="D254">
        <v>360</v>
      </c>
      <c r="E254">
        <v>254.12</v>
      </c>
      <c r="F254">
        <v>69.33</v>
      </c>
      <c r="G254">
        <v>121.61</v>
      </c>
      <c r="H254">
        <v>61.03</v>
      </c>
    </row>
    <row r="255" spans="1:8" x14ac:dyDescent="0.25">
      <c r="A255" s="63">
        <f t="shared" si="3"/>
        <v>43354</v>
      </c>
      <c r="B255">
        <v>995.54000000000008</v>
      </c>
      <c r="C255">
        <v>90.86</v>
      </c>
      <c r="D255">
        <v>360.15</v>
      </c>
      <c r="E255">
        <v>273.26</v>
      </c>
      <c r="F255">
        <v>90.95</v>
      </c>
      <c r="G255">
        <v>115.83</v>
      </c>
      <c r="H255">
        <v>64.489999999999995</v>
      </c>
    </row>
    <row r="256" spans="1:8" x14ac:dyDescent="0.25">
      <c r="A256" s="63">
        <f t="shared" si="3"/>
        <v>43355</v>
      </c>
      <c r="B256">
        <v>1038.26</v>
      </c>
      <c r="C256">
        <v>132.47999999999999</v>
      </c>
      <c r="D256">
        <v>335.65</v>
      </c>
      <c r="E256">
        <v>293.76</v>
      </c>
      <c r="F256">
        <v>93.52</v>
      </c>
      <c r="G256">
        <v>118.21</v>
      </c>
      <c r="H256">
        <v>64.64</v>
      </c>
    </row>
    <row r="257" spans="1:8" x14ac:dyDescent="0.25">
      <c r="A257" s="63">
        <f t="shared" si="3"/>
        <v>43356</v>
      </c>
      <c r="B257">
        <v>1014.07</v>
      </c>
      <c r="C257">
        <v>103.94</v>
      </c>
      <c r="D257">
        <v>378.55</v>
      </c>
      <c r="E257">
        <v>260.02</v>
      </c>
      <c r="F257">
        <v>90.11</v>
      </c>
      <c r="G257">
        <v>120.08</v>
      </c>
      <c r="H257">
        <v>61.37</v>
      </c>
    </row>
    <row r="258" spans="1:8" x14ac:dyDescent="0.25">
      <c r="A258" s="63">
        <f t="shared" si="3"/>
        <v>43357</v>
      </c>
      <c r="B258">
        <v>1039.9699999999998</v>
      </c>
      <c r="C258">
        <v>95.74</v>
      </c>
      <c r="D258">
        <v>420.02</v>
      </c>
      <c r="E258">
        <v>258.29000000000002</v>
      </c>
      <c r="F258">
        <v>90.31</v>
      </c>
      <c r="G258">
        <v>114.91</v>
      </c>
      <c r="H258">
        <v>60.7</v>
      </c>
    </row>
    <row r="259" spans="1:8" x14ac:dyDescent="0.25">
      <c r="A259" s="63">
        <f t="shared" si="3"/>
        <v>43358</v>
      </c>
      <c r="B259">
        <v>1062.31</v>
      </c>
      <c r="C259">
        <v>106.51</v>
      </c>
      <c r="D259">
        <v>397.95</v>
      </c>
      <c r="E259">
        <v>303.83</v>
      </c>
      <c r="F259">
        <v>84.84</v>
      </c>
      <c r="G259">
        <v>108.7</v>
      </c>
      <c r="H259">
        <v>60.48</v>
      </c>
    </row>
    <row r="260" spans="1:8" x14ac:dyDescent="0.25">
      <c r="A260" s="63">
        <f t="shared" ref="A260:A323" si="4">A259+1</f>
        <v>43359</v>
      </c>
      <c r="B260">
        <v>829.6</v>
      </c>
      <c r="C260">
        <v>67.72</v>
      </c>
      <c r="D260">
        <v>338.23</v>
      </c>
      <c r="E260">
        <v>178.16</v>
      </c>
      <c r="F260">
        <v>86.7</v>
      </c>
      <c r="G260">
        <v>97.42</v>
      </c>
      <c r="H260">
        <v>61.37</v>
      </c>
    </row>
    <row r="261" spans="1:8" x14ac:dyDescent="0.25">
      <c r="A261" s="63">
        <f t="shared" si="4"/>
        <v>43360</v>
      </c>
      <c r="B261">
        <v>956.81</v>
      </c>
      <c r="C261">
        <v>74.17</v>
      </c>
      <c r="D261">
        <v>359.14</v>
      </c>
      <c r="E261">
        <v>277.58</v>
      </c>
      <c r="F261">
        <v>83.69</v>
      </c>
      <c r="G261">
        <v>104.14</v>
      </c>
      <c r="H261">
        <v>58.09</v>
      </c>
    </row>
    <row r="262" spans="1:8" x14ac:dyDescent="0.25">
      <c r="A262" s="63">
        <f t="shared" si="4"/>
        <v>43361</v>
      </c>
      <c r="B262">
        <v>1015.1000000000001</v>
      </c>
      <c r="C262">
        <v>109.06</v>
      </c>
      <c r="D262">
        <v>383.1</v>
      </c>
      <c r="E262">
        <v>271.92</v>
      </c>
      <c r="F262">
        <v>70.75</v>
      </c>
      <c r="G262">
        <v>116.57</v>
      </c>
      <c r="H262">
        <v>63.7</v>
      </c>
    </row>
    <row r="263" spans="1:8" x14ac:dyDescent="0.25">
      <c r="A263" s="63">
        <f t="shared" si="4"/>
        <v>43362</v>
      </c>
      <c r="B263">
        <v>1010.1100000000001</v>
      </c>
      <c r="C263">
        <v>104.67</v>
      </c>
      <c r="D263">
        <v>366.92</v>
      </c>
      <c r="E263">
        <v>287.92</v>
      </c>
      <c r="F263">
        <v>85.2</v>
      </c>
      <c r="G263">
        <v>103.09</v>
      </c>
      <c r="H263">
        <v>62.31</v>
      </c>
    </row>
    <row r="264" spans="1:8" x14ac:dyDescent="0.25">
      <c r="A264" s="63">
        <f t="shared" si="4"/>
        <v>43363</v>
      </c>
      <c r="B264">
        <v>1013.36</v>
      </c>
      <c r="C264">
        <v>98.6</v>
      </c>
      <c r="D264">
        <v>364.06</v>
      </c>
      <c r="E264">
        <v>292.43</v>
      </c>
      <c r="F264">
        <v>74.61</v>
      </c>
      <c r="G264">
        <v>121.58</v>
      </c>
      <c r="H264">
        <v>62.08</v>
      </c>
    </row>
    <row r="265" spans="1:8" x14ac:dyDescent="0.25">
      <c r="A265" s="63">
        <f t="shared" si="4"/>
        <v>43364</v>
      </c>
      <c r="B265">
        <v>992.78</v>
      </c>
      <c r="C265">
        <v>83.3</v>
      </c>
      <c r="D265">
        <v>382.8</v>
      </c>
      <c r="E265">
        <v>271.76</v>
      </c>
      <c r="F265">
        <v>69.3</v>
      </c>
      <c r="G265">
        <v>120.96</v>
      </c>
      <c r="H265">
        <v>64.66</v>
      </c>
    </row>
    <row r="266" spans="1:8" x14ac:dyDescent="0.25">
      <c r="A266" s="63">
        <f t="shared" si="4"/>
        <v>43365</v>
      </c>
      <c r="B266">
        <v>1010.48</v>
      </c>
      <c r="C266">
        <v>106.94</v>
      </c>
      <c r="D266">
        <v>405.04</v>
      </c>
      <c r="E266">
        <v>252.09</v>
      </c>
      <c r="F266">
        <v>68.69</v>
      </c>
      <c r="G266">
        <v>115.94</v>
      </c>
      <c r="H266">
        <v>61.78</v>
      </c>
    </row>
    <row r="267" spans="1:8" x14ac:dyDescent="0.25">
      <c r="A267" s="63">
        <f t="shared" si="4"/>
        <v>43366</v>
      </c>
      <c r="B267">
        <v>899.42</v>
      </c>
      <c r="C267">
        <v>99.08</v>
      </c>
      <c r="D267">
        <v>335.32</v>
      </c>
      <c r="E267">
        <v>198.51</v>
      </c>
      <c r="F267">
        <v>93.12</v>
      </c>
      <c r="G267">
        <v>110.4</v>
      </c>
      <c r="H267">
        <v>62.99</v>
      </c>
    </row>
    <row r="268" spans="1:8" x14ac:dyDescent="0.25">
      <c r="A268" s="63">
        <f t="shared" si="4"/>
        <v>43367</v>
      </c>
      <c r="B268">
        <v>908.31000000000006</v>
      </c>
      <c r="C268">
        <v>106.16</v>
      </c>
      <c r="D268">
        <v>300.36</v>
      </c>
      <c r="E268">
        <v>253.45</v>
      </c>
      <c r="F268">
        <v>74.62</v>
      </c>
      <c r="G268">
        <v>110.76</v>
      </c>
      <c r="H268">
        <v>62.96</v>
      </c>
    </row>
    <row r="269" spans="1:8" x14ac:dyDescent="0.25">
      <c r="A269" s="63">
        <f t="shared" si="4"/>
        <v>43368</v>
      </c>
      <c r="B269">
        <v>1019.7500000000001</v>
      </c>
      <c r="C269">
        <v>116.62</v>
      </c>
      <c r="D269">
        <v>389.76</v>
      </c>
      <c r="E269">
        <v>262.82</v>
      </c>
      <c r="F269">
        <v>71.09</v>
      </c>
      <c r="G269">
        <v>117.59</v>
      </c>
      <c r="H269">
        <v>61.87</v>
      </c>
    </row>
    <row r="270" spans="1:8" x14ac:dyDescent="0.25">
      <c r="A270" s="63">
        <f t="shared" si="4"/>
        <v>43369</v>
      </c>
      <c r="B270">
        <v>995.61999999999989</v>
      </c>
      <c r="C270">
        <v>78.86</v>
      </c>
      <c r="D270">
        <v>390.78</v>
      </c>
      <c r="E270">
        <v>261.27</v>
      </c>
      <c r="F270">
        <v>89.76</v>
      </c>
      <c r="G270">
        <v>112.93</v>
      </c>
      <c r="H270">
        <v>62.02</v>
      </c>
    </row>
    <row r="271" spans="1:8" x14ac:dyDescent="0.25">
      <c r="A271" s="63">
        <f t="shared" si="4"/>
        <v>43370</v>
      </c>
      <c r="B271">
        <v>991.2600000000001</v>
      </c>
      <c r="C271">
        <v>105.04</v>
      </c>
      <c r="D271">
        <v>352.58</v>
      </c>
      <c r="E271">
        <v>293.24</v>
      </c>
      <c r="F271">
        <v>69.7</v>
      </c>
      <c r="G271">
        <v>108.96</v>
      </c>
      <c r="H271">
        <v>61.74</v>
      </c>
    </row>
    <row r="272" spans="1:8" x14ac:dyDescent="0.25">
      <c r="A272" s="63">
        <f t="shared" si="4"/>
        <v>43371</v>
      </c>
      <c r="B272">
        <v>1029.6400000000001</v>
      </c>
      <c r="C272">
        <v>95.99</v>
      </c>
      <c r="D272">
        <v>410.22</v>
      </c>
      <c r="E272">
        <v>287.74</v>
      </c>
      <c r="F272">
        <v>80.489999999999995</v>
      </c>
      <c r="G272">
        <v>93.96</v>
      </c>
      <c r="H272">
        <v>61.24</v>
      </c>
    </row>
    <row r="273" spans="1:8" x14ac:dyDescent="0.25">
      <c r="A273" s="63">
        <f t="shared" si="4"/>
        <v>43372</v>
      </c>
      <c r="B273">
        <v>942.31999999999994</v>
      </c>
      <c r="C273">
        <v>80.09</v>
      </c>
      <c r="D273">
        <v>339.88</v>
      </c>
      <c r="E273">
        <v>289.52999999999997</v>
      </c>
      <c r="F273">
        <v>65.400000000000006</v>
      </c>
      <c r="G273">
        <v>106.28</v>
      </c>
      <c r="H273">
        <v>61.14</v>
      </c>
    </row>
    <row r="274" spans="1:8" x14ac:dyDescent="0.25">
      <c r="A274" s="63">
        <f t="shared" si="4"/>
        <v>43373</v>
      </c>
      <c r="B274">
        <v>826.49</v>
      </c>
      <c r="C274">
        <v>82.83</v>
      </c>
      <c r="D274">
        <v>368.17</v>
      </c>
      <c r="E274">
        <v>141.13999999999999</v>
      </c>
      <c r="F274">
        <v>66.87</v>
      </c>
      <c r="G274">
        <v>106.26</v>
      </c>
      <c r="H274">
        <v>61.22</v>
      </c>
    </row>
    <row r="275" spans="1:8" x14ac:dyDescent="0.25">
      <c r="A275" s="63">
        <f t="shared" si="4"/>
        <v>43374</v>
      </c>
      <c r="B275">
        <v>1004.8000000000001</v>
      </c>
      <c r="C275">
        <v>108.81</v>
      </c>
      <c r="D275">
        <v>358.18</v>
      </c>
      <c r="E275">
        <v>283.92</v>
      </c>
      <c r="F275">
        <v>81.53</v>
      </c>
      <c r="G275">
        <v>111.4</v>
      </c>
      <c r="H275">
        <v>60.96</v>
      </c>
    </row>
    <row r="276" spans="1:8" x14ac:dyDescent="0.25">
      <c r="A276" s="63">
        <f t="shared" si="4"/>
        <v>43375</v>
      </c>
      <c r="B276">
        <v>987.13999999999987</v>
      </c>
      <c r="C276">
        <v>102.48</v>
      </c>
      <c r="D276">
        <v>341.26</v>
      </c>
      <c r="E276">
        <v>280.55</v>
      </c>
      <c r="F276">
        <v>91.8</v>
      </c>
      <c r="G276">
        <v>109.05</v>
      </c>
      <c r="H276">
        <v>62</v>
      </c>
    </row>
    <row r="277" spans="1:8" x14ac:dyDescent="0.25">
      <c r="A277" s="63">
        <f t="shared" si="4"/>
        <v>43376</v>
      </c>
      <c r="B277">
        <v>1035.0300000000002</v>
      </c>
      <c r="C277">
        <v>110.27</v>
      </c>
      <c r="D277">
        <v>365.98</v>
      </c>
      <c r="E277">
        <v>293.72000000000003</v>
      </c>
      <c r="F277">
        <v>94.58</v>
      </c>
      <c r="G277">
        <v>108.2</v>
      </c>
      <c r="H277">
        <v>62.28</v>
      </c>
    </row>
    <row r="278" spans="1:8" x14ac:dyDescent="0.25">
      <c r="A278" s="63">
        <f t="shared" si="4"/>
        <v>43377</v>
      </c>
      <c r="B278">
        <v>1019.8</v>
      </c>
      <c r="C278">
        <v>113.55</v>
      </c>
      <c r="D278">
        <v>354.42</v>
      </c>
      <c r="E278">
        <v>283.31</v>
      </c>
      <c r="F278">
        <v>95.33</v>
      </c>
      <c r="G278">
        <v>112</v>
      </c>
      <c r="H278">
        <v>61.19</v>
      </c>
    </row>
    <row r="279" spans="1:8" x14ac:dyDescent="0.25">
      <c r="A279" s="63">
        <f t="shared" si="4"/>
        <v>43378</v>
      </c>
      <c r="B279">
        <v>1050.17</v>
      </c>
      <c r="C279">
        <v>108.28</v>
      </c>
      <c r="D279">
        <v>372.55</v>
      </c>
      <c r="E279">
        <v>302.81</v>
      </c>
      <c r="F279">
        <v>94.36</v>
      </c>
      <c r="G279">
        <v>110.04</v>
      </c>
      <c r="H279">
        <v>62.13</v>
      </c>
    </row>
    <row r="280" spans="1:8" x14ac:dyDescent="0.25">
      <c r="A280" s="63">
        <f t="shared" si="4"/>
        <v>43379</v>
      </c>
      <c r="B280">
        <v>962.77</v>
      </c>
      <c r="C280">
        <v>95.59</v>
      </c>
      <c r="D280">
        <v>325.61</v>
      </c>
      <c r="E280">
        <v>281.89</v>
      </c>
      <c r="F280">
        <v>97.79</v>
      </c>
      <c r="G280">
        <v>101.58</v>
      </c>
      <c r="H280">
        <v>60.31</v>
      </c>
    </row>
    <row r="281" spans="1:8" x14ac:dyDescent="0.25">
      <c r="A281" s="63">
        <f t="shared" si="4"/>
        <v>43380</v>
      </c>
      <c r="B281">
        <v>919</v>
      </c>
      <c r="C281">
        <v>90.09</v>
      </c>
      <c r="D281">
        <v>335.14</v>
      </c>
      <c r="E281">
        <v>238.34</v>
      </c>
      <c r="F281">
        <v>96.83</v>
      </c>
      <c r="G281">
        <v>97.29</v>
      </c>
      <c r="H281">
        <v>61.31</v>
      </c>
    </row>
    <row r="282" spans="1:8" x14ac:dyDescent="0.25">
      <c r="A282" s="63">
        <f t="shared" si="4"/>
        <v>43381</v>
      </c>
      <c r="B282">
        <v>1015.5299999999999</v>
      </c>
      <c r="C282">
        <v>107.16</v>
      </c>
      <c r="D282">
        <v>373.03</v>
      </c>
      <c r="E282">
        <v>271.45999999999998</v>
      </c>
      <c r="F282">
        <v>93.31</v>
      </c>
      <c r="G282">
        <v>108.83</v>
      </c>
      <c r="H282">
        <v>61.74</v>
      </c>
    </row>
    <row r="283" spans="1:8" x14ac:dyDescent="0.25">
      <c r="A283" s="63">
        <f t="shared" si="4"/>
        <v>43382</v>
      </c>
      <c r="B283">
        <v>1036.43</v>
      </c>
      <c r="C283">
        <v>80.67</v>
      </c>
      <c r="D283">
        <v>395.97</v>
      </c>
      <c r="E283">
        <v>283.76</v>
      </c>
      <c r="F283">
        <v>98.16</v>
      </c>
      <c r="G283">
        <v>116.34</v>
      </c>
      <c r="H283">
        <v>61.53</v>
      </c>
    </row>
    <row r="284" spans="1:8" x14ac:dyDescent="0.25">
      <c r="A284" s="63">
        <f t="shared" si="4"/>
        <v>43383</v>
      </c>
      <c r="B284">
        <v>1064.47</v>
      </c>
      <c r="C284">
        <v>105.54</v>
      </c>
      <c r="D284">
        <v>400.65</v>
      </c>
      <c r="E284">
        <v>283.08</v>
      </c>
      <c r="F284">
        <v>95.69</v>
      </c>
      <c r="G284">
        <v>115.04</v>
      </c>
      <c r="H284">
        <v>64.47</v>
      </c>
    </row>
    <row r="285" spans="1:8" x14ac:dyDescent="0.25">
      <c r="A285" s="63">
        <f t="shared" si="4"/>
        <v>43384</v>
      </c>
      <c r="B285">
        <v>1016.14</v>
      </c>
      <c r="C285">
        <v>89.52</v>
      </c>
      <c r="D285">
        <v>355.15</v>
      </c>
      <c r="E285">
        <v>298.51</v>
      </c>
      <c r="F285">
        <v>102.97</v>
      </c>
      <c r="G285">
        <v>107.37</v>
      </c>
      <c r="H285">
        <v>62.62</v>
      </c>
    </row>
    <row r="286" spans="1:8" x14ac:dyDescent="0.25">
      <c r="A286" s="63">
        <f t="shared" si="4"/>
        <v>43385</v>
      </c>
      <c r="B286">
        <v>1039.75</v>
      </c>
      <c r="C286">
        <v>87.39</v>
      </c>
      <c r="D286">
        <v>415.18</v>
      </c>
      <c r="E286">
        <v>270.04000000000002</v>
      </c>
      <c r="F286">
        <v>87.42</v>
      </c>
      <c r="G286">
        <v>114.85</v>
      </c>
      <c r="H286">
        <v>64.87</v>
      </c>
    </row>
    <row r="287" spans="1:8" x14ac:dyDescent="0.25">
      <c r="A287" s="63">
        <f t="shared" si="4"/>
        <v>43386</v>
      </c>
      <c r="B287">
        <v>1029.98</v>
      </c>
      <c r="C287">
        <v>64.63</v>
      </c>
      <c r="D287">
        <v>415.07</v>
      </c>
      <c r="E287">
        <v>271.55</v>
      </c>
      <c r="F287">
        <v>104.01</v>
      </c>
      <c r="G287">
        <v>110.49</v>
      </c>
      <c r="H287">
        <v>64.23</v>
      </c>
    </row>
    <row r="288" spans="1:8" x14ac:dyDescent="0.25">
      <c r="A288" s="63">
        <f t="shared" si="4"/>
        <v>43387</v>
      </c>
      <c r="B288">
        <v>943.4899999999999</v>
      </c>
      <c r="C288">
        <v>75.83</v>
      </c>
      <c r="D288">
        <v>346.38</v>
      </c>
      <c r="E288">
        <v>268.39999999999998</v>
      </c>
      <c r="F288">
        <v>76.5</v>
      </c>
      <c r="G288">
        <v>109.36</v>
      </c>
      <c r="H288">
        <v>67.02</v>
      </c>
    </row>
    <row r="289" spans="1:8" x14ac:dyDescent="0.25">
      <c r="A289" s="63">
        <f t="shared" si="4"/>
        <v>43388</v>
      </c>
      <c r="B289">
        <v>862.56</v>
      </c>
      <c r="C289">
        <v>94.28</v>
      </c>
      <c r="D289">
        <v>255.91</v>
      </c>
      <c r="E289">
        <v>242.62</v>
      </c>
      <c r="F289">
        <v>94.25</v>
      </c>
      <c r="G289">
        <v>114.37</v>
      </c>
      <c r="H289">
        <v>61.13</v>
      </c>
    </row>
    <row r="290" spans="1:8" x14ac:dyDescent="0.25">
      <c r="A290" s="63">
        <f t="shared" si="4"/>
        <v>43389</v>
      </c>
      <c r="B290">
        <v>1008.7399999999999</v>
      </c>
      <c r="C290">
        <v>82.66</v>
      </c>
      <c r="D290">
        <v>402.37</v>
      </c>
      <c r="E290">
        <v>273.63</v>
      </c>
      <c r="F290">
        <v>82.35</v>
      </c>
      <c r="G290">
        <v>105.81</v>
      </c>
      <c r="H290">
        <v>61.92</v>
      </c>
    </row>
    <row r="291" spans="1:8" x14ac:dyDescent="0.25">
      <c r="A291" s="63">
        <f t="shared" si="4"/>
        <v>43390</v>
      </c>
      <c r="B291">
        <v>1062.58</v>
      </c>
      <c r="C291">
        <v>87.77</v>
      </c>
      <c r="D291">
        <v>424.84</v>
      </c>
      <c r="E291">
        <v>273.95999999999998</v>
      </c>
      <c r="F291">
        <v>114.62</v>
      </c>
      <c r="G291">
        <v>100.04</v>
      </c>
      <c r="H291">
        <v>61.35</v>
      </c>
    </row>
    <row r="292" spans="1:8" x14ac:dyDescent="0.25">
      <c r="A292" s="63">
        <f t="shared" si="4"/>
        <v>43391</v>
      </c>
      <c r="B292">
        <v>1038.5999999999999</v>
      </c>
      <c r="C292">
        <v>118.67</v>
      </c>
      <c r="D292">
        <v>380.63</v>
      </c>
      <c r="E292">
        <v>280.23</v>
      </c>
      <c r="F292">
        <v>92.04</v>
      </c>
      <c r="G292">
        <v>104.22</v>
      </c>
      <c r="H292">
        <v>62.81</v>
      </c>
    </row>
    <row r="293" spans="1:8" x14ac:dyDescent="0.25">
      <c r="A293" s="63">
        <f t="shared" si="4"/>
        <v>43392</v>
      </c>
      <c r="B293">
        <v>959.87</v>
      </c>
      <c r="C293">
        <v>74.569999999999993</v>
      </c>
      <c r="D293">
        <v>382.86</v>
      </c>
      <c r="E293">
        <v>240.23</v>
      </c>
      <c r="F293">
        <v>86.75</v>
      </c>
      <c r="G293">
        <v>114.85</v>
      </c>
      <c r="H293">
        <v>60.61</v>
      </c>
    </row>
    <row r="294" spans="1:8" x14ac:dyDescent="0.25">
      <c r="A294" s="63">
        <f t="shared" si="4"/>
        <v>43393</v>
      </c>
      <c r="B294">
        <v>1010.1899999999999</v>
      </c>
      <c r="C294">
        <v>86.39</v>
      </c>
      <c r="D294">
        <v>398.63</v>
      </c>
      <c r="E294">
        <v>279.04000000000002</v>
      </c>
      <c r="F294">
        <v>95.63</v>
      </c>
      <c r="G294">
        <v>89.65</v>
      </c>
      <c r="H294">
        <v>60.85</v>
      </c>
    </row>
    <row r="295" spans="1:8" x14ac:dyDescent="0.25">
      <c r="A295" s="63">
        <f t="shared" si="4"/>
        <v>43394</v>
      </c>
      <c r="B295">
        <v>812.85</v>
      </c>
      <c r="C295">
        <v>73.47</v>
      </c>
      <c r="D295">
        <v>245.13</v>
      </c>
      <c r="E295">
        <v>230.77</v>
      </c>
      <c r="F295">
        <v>99.99</v>
      </c>
      <c r="G295">
        <v>109.33</v>
      </c>
      <c r="H295">
        <v>54.16</v>
      </c>
    </row>
    <row r="296" spans="1:8" x14ac:dyDescent="0.25">
      <c r="A296" s="63">
        <f t="shared" si="4"/>
        <v>43395</v>
      </c>
      <c r="B296">
        <v>958.59999999999991</v>
      </c>
      <c r="C296">
        <v>86.3</v>
      </c>
      <c r="D296">
        <v>327.31</v>
      </c>
      <c r="E296">
        <v>279.2</v>
      </c>
      <c r="F296">
        <v>101.32</v>
      </c>
      <c r="G296">
        <v>102.63</v>
      </c>
      <c r="H296">
        <v>61.84</v>
      </c>
    </row>
    <row r="297" spans="1:8" x14ac:dyDescent="0.25">
      <c r="A297" s="63">
        <f t="shared" si="4"/>
        <v>43396</v>
      </c>
      <c r="B297">
        <v>1057.3899999999999</v>
      </c>
      <c r="C297">
        <v>124.71</v>
      </c>
      <c r="D297">
        <v>372.07</v>
      </c>
      <c r="E297">
        <v>290.98</v>
      </c>
      <c r="F297">
        <v>103.62</v>
      </c>
      <c r="G297">
        <v>104.77</v>
      </c>
      <c r="H297">
        <v>61.24</v>
      </c>
    </row>
    <row r="298" spans="1:8" x14ac:dyDescent="0.25">
      <c r="A298" s="63">
        <f t="shared" si="4"/>
        <v>43397</v>
      </c>
      <c r="B298">
        <v>1094.47</v>
      </c>
      <c r="C298">
        <v>111.56</v>
      </c>
      <c r="D298">
        <v>436.52</v>
      </c>
      <c r="E298">
        <v>264.41000000000003</v>
      </c>
      <c r="F298">
        <v>110.3</v>
      </c>
      <c r="G298">
        <v>109.44</v>
      </c>
      <c r="H298">
        <v>62.24</v>
      </c>
    </row>
    <row r="299" spans="1:8" x14ac:dyDescent="0.25">
      <c r="A299" s="63">
        <f t="shared" si="4"/>
        <v>43398</v>
      </c>
      <c r="B299">
        <v>1081.8500000000001</v>
      </c>
      <c r="C299">
        <v>107.99</v>
      </c>
      <c r="D299">
        <v>396.66</v>
      </c>
      <c r="E299">
        <v>288.58</v>
      </c>
      <c r="F299">
        <v>121.48</v>
      </c>
      <c r="G299">
        <v>103.83</v>
      </c>
      <c r="H299">
        <v>63.31</v>
      </c>
    </row>
    <row r="300" spans="1:8" x14ac:dyDescent="0.25">
      <c r="A300" s="63">
        <f t="shared" si="4"/>
        <v>43399</v>
      </c>
      <c r="B300">
        <v>1063.0900000000001</v>
      </c>
      <c r="C300">
        <v>63.85</v>
      </c>
      <c r="D300">
        <v>429.62</v>
      </c>
      <c r="E300">
        <v>291.77</v>
      </c>
      <c r="F300">
        <v>105.88</v>
      </c>
      <c r="G300">
        <v>109.06</v>
      </c>
      <c r="H300">
        <v>62.91</v>
      </c>
    </row>
    <row r="301" spans="1:8" x14ac:dyDescent="0.25">
      <c r="A301" s="63">
        <f t="shared" si="4"/>
        <v>43400</v>
      </c>
      <c r="B301">
        <v>918.75</v>
      </c>
      <c r="C301">
        <v>61.49</v>
      </c>
      <c r="D301">
        <v>342.28</v>
      </c>
      <c r="E301">
        <v>240.19</v>
      </c>
      <c r="F301">
        <v>111.23</v>
      </c>
      <c r="G301">
        <v>103.89</v>
      </c>
      <c r="H301">
        <v>59.67</v>
      </c>
    </row>
    <row r="302" spans="1:8" x14ac:dyDescent="0.25">
      <c r="A302" s="63">
        <f t="shared" si="4"/>
        <v>43401</v>
      </c>
      <c r="B302">
        <v>855.88000000000011</v>
      </c>
      <c r="C302">
        <v>54.87</v>
      </c>
      <c r="D302">
        <v>317.91000000000003</v>
      </c>
      <c r="E302">
        <v>212.33</v>
      </c>
      <c r="F302">
        <v>107.59</v>
      </c>
      <c r="G302">
        <v>104.72</v>
      </c>
      <c r="H302">
        <v>58.46</v>
      </c>
    </row>
    <row r="303" spans="1:8" x14ac:dyDescent="0.25">
      <c r="A303" s="63">
        <f t="shared" si="4"/>
        <v>43402</v>
      </c>
      <c r="B303">
        <v>984.34999999999991</v>
      </c>
      <c r="C303">
        <v>124.68</v>
      </c>
      <c r="D303">
        <v>345.75</v>
      </c>
      <c r="E303">
        <v>231.87</v>
      </c>
      <c r="F303">
        <v>113.14</v>
      </c>
      <c r="G303">
        <v>108.36</v>
      </c>
      <c r="H303">
        <v>60.55</v>
      </c>
    </row>
    <row r="304" spans="1:8" x14ac:dyDescent="0.25">
      <c r="A304" s="63">
        <f t="shared" si="4"/>
        <v>43403</v>
      </c>
      <c r="B304">
        <v>1073.25</v>
      </c>
      <c r="C304">
        <v>127.04</v>
      </c>
      <c r="D304">
        <v>389.13</v>
      </c>
      <c r="E304">
        <v>303.14</v>
      </c>
      <c r="F304">
        <v>81.39</v>
      </c>
      <c r="G304">
        <v>111.17</v>
      </c>
      <c r="H304">
        <v>61.38</v>
      </c>
    </row>
    <row r="305" spans="1:8" x14ac:dyDescent="0.25">
      <c r="A305" s="63">
        <f t="shared" si="4"/>
        <v>43404</v>
      </c>
      <c r="B305">
        <v>1040.75</v>
      </c>
      <c r="C305">
        <v>102.75</v>
      </c>
      <c r="D305">
        <v>394.64</v>
      </c>
      <c r="E305">
        <v>290.06</v>
      </c>
      <c r="F305">
        <v>84.33</v>
      </c>
      <c r="G305">
        <v>110.73</v>
      </c>
      <c r="H305">
        <v>58.24</v>
      </c>
    </row>
    <row r="306" spans="1:8" x14ac:dyDescent="0.25">
      <c r="A306" s="63">
        <f t="shared" si="4"/>
        <v>43405</v>
      </c>
      <c r="B306">
        <v>1082.95</v>
      </c>
      <c r="C306">
        <v>114.01</v>
      </c>
      <c r="D306">
        <v>415.72</v>
      </c>
      <c r="E306">
        <v>305.61</v>
      </c>
      <c r="F306">
        <v>83.76</v>
      </c>
      <c r="G306">
        <v>106.26</v>
      </c>
      <c r="H306">
        <v>57.59</v>
      </c>
    </row>
    <row r="307" spans="1:8" x14ac:dyDescent="0.25">
      <c r="A307" s="63">
        <f t="shared" si="4"/>
        <v>43406</v>
      </c>
      <c r="B307">
        <v>1030.95</v>
      </c>
      <c r="C307">
        <v>98.97</v>
      </c>
      <c r="D307">
        <v>423.54</v>
      </c>
      <c r="E307">
        <v>246.26</v>
      </c>
      <c r="F307">
        <v>90.47</v>
      </c>
      <c r="G307">
        <v>111.5</v>
      </c>
      <c r="H307">
        <v>60.21</v>
      </c>
    </row>
    <row r="308" spans="1:8" x14ac:dyDescent="0.25">
      <c r="A308" s="63">
        <f t="shared" si="4"/>
        <v>43407</v>
      </c>
      <c r="B308">
        <v>946.25999999999988</v>
      </c>
      <c r="C308">
        <v>73.239999999999995</v>
      </c>
      <c r="D308">
        <v>340.61</v>
      </c>
      <c r="E308">
        <v>284.17</v>
      </c>
      <c r="F308">
        <v>87.3</v>
      </c>
      <c r="G308">
        <v>109.06</v>
      </c>
      <c r="H308">
        <v>51.88</v>
      </c>
    </row>
    <row r="309" spans="1:8" x14ac:dyDescent="0.25">
      <c r="A309" s="63">
        <f t="shared" si="4"/>
        <v>43408</v>
      </c>
      <c r="B309">
        <v>845.44</v>
      </c>
      <c r="C309">
        <v>78.180000000000007</v>
      </c>
      <c r="D309">
        <v>279.5</v>
      </c>
      <c r="E309">
        <v>249.46</v>
      </c>
      <c r="F309">
        <v>86.08</v>
      </c>
      <c r="G309">
        <v>99.53</v>
      </c>
      <c r="H309">
        <v>52.69</v>
      </c>
    </row>
    <row r="310" spans="1:8" x14ac:dyDescent="0.25">
      <c r="A310" s="63">
        <f t="shared" si="4"/>
        <v>43409</v>
      </c>
      <c r="B310">
        <v>921.65999999999985</v>
      </c>
      <c r="C310">
        <v>73.62</v>
      </c>
      <c r="D310">
        <v>361.75</v>
      </c>
      <c r="E310">
        <v>243.62</v>
      </c>
      <c r="F310">
        <v>84.57</v>
      </c>
      <c r="G310">
        <v>100.66</v>
      </c>
      <c r="H310">
        <v>57.44</v>
      </c>
    </row>
    <row r="311" spans="1:8" x14ac:dyDescent="0.25">
      <c r="A311" s="63">
        <f t="shared" si="4"/>
        <v>43410</v>
      </c>
      <c r="B311">
        <v>1039.55</v>
      </c>
      <c r="C311">
        <v>105.78</v>
      </c>
      <c r="D311">
        <v>372.21</v>
      </c>
      <c r="E311">
        <v>276.37</v>
      </c>
      <c r="F311">
        <v>109.03</v>
      </c>
      <c r="G311">
        <v>114.71</v>
      </c>
      <c r="H311">
        <v>61.45</v>
      </c>
    </row>
    <row r="312" spans="1:8" x14ac:dyDescent="0.25">
      <c r="A312" s="63">
        <f t="shared" si="4"/>
        <v>43411</v>
      </c>
      <c r="B312">
        <v>992.94999999999993</v>
      </c>
      <c r="C312">
        <v>107.28</v>
      </c>
      <c r="D312">
        <v>363.26</v>
      </c>
      <c r="E312">
        <v>266.82</v>
      </c>
      <c r="F312">
        <v>87.18</v>
      </c>
      <c r="G312">
        <v>107.03</v>
      </c>
      <c r="H312">
        <v>61.38</v>
      </c>
    </row>
    <row r="313" spans="1:8" x14ac:dyDescent="0.25">
      <c r="A313" s="63">
        <f t="shared" si="4"/>
        <v>43412</v>
      </c>
      <c r="B313">
        <v>986.52</v>
      </c>
      <c r="C313">
        <v>101.2</v>
      </c>
      <c r="D313">
        <v>340.55</v>
      </c>
      <c r="E313">
        <v>276.87</v>
      </c>
      <c r="F313">
        <v>104.37</v>
      </c>
      <c r="G313">
        <v>104.24</v>
      </c>
      <c r="H313">
        <v>59.29</v>
      </c>
    </row>
    <row r="314" spans="1:8" x14ac:dyDescent="0.25">
      <c r="A314" s="63">
        <f t="shared" si="4"/>
        <v>43413</v>
      </c>
      <c r="B314">
        <v>975.14</v>
      </c>
      <c r="C314">
        <v>105.15</v>
      </c>
      <c r="D314">
        <v>372.14</v>
      </c>
      <c r="E314">
        <v>238.62</v>
      </c>
      <c r="F314">
        <v>101.73</v>
      </c>
      <c r="G314">
        <v>98.93</v>
      </c>
      <c r="H314">
        <v>58.57</v>
      </c>
    </row>
    <row r="315" spans="1:8" x14ac:dyDescent="0.25">
      <c r="A315" s="63">
        <f t="shared" si="4"/>
        <v>43414</v>
      </c>
      <c r="B315">
        <v>961.74</v>
      </c>
      <c r="C315">
        <v>80.52</v>
      </c>
      <c r="D315">
        <v>401.49</v>
      </c>
      <c r="E315">
        <v>217.04</v>
      </c>
      <c r="F315">
        <v>114.13</v>
      </c>
      <c r="G315">
        <v>91.47</v>
      </c>
      <c r="H315">
        <v>57.09</v>
      </c>
    </row>
    <row r="316" spans="1:8" x14ac:dyDescent="0.25">
      <c r="A316" s="63">
        <f t="shared" si="4"/>
        <v>43415</v>
      </c>
      <c r="B316">
        <v>725.15000000000009</v>
      </c>
      <c r="C316">
        <v>32.229999999999997</v>
      </c>
      <c r="D316">
        <v>307.86</v>
      </c>
      <c r="E316">
        <v>140.09</v>
      </c>
      <c r="F316">
        <v>104.28</v>
      </c>
      <c r="G316">
        <v>85.68</v>
      </c>
      <c r="H316">
        <v>55.01</v>
      </c>
    </row>
    <row r="317" spans="1:8" x14ac:dyDescent="0.25">
      <c r="A317" s="63">
        <f t="shared" si="4"/>
        <v>43416</v>
      </c>
      <c r="B317">
        <v>886.68999999999994</v>
      </c>
      <c r="C317">
        <v>93.15</v>
      </c>
      <c r="D317">
        <v>328.51</v>
      </c>
      <c r="E317">
        <v>234.87</v>
      </c>
      <c r="F317">
        <v>84.87</v>
      </c>
      <c r="G317">
        <v>91.4</v>
      </c>
      <c r="H317">
        <v>53.89</v>
      </c>
    </row>
    <row r="318" spans="1:8" x14ac:dyDescent="0.25">
      <c r="A318" s="63">
        <f t="shared" si="4"/>
        <v>43417</v>
      </c>
      <c r="B318">
        <v>934.86</v>
      </c>
      <c r="C318">
        <v>77.87</v>
      </c>
      <c r="D318">
        <v>356.66</v>
      </c>
      <c r="E318">
        <v>250.95</v>
      </c>
      <c r="F318">
        <v>98.45</v>
      </c>
      <c r="G318">
        <v>98.05</v>
      </c>
      <c r="H318">
        <v>52.88</v>
      </c>
    </row>
    <row r="319" spans="1:8" x14ac:dyDescent="0.25">
      <c r="A319" s="63">
        <f t="shared" si="4"/>
        <v>43418</v>
      </c>
      <c r="B319">
        <v>989.06</v>
      </c>
      <c r="C319">
        <v>80.14</v>
      </c>
      <c r="D319">
        <v>424.11</v>
      </c>
      <c r="E319">
        <v>251.15</v>
      </c>
      <c r="F319">
        <v>91.02</v>
      </c>
      <c r="G319">
        <v>90.79</v>
      </c>
      <c r="H319">
        <v>51.85</v>
      </c>
    </row>
    <row r="320" spans="1:8" x14ac:dyDescent="0.25">
      <c r="A320" s="63">
        <f t="shared" si="4"/>
        <v>43419</v>
      </c>
      <c r="B320">
        <v>952.67</v>
      </c>
      <c r="C320">
        <v>65.84</v>
      </c>
      <c r="D320">
        <v>415.51</v>
      </c>
      <c r="E320">
        <v>248.9</v>
      </c>
      <c r="F320">
        <v>83.8</v>
      </c>
      <c r="G320">
        <v>91.3</v>
      </c>
      <c r="H320">
        <v>47.32</v>
      </c>
    </row>
    <row r="321" spans="1:8" x14ac:dyDescent="0.25">
      <c r="A321" s="63">
        <f t="shared" si="4"/>
        <v>43420</v>
      </c>
      <c r="B321">
        <v>857.09999999999991</v>
      </c>
      <c r="C321">
        <v>62.84</v>
      </c>
      <c r="D321">
        <v>336.84</v>
      </c>
      <c r="E321">
        <v>238.42</v>
      </c>
      <c r="F321">
        <v>80.260000000000005</v>
      </c>
      <c r="G321">
        <v>88.44</v>
      </c>
      <c r="H321">
        <v>50.3</v>
      </c>
    </row>
    <row r="322" spans="1:8" x14ac:dyDescent="0.25">
      <c r="A322" s="63">
        <f t="shared" si="4"/>
        <v>43421</v>
      </c>
      <c r="B322">
        <v>740.30000000000007</v>
      </c>
      <c r="C322">
        <v>48.37</v>
      </c>
      <c r="D322">
        <v>264.8</v>
      </c>
      <c r="E322">
        <v>231.16</v>
      </c>
      <c r="F322">
        <v>60.36</v>
      </c>
      <c r="G322">
        <v>90.43</v>
      </c>
      <c r="H322">
        <v>45.18</v>
      </c>
    </row>
    <row r="323" spans="1:8" x14ac:dyDescent="0.25">
      <c r="A323" s="63">
        <f t="shared" si="4"/>
        <v>43422</v>
      </c>
      <c r="B323">
        <v>745.85</v>
      </c>
      <c r="C323">
        <v>39.61</v>
      </c>
      <c r="D323">
        <v>260.74</v>
      </c>
      <c r="E323">
        <v>258.05</v>
      </c>
      <c r="F323">
        <v>57.76</v>
      </c>
      <c r="G323">
        <v>86.16</v>
      </c>
      <c r="H323">
        <v>43.53</v>
      </c>
    </row>
    <row r="324" spans="1:8" x14ac:dyDescent="0.25">
      <c r="A324" s="63">
        <f t="shared" ref="A324:A366" si="5">A323+1</f>
        <v>43423</v>
      </c>
      <c r="B324">
        <v>890.9</v>
      </c>
      <c r="C324">
        <v>99.73</v>
      </c>
      <c r="D324">
        <v>312.27</v>
      </c>
      <c r="E324">
        <v>247.67</v>
      </c>
      <c r="F324">
        <v>77.62</v>
      </c>
      <c r="G324">
        <v>105.39</v>
      </c>
      <c r="H324">
        <v>48.22</v>
      </c>
    </row>
    <row r="325" spans="1:8" x14ac:dyDescent="0.25">
      <c r="A325" s="63">
        <f t="shared" si="5"/>
        <v>43424</v>
      </c>
      <c r="B325">
        <v>913.7</v>
      </c>
      <c r="C325">
        <v>85.04</v>
      </c>
      <c r="D325">
        <v>332.87</v>
      </c>
      <c r="E325">
        <v>253.06</v>
      </c>
      <c r="F325">
        <v>86.54</v>
      </c>
      <c r="G325">
        <v>100.86</v>
      </c>
      <c r="H325">
        <v>55.33</v>
      </c>
    </row>
    <row r="326" spans="1:8" x14ac:dyDescent="0.25">
      <c r="A326" s="63">
        <f t="shared" si="5"/>
        <v>43425</v>
      </c>
      <c r="B326">
        <v>967.46</v>
      </c>
      <c r="C326">
        <v>102.67</v>
      </c>
      <c r="D326">
        <v>372.21</v>
      </c>
      <c r="E326">
        <v>236.98</v>
      </c>
      <c r="F326">
        <v>95.67</v>
      </c>
      <c r="G326">
        <v>102.49</v>
      </c>
      <c r="H326">
        <v>57.44</v>
      </c>
    </row>
    <row r="327" spans="1:8" x14ac:dyDescent="0.25">
      <c r="A327" s="63">
        <f t="shared" si="5"/>
        <v>43426</v>
      </c>
      <c r="B327">
        <v>952.13000000000011</v>
      </c>
      <c r="C327">
        <v>85.37</v>
      </c>
      <c r="D327">
        <v>376.53</v>
      </c>
      <c r="E327">
        <v>242.36</v>
      </c>
      <c r="F327">
        <v>95.59</v>
      </c>
      <c r="G327">
        <v>96.83</v>
      </c>
      <c r="H327">
        <v>55.45</v>
      </c>
    </row>
    <row r="328" spans="1:8" x14ac:dyDescent="0.25">
      <c r="A328" s="63">
        <f t="shared" si="5"/>
        <v>43427</v>
      </c>
      <c r="B328">
        <v>984.68</v>
      </c>
      <c r="C328">
        <v>87.64</v>
      </c>
      <c r="D328">
        <v>387.91</v>
      </c>
      <c r="E328">
        <v>240.72</v>
      </c>
      <c r="F328">
        <v>100.14</v>
      </c>
      <c r="G328">
        <v>113.39</v>
      </c>
      <c r="H328">
        <v>54.88</v>
      </c>
    </row>
    <row r="329" spans="1:8" x14ac:dyDescent="0.25">
      <c r="A329" s="63">
        <f t="shared" si="5"/>
        <v>43428</v>
      </c>
      <c r="B329">
        <v>851.25</v>
      </c>
      <c r="C329">
        <v>101.62</v>
      </c>
      <c r="D329">
        <v>331.49</v>
      </c>
      <c r="E329">
        <v>164.9</v>
      </c>
      <c r="F329">
        <v>91.09</v>
      </c>
      <c r="G329">
        <v>108.46</v>
      </c>
      <c r="H329">
        <v>53.69</v>
      </c>
    </row>
    <row r="330" spans="1:8" x14ac:dyDescent="0.25">
      <c r="A330" s="63">
        <f t="shared" si="5"/>
        <v>43429</v>
      </c>
      <c r="B330">
        <v>867.63</v>
      </c>
      <c r="C330">
        <v>93.73</v>
      </c>
      <c r="D330">
        <v>313.62</v>
      </c>
      <c r="E330">
        <v>247.5</v>
      </c>
      <c r="F330">
        <v>68.64</v>
      </c>
      <c r="G330">
        <v>96</v>
      </c>
      <c r="H330">
        <v>48.14</v>
      </c>
    </row>
    <row r="331" spans="1:8" x14ac:dyDescent="0.25">
      <c r="A331" s="63">
        <f t="shared" si="5"/>
        <v>43430</v>
      </c>
      <c r="B331">
        <v>785.28</v>
      </c>
      <c r="C331">
        <v>109.56</v>
      </c>
      <c r="D331">
        <v>194.06</v>
      </c>
      <c r="E331">
        <v>245.86</v>
      </c>
      <c r="F331">
        <v>80.42</v>
      </c>
      <c r="G331">
        <v>100.07</v>
      </c>
      <c r="H331">
        <v>55.31</v>
      </c>
    </row>
    <row r="332" spans="1:8" x14ac:dyDescent="0.25">
      <c r="A332" s="63">
        <f t="shared" si="5"/>
        <v>43431</v>
      </c>
      <c r="B332">
        <v>1005.5999999999999</v>
      </c>
      <c r="C332">
        <v>114.19</v>
      </c>
      <c r="D332">
        <v>409.58</v>
      </c>
      <c r="E332">
        <v>254.12</v>
      </c>
      <c r="F332">
        <v>75.69</v>
      </c>
      <c r="G332">
        <v>111.67</v>
      </c>
      <c r="H332">
        <v>40.35</v>
      </c>
    </row>
    <row r="333" spans="1:8" x14ac:dyDescent="0.25">
      <c r="A333" s="63">
        <f t="shared" si="5"/>
        <v>43432</v>
      </c>
      <c r="B333">
        <v>1020.11</v>
      </c>
      <c r="C333">
        <v>81.17</v>
      </c>
      <c r="D333">
        <v>440.49</v>
      </c>
      <c r="E333">
        <v>263.62</v>
      </c>
      <c r="F333">
        <v>78.25</v>
      </c>
      <c r="G333">
        <v>113.7</v>
      </c>
      <c r="H333">
        <v>42.88</v>
      </c>
    </row>
    <row r="334" spans="1:8" x14ac:dyDescent="0.25">
      <c r="A334" s="63">
        <f t="shared" si="5"/>
        <v>43433</v>
      </c>
      <c r="B334">
        <v>1017.8100000000001</v>
      </c>
      <c r="C334">
        <v>95.7</v>
      </c>
      <c r="D334">
        <v>415.26</v>
      </c>
      <c r="E334">
        <v>258.72000000000003</v>
      </c>
      <c r="F334">
        <v>89</v>
      </c>
      <c r="G334">
        <v>115.56</v>
      </c>
      <c r="H334">
        <v>43.57</v>
      </c>
    </row>
    <row r="335" spans="1:8" x14ac:dyDescent="0.25">
      <c r="A335" s="63">
        <f t="shared" si="5"/>
        <v>43434</v>
      </c>
      <c r="B335">
        <v>1010.83</v>
      </c>
      <c r="C335">
        <v>110.77</v>
      </c>
      <c r="D335">
        <v>425.78</v>
      </c>
      <c r="E335">
        <v>200.48</v>
      </c>
      <c r="F335">
        <v>99.75</v>
      </c>
      <c r="G335">
        <v>119.35</v>
      </c>
      <c r="H335">
        <v>54.7</v>
      </c>
    </row>
    <row r="336" spans="1:8" x14ac:dyDescent="0.25">
      <c r="A336" s="63">
        <f t="shared" si="5"/>
        <v>43435</v>
      </c>
      <c r="B336">
        <v>1016.11</v>
      </c>
      <c r="C336">
        <v>96.62</v>
      </c>
      <c r="D336">
        <v>397.48</v>
      </c>
      <c r="E336">
        <v>252.45</v>
      </c>
      <c r="F336">
        <v>100.96</v>
      </c>
      <c r="G336">
        <v>112.37</v>
      </c>
      <c r="H336">
        <v>56.23</v>
      </c>
    </row>
    <row r="337" spans="1:8" x14ac:dyDescent="0.25">
      <c r="A337" s="63">
        <f t="shared" si="5"/>
        <v>43436</v>
      </c>
      <c r="B337">
        <v>911.66</v>
      </c>
      <c r="C337">
        <v>72.78</v>
      </c>
      <c r="D337">
        <v>329.58</v>
      </c>
      <c r="E337">
        <v>258.3</v>
      </c>
      <c r="F337">
        <v>87.32</v>
      </c>
      <c r="G337">
        <v>107.05</v>
      </c>
      <c r="H337">
        <v>56.63</v>
      </c>
    </row>
    <row r="338" spans="1:8" x14ac:dyDescent="0.25">
      <c r="A338" s="63">
        <f t="shared" si="5"/>
        <v>43437</v>
      </c>
      <c r="B338">
        <v>937.20999999999992</v>
      </c>
      <c r="C338">
        <v>116.44</v>
      </c>
      <c r="D338">
        <v>304.57</v>
      </c>
      <c r="E338">
        <v>265.3</v>
      </c>
      <c r="F338">
        <v>86.65</v>
      </c>
      <c r="G338">
        <v>106.4</v>
      </c>
      <c r="H338">
        <v>57.85</v>
      </c>
    </row>
    <row r="339" spans="1:8" x14ac:dyDescent="0.25">
      <c r="A339" s="63">
        <f t="shared" si="5"/>
        <v>43438</v>
      </c>
      <c r="B339">
        <v>891.13</v>
      </c>
      <c r="C339">
        <v>76.52</v>
      </c>
      <c r="D339">
        <v>312.02</v>
      </c>
      <c r="E339">
        <v>257.18</v>
      </c>
      <c r="F339">
        <v>88.5</v>
      </c>
      <c r="G339">
        <v>97.05</v>
      </c>
      <c r="H339">
        <v>59.86</v>
      </c>
    </row>
    <row r="340" spans="1:8" x14ac:dyDescent="0.25">
      <c r="A340" s="63">
        <f t="shared" si="5"/>
        <v>43439</v>
      </c>
      <c r="B340">
        <v>977.78</v>
      </c>
      <c r="C340">
        <v>82.63</v>
      </c>
      <c r="D340">
        <v>389.32</v>
      </c>
      <c r="E340">
        <v>251.17</v>
      </c>
      <c r="F340">
        <v>88.89</v>
      </c>
      <c r="G340">
        <v>106.42</v>
      </c>
      <c r="H340">
        <v>59.35</v>
      </c>
    </row>
    <row r="341" spans="1:8" x14ac:dyDescent="0.25">
      <c r="A341" s="63">
        <f t="shared" si="5"/>
        <v>43440</v>
      </c>
      <c r="B341">
        <v>959.1099999999999</v>
      </c>
      <c r="C341">
        <v>82.65</v>
      </c>
      <c r="D341">
        <v>396.43</v>
      </c>
      <c r="E341">
        <v>231.68</v>
      </c>
      <c r="F341">
        <v>92.57</v>
      </c>
      <c r="G341">
        <v>95.92</v>
      </c>
      <c r="H341">
        <v>59.86</v>
      </c>
    </row>
    <row r="342" spans="1:8" x14ac:dyDescent="0.25">
      <c r="A342" s="63">
        <f t="shared" si="5"/>
        <v>43441</v>
      </c>
      <c r="B342">
        <v>917.33</v>
      </c>
      <c r="C342">
        <v>56.61</v>
      </c>
      <c r="D342">
        <v>398.87</v>
      </c>
      <c r="E342">
        <v>213.1</v>
      </c>
      <c r="F342">
        <v>96.63</v>
      </c>
      <c r="G342">
        <v>92.63</v>
      </c>
      <c r="H342">
        <v>59.49</v>
      </c>
    </row>
    <row r="343" spans="1:8" x14ac:dyDescent="0.25">
      <c r="A343" s="63">
        <f t="shared" si="5"/>
        <v>43442</v>
      </c>
      <c r="B343">
        <v>731.12</v>
      </c>
      <c r="C343">
        <v>26.32</v>
      </c>
      <c r="D343">
        <v>267.62</v>
      </c>
      <c r="E343">
        <v>212.13</v>
      </c>
      <c r="F343">
        <v>78.78</v>
      </c>
      <c r="G343">
        <v>87.24</v>
      </c>
      <c r="H343">
        <v>59.03</v>
      </c>
    </row>
    <row r="344" spans="1:8" x14ac:dyDescent="0.25">
      <c r="A344" s="63">
        <f t="shared" si="5"/>
        <v>43443</v>
      </c>
      <c r="B344">
        <v>739.04</v>
      </c>
      <c r="C344">
        <v>48.74</v>
      </c>
      <c r="D344">
        <v>267.07</v>
      </c>
      <c r="E344">
        <v>216.72</v>
      </c>
      <c r="F344">
        <v>74.150000000000006</v>
      </c>
      <c r="G344">
        <v>77.75</v>
      </c>
      <c r="H344">
        <v>54.61</v>
      </c>
    </row>
    <row r="345" spans="1:8" x14ac:dyDescent="0.25">
      <c r="A345" s="63">
        <f t="shared" si="5"/>
        <v>43444</v>
      </c>
      <c r="B345">
        <v>819.56000000000006</v>
      </c>
      <c r="C345">
        <v>83.5</v>
      </c>
      <c r="D345">
        <v>320.64999999999998</v>
      </c>
      <c r="E345">
        <v>193.38</v>
      </c>
      <c r="F345">
        <v>81.38</v>
      </c>
      <c r="G345">
        <v>87.32</v>
      </c>
      <c r="H345">
        <v>53.33</v>
      </c>
    </row>
    <row r="346" spans="1:8" x14ac:dyDescent="0.25">
      <c r="A346" s="63">
        <f t="shared" si="5"/>
        <v>43445</v>
      </c>
      <c r="B346">
        <v>768.6400000000001</v>
      </c>
      <c r="C346">
        <v>69.819999999999993</v>
      </c>
      <c r="D346">
        <v>285.27999999999997</v>
      </c>
      <c r="E346">
        <v>203.06</v>
      </c>
      <c r="F346">
        <v>77.819999999999993</v>
      </c>
      <c r="G346">
        <v>79.95</v>
      </c>
      <c r="H346">
        <v>52.71</v>
      </c>
    </row>
    <row r="347" spans="1:8" x14ac:dyDescent="0.25">
      <c r="A347" s="63">
        <f t="shared" si="5"/>
        <v>43446</v>
      </c>
      <c r="B347">
        <v>801.6099999999999</v>
      </c>
      <c r="C347">
        <v>68.13</v>
      </c>
      <c r="D347">
        <v>338.26</v>
      </c>
      <c r="E347">
        <v>199.64</v>
      </c>
      <c r="F347">
        <v>72.48</v>
      </c>
      <c r="G347">
        <v>73.17</v>
      </c>
      <c r="H347">
        <v>49.93</v>
      </c>
    </row>
    <row r="348" spans="1:8" x14ac:dyDescent="0.25">
      <c r="A348" s="63">
        <f t="shared" si="5"/>
        <v>43447</v>
      </c>
      <c r="B348">
        <v>722.71000000000015</v>
      </c>
      <c r="C348">
        <v>56.6</v>
      </c>
      <c r="D348">
        <v>300.91000000000003</v>
      </c>
      <c r="E348">
        <v>159.87</v>
      </c>
      <c r="F348">
        <v>76.209999999999994</v>
      </c>
      <c r="G348">
        <v>79.239999999999995</v>
      </c>
      <c r="H348">
        <v>49.88</v>
      </c>
    </row>
    <row r="349" spans="1:8" x14ac:dyDescent="0.25">
      <c r="A349" s="63">
        <f t="shared" si="5"/>
        <v>43448</v>
      </c>
      <c r="B349">
        <v>803.95999999999992</v>
      </c>
      <c r="C349">
        <v>54.76</v>
      </c>
      <c r="D349">
        <v>312.82</v>
      </c>
      <c r="E349">
        <v>220.67</v>
      </c>
      <c r="F349">
        <v>90.8</v>
      </c>
      <c r="G349">
        <v>75.489999999999995</v>
      </c>
      <c r="H349">
        <v>49.42</v>
      </c>
    </row>
    <row r="350" spans="1:8" x14ac:dyDescent="0.25">
      <c r="A350" s="63">
        <f t="shared" si="5"/>
        <v>43449</v>
      </c>
      <c r="B350">
        <v>784.31999999999994</v>
      </c>
      <c r="C350">
        <v>49.64</v>
      </c>
      <c r="D350">
        <v>290.72000000000003</v>
      </c>
      <c r="E350">
        <v>226.34</v>
      </c>
      <c r="F350">
        <v>95.57</v>
      </c>
      <c r="G350">
        <v>73.36</v>
      </c>
      <c r="H350">
        <v>48.69</v>
      </c>
    </row>
    <row r="351" spans="1:8" x14ac:dyDescent="0.25">
      <c r="A351" s="63">
        <f t="shared" si="5"/>
        <v>43450</v>
      </c>
      <c r="B351">
        <v>780.30000000000007</v>
      </c>
      <c r="C351">
        <v>49.32</v>
      </c>
      <c r="D351">
        <v>302.39</v>
      </c>
      <c r="E351">
        <v>225.93</v>
      </c>
      <c r="F351">
        <v>79.75</v>
      </c>
      <c r="G351">
        <v>74.58</v>
      </c>
      <c r="H351">
        <v>48.33</v>
      </c>
    </row>
    <row r="352" spans="1:8" x14ac:dyDescent="0.25">
      <c r="A352" s="63">
        <f t="shared" si="5"/>
        <v>43451</v>
      </c>
      <c r="B352">
        <v>910.76</v>
      </c>
      <c r="C352">
        <v>83.68</v>
      </c>
      <c r="D352">
        <v>390.56</v>
      </c>
      <c r="E352">
        <v>229.32</v>
      </c>
      <c r="F352">
        <v>80.83</v>
      </c>
      <c r="G352">
        <v>74.83</v>
      </c>
      <c r="H352">
        <v>51.54</v>
      </c>
    </row>
    <row r="353" spans="1:8" x14ac:dyDescent="0.25">
      <c r="A353" s="63">
        <f t="shared" si="5"/>
        <v>43452</v>
      </c>
      <c r="B353">
        <v>929</v>
      </c>
      <c r="C353">
        <v>84.69</v>
      </c>
      <c r="D353">
        <v>369.8</v>
      </c>
      <c r="E353">
        <v>243.78</v>
      </c>
      <c r="F353">
        <v>86.88</v>
      </c>
      <c r="G353">
        <v>93.59</v>
      </c>
      <c r="H353">
        <v>50.26</v>
      </c>
    </row>
    <row r="354" spans="1:8" x14ac:dyDescent="0.25">
      <c r="A354" s="63">
        <f t="shared" si="5"/>
        <v>43453</v>
      </c>
      <c r="B354">
        <v>987.70999999999992</v>
      </c>
      <c r="C354">
        <v>85.84</v>
      </c>
      <c r="D354">
        <v>426.91</v>
      </c>
      <c r="E354">
        <v>242.79</v>
      </c>
      <c r="F354">
        <v>96.32</v>
      </c>
      <c r="G354">
        <v>82.88</v>
      </c>
      <c r="H354">
        <v>52.97</v>
      </c>
    </row>
    <row r="355" spans="1:8" x14ac:dyDescent="0.25">
      <c r="A355" s="63">
        <f t="shared" si="5"/>
        <v>43454</v>
      </c>
      <c r="B355">
        <v>1019.2500000000001</v>
      </c>
      <c r="C355">
        <v>81.569999999999993</v>
      </c>
      <c r="D355">
        <v>408.3</v>
      </c>
      <c r="E355">
        <v>283.04000000000002</v>
      </c>
      <c r="F355">
        <v>97.01</v>
      </c>
      <c r="G355">
        <v>96.84</v>
      </c>
      <c r="H355">
        <v>52.49</v>
      </c>
    </row>
    <row r="356" spans="1:8" x14ac:dyDescent="0.25">
      <c r="A356" s="63">
        <f t="shared" si="5"/>
        <v>43455</v>
      </c>
      <c r="B356">
        <v>1009.23</v>
      </c>
      <c r="C356">
        <v>70.09</v>
      </c>
      <c r="D356">
        <v>402.37</v>
      </c>
      <c r="E356">
        <v>286.06</v>
      </c>
      <c r="F356">
        <v>103.04</v>
      </c>
      <c r="G356">
        <v>94.22</v>
      </c>
      <c r="H356">
        <v>53.45</v>
      </c>
    </row>
    <row r="357" spans="1:8" x14ac:dyDescent="0.25">
      <c r="A357" s="63">
        <f t="shared" si="5"/>
        <v>43456</v>
      </c>
      <c r="B357">
        <v>883.55000000000007</v>
      </c>
      <c r="C357">
        <v>57.14</v>
      </c>
      <c r="D357">
        <v>321.57</v>
      </c>
      <c r="E357">
        <v>258.48</v>
      </c>
      <c r="F357">
        <v>104.01</v>
      </c>
      <c r="G357">
        <v>92.7</v>
      </c>
      <c r="H357">
        <v>49.65</v>
      </c>
    </row>
    <row r="358" spans="1:8" x14ac:dyDescent="0.25">
      <c r="A358" s="63">
        <f t="shared" si="5"/>
        <v>43457</v>
      </c>
      <c r="B358">
        <v>693.37</v>
      </c>
      <c r="C358">
        <v>62.82</v>
      </c>
      <c r="D358">
        <v>140.56</v>
      </c>
      <c r="E358">
        <v>252.84</v>
      </c>
      <c r="F358">
        <v>96.37</v>
      </c>
      <c r="G358">
        <v>86.8</v>
      </c>
      <c r="H358">
        <v>53.98</v>
      </c>
    </row>
    <row r="359" spans="1:8" x14ac:dyDescent="0.25">
      <c r="A359" s="63">
        <f t="shared" si="5"/>
        <v>43458</v>
      </c>
      <c r="B359">
        <v>802.35000000000014</v>
      </c>
      <c r="C359">
        <v>75.930000000000007</v>
      </c>
      <c r="D359">
        <v>270.29000000000002</v>
      </c>
      <c r="E359">
        <v>222.27</v>
      </c>
      <c r="F359">
        <v>89.18</v>
      </c>
      <c r="G359">
        <v>86.18</v>
      </c>
      <c r="H359">
        <v>58.5</v>
      </c>
    </row>
    <row r="360" spans="1:8" x14ac:dyDescent="0.25">
      <c r="A360" s="63">
        <f t="shared" si="5"/>
        <v>43459</v>
      </c>
      <c r="B360">
        <v>947.05</v>
      </c>
      <c r="C360">
        <v>73.72</v>
      </c>
      <c r="D360">
        <v>350.64</v>
      </c>
      <c r="E360">
        <v>247.39</v>
      </c>
      <c r="F360">
        <v>105.29</v>
      </c>
      <c r="G360">
        <v>110.92</v>
      </c>
      <c r="H360">
        <v>59.09</v>
      </c>
    </row>
    <row r="361" spans="1:8" x14ac:dyDescent="0.25">
      <c r="A361" s="63">
        <f t="shared" si="5"/>
        <v>43460</v>
      </c>
      <c r="B361">
        <v>1007.96</v>
      </c>
      <c r="C361">
        <v>94.65</v>
      </c>
      <c r="D361">
        <v>390.51</v>
      </c>
      <c r="E361">
        <v>269.73</v>
      </c>
      <c r="F361">
        <v>98.37</v>
      </c>
      <c r="G361">
        <v>95.35</v>
      </c>
      <c r="H361">
        <v>59.35</v>
      </c>
    </row>
    <row r="362" spans="1:8" x14ac:dyDescent="0.25">
      <c r="A362" s="63">
        <f t="shared" si="5"/>
        <v>43461</v>
      </c>
      <c r="B362">
        <v>969.63999999999987</v>
      </c>
      <c r="C362">
        <v>85.29</v>
      </c>
      <c r="D362">
        <v>428.51</v>
      </c>
      <c r="E362">
        <v>240.07</v>
      </c>
      <c r="F362">
        <v>74.290000000000006</v>
      </c>
      <c r="G362">
        <v>82.94</v>
      </c>
      <c r="H362">
        <v>58.54</v>
      </c>
    </row>
    <row r="363" spans="1:8" x14ac:dyDescent="0.25">
      <c r="A363" s="63">
        <f t="shared" si="5"/>
        <v>43462</v>
      </c>
      <c r="B363">
        <v>714.01</v>
      </c>
      <c r="C363">
        <v>59.62</v>
      </c>
      <c r="D363">
        <v>315.08</v>
      </c>
      <c r="E363">
        <v>122.39</v>
      </c>
      <c r="F363">
        <v>87.84</v>
      </c>
      <c r="G363">
        <v>73.09</v>
      </c>
      <c r="H363">
        <v>55.99</v>
      </c>
    </row>
    <row r="364" spans="1:8" x14ac:dyDescent="0.25">
      <c r="A364" s="63">
        <f t="shared" si="5"/>
        <v>43463</v>
      </c>
      <c r="B364">
        <v>0</v>
      </c>
    </row>
    <row r="365" spans="1:8" x14ac:dyDescent="0.25">
      <c r="A365" s="63">
        <f t="shared" si="5"/>
        <v>43464</v>
      </c>
      <c r="B365">
        <v>0</v>
      </c>
    </row>
    <row r="366" spans="1:8" x14ac:dyDescent="0.25">
      <c r="A366" s="63">
        <f t="shared" si="5"/>
        <v>43465</v>
      </c>
      <c r="B366">
        <v>0</v>
      </c>
    </row>
    <row r="367" spans="1:8" x14ac:dyDescent="0.25">
      <c r="A367" s="6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7"/>
  <sheetViews>
    <sheetView topLeftCell="A358" workbookViewId="0">
      <selection activeCell="I378" sqref="I378"/>
    </sheetView>
  </sheetViews>
  <sheetFormatPr defaultRowHeight="15" x14ac:dyDescent="0.25"/>
  <cols>
    <col min="1" max="1" width="10.140625" bestFit="1" customWidth="1"/>
  </cols>
  <sheetData>
    <row r="1" spans="1:8" x14ac:dyDescent="0.25">
      <c r="A1" t="s">
        <v>42</v>
      </c>
      <c r="B1" t="s">
        <v>41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</row>
    <row r="2" spans="1:8" x14ac:dyDescent="0.25">
      <c r="A2" s="63">
        <v>43466</v>
      </c>
      <c r="B2">
        <v>0</v>
      </c>
    </row>
    <row r="3" spans="1:8" x14ac:dyDescent="0.25">
      <c r="A3" s="63">
        <f>A2+1</f>
        <v>43467</v>
      </c>
      <c r="B3">
        <v>0</v>
      </c>
    </row>
    <row r="4" spans="1:8" x14ac:dyDescent="0.25">
      <c r="A4" s="63">
        <f t="shared" ref="A4:A67" si="0">A3+1</f>
        <v>43468</v>
      </c>
      <c r="B4">
        <v>0</v>
      </c>
    </row>
    <row r="5" spans="1:8" x14ac:dyDescent="0.25">
      <c r="A5" s="63">
        <f t="shared" si="0"/>
        <v>43469</v>
      </c>
      <c r="B5">
        <v>0</v>
      </c>
    </row>
    <row r="6" spans="1:8" x14ac:dyDescent="0.25">
      <c r="A6" s="63">
        <f t="shared" si="0"/>
        <v>43470</v>
      </c>
      <c r="B6">
        <v>0</v>
      </c>
    </row>
    <row r="7" spans="1:8" x14ac:dyDescent="0.25">
      <c r="A7" s="63">
        <f t="shared" si="0"/>
        <v>43471</v>
      </c>
      <c r="B7">
        <v>0</v>
      </c>
    </row>
    <row r="8" spans="1:8" x14ac:dyDescent="0.25">
      <c r="A8" s="63">
        <f t="shared" si="0"/>
        <v>43472</v>
      </c>
      <c r="B8">
        <v>0</v>
      </c>
    </row>
    <row r="9" spans="1:8" x14ac:dyDescent="0.25">
      <c r="A9" s="63">
        <f t="shared" si="0"/>
        <v>43473</v>
      </c>
      <c r="B9">
        <v>0</v>
      </c>
    </row>
    <row r="10" spans="1:8" x14ac:dyDescent="0.25">
      <c r="A10" s="63">
        <f t="shared" si="0"/>
        <v>43474</v>
      </c>
      <c r="B10">
        <v>987.65</v>
      </c>
      <c r="C10">
        <v>80.52</v>
      </c>
      <c r="D10">
        <v>423.04</v>
      </c>
      <c r="E10">
        <v>217.82</v>
      </c>
      <c r="F10">
        <v>105.66</v>
      </c>
      <c r="G10">
        <v>100.11</v>
      </c>
      <c r="H10">
        <v>60.5</v>
      </c>
    </row>
    <row r="11" spans="1:8" x14ac:dyDescent="0.25">
      <c r="A11" s="63">
        <f t="shared" si="0"/>
        <v>43475</v>
      </c>
      <c r="B11">
        <v>932.18000000000006</v>
      </c>
      <c r="C11">
        <v>83.86</v>
      </c>
      <c r="D11">
        <v>329.58</v>
      </c>
      <c r="E11">
        <v>265.17</v>
      </c>
      <c r="F11">
        <v>99.07</v>
      </c>
      <c r="G11">
        <v>91.78</v>
      </c>
      <c r="H11">
        <v>62.72</v>
      </c>
    </row>
    <row r="12" spans="1:8" x14ac:dyDescent="0.25">
      <c r="A12" s="63">
        <f t="shared" si="0"/>
        <v>43476</v>
      </c>
      <c r="B12">
        <v>901.55000000000007</v>
      </c>
      <c r="C12">
        <v>61.67</v>
      </c>
      <c r="D12">
        <v>328.8</v>
      </c>
      <c r="E12">
        <v>257.19</v>
      </c>
      <c r="F12">
        <v>119.64</v>
      </c>
      <c r="G12">
        <v>71.39</v>
      </c>
      <c r="H12">
        <v>62.86</v>
      </c>
    </row>
    <row r="13" spans="1:8" x14ac:dyDescent="0.25">
      <c r="A13" s="63">
        <f t="shared" si="0"/>
        <v>43477</v>
      </c>
      <c r="B13">
        <v>839.36999999999989</v>
      </c>
      <c r="C13">
        <v>64.64</v>
      </c>
      <c r="D13">
        <v>265.29000000000002</v>
      </c>
      <c r="E13">
        <v>259.89</v>
      </c>
      <c r="F13">
        <v>107.9</v>
      </c>
      <c r="G13">
        <v>76.180000000000007</v>
      </c>
      <c r="H13">
        <v>65.47</v>
      </c>
    </row>
    <row r="14" spans="1:8" x14ac:dyDescent="0.25">
      <c r="A14" s="63">
        <f t="shared" si="0"/>
        <v>43478</v>
      </c>
      <c r="B14">
        <v>778.38</v>
      </c>
      <c r="C14">
        <v>61.19</v>
      </c>
      <c r="D14">
        <v>216.39</v>
      </c>
      <c r="E14">
        <v>261.56</v>
      </c>
      <c r="F14">
        <v>112</v>
      </c>
      <c r="G14">
        <v>66.239999999999995</v>
      </c>
      <c r="H14">
        <v>61</v>
      </c>
    </row>
    <row r="15" spans="1:8" x14ac:dyDescent="0.25">
      <c r="A15" s="63">
        <f t="shared" si="0"/>
        <v>43479</v>
      </c>
      <c r="B15">
        <v>929.38</v>
      </c>
      <c r="C15">
        <v>87.64</v>
      </c>
      <c r="D15">
        <v>316.24</v>
      </c>
      <c r="E15">
        <v>260.42</v>
      </c>
      <c r="F15">
        <v>111.92</v>
      </c>
      <c r="G15">
        <v>92.95</v>
      </c>
      <c r="H15">
        <v>60.21</v>
      </c>
    </row>
    <row r="16" spans="1:8" x14ac:dyDescent="0.25">
      <c r="A16" s="63">
        <f t="shared" si="0"/>
        <v>43480</v>
      </c>
      <c r="B16">
        <v>983.21</v>
      </c>
      <c r="C16">
        <v>79.64</v>
      </c>
      <c r="D16">
        <v>380.81</v>
      </c>
      <c r="E16">
        <v>244.22</v>
      </c>
      <c r="F16">
        <v>115</v>
      </c>
      <c r="G16">
        <v>102.34</v>
      </c>
      <c r="H16">
        <v>61.2</v>
      </c>
    </row>
    <row r="17" spans="1:8" x14ac:dyDescent="0.25">
      <c r="A17" s="63">
        <f t="shared" si="0"/>
        <v>43481</v>
      </c>
      <c r="B17">
        <v>935.83999999999992</v>
      </c>
      <c r="C17">
        <v>65.489999999999995</v>
      </c>
      <c r="D17">
        <v>385.07</v>
      </c>
      <c r="E17">
        <v>227.74</v>
      </c>
      <c r="F17">
        <v>98.45</v>
      </c>
      <c r="G17">
        <v>98.32</v>
      </c>
      <c r="H17">
        <v>60.77</v>
      </c>
    </row>
    <row r="18" spans="1:8" x14ac:dyDescent="0.25">
      <c r="A18" s="63">
        <f t="shared" si="0"/>
        <v>43482</v>
      </c>
      <c r="B18">
        <v>882.81</v>
      </c>
      <c r="C18">
        <v>54.09</v>
      </c>
      <c r="D18">
        <v>398.06</v>
      </c>
      <c r="E18">
        <v>212.1</v>
      </c>
      <c r="F18">
        <v>82.62</v>
      </c>
      <c r="G18">
        <v>74.89</v>
      </c>
      <c r="H18">
        <v>61.05</v>
      </c>
    </row>
    <row r="19" spans="1:8" x14ac:dyDescent="0.25">
      <c r="A19" s="63">
        <f t="shared" si="0"/>
        <v>43483</v>
      </c>
      <c r="B19">
        <v>867.31000000000006</v>
      </c>
      <c r="C19">
        <v>50.04</v>
      </c>
      <c r="D19">
        <v>400.17</v>
      </c>
      <c r="E19">
        <v>210.78</v>
      </c>
      <c r="F19">
        <v>71.38</v>
      </c>
      <c r="G19">
        <v>73.489999999999995</v>
      </c>
      <c r="H19">
        <v>61.45</v>
      </c>
    </row>
    <row r="20" spans="1:8" x14ac:dyDescent="0.25">
      <c r="A20" s="63">
        <f t="shared" si="0"/>
        <v>43484</v>
      </c>
      <c r="B20">
        <v>464.70000000000005</v>
      </c>
      <c r="C20">
        <v>24.41</v>
      </c>
      <c r="D20">
        <v>128.21</v>
      </c>
      <c r="E20">
        <v>101.87</v>
      </c>
      <c r="F20">
        <v>92.43</v>
      </c>
      <c r="G20">
        <v>65.67</v>
      </c>
      <c r="H20">
        <v>52.11</v>
      </c>
    </row>
    <row r="21" spans="1:8" x14ac:dyDescent="0.25">
      <c r="A21" s="63">
        <f t="shared" si="0"/>
        <v>43485</v>
      </c>
      <c r="B21">
        <v>164.98</v>
      </c>
      <c r="F21">
        <v>97.06</v>
      </c>
      <c r="G21">
        <v>7.46</v>
      </c>
      <c r="H21">
        <v>60.46</v>
      </c>
    </row>
    <row r="22" spans="1:8" x14ac:dyDescent="0.25">
      <c r="A22" s="63">
        <f t="shared" si="0"/>
        <v>43486</v>
      </c>
      <c r="B22">
        <v>933.29</v>
      </c>
      <c r="C22">
        <v>67.13</v>
      </c>
      <c r="D22">
        <v>389.52</v>
      </c>
      <c r="E22">
        <v>217.08</v>
      </c>
      <c r="F22">
        <v>104.21</v>
      </c>
      <c r="G22">
        <v>94.54</v>
      </c>
      <c r="H22">
        <v>60.81</v>
      </c>
    </row>
    <row r="23" spans="1:8" x14ac:dyDescent="0.25">
      <c r="A23" s="63">
        <f t="shared" si="0"/>
        <v>43487</v>
      </c>
      <c r="B23">
        <v>843.26</v>
      </c>
      <c r="C23">
        <v>76.239999999999995</v>
      </c>
      <c r="D23">
        <v>326.39999999999998</v>
      </c>
      <c r="E23">
        <v>186.08</v>
      </c>
      <c r="F23">
        <v>115.32</v>
      </c>
      <c r="G23">
        <v>80.33</v>
      </c>
      <c r="H23">
        <v>58.89</v>
      </c>
    </row>
    <row r="24" spans="1:8" x14ac:dyDescent="0.25">
      <c r="A24" s="63">
        <f t="shared" si="0"/>
        <v>43488</v>
      </c>
      <c r="B24">
        <v>826.03</v>
      </c>
      <c r="C24">
        <v>69.08</v>
      </c>
      <c r="D24">
        <v>336.74</v>
      </c>
      <c r="E24">
        <v>196.56</v>
      </c>
      <c r="F24">
        <v>93.27</v>
      </c>
      <c r="G24">
        <v>69.239999999999995</v>
      </c>
      <c r="H24">
        <v>61.14</v>
      </c>
    </row>
    <row r="25" spans="1:8" x14ac:dyDescent="0.25">
      <c r="A25" s="63">
        <f t="shared" si="0"/>
        <v>43489</v>
      </c>
      <c r="B25">
        <v>786.88000000000011</v>
      </c>
      <c r="C25">
        <v>53.62</v>
      </c>
      <c r="D25">
        <v>310.27</v>
      </c>
      <c r="E25">
        <v>194.41</v>
      </c>
      <c r="F25">
        <v>97.44</v>
      </c>
      <c r="G25">
        <v>70.58</v>
      </c>
      <c r="H25">
        <v>60.56</v>
      </c>
    </row>
    <row r="26" spans="1:8" x14ac:dyDescent="0.25">
      <c r="A26" s="63">
        <f t="shared" si="0"/>
        <v>43490</v>
      </c>
      <c r="B26">
        <v>832.41</v>
      </c>
      <c r="C26">
        <v>47.66</v>
      </c>
      <c r="D26">
        <v>273.25</v>
      </c>
      <c r="E26">
        <v>268.7</v>
      </c>
      <c r="F26">
        <v>102.58</v>
      </c>
      <c r="G26">
        <v>79.75</v>
      </c>
      <c r="H26">
        <v>60.47</v>
      </c>
    </row>
    <row r="27" spans="1:8" x14ac:dyDescent="0.25">
      <c r="A27" s="63">
        <f t="shared" si="0"/>
        <v>43491</v>
      </c>
      <c r="B27">
        <v>639.4</v>
      </c>
      <c r="C27">
        <v>36.880000000000003</v>
      </c>
      <c r="D27">
        <v>243.42</v>
      </c>
      <c r="E27">
        <v>110.4</v>
      </c>
      <c r="F27">
        <v>108.51</v>
      </c>
      <c r="G27">
        <v>78.760000000000005</v>
      </c>
      <c r="H27">
        <v>61.43</v>
      </c>
    </row>
    <row r="28" spans="1:8" x14ac:dyDescent="0.25">
      <c r="A28" s="63">
        <f t="shared" si="0"/>
        <v>43492</v>
      </c>
      <c r="B28">
        <v>528.09999999999991</v>
      </c>
      <c r="C28">
        <v>48.23</v>
      </c>
      <c r="D28">
        <v>252.78</v>
      </c>
      <c r="F28">
        <v>91.58</v>
      </c>
      <c r="G28">
        <v>74.069999999999993</v>
      </c>
      <c r="H28">
        <v>61.44</v>
      </c>
    </row>
    <row r="29" spans="1:8" x14ac:dyDescent="0.25">
      <c r="A29" s="63">
        <f t="shared" si="0"/>
        <v>43493</v>
      </c>
      <c r="B29">
        <v>855.15</v>
      </c>
      <c r="C29">
        <v>71.540000000000006</v>
      </c>
      <c r="D29">
        <v>294.48</v>
      </c>
      <c r="E29">
        <v>257.98</v>
      </c>
      <c r="F29">
        <v>94.02</v>
      </c>
      <c r="G29">
        <v>75.63</v>
      </c>
      <c r="H29">
        <v>61.5</v>
      </c>
    </row>
    <row r="30" spans="1:8" x14ac:dyDescent="0.25">
      <c r="A30" s="63">
        <f t="shared" si="0"/>
        <v>43494</v>
      </c>
      <c r="B30">
        <v>919.31999999999994</v>
      </c>
      <c r="C30">
        <v>58.44</v>
      </c>
      <c r="D30">
        <v>409.54</v>
      </c>
      <c r="E30">
        <v>230.48</v>
      </c>
      <c r="F30">
        <v>76.56</v>
      </c>
      <c r="G30">
        <v>84.36</v>
      </c>
      <c r="H30">
        <v>59.94</v>
      </c>
    </row>
    <row r="31" spans="1:8" x14ac:dyDescent="0.25">
      <c r="A31" s="63">
        <f t="shared" si="0"/>
        <v>43495</v>
      </c>
      <c r="B31">
        <v>900.16</v>
      </c>
      <c r="C31">
        <v>66.75</v>
      </c>
      <c r="D31">
        <v>380.22</v>
      </c>
      <c r="E31">
        <v>236.34</v>
      </c>
      <c r="F31">
        <v>69.180000000000007</v>
      </c>
      <c r="G31">
        <v>85.05</v>
      </c>
      <c r="H31">
        <v>62.62</v>
      </c>
    </row>
    <row r="32" spans="1:8" x14ac:dyDescent="0.25">
      <c r="A32" s="63">
        <f t="shared" si="0"/>
        <v>43496</v>
      </c>
      <c r="B32">
        <v>967.71999999999991</v>
      </c>
      <c r="C32">
        <v>68.319999999999993</v>
      </c>
      <c r="D32">
        <v>396.26</v>
      </c>
      <c r="E32">
        <v>284.02999999999997</v>
      </c>
      <c r="F32">
        <v>74.05</v>
      </c>
      <c r="G32">
        <v>83.6</v>
      </c>
      <c r="H32">
        <v>61.46</v>
      </c>
    </row>
    <row r="33" spans="1:8" x14ac:dyDescent="0.25">
      <c r="A33" s="63">
        <f t="shared" si="0"/>
        <v>43497</v>
      </c>
      <c r="B33">
        <v>833.66000000000008</v>
      </c>
      <c r="C33">
        <v>56.24</v>
      </c>
      <c r="D33">
        <v>335.51</v>
      </c>
      <c r="E33">
        <v>214.95</v>
      </c>
      <c r="F33">
        <v>85.66</v>
      </c>
      <c r="G33">
        <v>83.81</v>
      </c>
      <c r="H33">
        <v>57.49</v>
      </c>
    </row>
    <row r="34" spans="1:8" x14ac:dyDescent="0.25">
      <c r="A34" s="63">
        <f t="shared" si="0"/>
        <v>43498</v>
      </c>
      <c r="B34">
        <v>770.59999999999991</v>
      </c>
      <c r="C34">
        <v>67.56</v>
      </c>
      <c r="D34">
        <v>311.68</v>
      </c>
      <c r="E34">
        <v>258.57</v>
      </c>
      <c r="F34">
        <v>69.510000000000005</v>
      </c>
      <c r="G34">
        <v>63.28</v>
      </c>
    </row>
    <row r="35" spans="1:8" x14ac:dyDescent="0.25">
      <c r="A35" s="63">
        <f t="shared" si="0"/>
        <v>43499</v>
      </c>
      <c r="B35">
        <v>430.89</v>
      </c>
      <c r="C35">
        <v>75.98</v>
      </c>
      <c r="E35">
        <v>251.31</v>
      </c>
      <c r="F35">
        <v>62.08</v>
      </c>
      <c r="G35">
        <v>41.52</v>
      </c>
    </row>
    <row r="36" spans="1:8" x14ac:dyDescent="0.25">
      <c r="A36" s="63">
        <f t="shared" si="0"/>
        <v>43500</v>
      </c>
      <c r="B36">
        <v>925.83</v>
      </c>
      <c r="C36">
        <v>85.5</v>
      </c>
      <c r="D36">
        <v>408.37</v>
      </c>
      <c r="E36">
        <v>247.26</v>
      </c>
      <c r="F36">
        <v>58.76</v>
      </c>
      <c r="G36">
        <v>66.36</v>
      </c>
      <c r="H36">
        <v>59.58</v>
      </c>
    </row>
    <row r="37" spans="1:8" x14ac:dyDescent="0.25">
      <c r="A37" s="63">
        <f t="shared" si="0"/>
        <v>43501</v>
      </c>
      <c r="B37">
        <v>410.02</v>
      </c>
      <c r="C37">
        <v>71.260000000000005</v>
      </c>
      <c r="D37">
        <v>139.74</v>
      </c>
      <c r="E37">
        <v>40.36</v>
      </c>
      <c r="F37">
        <v>53.83</v>
      </c>
      <c r="G37">
        <v>46.25</v>
      </c>
      <c r="H37">
        <v>58.58</v>
      </c>
    </row>
    <row r="38" spans="1:8" x14ac:dyDescent="0.25">
      <c r="A38" s="63">
        <f t="shared" si="0"/>
        <v>43502</v>
      </c>
      <c r="B38">
        <v>274.34000000000003</v>
      </c>
      <c r="C38">
        <v>43.06</v>
      </c>
      <c r="D38">
        <v>144.96</v>
      </c>
      <c r="E38">
        <v>7.6</v>
      </c>
      <c r="F38">
        <v>19.3</v>
      </c>
      <c r="G38">
        <v>20.41</v>
      </c>
      <c r="H38">
        <v>39.01</v>
      </c>
    </row>
    <row r="39" spans="1:8" x14ac:dyDescent="0.25">
      <c r="A39" s="63">
        <f t="shared" si="0"/>
        <v>43503</v>
      </c>
      <c r="B39">
        <v>349.56000000000006</v>
      </c>
      <c r="C39">
        <v>43.93</v>
      </c>
      <c r="D39">
        <v>185.08</v>
      </c>
      <c r="F39">
        <v>48.4</v>
      </c>
      <c r="G39">
        <v>18.3</v>
      </c>
      <c r="H39">
        <v>53.85</v>
      </c>
    </row>
    <row r="40" spans="1:8" x14ac:dyDescent="0.25">
      <c r="A40" s="63">
        <f t="shared" si="0"/>
        <v>43504</v>
      </c>
      <c r="B40">
        <v>534.16</v>
      </c>
      <c r="C40">
        <v>39.43</v>
      </c>
      <c r="D40">
        <v>195.31</v>
      </c>
      <c r="E40">
        <v>112.76</v>
      </c>
      <c r="F40">
        <v>65.66</v>
      </c>
      <c r="G40">
        <v>70.69</v>
      </c>
      <c r="H40">
        <v>50.31</v>
      </c>
    </row>
    <row r="41" spans="1:8" x14ac:dyDescent="0.25">
      <c r="A41" s="63">
        <f t="shared" si="0"/>
        <v>43505</v>
      </c>
      <c r="B41">
        <v>702.64</v>
      </c>
      <c r="C41">
        <v>61.27</v>
      </c>
      <c r="D41">
        <v>215.62</v>
      </c>
      <c r="E41">
        <v>275.13</v>
      </c>
      <c r="F41">
        <v>69.23</v>
      </c>
      <c r="G41">
        <v>81.39</v>
      </c>
    </row>
    <row r="42" spans="1:8" x14ac:dyDescent="0.25">
      <c r="A42" s="63">
        <f t="shared" si="0"/>
        <v>43506</v>
      </c>
      <c r="B42">
        <v>765.99</v>
      </c>
      <c r="C42">
        <v>64.33</v>
      </c>
      <c r="D42">
        <v>311</v>
      </c>
      <c r="E42">
        <v>272.07</v>
      </c>
      <c r="F42">
        <v>47.03</v>
      </c>
      <c r="G42">
        <v>71.56</v>
      </c>
    </row>
    <row r="43" spans="1:8" x14ac:dyDescent="0.25">
      <c r="A43" s="63">
        <f t="shared" si="0"/>
        <v>43507</v>
      </c>
      <c r="B43">
        <v>931.63999999999987</v>
      </c>
      <c r="C43">
        <v>82.02</v>
      </c>
      <c r="D43">
        <v>398.98</v>
      </c>
      <c r="E43">
        <v>238.57</v>
      </c>
      <c r="F43">
        <v>71.02</v>
      </c>
      <c r="G43">
        <v>81.88</v>
      </c>
      <c r="H43">
        <v>59.17</v>
      </c>
    </row>
    <row r="44" spans="1:8" x14ac:dyDescent="0.25">
      <c r="A44" s="63">
        <f t="shared" si="0"/>
        <v>43508</v>
      </c>
      <c r="B44">
        <v>950.63999999999987</v>
      </c>
      <c r="C44">
        <v>77.7</v>
      </c>
      <c r="D44">
        <v>371.61</v>
      </c>
      <c r="E44">
        <v>268.26</v>
      </c>
      <c r="F44">
        <v>81.319999999999993</v>
      </c>
      <c r="G44">
        <v>92.67</v>
      </c>
      <c r="H44">
        <v>59.08</v>
      </c>
    </row>
    <row r="45" spans="1:8" x14ac:dyDescent="0.25">
      <c r="A45" s="63">
        <f t="shared" si="0"/>
        <v>43509</v>
      </c>
      <c r="B45">
        <v>980.08</v>
      </c>
      <c r="C45">
        <v>75.55</v>
      </c>
      <c r="D45">
        <v>424.46</v>
      </c>
      <c r="E45">
        <v>253.11</v>
      </c>
      <c r="F45">
        <v>79.86</v>
      </c>
      <c r="G45">
        <v>84.68</v>
      </c>
      <c r="H45">
        <v>62.42</v>
      </c>
    </row>
    <row r="46" spans="1:8" x14ac:dyDescent="0.25">
      <c r="A46" s="63">
        <f t="shared" si="0"/>
        <v>43510</v>
      </c>
      <c r="B46">
        <v>1014.6700000000001</v>
      </c>
      <c r="C46">
        <v>60.51</v>
      </c>
      <c r="D46">
        <v>457.51</v>
      </c>
      <c r="E46">
        <v>265.23</v>
      </c>
      <c r="F46">
        <v>68.430000000000007</v>
      </c>
      <c r="G46">
        <v>100.55</v>
      </c>
      <c r="H46">
        <v>62.44</v>
      </c>
    </row>
    <row r="47" spans="1:8" x14ac:dyDescent="0.25">
      <c r="A47" s="63">
        <f t="shared" si="0"/>
        <v>43511</v>
      </c>
      <c r="B47">
        <v>982.46</v>
      </c>
      <c r="C47">
        <v>55.33</v>
      </c>
      <c r="D47">
        <v>427.76</v>
      </c>
      <c r="E47">
        <v>269.36</v>
      </c>
      <c r="F47">
        <v>76.03</v>
      </c>
      <c r="G47">
        <v>91.45</v>
      </c>
      <c r="H47">
        <v>62.53</v>
      </c>
    </row>
    <row r="48" spans="1:8" x14ac:dyDescent="0.25">
      <c r="A48" s="63">
        <f t="shared" si="0"/>
        <v>43512</v>
      </c>
      <c r="B48">
        <v>836.58</v>
      </c>
      <c r="C48">
        <v>68.36</v>
      </c>
      <c r="D48">
        <v>338.93</v>
      </c>
      <c r="E48">
        <v>273.45999999999998</v>
      </c>
      <c r="F48">
        <v>76.19</v>
      </c>
      <c r="G48">
        <v>79.64</v>
      </c>
    </row>
    <row r="49" spans="1:8" x14ac:dyDescent="0.25">
      <c r="A49" s="63">
        <f t="shared" si="0"/>
        <v>43513</v>
      </c>
      <c r="B49">
        <v>747.26</v>
      </c>
      <c r="C49">
        <v>74.03</v>
      </c>
      <c r="D49">
        <v>289.11</v>
      </c>
      <c r="E49">
        <v>250.53</v>
      </c>
      <c r="F49">
        <v>67.989999999999995</v>
      </c>
      <c r="G49">
        <v>65.599999999999994</v>
      </c>
    </row>
    <row r="50" spans="1:8" x14ac:dyDescent="0.25">
      <c r="A50" s="63">
        <f t="shared" si="0"/>
        <v>43514</v>
      </c>
      <c r="B50">
        <v>900.56000000000006</v>
      </c>
      <c r="C50">
        <v>105.8</v>
      </c>
      <c r="D50">
        <v>375.58</v>
      </c>
      <c r="E50">
        <v>203.5</v>
      </c>
      <c r="F50">
        <v>69.849999999999994</v>
      </c>
      <c r="G50">
        <v>87.01</v>
      </c>
      <c r="H50">
        <v>58.82</v>
      </c>
    </row>
    <row r="51" spans="1:8" x14ac:dyDescent="0.25">
      <c r="A51" s="63">
        <f t="shared" si="0"/>
        <v>43515</v>
      </c>
      <c r="B51">
        <v>1052.22</v>
      </c>
      <c r="C51">
        <v>83.85</v>
      </c>
      <c r="D51">
        <v>427.75</v>
      </c>
      <c r="E51">
        <v>278.42</v>
      </c>
      <c r="F51">
        <v>98.35</v>
      </c>
      <c r="G51">
        <v>104.91</v>
      </c>
      <c r="H51">
        <v>58.94</v>
      </c>
    </row>
    <row r="52" spans="1:8" x14ac:dyDescent="0.25">
      <c r="A52" s="63">
        <f t="shared" si="0"/>
        <v>43516</v>
      </c>
      <c r="B52">
        <v>1032.55</v>
      </c>
      <c r="C52">
        <v>89.52</v>
      </c>
      <c r="D52">
        <v>414.38</v>
      </c>
      <c r="E52">
        <v>275.62</v>
      </c>
      <c r="F52">
        <v>85.55</v>
      </c>
      <c r="G52">
        <v>108.72</v>
      </c>
      <c r="H52">
        <v>58.76</v>
      </c>
    </row>
    <row r="53" spans="1:8" x14ac:dyDescent="0.25">
      <c r="A53" s="63">
        <f t="shared" si="0"/>
        <v>43517</v>
      </c>
      <c r="B53">
        <v>1049.8399999999999</v>
      </c>
      <c r="C53">
        <v>72.94</v>
      </c>
      <c r="D53">
        <v>440.78</v>
      </c>
      <c r="E53">
        <v>281.8</v>
      </c>
      <c r="F53">
        <v>86.85</v>
      </c>
      <c r="G53">
        <v>108.61</v>
      </c>
      <c r="H53">
        <v>58.86</v>
      </c>
    </row>
    <row r="54" spans="1:8" x14ac:dyDescent="0.25">
      <c r="A54" s="63">
        <f t="shared" si="0"/>
        <v>43518</v>
      </c>
      <c r="B54">
        <v>1128.1099999999999</v>
      </c>
      <c r="C54">
        <v>65.540000000000006</v>
      </c>
      <c r="D54">
        <v>497.88</v>
      </c>
      <c r="E54">
        <v>287.95999999999998</v>
      </c>
      <c r="F54">
        <v>111.37</v>
      </c>
      <c r="G54">
        <v>103.97</v>
      </c>
      <c r="H54">
        <v>61.39</v>
      </c>
    </row>
    <row r="55" spans="1:8" x14ac:dyDescent="0.25">
      <c r="A55" s="63">
        <f t="shared" si="0"/>
        <v>43519</v>
      </c>
      <c r="B55">
        <v>1028.8899999999999</v>
      </c>
      <c r="C55">
        <v>67.64</v>
      </c>
      <c r="D55">
        <v>449.62</v>
      </c>
      <c r="E55">
        <v>267.52</v>
      </c>
      <c r="F55">
        <v>91.25</v>
      </c>
      <c r="G55">
        <v>96</v>
      </c>
      <c r="H55">
        <v>56.86</v>
      </c>
    </row>
    <row r="56" spans="1:8" x14ac:dyDescent="0.25">
      <c r="A56" s="63">
        <f t="shared" si="0"/>
        <v>43520</v>
      </c>
      <c r="B56">
        <v>902.06</v>
      </c>
      <c r="C56">
        <v>74.27</v>
      </c>
      <c r="D56">
        <v>289.23</v>
      </c>
      <c r="E56">
        <v>259.24</v>
      </c>
      <c r="F56">
        <v>112.01</v>
      </c>
      <c r="G56">
        <v>108.31</v>
      </c>
      <c r="H56">
        <v>59</v>
      </c>
    </row>
    <row r="57" spans="1:8" x14ac:dyDescent="0.25">
      <c r="A57" s="63">
        <f t="shared" si="0"/>
        <v>43521</v>
      </c>
      <c r="B57">
        <v>967.04000000000019</v>
      </c>
      <c r="C57">
        <v>85.87</v>
      </c>
      <c r="D57">
        <v>356.13</v>
      </c>
      <c r="E57">
        <v>268.16000000000003</v>
      </c>
      <c r="F57">
        <v>86.46</v>
      </c>
      <c r="G57">
        <v>108.47</v>
      </c>
      <c r="H57">
        <v>61.95</v>
      </c>
    </row>
    <row r="58" spans="1:8" x14ac:dyDescent="0.25">
      <c r="A58" s="63">
        <f t="shared" si="0"/>
        <v>43522</v>
      </c>
      <c r="B58">
        <v>1076.7800000000002</v>
      </c>
      <c r="C58">
        <v>86.56</v>
      </c>
      <c r="D58">
        <v>445.61</v>
      </c>
      <c r="E58">
        <v>280.48</v>
      </c>
      <c r="F58">
        <v>97.19</v>
      </c>
      <c r="G58">
        <v>104.05</v>
      </c>
      <c r="H58">
        <v>62.89</v>
      </c>
    </row>
    <row r="59" spans="1:8" x14ac:dyDescent="0.25">
      <c r="A59" s="63">
        <f t="shared" si="0"/>
        <v>43523</v>
      </c>
      <c r="B59">
        <v>1070.8800000000001</v>
      </c>
      <c r="C59">
        <v>83.53</v>
      </c>
      <c r="D59">
        <v>419.46</v>
      </c>
      <c r="E59">
        <v>278.93</v>
      </c>
      <c r="F59">
        <v>107.3</v>
      </c>
      <c r="G59">
        <v>119.28</v>
      </c>
      <c r="H59">
        <v>62.38</v>
      </c>
    </row>
    <row r="60" spans="1:8" x14ac:dyDescent="0.25">
      <c r="A60" s="63">
        <f t="shared" si="0"/>
        <v>43524</v>
      </c>
      <c r="B60">
        <v>1035.69</v>
      </c>
      <c r="C60">
        <v>76.59</v>
      </c>
      <c r="D60">
        <v>414.38</v>
      </c>
      <c r="E60">
        <v>282.38</v>
      </c>
      <c r="F60">
        <v>87.82</v>
      </c>
      <c r="G60">
        <v>112.15</v>
      </c>
      <c r="H60">
        <v>62.37</v>
      </c>
    </row>
    <row r="61" spans="1:8" x14ac:dyDescent="0.25">
      <c r="A61" s="63">
        <f t="shared" si="0"/>
        <v>43525</v>
      </c>
      <c r="B61">
        <v>1057.06</v>
      </c>
      <c r="C61">
        <v>53.96</v>
      </c>
      <c r="D61">
        <v>438.69</v>
      </c>
      <c r="E61">
        <v>267.14</v>
      </c>
      <c r="F61">
        <v>122.56</v>
      </c>
      <c r="G61">
        <v>111.05</v>
      </c>
      <c r="H61">
        <v>63.66</v>
      </c>
    </row>
    <row r="62" spans="1:8" x14ac:dyDescent="0.25">
      <c r="A62" s="63">
        <f t="shared" si="0"/>
        <v>43526</v>
      </c>
      <c r="B62">
        <v>1062.27</v>
      </c>
      <c r="C62">
        <v>89.67</v>
      </c>
      <c r="D62">
        <v>391.75</v>
      </c>
      <c r="E62">
        <v>297.04000000000002</v>
      </c>
      <c r="F62">
        <v>103.86</v>
      </c>
      <c r="G62">
        <v>117.54</v>
      </c>
      <c r="H62">
        <v>62.41</v>
      </c>
    </row>
    <row r="63" spans="1:8" x14ac:dyDescent="0.25">
      <c r="A63" s="63">
        <f t="shared" si="0"/>
        <v>43527</v>
      </c>
      <c r="B63">
        <v>1009.73</v>
      </c>
      <c r="C63">
        <v>78.98</v>
      </c>
      <c r="D63">
        <v>362.39</v>
      </c>
      <c r="E63">
        <v>287.52999999999997</v>
      </c>
      <c r="F63">
        <v>112.34</v>
      </c>
      <c r="G63">
        <v>105.13</v>
      </c>
      <c r="H63">
        <v>63.36</v>
      </c>
    </row>
    <row r="64" spans="1:8" x14ac:dyDescent="0.25">
      <c r="A64" s="63">
        <f t="shared" si="0"/>
        <v>43528</v>
      </c>
      <c r="B64">
        <v>1068.3100000000002</v>
      </c>
      <c r="C64">
        <v>102.33</v>
      </c>
      <c r="D64">
        <v>382.06</v>
      </c>
      <c r="E64">
        <v>300.33</v>
      </c>
      <c r="F64">
        <v>93.39</v>
      </c>
      <c r="G64">
        <v>125.56</v>
      </c>
      <c r="H64">
        <v>64.64</v>
      </c>
    </row>
    <row r="65" spans="1:8" x14ac:dyDescent="0.25">
      <c r="A65" s="63">
        <f t="shared" si="0"/>
        <v>43529</v>
      </c>
      <c r="B65">
        <v>1041.58</v>
      </c>
      <c r="C65">
        <v>78.87</v>
      </c>
      <c r="D65">
        <v>416.87</v>
      </c>
      <c r="E65">
        <v>292.08</v>
      </c>
      <c r="F65">
        <v>91.69</v>
      </c>
      <c r="G65">
        <v>100.9</v>
      </c>
      <c r="H65">
        <v>61.17</v>
      </c>
    </row>
    <row r="66" spans="1:8" x14ac:dyDescent="0.25">
      <c r="A66" s="63">
        <f t="shared" si="0"/>
        <v>43530</v>
      </c>
      <c r="B66">
        <v>1055.3000000000002</v>
      </c>
      <c r="C66">
        <v>91.96</v>
      </c>
      <c r="D66">
        <v>422.6</v>
      </c>
      <c r="E66">
        <v>291.29000000000002</v>
      </c>
      <c r="F66">
        <v>80.58</v>
      </c>
      <c r="G66">
        <v>107.62</v>
      </c>
      <c r="H66">
        <v>61.25</v>
      </c>
    </row>
    <row r="67" spans="1:8" x14ac:dyDescent="0.25">
      <c r="A67" s="63">
        <f t="shared" si="0"/>
        <v>43531</v>
      </c>
      <c r="B67">
        <v>1045.81</v>
      </c>
      <c r="C67">
        <v>76.33</v>
      </c>
      <c r="D67">
        <v>430.6</v>
      </c>
      <c r="E67">
        <v>295.69</v>
      </c>
      <c r="F67">
        <v>79.48</v>
      </c>
      <c r="G67">
        <v>103.73</v>
      </c>
      <c r="H67">
        <v>59.98</v>
      </c>
    </row>
    <row r="68" spans="1:8" x14ac:dyDescent="0.25">
      <c r="A68" s="63">
        <f t="shared" ref="A68:A131" si="1">A67+1</f>
        <v>43532</v>
      </c>
      <c r="B68">
        <v>1055.8699999999999</v>
      </c>
      <c r="C68">
        <v>72.14</v>
      </c>
      <c r="D68">
        <v>405.72</v>
      </c>
      <c r="E68">
        <v>300.58999999999997</v>
      </c>
      <c r="F68">
        <v>117.32</v>
      </c>
      <c r="G68">
        <v>107.35</v>
      </c>
      <c r="H68">
        <v>52.75</v>
      </c>
    </row>
    <row r="69" spans="1:8" x14ac:dyDescent="0.25">
      <c r="A69" s="63">
        <f t="shared" si="1"/>
        <v>43533</v>
      </c>
      <c r="B69">
        <v>984</v>
      </c>
      <c r="C69">
        <v>64.42</v>
      </c>
      <c r="D69">
        <v>405.53</v>
      </c>
      <c r="E69">
        <v>264.56</v>
      </c>
      <c r="F69">
        <v>84.76</v>
      </c>
      <c r="G69">
        <v>103.66</v>
      </c>
      <c r="H69">
        <v>61.07</v>
      </c>
    </row>
    <row r="70" spans="1:8" x14ac:dyDescent="0.25">
      <c r="A70" s="63">
        <f t="shared" si="1"/>
        <v>43534</v>
      </c>
      <c r="B70">
        <v>980.50999999999988</v>
      </c>
      <c r="C70">
        <v>95.33</v>
      </c>
      <c r="D70">
        <v>341.46</v>
      </c>
      <c r="E70">
        <v>267.10000000000002</v>
      </c>
      <c r="F70">
        <v>108.78</v>
      </c>
      <c r="G70">
        <v>107.18</v>
      </c>
      <c r="H70">
        <v>60.66</v>
      </c>
    </row>
    <row r="71" spans="1:8" x14ac:dyDescent="0.25">
      <c r="A71" s="63">
        <f t="shared" si="1"/>
        <v>43535</v>
      </c>
      <c r="B71">
        <v>995.6</v>
      </c>
      <c r="C71">
        <v>79.47</v>
      </c>
      <c r="D71">
        <v>358.42</v>
      </c>
      <c r="E71">
        <v>300.69</v>
      </c>
      <c r="F71">
        <v>91.33</v>
      </c>
      <c r="G71">
        <v>102.23</v>
      </c>
      <c r="H71">
        <v>63.46</v>
      </c>
    </row>
    <row r="72" spans="1:8" x14ac:dyDescent="0.25">
      <c r="A72" s="63">
        <f t="shared" si="1"/>
        <v>43536</v>
      </c>
      <c r="B72">
        <v>1044.75</v>
      </c>
      <c r="C72">
        <v>103.92</v>
      </c>
      <c r="D72">
        <v>372.04</v>
      </c>
      <c r="E72">
        <v>304.58999999999997</v>
      </c>
      <c r="F72">
        <v>103.29</v>
      </c>
      <c r="G72">
        <v>100.69</v>
      </c>
      <c r="H72">
        <v>60.22</v>
      </c>
    </row>
    <row r="73" spans="1:8" x14ac:dyDescent="0.25">
      <c r="A73" s="63">
        <f t="shared" si="1"/>
        <v>43537</v>
      </c>
      <c r="B73">
        <v>1127.07</v>
      </c>
      <c r="C73">
        <v>92.38</v>
      </c>
      <c r="D73">
        <v>483.18</v>
      </c>
      <c r="E73">
        <v>302.07</v>
      </c>
      <c r="F73">
        <v>97.14</v>
      </c>
      <c r="G73">
        <v>91.38</v>
      </c>
      <c r="H73">
        <v>60.92</v>
      </c>
    </row>
    <row r="74" spans="1:8" x14ac:dyDescent="0.25">
      <c r="A74" s="63">
        <f t="shared" si="1"/>
        <v>43538</v>
      </c>
      <c r="B74">
        <v>1120.0900000000001</v>
      </c>
      <c r="C74">
        <v>81.05</v>
      </c>
      <c r="D74">
        <v>462.41</v>
      </c>
      <c r="E74">
        <v>307.55</v>
      </c>
      <c r="F74">
        <v>101.79</v>
      </c>
      <c r="G74">
        <v>106.91</v>
      </c>
      <c r="H74">
        <v>60.38</v>
      </c>
    </row>
    <row r="75" spans="1:8" x14ac:dyDescent="0.25">
      <c r="A75" s="63">
        <f t="shared" si="1"/>
        <v>43539</v>
      </c>
      <c r="B75">
        <v>981.18999999999994</v>
      </c>
      <c r="C75">
        <v>70.760000000000005</v>
      </c>
      <c r="D75">
        <v>413.51</v>
      </c>
      <c r="E75">
        <v>251.73</v>
      </c>
      <c r="F75">
        <v>84.25</v>
      </c>
      <c r="G75">
        <v>100.66</v>
      </c>
      <c r="H75">
        <v>60.28</v>
      </c>
    </row>
    <row r="76" spans="1:8" x14ac:dyDescent="0.25">
      <c r="A76" s="63">
        <f t="shared" si="1"/>
        <v>43540</v>
      </c>
      <c r="B76">
        <v>813.46999999999991</v>
      </c>
      <c r="C76">
        <v>73.760000000000005</v>
      </c>
      <c r="D76">
        <v>420.17</v>
      </c>
      <c r="E76">
        <v>120.42</v>
      </c>
      <c r="F76">
        <v>64.03</v>
      </c>
      <c r="G76">
        <v>75.180000000000007</v>
      </c>
      <c r="H76">
        <v>59.91</v>
      </c>
    </row>
    <row r="77" spans="1:8" x14ac:dyDescent="0.25">
      <c r="A77" s="63">
        <f t="shared" si="1"/>
        <v>43541</v>
      </c>
      <c r="B77">
        <v>371.07</v>
      </c>
      <c r="C77">
        <v>85.03</v>
      </c>
      <c r="D77">
        <v>119.07</v>
      </c>
      <c r="F77">
        <v>89.42</v>
      </c>
      <c r="G77">
        <v>77.55</v>
      </c>
    </row>
    <row r="78" spans="1:8" x14ac:dyDescent="0.25">
      <c r="A78" s="63">
        <f t="shared" si="1"/>
        <v>43542</v>
      </c>
      <c r="B78">
        <v>968.88000000000011</v>
      </c>
      <c r="C78">
        <v>76.47</v>
      </c>
      <c r="D78">
        <v>378.57</v>
      </c>
      <c r="E78">
        <v>259.66000000000003</v>
      </c>
      <c r="F78">
        <v>97.48</v>
      </c>
      <c r="G78">
        <v>93.94</v>
      </c>
      <c r="H78">
        <v>62.76</v>
      </c>
    </row>
    <row r="79" spans="1:8" x14ac:dyDescent="0.25">
      <c r="A79" s="63">
        <f t="shared" si="1"/>
        <v>43543</v>
      </c>
      <c r="B79">
        <v>1086</v>
      </c>
      <c r="C79">
        <v>94.28</v>
      </c>
      <c r="D79">
        <v>449.39</v>
      </c>
      <c r="E79">
        <v>268.16000000000003</v>
      </c>
      <c r="F79">
        <v>110.15</v>
      </c>
      <c r="G79">
        <v>101.07</v>
      </c>
      <c r="H79">
        <v>62.95</v>
      </c>
    </row>
    <row r="80" spans="1:8" x14ac:dyDescent="0.25">
      <c r="A80" s="63">
        <f t="shared" si="1"/>
        <v>43544</v>
      </c>
      <c r="B80">
        <v>1068.79</v>
      </c>
      <c r="C80">
        <v>86.99</v>
      </c>
      <c r="D80">
        <v>430.47</v>
      </c>
      <c r="E80">
        <v>289.52</v>
      </c>
      <c r="F80">
        <v>96.16</v>
      </c>
      <c r="G80">
        <v>102.46</v>
      </c>
      <c r="H80">
        <v>63.19</v>
      </c>
    </row>
    <row r="81" spans="1:8" x14ac:dyDescent="0.25">
      <c r="A81" s="63">
        <f t="shared" si="1"/>
        <v>43545</v>
      </c>
      <c r="B81">
        <v>1046.71</v>
      </c>
      <c r="C81">
        <v>61.03</v>
      </c>
      <c r="D81">
        <v>420.56</v>
      </c>
      <c r="E81">
        <v>296.58</v>
      </c>
      <c r="F81">
        <v>104.95</v>
      </c>
      <c r="G81">
        <v>97.79</v>
      </c>
      <c r="H81">
        <v>65.8</v>
      </c>
    </row>
    <row r="82" spans="1:8" x14ac:dyDescent="0.25">
      <c r="A82" s="63">
        <f t="shared" si="1"/>
        <v>43546</v>
      </c>
      <c r="B82">
        <v>1078.9100000000001</v>
      </c>
      <c r="C82">
        <v>87.6</v>
      </c>
      <c r="D82">
        <v>427.88</v>
      </c>
      <c r="E82">
        <v>298.82</v>
      </c>
      <c r="F82">
        <v>106.7</v>
      </c>
      <c r="G82">
        <v>94.72</v>
      </c>
      <c r="H82">
        <v>63.19</v>
      </c>
    </row>
    <row r="83" spans="1:8" x14ac:dyDescent="0.25">
      <c r="A83" s="63">
        <f t="shared" si="1"/>
        <v>43547</v>
      </c>
      <c r="B83">
        <v>988.89999999999986</v>
      </c>
      <c r="C83">
        <v>87.76</v>
      </c>
      <c r="D83">
        <v>352.78</v>
      </c>
      <c r="E83">
        <v>273.89999999999998</v>
      </c>
      <c r="F83">
        <v>113.9</v>
      </c>
      <c r="G83">
        <v>99.02</v>
      </c>
      <c r="H83">
        <v>61.54</v>
      </c>
    </row>
    <row r="84" spans="1:8" x14ac:dyDescent="0.25">
      <c r="A84" s="63">
        <f t="shared" si="1"/>
        <v>43548</v>
      </c>
      <c r="B84">
        <v>1060.8599999999999</v>
      </c>
      <c r="C84">
        <v>87.56</v>
      </c>
      <c r="D84">
        <v>389.88</v>
      </c>
      <c r="E84">
        <v>304.61</v>
      </c>
      <c r="F84">
        <v>109.39</v>
      </c>
      <c r="G84">
        <v>107.1</v>
      </c>
      <c r="H84">
        <v>62.32</v>
      </c>
    </row>
    <row r="85" spans="1:8" x14ac:dyDescent="0.25">
      <c r="A85" s="63">
        <f t="shared" si="1"/>
        <v>43549</v>
      </c>
      <c r="B85">
        <v>966.79999999999984</v>
      </c>
      <c r="C85">
        <v>87.84</v>
      </c>
      <c r="D85">
        <v>386.71</v>
      </c>
      <c r="E85">
        <v>230.89</v>
      </c>
      <c r="F85">
        <v>96.54</v>
      </c>
      <c r="G85">
        <v>105.77</v>
      </c>
      <c r="H85">
        <v>59.05</v>
      </c>
    </row>
    <row r="86" spans="1:8" x14ac:dyDescent="0.25">
      <c r="A86" s="63">
        <f t="shared" si="1"/>
        <v>43550</v>
      </c>
      <c r="B86">
        <v>1134.04</v>
      </c>
      <c r="C86">
        <v>100.48</v>
      </c>
      <c r="D86">
        <v>445.8</v>
      </c>
      <c r="E86">
        <v>302.25</v>
      </c>
      <c r="F86">
        <v>113.73</v>
      </c>
      <c r="G86">
        <v>112.32</v>
      </c>
      <c r="H86">
        <v>59.46</v>
      </c>
    </row>
    <row r="87" spans="1:8" x14ac:dyDescent="0.25">
      <c r="A87" s="63">
        <f t="shared" si="1"/>
        <v>43551</v>
      </c>
      <c r="B87">
        <v>1116.5299999999997</v>
      </c>
      <c r="C87">
        <v>96.19</v>
      </c>
      <c r="D87">
        <v>448.78</v>
      </c>
      <c r="E87">
        <v>264.83999999999997</v>
      </c>
      <c r="F87">
        <v>124.06</v>
      </c>
      <c r="G87">
        <v>122.86</v>
      </c>
      <c r="H87">
        <v>59.8</v>
      </c>
    </row>
    <row r="88" spans="1:8" x14ac:dyDescent="0.25">
      <c r="A88" s="63">
        <f t="shared" si="1"/>
        <v>43552</v>
      </c>
      <c r="B88">
        <v>1092.68</v>
      </c>
      <c r="C88">
        <v>107.26</v>
      </c>
      <c r="D88">
        <v>401.38</v>
      </c>
      <c r="E88">
        <v>293.23</v>
      </c>
      <c r="F88">
        <v>111.91</v>
      </c>
      <c r="G88">
        <v>120.7</v>
      </c>
      <c r="H88">
        <v>58.2</v>
      </c>
    </row>
    <row r="89" spans="1:8" x14ac:dyDescent="0.25">
      <c r="A89" s="63">
        <f t="shared" si="1"/>
        <v>43553</v>
      </c>
      <c r="B89">
        <v>1121.27</v>
      </c>
      <c r="C89">
        <v>100.91</v>
      </c>
      <c r="D89">
        <v>457.06</v>
      </c>
      <c r="E89">
        <v>285.54000000000002</v>
      </c>
      <c r="F89">
        <v>122.97</v>
      </c>
      <c r="G89">
        <v>95.84</v>
      </c>
      <c r="H89">
        <v>58.95</v>
      </c>
    </row>
    <row r="90" spans="1:8" x14ac:dyDescent="0.25">
      <c r="A90" s="63">
        <f t="shared" si="1"/>
        <v>43554</v>
      </c>
      <c r="B90">
        <v>1020.04</v>
      </c>
      <c r="C90">
        <v>87.59</v>
      </c>
      <c r="D90">
        <v>408.88</v>
      </c>
      <c r="E90">
        <v>272.26</v>
      </c>
      <c r="F90">
        <v>91.64</v>
      </c>
      <c r="G90">
        <v>100.28</v>
      </c>
      <c r="H90">
        <v>59.39</v>
      </c>
    </row>
    <row r="91" spans="1:8" x14ac:dyDescent="0.25">
      <c r="A91" s="63">
        <f t="shared" si="1"/>
        <v>43555</v>
      </c>
      <c r="B91">
        <v>687.93000000000006</v>
      </c>
      <c r="C91">
        <v>89.5</v>
      </c>
      <c r="D91">
        <v>115.39</v>
      </c>
      <c r="E91">
        <v>218.35</v>
      </c>
      <c r="F91">
        <v>107.59</v>
      </c>
      <c r="G91">
        <v>93.57</v>
      </c>
      <c r="H91">
        <v>63.53</v>
      </c>
    </row>
    <row r="92" spans="1:8" x14ac:dyDescent="0.25">
      <c r="A92" s="63">
        <f t="shared" si="1"/>
        <v>43556</v>
      </c>
      <c r="B92">
        <v>1043.7300000000002</v>
      </c>
      <c r="C92">
        <v>85.36</v>
      </c>
      <c r="D92">
        <v>353.85</v>
      </c>
      <c r="E92">
        <v>293.88</v>
      </c>
      <c r="F92">
        <v>110.06</v>
      </c>
      <c r="G92">
        <v>132.94</v>
      </c>
      <c r="H92">
        <v>67.64</v>
      </c>
    </row>
    <row r="93" spans="1:8" x14ac:dyDescent="0.25">
      <c r="A93" s="63">
        <f t="shared" si="1"/>
        <v>43557</v>
      </c>
      <c r="B93">
        <v>1103.56</v>
      </c>
      <c r="C93">
        <v>99.06</v>
      </c>
      <c r="D93">
        <v>421.52</v>
      </c>
      <c r="E93">
        <v>298.5</v>
      </c>
      <c r="F93">
        <v>87.58</v>
      </c>
      <c r="G93">
        <v>131.4</v>
      </c>
      <c r="H93">
        <v>65.5</v>
      </c>
    </row>
    <row r="94" spans="1:8" x14ac:dyDescent="0.25">
      <c r="A94" s="63">
        <f t="shared" si="1"/>
        <v>43558</v>
      </c>
      <c r="B94">
        <v>1123.6400000000001</v>
      </c>
      <c r="C94">
        <v>94.86</v>
      </c>
      <c r="D94">
        <v>434.45</v>
      </c>
      <c r="E94">
        <v>303.99</v>
      </c>
      <c r="F94">
        <v>100.47</v>
      </c>
      <c r="G94">
        <v>124.65</v>
      </c>
      <c r="H94">
        <v>65.22</v>
      </c>
    </row>
    <row r="95" spans="1:8" x14ac:dyDescent="0.25">
      <c r="A95" s="63">
        <f t="shared" si="1"/>
        <v>43559</v>
      </c>
      <c r="B95">
        <v>1181.6500000000001</v>
      </c>
      <c r="C95">
        <v>108.26</v>
      </c>
      <c r="D95">
        <v>479.61</v>
      </c>
      <c r="E95">
        <v>295.98</v>
      </c>
      <c r="F95">
        <v>107.95</v>
      </c>
      <c r="G95">
        <v>124.09</v>
      </c>
      <c r="H95">
        <v>65.760000000000005</v>
      </c>
    </row>
    <row r="96" spans="1:8" x14ac:dyDescent="0.25">
      <c r="A96" s="63">
        <f t="shared" si="1"/>
        <v>43560</v>
      </c>
      <c r="B96">
        <v>1139.1699999999998</v>
      </c>
      <c r="C96">
        <v>87.53</v>
      </c>
      <c r="D96">
        <v>436.68</v>
      </c>
      <c r="E96">
        <v>312.39999999999998</v>
      </c>
      <c r="F96">
        <v>111.28</v>
      </c>
      <c r="G96">
        <v>126</v>
      </c>
      <c r="H96">
        <v>65.28</v>
      </c>
    </row>
    <row r="97" spans="1:8" x14ac:dyDescent="0.25">
      <c r="A97" s="63">
        <f t="shared" si="1"/>
        <v>43561</v>
      </c>
      <c r="B97">
        <v>1105.1600000000001</v>
      </c>
      <c r="C97">
        <v>90.59</v>
      </c>
      <c r="D97">
        <v>443.16</v>
      </c>
      <c r="E97">
        <v>298.54000000000002</v>
      </c>
      <c r="F97">
        <v>103.36</v>
      </c>
      <c r="G97">
        <v>105.37</v>
      </c>
      <c r="H97">
        <v>64.14</v>
      </c>
    </row>
    <row r="98" spans="1:8" x14ac:dyDescent="0.25">
      <c r="A98" s="63">
        <f t="shared" si="1"/>
        <v>43562</v>
      </c>
      <c r="B98">
        <v>1028.9000000000001</v>
      </c>
      <c r="C98">
        <v>105.96</v>
      </c>
      <c r="D98">
        <v>375.17</v>
      </c>
      <c r="E98">
        <v>269.92</v>
      </c>
      <c r="F98">
        <v>104.14</v>
      </c>
      <c r="G98">
        <v>109.57</v>
      </c>
      <c r="H98">
        <v>64.14</v>
      </c>
    </row>
    <row r="99" spans="1:8" x14ac:dyDescent="0.25">
      <c r="A99" s="63">
        <f t="shared" si="1"/>
        <v>43563</v>
      </c>
      <c r="B99">
        <v>1070.42</v>
      </c>
      <c r="C99">
        <v>104.4</v>
      </c>
      <c r="D99">
        <v>373.1</v>
      </c>
      <c r="E99">
        <v>315.25</v>
      </c>
      <c r="F99">
        <v>99.59</v>
      </c>
      <c r="G99">
        <v>112.57</v>
      </c>
      <c r="H99">
        <v>65.510000000000005</v>
      </c>
    </row>
    <row r="100" spans="1:8" x14ac:dyDescent="0.25">
      <c r="A100" s="63">
        <f t="shared" si="1"/>
        <v>43564</v>
      </c>
      <c r="B100">
        <v>1115.1300000000001</v>
      </c>
      <c r="C100">
        <v>112</v>
      </c>
      <c r="D100">
        <v>421.05</v>
      </c>
      <c r="E100">
        <v>297.66000000000003</v>
      </c>
      <c r="F100">
        <v>104.36</v>
      </c>
      <c r="G100">
        <v>115.29</v>
      </c>
      <c r="H100">
        <v>64.77</v>
      </c>
    </row>
    <row r="101" spans="1:8" x14ac:dyDescent="0.25">
      <c r="A101" s="63">
        <f t="shared" si="1"/>
        <v>43565</v>
      </c>
      <c r="B101">
        <v>1107.1999999999998</v>
      </c>
      <c r="C101">
        <v>78.78</v>
      </c>
      <c r="D101">
        <v>422.26</v>
      </c>
      <c r="E101">
        <v>311.08</v>
      </c>
      <c r="F101">
        <v>105.91</v>
      </c>
      <c r="G101">
        <v>123.79</v>
      </c>
      <c r="H101">
        <v>65.38</v>
      </c>
    </row>
    <row r="102" spans="1:8" x14ac:dyDescent="0.25">
      <c r="A102" s="63">
        <f t="shared" si="1"/>
        <v>43566</v>
      </c>
      <c r="B102">
        <v>1197.72</v>
      </c>
      <c r="C102">
        <v>94.38</v>
      </c>
      <c r="D102">
        <v>477.6</v>
      </c>
      <c r="E102">
        <v>324.7</v>
      </c>
      <c r="F102">
        <v>120.89</v>
      </c>
      <c r="G102">
        <v>112.55</v>
      </c>
      <c r="H102">
        <v>67.599999999999994</v>
      </c>
    </row>
    <row r="103" spans="1:8" x14ac:dyDescent="0.25">
      <c r="A103" s="63">
        <f t="shared" si="1"/>
        <v>43567</v>
      </c>
      <c r="B103">
        <v>1137.6399999999999</v>
      </c>
      <c r="C103">
        <v>85.42</v>
      </c>
      <c r="D103">
        <v>461.14</v>
      </c>
      <c r="E103">
        <v>315.88</v>
      </c>
      <c r="F103">
        <v>113.31</v>
      </c>
      <c r="G103">
        <v>96.55</v>
      </c>
      <c r="H103">
        <v>65.34</v>
      </c>
    </row>
    <row r="104" spans="1:8" x14ac:dyDescent="0.25">
      <c r="A104" s="63">
        <f t="shared" si="1"/>
        <v>43568</v>
      </c>
      <c r="B104">
        <v>1115.81</v>
      </c>
      <c r="C104">
        <v>82.92</v>
      </c>
      <c r="D104">
        <v>420.03</v>
      </c>
      <c r="E104">
        <v>326.05</v>
      </c>
      <c r="F104">
        <v>109.25</v>
      </c>
      <c r="G104">
        <v>112.37</v>
      </c>
      <c r="H104">
        <v>65.19</v>
      </c>
    </row>
    <row r="105" spans="1:8" x14ac:dyDescent="0.25">
      <c r="A105" s="63">
        <f t="shared" si="1"/>
        <v>43569</v>
      </c>
      <c r="B105">
        <v>1021.6500000000001</v>
      </c>
      <c r="C105">
        <v>82.16</v>
      </c>
      <c r="D105">
        <v>351.82</v>
      </c>
      <c r="E105">
        <v>311.43</v>
      </c>
      <c r="F105">
        <v>108.11</v>
      </c>
      <c r="G105">
        <v>102.84</v>
      </c>
      <c r="H105">
        <v>65.290000000000006</v>
      </c>
    </row>
    <row r="106" spans="1:8" x14ac:dyDescent="0.25">
      <c r="A106" s="63">
        <f t="shared" si="1"/>
        <v>43570</v>
      </c>
      <c r="B106">
        <v>1115.5999999999999</v>
      </c>
      <c r="C106">
        <v>110.42</v>
      </c>
      <c r="D106">
        <v>421.83</v>
      </c>
      <c r="E106">
        <v>279.89999999999998</v>
      </c>
      <c r="F106">
        <v>113.92</v>
      </c>
      <c r="G106">
        <v>124.5</v>
      </c>
      <c r="H106">
        <v>65.03</v>
      </c>
    </row>
    <row r="107" spans="1:8" x14ac:dyDescent="0.25">
      <c r="A107" s="63">
        <f t="shared" si="1"/>
        <v>43571</v>
      </c>
      <c r="B107">
        <v>1109.9100000000001</v>
      </c>
      <c r="C107">
        <v>96.47</v>
      </c>
      <c r="D107">
        <v>437.25</v>
      </c>
      <c r="E107">
        <v>292.69</v>
      </c>
      <c r="F107">
        <v>101.39</v>
      </c>
      <c r="G107">
        <v>116.59</v>
      </c>
      <c r="H107">
        <v>65.52</v>
      </c>
    </row>
    <row r="108" spans="1:8" x14ac:dyDescent="0.25">
      <c r="A108" s="63">
        <f t="shared" si="1"/>
        <v>43572</v>
      </c>
      <c r="B108">
        <v>1132.9499999999998</v>
      </c>
      <c r="C108">
        <v>91.74</v>
      </c>
      <c r="D108">
        <v>440.35</v>
      </c>
      <c r="E108">
        <v>290.99</v>
      </c>
      <c r="F108">
        <v>121.18</v>
      </c>
      <c r="G108">
        <v>123.08</v>
      </c>
      <c r="H108">
        <v>65.61</v>
      </c>
    </row>
    <row r="109" spans="1:8" x14ac:dyDescent="0.25">
      <c r="A109" s="63">
        <f t="shared" si="1"/>
        <v>43573</v>
      </c>
      <c r="B109">
        <v>1098.2</v>
      </c>
      <c r="C109">
        <v>93.2</v>
      </c>
      <c r="D109">
        <v>432.28</v>
      </c>
      <c r="E109">
        <v>294.08</v>
      </c>
      <c r="F109">
        <v>102.45</v>
      </c>
      <c r="G109">
        <v>109.12</v>
      </c>
      <c r="H109">
        <v>67.069999999999993</v>
      </c>
    </row>
    <row r="110" spans="1:8" x14ac:dyDescent="0.25">
      <c r="A110" s="63">
        <f t="shared" si="1"/>
        <v>43574</v>
      </c>
      <c r="B110">
        <v>1105.6400000000001</v>
      </c>
      <c r="C110">
        <v>108.04</v>
      </c>
      <c r="D110">
        <v>427.54</v>
      </c>
      <c r="E110">
        <v>260.60000000000002</v>
      </c>
      <c r="F110">
        <v>125.59</v>
      </c>
      <c r="G110">
        <v>118.82</v>
      </c>
      <c r="H110">
        <v>65.05</v>
      </c>
    </row>
    <row r="111" spans="1:8" x14ac:dyDescent="0.25">
      <c r="A111" s="63">
        <f t="shared" si="1"/>
        <v>43575</v>
      </c>
      <c r="B111">
        <v>1063.33</v>
      </c>
      <c r="C111">
        <v>97.52</v>
      </c>
      <c r="D111">
        <v>416.88</v>
      </c>
      <c r="E111">
        <v>258.52999999999997</v>
      </c>
      <c r="F111">
        <v>108.78</v>
      </c>
      <c r="G111">
        <v>117.34</v>
      </c>
      <c r="H111">
        <v>64.28</v>
      </c>
    </row>
    <row r="112" spans="1:8" x14ac:dyDescent="0.25">
      <c r="A112" s="63">
        <f t="shared" si="1"/>
        <v>43576</v>
      </c>
      <c r="B112">
        <v>984.53</v>
      </c>
      <c r="C112">
        <v>103.1</v>
      </c>
      <c r="D112">
        <v>336.09</v>
      </c>
      <c r="E112">
        <v>250.6</v>
      </c>
      <c r="F112">
        <v>107.69</v>
      </c>
      <c r="G112">
        <v>122.76</v>
      </c>
      <c r="H112">
        <v>64.290000000000006</v>
      </c>
    </row>
    <row r="113" spans="1:8" x14ac:dyDescent="0.25">
      <c r="A113" s="63">
        <f t="shared" si="1"/>
        <v>43577</v>
      </c>
      <c r="B113">
        <v>1119.6099999999999</v>
      </c>
      <c r="C113">
        <v>105.56</v>
      </c>
      <c r="D113">
        <v>453.9</v>
      </c>
      <c r="E113">
        <v>268.10000000000002</v>
      </c>
      <c r="F113">
        <v>104.19</v>
      </c>
      <c r="G113">
        <v>122.26</v>
      </c>
      <c r="H113">
        <v>65.599999999999994</v>
      </c>
    </row>
    <row r="114" spans="1:8" x14ac:dyDescent="0.25">
      <c r="A114" s="63">
        <f t="shared" si="1"/>
        <v>43578</v>
      </c>
      <c r="B114">
        <v>1134.3499999999999</v>
      </c>
      <c r="C114">
        <v>106.98</v>
      </c>
      <c r="D114">
        <v>435</v>
      </c>
      <c r="E114">
        <v>298.23</v>
      </c>
      <c r="F114">
        <v>116.47</v>
      </c>
      <c r="G114">
        <v>110.58</v>
      </c>
      <c r="H114">
        <v>67.09</v>
      </c>
    </row>
    <row r="115" spans="1:8" x14ac:dyDescent="0.25">
      <c r="A115" s="63">
        <f t="shared" si="1"/>
        <v>43579</v>
      </c>
      <c r="B115">
        <v>1153.1699999999998</v>
      </c>
      <c r="C115">
        <v>115.27</v>
      </c>
      <c r="D115">
        <v>447.76</v>
      </c>
      <c r="E115">
        <v>301.45999999999998</v>
      </c>
      <c r="F115">
        <v>112.13</v>
      </c>
      <c r="G115">
        <v>111</v>
      </c>
      <c r="H115">
        <v>65.55</v>
      </c>
    </row>
    <row r="116" spans="1:8" x14ac:dyDescent="0.25">
      <c r="A116" s="63">
        <f t="shared" si="1"/>
        <v>43580</v>
      </c>
      <c r="B116">
        <v>1166.78</v>
      </c>
      <c r="C116">
        <v>113.91</v>
      </c>
      <c r="D116">
        <v>439.22</v>
      </c>
      <c r="E116">
        <v>319.54000000000002</v>
      </c>
      <c r="F116">
        <v>109.76</v>
      </c>
      <c r="G116">
        <v>118.77</v>
      </c>
      <c r="H116">
        <v>65.58</v>
      </c>
    </row>
    <row r="117" spans="1:8" x14ac:dyDescent="0.25">
      <c r="A117" s="63">
        <f t="shared" si="1"/>
        <v>43581</v>
      </c>
      <c r="B117">
        <v>1125.8500000000001</v>
      </c>
      <c r="C117">
        <v>110.88</v>
      </c>
      <c r="D117">
        <v>443.25</v>
      </c>
      <c r="E117">
        <v>286.98</v>
      </c>
      <c r="F117">
        <v>106.48</v>
      </c>
      <c r="G117">
        <v>112.81</v>
      </c>
      <c r="H117">
        <v>65.45</v>
      </c>
    </row>
    <row r="118" spans="1:8" x14ac:dyDescent="0.25">
      <c r="A118" s="63">
        <f t="shared" si="1"/>
        <v>43582</v>
      </c>
      <c r="B118">
        <v>997.13000000000011</v>
      </c>
      <c r="C118">
        <v>91.67</v>
      </c>
      <c r="D118">
        <v>382.6</v>
      </c>
      <c r="E118">
        <v>245.55</v>
      </c>
      <c r="F118">
        <v>114.35</v>
      </c>
      <c r="G118">
        <v>99.13</v>
      </c>
      <c r="H118">
        <v>63.83</v>
      </c>
    </row>
    <row r="119" spans="1:8" x14ac:dyDescent="0.25">
      <c r="A119" s="63">
        <f t="shared" si="1"/>
        <v>43583</v>
      </c>
      <c r="B119">
        <v>774.97</v>
      </c>
      <c r="C119">
        <v>82.82</v>
      </c>
      <c r="D119">
        <v>168.72</v>
      </c>
      <c r="E119">
        <v>233.03</v>
      </c>
      <c r="F119">
        <v>117.18</v>
      </c>
      <c r="G119">
        <v>106.84</v>
      </c>
      <c r="H119">
        <v>66.38</v>
      </c>
    </row>
    <row r="120" spans="1:8" x14ac:dyDescent="0.25">
      <c r="A120" s="63">
        <f t="shared" si="1"/>
        <v>43584</v>
      </c>
      <c r="B120">
        <v>916.02</v>
      </c>
      <c r="C120">
        <v>80.11</v>
      </c>
      <c r="D120">
        <v>300.7</v>
      </c>
      <c r="E120">
        <v>244.78</v>
      </c>
      <c r="F120">
        <v>103.89</v>
      </c>
      <c r="G120">
        <v>120.38</v>
      </c>
      <c r="H120">
        <v>66.16</v>
      </c>
    </row>
    <row r="121" spans="1:8" x14ac:dyDescent="0.25">
      <c r="A121" s="63">
        <f t="shared" si="1"/>
        <v>43585</v>
      </c>
      <c r="B121">
        <v>1005.58</v>
      </c>
      <c r="C121">
        <v>88.64</v>
      </c>
      <c r="D121">
        <v>392.23</v>
      </c>
      <c r="E121">
        <v>248.06</v>
      </c>
      <c r="F121">
        <v>103.46</v>
      </c>
      <c r="G121">
        <v>109.06</v>
      </c>
      <c r="H121">
        <v>64.13</v>
      </c>
    </row>
    <row r="122" spans="1:8" x14ac:dyDescent="0.25">
      <c r="A122" s="63">
        <f t="shared" si="1"/>
        <v>43586</v>
      </c>
      <c r="B122">
        <v>908.80000000000007</v>
      </c>
      <c r="C122">
        <v>86.41</v>
      </c>
      <c r="D122">
        <v>317.86</v>
      </c>
      <c r="E122">
        <v>244.83</v>
      </c>
      <c r="F122">
        <v>111.73</v>
      </c>
      <c r="G122">
        <v>83.35</v>
      </c>
      <c r="H122">
        <v>64.62</v>
      </c>
    </row>
    <row r="123" spans="1:8" x14ac:dyDescent="0.25">
      <c r="A123" s="63">
        <f t="shared" si="1"/>
        <v>43587</v>
      </c>
      <c r="B123">
        <v>909.29000000000008</v>
      </c>
      <c r="C123">
        <v>70.209999999999994</v>
      </c>
      <c r="D123">
        <v>348.35</v>
      </c>
      <c r="E123">
        <v>226.63</v>
      </c>
      <c r="F123">
        <v>118.85</v>
      </c>
      <c r="G123">
        <v>81.150000000000006</v>
      </c>
      <c r="H123">
        <v>64.099999999999994</v>
      </c>
    </row>
    <row r="124" spans="1:8" x14ac:dyDescent="0.25">
      <c r="A124" s="63">
        <f t="shared" si="1"/>
        <v>43588</v>
      </c>
      <c r="B124">
        <v>892.61</v>
      </c>
      <c r="C124">
        <v>77.73</v>
      </c>
      <c r="D124">
        <v>356.3</v>
      </c>
      <c r="E124">
        <v>211.36</v>
      </c>
      <c r="F124">
        <v>96.82</v>
      </c>
      <c r="G124">
        <v>86.29</v>
      </c>
      <c r="H124">
        <v>64.11</v>
      </c>
    </row>
    <row r="125" spans="1:8" x14ac:dyDescent="0.25">
      <c r="A125" s="63">
        <f t="shared" si="1"/>
        <v>43589</v>
      </c>
      <c r="B125">
        <v>976.43999999999994</v>
      </c>
      <c r="C125">
        <v>82.06</v>
      </c>
      <c r="D125">
        <v>419.7</v>
      </c>
      <c r="E125">
        <v>223.67</v>
      </c>
      <c r="F125">
        <v>119.25</v>
      </c>
      <c r="G125">
        <v>69.36</v>
      </c>
      <c r="H125">
        <v>62.4</v>
      </c>
    </row>
    <row r="126" spans="1:8" x14ac:dyDescent="0.25">
      <c r="A126" s="63">
        <f t="shared" si="1"/>
        <v>43590</v>
      </c>
      <c r="B126">
        <v>553.4</v>
      </c>
      <c r="C126">
        <v>85.69</v>
      </c>
      <c r="E126">
        <v>237.83</v>
      </c>
      <c r="F126">
        <v>102.97</v>
      </c>
      <c r="G126">
        <v>63.24</v>
      </c>
      <c r="H126">
        <v>63.67</v>
      </c>
    </row>
    <row r="127" spans="1:8" x14ac:dyDescent="0.25">
      <c r="A127" s="63">
        <f t="shared" si="1"/>
        <v>43591</v>
      </c>
      <c r="B127">
        <v>957.94</v>
      </c>
      <c r="C127">
        <v>83.39</v>
      </c>
      <c r="D127">
        <v>366.32</v>
      </c>
      <c r="E127">
        <v>231.75</v>
      </c>
      <c r="F127">
        <v>111.25</v>
      </c>
      <c r="G127">
        <v>98.46</v>
      </c>
      <c r="H127">
        <v>66.77</v>
      </c>
    </row>
    <row r="128" spans="1:8" x14ac:dyDescent="0.25">
      <c r="A128" s="63">
        <f t="shared" si="1"/>
        <v>43592</v>
      </c>
      <c r="B128">
        <v>911.06</v>
      </c>
      <c r="C128">
        <v>85.29</v>
      </c>
      <c r="D128">
        <v>364.46</v>
      </c>
      <c r="E128">
        <v>229.29</v>
      </c>
      <c r="F128">
        <v>78.3</v>
      </c>
      <c r="G128">
        <v>88.71</v>
      </c>
      <c r="H128">
        <v>65.010000000000005</v>
      </c>
    </row>
    <row r="129" spans="1:8" x14ac:dyDescent="0.25">
      <c r="A129" s="63">
        <f t="shared" si="1"/>
        <v>43593</v>
      </c>
      <c r="B129">
        <v>891.93000000000006</v>
      </c>
      <c r="C129">
        <v>87.9</v>
      </c>
      <c r="D129">
        <v>358.34</v>
      </c>
      <c r="E129">
        <v>216.88</v>
      </c>
      <c r="F129">
        <v>88.34</v>
      </c>
      <c r="G129">
        <v>75.260000000000005</v>
      </c>
      <c r="H129">
        <v>65.209999999999994</v>
      </c>
    </row>
    <row r="130" spans="1:8" x14ac:dyDescent="0.25">
      <c r="A130" s="63">
        <f t="shared" si="1"/>
        <v>43594</v>
      </c>
      <c r="B130">
        <v>213.91000000000003</v>
      </c>
      <c r="F130">
        <v>74.48</v>
      </c>
      <c r="G130">
        <v>75.5</v>
      </c>
      <c r="H130">
        <v>63.93</v>
      </c>
    </row>
    <row r="131" spans="1:8" x14ac:dyDescent="0.25">
      <c r="A131" s="63">
        <f t="shared" si="1"/>
        <v>43595</v>
      </c>
      <c r="B131">
        <v>851.39</v>
      </c>
      <c r="C131">
        <v>79.400000000000006</v>
      </c>
      <c r="D131">
        <v>330.57</v>
      </c>
      <c r="E131">
        <v>202.28</v>
      </c>
      <c r="F131">
        <v>98.1</v>
      </c>
      <c r="G131">
        <v>76.89</v>
      </c>
      <c r="H131">
        <v>64.150000000000006</v>
      </c>
    </row>
    <row r="132" spans="1:8" x14ac:dyDescent="0.25">
      <c r="A132" s="63">
        <f t="shared" ref="A132:A195" si="2">A131+1</f>
        <v>43596</v>
      </c>
      <c r="B132">
        <v>822.61</v>
      </c>
      <c r="C132">
        <v>79.77</v>
      </c>
      <c r="D132">
        <v>308.07</v>
      </c>
      <c r="E132">
        <v>195.94</v>
      </c>
      <c r="F132">
        <v>84.19</v>
      </c>
      <c r="G132">
        <v>87.35</v>
      </c>
      <c r="H132">
        <v>67.290000000000006</v>
      </c>
    </row>
    <row r="133" spans="1:8" x14ac:dyDescent="0.25">
      <c r="A133" s="63">
        <f t="shared" si="2"/>
        <v>43597</v>
      </c>
      <c r="B133">
        <v>696.4899999999999</v>
      </c>
      <c r="C133">
        <v>84.95</v>
      </c>
      <c r="D133">
        <v>185.45</v>
      </c>
      <c r="E133">
        <v>179.17</v>
      </c>
      <c r="F133">
        <v>100.42</v>
      </c>
      <c r="G133">
        <v>79.77</v>
      </c>
      <c r="H133">
        <v>66.73</v>
      </c>
    </row>
    <row r="134" spans="1:8" x14ac:dyDescent="0.25">
      <c r="A134" s="63">
        <f t="shared" si="2"/>
        <v>43598</v>
      </c>
      <c r="B134">
        <v>866.81999999999994</v>
      </c>
      <c r="C134">
        <v>100.16</v>
      </c>
      <c r="D134">
        <v>294.07</v>
      </c>
      <c r="E134">
        <v>205.93</v>
      </c>
      <c r="F134">
        <v>99.54</v>
      </c>
      <c r="G134">
        <v>100.81</v>
      </c>
      <c r="H134">
        <v>66.31</v>
      </c>
    </row>
    <row r="135" spans="1:8" x14ac:dyDescent="0.25">
      <c r="A135" s="63">
        <f t="shared" si="2"/>
        <v>43599</v>
      </c>
      <c r="B135">
        <v>898.28</v>
      </c>
      <c r="C135">
        <v>88.2</v>
      </c>
      <c r="D135">
        <v>331.56</v>
      </c>
      <c r="E135">
        <v>207.72</v>
      </c>
      <c r="F135">
        <v>90.9</v>
      </c>
      <c r="G135">
        <v>114.6</v>
      </c>
      <c r="H135">
        <v>65.3</v>
      </c>
    </row>
    <row r="136" spans="1:8" x14ac:dyDescent="0.25">
      <c r="A136" s="63">
        <f t="shared" si="2"/>
        <v>43600</v>
      </c>
      <c r="B136">
        <v>849.2299999999999</v>
      </c>
      <c r="C136">
        <v>64.44</v>
      </c>
      <c r="D136">
        <v>312.89</v>
      </c>
      <c r="E136">
        <v>205.7</v>
      </c>
      <c r="F136">
        <v>89.87</v>
      </c>
      <c r="G136">
        <v>110.42</v>
      </c>
      <c r="H136">
        <v>65.91</v>
      </c>
    </row>
    <row r="137" spans="1:8" x14ac:dyDescent="0.25">
      <c r="A137" s="63">
        <f t="shared" si="2"/>
        <v>43601</v>
      </c>
      <c r="B137">
        <v>815.55000000000007</v>
      </c>
      <c r="C137">
        <v>73.180000000000007</v>
      </c>
      <c r="D137">
        <v>320.89</v>
      </c>
      <c r="E137">
        <v>188.68</v>
      </c>
      <c r="F137">
        <v>89.18</v>
      </c>
      <c r="G137">
        <v>77.63</v>
      </c>
      <c r="H137">
        <v>65.989999999999995</v>
      </c>
    </row>
    <row r="138" spans="1:8" x14ac:dyDescent="0.25">
      <c r="A138" s="63">
        <f t="shared" si="2"/>
        <v>43602</v>
      </c>
      <c r="B138">
        <v>846.23</v>
      </c>
      <c r="C138">
        <v>49.31</v>
      </c>
      <c r="D138">
        <v>328.35</v>
      </c>
      <c r="E138">
        <v>229.09</v>
      </c>
      <c r="F138">
        <v>101.46</v>
      </c>
      <c r="G138">
        <v>73.349999999999994</v>
      </c>
      <c r="H138">
        <v>64.67</v>
      </c>
    </row>
    <row r="139" spans="1:8" x14ac:dyDescent="0.25">
      <c r="A139" s="63">
        <f t="shared" si="2"/>
        <v>43603</v>
      </c>
      <c r="B139">
        <v>930.49</v>
      </c>
      <c r="C139">
        <v>81.099999999999994</v>
      </c>
      <c r="D139">
        <v>338.9</v>
      </c>
      <c r="E139">
        <v>262.08</v>
      </c>
      <c r="F139">
        <v>99.01</v>
      </c>
      <c r="G139">
        <v>86.19</v>
      </c>
      <c r="H139">
        <v>63.21</v>
      </c>
    </row>
    <row r="140" spans="1:8" x14ac:dyDescent="0.25">
      <c r="A140" s="63">
        <f t="shared" si="2"/>
        <v>43604</v>
      </c>
      <c r="B140">
        <v>247.11</v>
      </c>
      <c r="F140">
        <v>99.22</v>
      </c>
      <c r="G140">
        <v>84.19</v>
      </c>
      <c r="H140">
        <v>63.7</v>
      </c>
    </row>
    <row r="141" spans="1:8" x14ac:dyDescent="0.25">
      <c r="A141" s="63">
        <f t="shared" si="2"/>
        <v>43605</v>
      </c>
      <c r="B141">
        <v>916.75000000000011</v>
      </c>
      <c r="C141">
        <v>94.06</v>
      </c>
      <c r="D141">
        <v>310.74</v>
      </c>
      <c r="E141">
        <v>260.38</v>
      </c>
      <c r="F141">
        <v>83.9</v>
      </c>
      <c r="G141">
        <v>102.21</v>
      </c>
      <c r="H141">
        <v>65.459999999999994</v>
      </c>
    </row>
    <row r="142" spans="1:8" x14ac:dyDescent="0.25">
      <c r="A142" s="63">
        <f t="shared" si="2"/>
        <v>43606</v>
      </c>
      <c r="B142">
        <v>973.20999999999992</v>
      </c>
      <c r="C142">
        <v>93.83</v>
      </c>
      <c r="D142">
        <v>339.79</v>
      </c>
      <c r="E142">
        <v>266.45</v>
      </c>
      <c r="F142">
        <v>107.47</v>
      </c>
      <c r="G142">
        <v>96.91</v>
      </c>
      <c r="H142">
        <v>68.760000000000005</v>
      </c>
    </row>
    <row r="143" spans="1:8" x14ac:dyDescent="0.25">
      <c r="A143" s="63">
        <f t="shared" si="2"/>
        <v>43607</v>
      </c>
      <c r="B143">
        <v>937.04</v>
      </c>
      <c r="C143">
        <v>108.9</v>
      </c>
      <c r="D143">
        <v>310.44</v>
      </c>
      <c r="E143">
        <v>258.52999999999997</v>
      </c>
      <c r="F143">
        <v>108.42</v>
      </c>
      <c r="G143">
        <v>84.73</v>
      </c>
      <c r="H143">
        <v>66.02</v>
      </c>
    </row>
    <row r="144" spans="1:8" x14ac:dyDescent="0.25">
      <c r="A144" s="63">
        <f t="shared" si="2"/>
        <v>43608</v>
      </c>
      <c r="B144">
        <v>871.75</v>
      </c>
      <c r="C144">
        <v>62.38</v>
      </c>
      <c r="D144">
        <v>319.56</v>
      </c>
      <c r="E144">
        <v>259.88</v>
      </c>
      <c r="F144">
        <v>88.46</v>
      </c>
      <c r="G144">
        <v>75.28</v>
      </c>
      <c r="H144">
        <v>66.19</v>
      </c>
    </row>
    <row r="145" spans="1:8" x14ac:dyDescent="0.25">
      <c r="A145" s="63">
        <f t="shared" si="2"/>
        <v>43609</v>
      </c>
      <c r="B145">
        <v>811.63</v>
      </c>
      <c r="C145">
        <v>95.38</v>
      </c>
      <c r="D145">
        <v>249.87</v>
      </c>
      <c r="E145">
        <v>237.4</v>
      </c>
      <c r="F145">
        <v>93.56</v>
      </c>
      <c r="G145">
        <v>68.87</v>
      </c>
      <c r="H145">
        <v>66.55</v>
      </c>
    </row>
    <row r="146" spans="1:8" x14ac:dyDescent="0.25">
      <c r="A146" s="63">
        <f t="shared" si="2"/>
        <v>43610</v>
      </c>
      <c r="B146">
        <v>838.46999999999991</v>
      </c>
      <c r="C146">
        <v>77.47</v>
      </c>
      <c r="D146">
        <v>295.17</v>
      </c>
      <c r="E146">
        <v>236.11</v>
      </c>
      <c r="F146">
        <v>100.53</v>
      </c>
      <c r="G146">
        <v>71.39</v>
      </c>
      <c r="H146">
        <v>57.8</v>
      </c>
    </row>
    <row r="147" spans="1:8" x14ac:dyDescent="0.25">
      <c r="A147" s="63">
        <f t="shared" si="2"/>
        <v>43611</v>
      </c>
      <c r="B147">
        <v>817.58</v>
      </c>
      <c r="C147">
        <v>81.03</v>
      </c>
      <c r="D147">
        <v>303.89999999999998</v>
      </c>
      <c r="E147">
        <v>203.86</v>
      </c>
      <c r="F147">
        <v>97.34</v>
      </c>
      <c r="G147">
        <v>69.59</v>
      </c>
      <c r="H147">
        <v>61.86</v>
      </c>
    </row>
    <row r="148" spans="1:8" x14ac:dyDescent="0.25">
      <c r="A148" s="63">
        <f t="shared" si="2"/>
        <v>43612</v>
      </c>
      <c r="B148">
        <v>896.6400000000001</v>
      </c>
      <c r="C148">
        <v>86.29</v>
      </c>
      <c r="D148">
        <v>306.20999999999998</v>
      </c>
      <c r="E148">
        <v>265.20999999999998</v>
      </c>
      <c r="F148">
        <v>88.93</v>
      </c>
      <c r="G148">
        <v>85.05</v>
      </c>
      <c r="H148">
        <v>64.95</v>
      </c>
    </row>
    <row r="149" spans="1:8" x14ac:dyDescent="0.25">
      <c r="A149" s="63">
        <f t="shared" si="2"/>
        <v>43613</v>
      </c>
      <c r="B149">
        <v>916.81</v>
      </c>
      <c r="C149">
        <v>83.67</v>
      </c>
      <c r="D149">
        <v>315.33999999999997</v>
      </c>
      <c r="E149">
        <v>259.8</v>
      </c>
      <c r="F149">
        <v>94.88</v>
      </c>
      <c r="G149">
        <v>95.6</v>
      </c>
      <c r="H149">
        <v>67.52</v>
      </c>
    </row>
    <row r="150" spans="1:8" x14ac:dyDescent="0.25">
      <c r="A150" s="63">
        <f t="shared" si="2"/>
        <v>43614</v>
      </c>
      <c r="B150">
        <v>847.86000000000013</v>
      </c>
      <c r="C150">
        <v>77.58</v>
      </c>
      <c r="D150">
        <v>286.08999999999997</v>
      </c>
      <c r="E150">
        <v>210.85</v>
      </c>
      <c r="F150">
        <v>107.47</v>
      </c>
      <c r="G150">
        <v>99.18</v>
      </c>
      <c r="H150">
        <v>66.69</v>
      </c>
    </row>
    <row r="151" spans="1:8" x14ac:dyDescent="0.25">
      <c r="A151" s="63">
        <f t="shared" si="2"/>
        <v>43615</v>
      </c>
      <c r="B151">
        <v>863.77</v>
      </c>
      <c r="C151">
        <v>92.73</v>
      </c>
      <c r="D151">
        <v>308.08</v>
      </c>
      <c r="E151">
        <v>201.1</v>
      </c>
      <c r="F151">
        <v>102.36</v>
      </c>
      <c r="G151">
        <v>92.53</v>
      </c>
      <c r="H151">
        <v>66.97</v>
      </c>
    </row>
    <row r="152" spans="1:8" x14ac:dyDescent="0.25">
      <c r="A152" s="63">
        <f t="shared" si="2"/>
        <v>43616</v>
      </c>
      <c r="B152">
        <v>905.82</v>
      </c>
      <c r="C152">
        <v>97.03</v>
      </c>
      <c r="D152">
        <v>280.36</v>
      </c>
      <c r="E152">
        <v>270.81</v>
      </c>
      <c r="F152">
        <v>98.39</v>
      </c>
      <c r="G152">
        <v>93.4</v>
      </c>
      <c r="H152">
        <v>65.83</v>
      </c>
    </row>
    <row r="153" spans="1:8" x14ac:dyDescent="0.25">
      <c r="A153" s="63">
        <f t="shared" si="2"/>
        <v>43617</v>
      </c>
      <c r="B153">
        <v>463.59</v>
      </c>
      <c r="C153">
        <v>47.42</v>
      </c>
      <c r="D153">
        <v>238.4</v>
      </c>
      <c r="F153">
        <v>67.459999999999994</v>
      </c>
      <c r="G153">
        <v>48.07</v>
      </c>
      <c r="H153">
        <v>62.24</v>
      </c>
    </row>
    <row r="154" spans="1:8" x14ac:dyDescent="0.25">
      <c r="A154" s="63">
        <f t="shared" si="2"/>
        <v>43618</v>
      </c>
      <c r="B154">
        <v>403.44</v>
      </c>
      <c r="C154">
        <v>39.659999999999997</v>
      </c>
      <c r="D154">
        <v>139.18</v>
      </c>
      <c r="E154">
        <v>129.78</v>
      </c>
      <c r="F154">
        <v>54.78</v>
      </c>
      <c r="G154">
        <v>40.04</v>
      </c>
    </row>
    <row r="155" spans="1:8" x14ac:dyDescent="0.25">
      <c r="A155" s="63">
        <f t="shared" si="2"/>
        <v>43619</v>
      </c>
      <c r="B155">
        <v>931.44999999999993</v>
      </c>
      <c r="C155">
        <v>82.14</v>
      </c>
      <c r="D155">
        <v>319.37</v>
      </c>
      <c r="E155">
        <v>260.49</v>
      </c>
      <c r="F155">
        <v>86.51</v>
      </c>
      <c r="G155">
        <v>120.01</v>
      </c>
      <c r="H155">
        <v>62.93</v>
      </c>
    </row>
    <row r="156" spans="1:8" x14ac:dyDescent="0.25">
      <c r="A156" s="63">
        <f t="shared" si="2"/>
        <v>43620</v>
      </c>
      <c r="B156">
        <v>864.94999999999993</v>
      </c>
      <c r="C156">
        <v>75.510000000000005</v>
      </c>
      <c r="D156">
        <v>250.86</v>
      </c>
      <c r="E156">
        <v>280</v>
      </c>
      <c r="F156">
        <v>102.68</v>
      </c>
      <c r="G156">
        <v>93.07</v>
      </c>
      <c r="H156">
        <v>62.83</v>
      </c>
    </row>
    <row r="157" spans="1:8" x14ac:dyDescent="0.25">
      <c r="A157" s="63">
        <f t="shared" si="2"/>
        <v>43621</v>
      </c>
      <c r="B157">
        <v>976.06999999999994</v>
      </c>
      <c r="C157">
        <v>88.94</v>
      </c>
      <c r="D157">
        <v>354.33</v>
      </c>
      <c r="E157">
        <v>277.08</v>
      </c>
      <c r="F157">
        <v>101.43</v>
      </c>
      <c r="G157">
        <v>89.75</v>
      </c>
      <c r="H157">
        <v>64.540000000000006</v>
      </c>
    </row>
    <row r="158" spans="1:8" x14ac:dyDescent="0.25">
      <c r="A158" s="63">
        <f t="shared" si="2"/>
        <v>43622</v>
      </c>
      <c r="B158">
        <v>893.48</v>
      </c>
      <c r="C158">
        <v>94.91</v>
      </c>
      <c r="D158">
        <v>318.95</v>
      </c>
      <c r="E158">
        <v>237.02</v>
      </c>
      <c r="F158">
        <v>103.34</v>
      </c>
      <c r="G158">
        <v>76.63</v>
      </c>
      <c r="H158">
        <v>62.63</v>
      </c>
    </row>
    <row r="159" spans="1:8" x14ac:dyDescent="0.25">
      <c r="A159" s="63">
        <f t="shared" si="2"/>
        <v>43623</v>
      </c>
      <c r="B159">
        <v>907.32</v>
      </c>
      <c r="C159">
        <v>86.14</v>
      </c>
      <c r="D159">
        <v>330.71</v>
      </c>
      <c r="E159">
        <v>234.42</v>
      </c>
      <c r="F159">
        <v>116.24</v>
      </c>
      <c r="G159">
        <v>76.989999999999995</v>
      </c>
      <c r="H159">
        <v>62.82</v>
      </c>
    </row>
    <row r="160" spans="1:8" x14ac:dyDescent="0.25">
      <c r="A160" s="63">
        <f t="shared" si="2"/>
        <v>43624</v>
      </c>
      <c r="B160">
        <v>514.79999999999995</v>
      </c>
      <c r="C160">
        <v>85.17</v>
      </c>
      <c r="D160">
        <v>198.34</v>
      </c>
      <c r="F160">
        <v>100.91</v>
      </c>
      <c r="G160">
        <v>68.599999999999994</v>
      </c>
      <c r="H160">
        <v>61.78</v>
      </c>
    </row>
    <row r="161" spans="1:8" x14ac:dyDescent="0.25">
      <c r="A161" s="63">
        <f t="shared" si="2"/>
        <v>43625</v>
      </c>
      <c r="B161">
        <v>236.18020000000001</v>
      </c>
      <c r="C161">
        <v>21.11</v>
      </c>
      <c r="D161">
        <v>1E-4</v>
      </c>
      <c r="E161">
        <v>1E-4</v>
      </c>
      <c r="F161">
        <v>91.73</v>
      </c>
      <c r="G161">
        <v>61.32</v>
      </c>
      <c r="H161">
        <v>62.02</v>
      </c>
    </row>
    <row r="162" spans="1:8" x14ac:dyDescent="0.25">
      <c r="A162" s="63">
        <f t="shared" si="2"/>
        <v>43626</v>
      </c>
      <c r="B162">
        <v>910.68999999999983</v>
      </c>
      <c r="C162">
        <v>88.86</v>
      </c>
      <c r="D162">
        <v>309.93</v>
      </c>
      <c r="E162">
        <v>241.5</v>
      </c>
      <c r="F162">
        <v>111.31</v>
      </c>
      <c r="G162">
        <v>92.79</v>
      </c>
      <c r="H162">
        <v>66.3</v>
      </c>
    </row>
    <row r="163" spans="1:8" x14ac:dyDescent="0.25">
      <c r="A163" s="63">
        <f t="shared" si="2"/>
        <v>43627</v>
      </c>
      <c r="B163">
        <v>922.33999999999992</v>
      </c>
      <c r="C163">
        <v>91.83</v>
      </c>
      <c r="D163">
        <v>325.49</v>
      </c>
      <c r="E163">
        <v>262.18</v>
      </c>
      <c r="F163">
        <v>99.17</v>
      </c>
      <c r="G163">
        <v>79.75</v>
      </c>
      <c r="H163">
        <v>63.92</v>
      </c>
    </row>
    <row r="164" spans="1:8" x14ac:dyDescent="0.25">
      <c r="A164" s="63">
        <f t="shared" si="2"/>
        <v>43628</v>
      </c>
      <c r="B164">
        <v>920.38</v>
      </c>
      <c r="C164">
        <v>72.19</v>
      </c>
      <c r="D164">
        <v>367.47</v>
      </c>
      <c r="E164">
        <v>259.2</v>
      </c>
      <c r="F164">
        <v>89.64</v>
      </c>
      <c r="G164">
        <v>70.540000000000006</v>
      </c>
      <c r="H164">
        <v>61.34</v>
      </c>
    </row>
    <row r="165" spans="1:8" x14ac:dyDescent="0.25">
      <c r="A165" s="63">
        <f t="shared" si="2"/>
        <v>43629</v>
      </c>
      <c r="B165">
        <v>919.53</v>
      </c>
      <c r="C165">
        <v>70.22</v>
      </c>
      <c r="D165">
        <v>378.41</v>
      </c>
      <c r="E165">
        <v>261.26</v>
      </c>
      <c r="F165">
        <v>76.319999999999993</v>
      </c>
      <c r="G165">
        <v>67.510000000000005</v>
      </c>
      <c r="H165">
        <v>65.81</v>
      </c>
    </row>
    <row r="166" spans="1:8" x14ac:dyDescent="0.25">
      <c r="A166" s="63">
        <f t="shared" si="2"/>
        <v>43630</v>
      </c>
      <c r="B166">
        <v>982.63999999999987</v>
      </c>
      <c r="C166">
        <v>92.51</v>
      </c>
      <c r="D166">
        <v>399.26</v>
      </c>
      <c r="E166">
        <v>262.89</v>
      </c>
      <c r="F166">
        <v>101.42</v>
      </c>
      <c r="G166">
        <v>63.05</v>
      </c>
      <c r="H166">
        <v>63.51</v>
      </c>
    </row>
    <row r="167" spans="1:8" x14ac:dyDescent="0.25">
      <c r="A167" s="63">
        <f t="shared" si="2"/>
        <v>43631</v>
      </c>
      <c r="B167">
        <v>725.37000000000012</v>
      </c>
      <c r="C167">
        <v>87.44</v>
      </c>
      <c r="D167">
        <v>318.45</v>
      </c>
      <c r="E167">
        <v>127.85</v>
      </c>
      <c r="F167">
        <v>68.34</v>
      </c>
      <c r="G167">
        <v>62.82</v>
      </c>
      <c r="H167">
        <v>60.47</v>
      </c>
    </row>
    <row r="168" spans="1:8" x14ac:dyDescent="0.25">
      <c r="A168" s="63">
        <f t="shared" si="2"/>
        <v>43632</v>
      </c>
      <c r="B168">
        <v>249.8502</v>
      </c>
      <c r="C168">
        <v>59.82</v>
      </c>
      <c r="D168">
        <v>1E-4</v>
      </c>
      <c r="E168">
        <v>1E-4</v>
      </c>
      <c r="F168">
        <v>74.55</v>
      </c>
      <c r="G168">
        <v>56.41</v>
      </c>
      <c r="H168">
        <v>59.07</v>
      </c>
    </row>
    <row r="169" spans="1:8" x14ac:dyDescent="0.25">
      <c r="A169" s="63">
        <f t="shared" si="2"/>
        <v>43633</v>
      </c>
      <c r="B169">
        <v>829.59999999999991</v>
      </c>
      <c r="C169">
        <v>80.099999999999994</v>
      </c>
      <c r="D169">
        <v>310.93</v>
      </c>
      <c r="E169">
        <v>239.66</v>
      </c>
      <c r="F169">
        <v>66.06</v>
      </c>
      <c r="G169">
        <v>67.03</v>
      </c>
      <c r="H169">
        <v>65.819999999999993</v>
      </c>
    </row>
    <row r="170" spans="1:8" x14ac:dyDescent="0.25">
      <c r="A170" s="63">
        <f t="shared" si="2"/>
        <v>43634</v>
      </c>
      <c r="B170">
        <v>995.19999999999993</v>
      </c>
      <c r="C170">
        <v>102.39</v>
      </c>
      <c r="D170">
        <v>401.87</v>
      </c>
      <c r="E170">
        <v>272.64</v>
      </c>
      <c r="F170">
        <v>92.3</v>
      </c>
      <c r="G170">
        <v>62.29</v>
      </c>
      <c r="H170">
        <v>63.71</v>
      </c>
    </row>
    <row r="171" spans="1:8" x14ac:dyDescent="0.25">
      <c r="A171" s="63">
        <f t="shared" si="2"/>
        <v>43635</v>
      </c>
      <c r="B171">
        <v>1028.97</v>
      </c>
      <c r="C171">
        <v>99.35</v>
      </c>
      <c r="D171">
        <v>431.15</v>
      </c>
      <c r="E171">
        <v>266.01</v>
      </c>
      <c r="F171">
        <v>82.88</v>
      </c>
      <c r="G171">
        <v>83.9</v>
      </c>
      <c r="H171">
        <v>65.680000000000007</v>
      </c>
    </row>
    <row r="172" spans="1:8" x14ac:dyDescent="0.25">
      <c r="A172" s="63">
        <f t="shared" si="2"/>
        <v>43636</v>
      </c>
      <c r="B172">
        <v>1046.97</v>
      </c>
      <c r="C172">
        <v>103.11</v>
      </c>
      <c r="D172">
        <v>431.49</v>
      </c>
      <c r="E172">
        <v>256.60000000000002</v>
      </c>
      <c r="F172">
        <v>103.4</v>
      </c>
      <c r="G172">
        <v>98.06</v>
      </c>
      <c r="H172">
        <v>54.31</v>
      </c>
    </row>
    <row r="173" spans="1:8" x14ac:dyDescent="0.25">
      <c r="A173" s="63">
        <f t="shared" si="2"/>
        <v>43637</v>
      </c>
      <c r="B173">
        <v>999.74000000000012</v>
      </c>
      <c r="C173">
        <v>81.739999999999995</v>
      </c>
      <c r="D173">
        <v>407.49</v>
      </c>
      <c r="E173">
        <v>270.44</v>
      </c>
      <c r="F173">
        <v>81.98</v>
      </c>
      <c r="G173">
        <v>94.71</v>
      </c>
      <c r="H173">
        <v>63.38</v>
      </c>
    </row>
    <row r="174" spans="1:8" x14ac:dyDescent="0.25">
      <c r="A174" s="63">
        <f t="shared" si="2"/>
        <v>43638</v>
      </c>
      <c r="B174">
        <v>964.85</v>
      </c>
      <c r="C174">
        <v>86.89</v>
      </c>
      <c r="D174">
        <v>345.77</v>
      </c>
      <c r="E174">
        <v>273.22000000000003</v>
      </c>
      <c r="F174">
        <v>104.96</v>
      </c>
      <c r="G174">
        <v>94.35</v>
      </c>
      <c r="H174">
        <v>59.66</v>
      </c>
    </row>
    <row r="175" spans="1:8" x14ac:dyDescent="0.25">
      <c r="A175" s="63">
        <f t="shared" si="2"/>
        <v>43639</v>
      </c>
      <c r="B175">
        <v>689.69</v>
      </c>
      <c r="C175">
        <v>72.09</v>
      </c>
      <c r="D175">
        <v>156.08000000000001</v>
      </c>
      <c r="E175">
        <v>220.17</v>
      </c>
      <c r="F175">
        <v>85.29</v>
      </c>
      <c r="G175">
        <v>95.49</v>
      </c>
      <c r="H175">
        <v>60.57</v>
      </c>
    </row>
    <row r="176" spans="1:8" x14ac:dyDescent="0.25">
      <c r="A176" s="63">
        <f t="shared" si="2"/>
        <v>43640</v>
      </c>
      <c r="B176">
        <v>931.16000000000008</v>
      </c>
      <c r="C176">
        <v>76.900000000000006</v>
      </c>
      <c r="D176">
        <v>333.61</v>
      </c>
      <c r="E176">
        <v>269.47000000000003</v>
      </c>
      <c r="F176">
        <v>89.72</v>
      </c>
      <c r="G176">
        <v>101.46</v>
      </c>
      <c r="H176">
        <v>60</v>
      </c>
    </row>
    <row r="177" spans="1:8" x14ac:dyDescent="0.25">
      <c r="A177" s="63">
        <f t="shared" si="2"/>
        <v>43641</v>
      </c>
      <c r="B177">
        <v>1024.9499999999998</v>
      </c>
      <c r="C177">
        <v>99.21</v>
      </c>
      <c r="D177">
        <v>407.69</v>
      </c>
      <c r="E177">
        <v>253.53</v>
      </c>
      <c r="F177">
        <v>101.8</v>
      </c>
      <c r="G177">
        <v>101.29</v>
      </c>
      <c r="H177">
        <v>61.43</v>
      </c>
    </row>
    <row r="178" spans="1:8" x14ac:dyDescent="0.25">
      <c r="A178" s="63">
        <f t="shared" si="2"/>
        <v>43642</v>
      </c>
      <c r="B178">
        <v>1072.2800000000002</v>
      </c>
      <c r="C178">
        <v>114.53</v>
      </c>
      <c r="D178">
        <v>435.87</v>
      </c>
      <c r="E178">
        <v>265.82</v>
      </c>
      <c r="F178">
        <v>84.23</v>
      </c>
      <c r="G178">
        <v>111.95</v>
      </c>
      <c r="H178">
        <v>59.88</v>
      </c>
    </row>
    <row r="179" spans="1:8" x14ac:dyDescent="0.25">
      <c r="A179" s="63">
        <f t="shared" si="2"/>
        <v>43643</v>
      </c>
      <c r="B179">
        <v>1084.98</v>
      </c>
      <c r="C179">
        <v>112.33</v>
      </c>
      <c r="D179">
        <v>438.24</v>
      </c>
      <c r="E179">
        <v>266.70999999999998</v>
      </c>
      <c r="F179">
        <v>98.38</v>
      </c>
      <c r="G179">
        <v>109.77</v>
      </c>
      <c r="H179">
        <v>59.55</v>
      </c>
    </row>
    <row r="180" spans="1:8" x14ac:dyDescent="0.25">
      <c r="A180" s="63">
        <f t="shared" si="2"/>
        <v>43644</v>
      </c>
      <c r="B180">
        <v>951.87999999999988</v>
      </c>
      <c r="C180">
        <v>95.29</v>
      </c>
      <c r="D180">
        <v>364.83</v>
      </c>
      <c r="E180">
        <v>240.18</v>
      </c>
      <c r="F180">
        <v>82.76</v>
      </c>
      <c r="G180">
        <v>112.55</v>
      </c>
      <c r="H180">
        <v>56.27</v>
      </c>
    </row>
    <row r="181" spans="1:8" x14ac:dyDescent="0.25">
      <c r="A181" s="63">
        <f t="shared" si="2"/>
        <v>43645</v>
      </c>
      <c r="B181">
        <v>988.99</v>
      </c>
      <c r="C181">
        <v>115.08</v>
      </c>
      <c r="D181">
        <v>386.3</v>
      </c>
      <c r="E181">
        <v>243.58</v>
      </c>
      <c r="F181">
        <v>91.77</v>
      </c>
      <c r="G181">
        <v>101.8</v>
      </c>
      <c r="H181">
        <v>50.46</v>
      </c>
    </row>
    <row r="182" spans="1:8" x14ac:dyDescent="0.25">
      <c r="A182" s="63">
        <f t="shared" si="2"/>
        <v>43646</v>
      </c>
      <c r="B182">
        <v>944.0200000000001</v>
      </c>
      <c r="C182">
        <v>94.97</v>
      </c>
      <c r="D182">
        <v>400.13</v>
      </c>
      <c r="E182">
        <v>212.57</v>
      </c>
      <c r="F182">
        <v>87.75</v>
      </c>
      <c r="G182">
        <v>96.48</v>
      </c>
      <c r="H182">
        <v>52.12</v>
      </c>
    </row>
    <row r="183" spans="1:8" x14ac:dyDescent="0.25">
      <c r="A183" s="63">
        <f t="shared" si="2"/>
        <v>43647</v>
      </c>
      <c r="B183">
        <v>958.80000000000007</v>
      </c>
      <c r="C183">
        <v>98.74</v>
      </c>
      <c r="D183">
        <v>407.37</v>
      </c>
      <c r="E183">
        <v>207.5</v>
      </c>
      <c r="F183">
        <v>91.06</v>
      </c>
      <c r="G183">
        <v>101.53</v>
      </c>
      <c r="H183">
        <v>52.6</v>
      </c>
    </row>
    <row r="184" spans="1:8" x14ac:dyDescent="0.25">
      <c r="A184" s="63">
        <f t="shared" si="2"/>
        <v>43648</v>
      </c>
      <c r="B184">
        <v>1006.1700000000002</v>
      </c>
      <c r="C184">
        <v>87.47</v>
      </c>
      <c r="D184">
        <v>387.22</v>
      </c>
      <c r="E184">
        <v>279.94</v>
      </c>
      <c r="F184">
        <v>94.96</v>
      </c>
      <c r="G184">
        <v>104.37</v>
      </c>
      <c r="H184">
        <v>52.21</v>
      </c>
    </row>
    <row r="185" spans="1:8" x14ac:dyDescent="0.25">
      <c r="A185" s="63">
        <f t="shared" si="2"/>
        <v>43649</v>
      </c>
      <c r="B185">
        <v>1083.73</v>
      </c>
      <c r="C185">
        <v>98.64</v>
      </c>
      <c r="D185">
        <v>461.9</v>
      </c>
      <c r="E185">
        <v>276.79000000000002</v>
      </c>
      <c r="F185">
        <v>95.95</v>
      </c>
      <c r="G185">
        <v>95.54</v>
      </c>
      <c r="H185">
        <v>54.91</v>
      </c>
    </row>
    <row r="186" spans="1:8" x14ac:dyDescent="0.25">
      <c r="A186" s="63">
        <f t="shared" si="2"/>
        <v>43650</v>
      </c>
      <c r="B186">
        <v>1063.5899999999999</v>
      </c>
      <c r="C186">
        <v>97.62</v>
      </c>
      <c r="D186">
        <v>429.01</v>
      </c>
      <c r="E186">
        <v>297.48</v>
      </c>
      <c r="F186">
        <v>92.72</v>
      </c>
      <c r="G186">
        <v>95.55</v>
      </c>
      <c r="H186">
        <v>51.21</v>
      </c>
    </row>
    <row r="187" spans="1:8" x14ac:dyDescent="0.25">
      <c r="A187" s="63">
        <f t="shared" si="2"/>
        <v>43651</v>
      </c>
      <c r="B187">
        <v>1005.65</v>
      </c>
      <c r="C187">
        <v>93.69</v>
      </c>
      <c r="D187">
        <v>410.72</v>
      </c>
      <c r="E187">
        <v>271.08999999999997</v>
      </c>
      <c r="F187">
        <v>94.58</v>
      </c>
      <c r="G187">
        <v>87.28</v>
      </c>
      <c r="H187">
        <v>48.29</v>
      </c>
    </row>
    <row r="188" spans="1:8" x14ac:dyDescent="0.25">
      <c r="A188" s="63">
        <f t="shared" si="2"/>
        <v>43652</v>
      </c>
      <c r="B188">
        <v>849.75</v>
      </c>
      <c r="C188">
        <v>102.02</v>
      </c>
      <c r="D188">
        <v>296.17</v>
      </c>
      <c r="E188">
        <v>267.52</v>
      </c>
      <c r="F188">
        <v>73.260000000000005</v>
      </c>
      <c r="G188">
        <v>61.53</v>
      </c>
      <c r="H188">
        <v>49.25</v>
      </c>
    </row>
    <row r="189" spans="1:8" x14ac:dyDescent="0.25">
      <c r="A189" s="63">
        <f t="shared" si="2"/>
        <v>43653</v>
      </c>
      <c r="B189">
        <v>445.21999999999997</v>
      </c>
      <c r="C189">
        <v>92.35</v>
      </c>
      <c r="D189">
        <v>108.86</v>
      </c>
      <c r="E189">
        <v>52.81</v>
      </c>
      <c r="F189">
        <v>71.38</v>
      </c>
      <c r="G189">
        <v>70.89</v>
      </c>
      <c r="H189">
        <v>48.93</v>
      </c>
    </row>
    <row r="190" spans="1:8" x14ac:dyDescent="0.25">
      <c r="A190" s="63">
        <f t="shared" si="2"/>
        <v>43654</v>
      </c>
      <c r="B190">
        <v>922</v>
      </c>
      <c r="C190">
        <v>89.92</v>
      </c>
      <c r="D190">
        <v>358.74</v>
      </c>
      <c r="E190">
        <v>271.02999999999997</v>
      </c>
      <c r="F190">
        <v>73</v>
      </c>
      <c r="G190">
        <v>77.88</v>
      </c>
      <c r="H190">
        <v>51.43</v>
      </c>
    </row>
    <row r="191" spans="1:8" x14ac:dyDescent="0.25">
      <c r="A191" s="63">
        <f t="shared" si="2"/>
        <v>43655</v>
      </c>
      <c r="B191">
        <v>982.50000000000011</v>
      </c>
      <c r="C191">
        <v>97.22</v>
      </c>
      <c r="D191">
        <v>433.87</v>
      </c>
      <c r="E191">
        <v>268.79000000000002</v>
      </c>
      <c r="F191">
        <v>74.52</v>
      </c>
      <c r="G191">
        <v>81.88</v>
      </c>
      <c r="H191">
        <v>26.22</v>
      </c>
    </row>
    <row r="192" spans="1:8" x14ac:dyDescent="0.25">
      <c r="A192" s="63">
        <f t="shared" si="2"/>
        <v>43656</v>
      </c>
      <c r="B192">
        <v>992.09</v>
      </c>
      <c r="C192">
        <v>101.84</v>
      </c>
      <c r="D192">
        <v>425.8</v>
      </c>
      <c r="E192">
        <v>264.58</v>
      </c>
      <c r="F192">
        <v>83.21</v>
      </c>
      <c r="G192">
        <v>92.14</v>
      </c>
      <c r="H192">
        <v>24.52</v>
      </c>
    </row>
    <row r="193" spans="1:8" x14ac:dyDescent="0.25">
      <c r="A193" s="63">
        <f t="shared" si="2"/>
        <v>43657</v>
      </c>
      <c r="B193">
        <v>1000.7599999999999</v>
      </c>
      <c r="C193">
        <v>100.81</v>
      </c>
      <c r="D193">
        <v>434.22</v>
      </c>
      <c r="E193">
        <v>266.52999999999997</v>
      </c>
      <c r="F193">
        <v>77.17</v>
      </c>
      <c r="G193">
        <v>92.35</v>
      </c>
      <c r="H193">
        <v>29.68</v>
      </c>
    </row>
    <row r="194" spans="1:8" x14ac:dyDescent="0.25">
      <c r="A194" s="63">
        <f t="shared" si="2"/>
        <v>43658</v>
      </c>
      <c r="B194">
        <v>1024.69</v>
      </c>
      <c r="C194">
        <v>109.16</v>
      </c>
      <c r="D194">
        <v>461.24</v>
      </c>
      <c r="E194">
        <v>266.33999999999997</v>
      </c>
      <c r="F194">
        <v>68.45</v>
      </c>
      <c r="G194">
        <v>94.25</v>
      </c>
      <c r="H194">
        <v>25.25</v>
      </c>
    </row>
    <row r="195" spans="1:8" x14ac:dyDescent="0.25">
      <c r="A195" s="63">
        <f t="shared" si="2"/>
        <v>43659</v>
      </c>
      <c r="B195">
        <v>908.84</v>
      </c>
      <c r="C195">
        <v>88.9</v>
      </c>
      <c r="D195">
        <v>371.55</v>
      </c>
      <c r="E195">
        <v>267.3</v>
      </c>
      <c r="F195">
        <v>61.89</v>
      </c>
      <c r="G195">
        <v>94.72</v>
      </c>
      <c r="H195">
        <v>24.48</v>
      </c>
    </row>
    <row r="196" spans="1:8" x14ac:dyDescent="0.25">
      <c r="A196" s="63">
        <f t="shared" ref="A196:A259" si="3">A195+1</f>
        <v>43660</v>
      </c>
      <c r="B196">
        <v>835.6</v>
      </c>
      <c r="C196">
        <v>78.150000000000006</v>
      </c>
      <c r="D196">
        <v>334.25</v>
      </c>
      <c r="E196">
        <v>239.24</v>
      </c>
      <c r="F196">
        <v>55.75</v>
      </c>
      <c r="G196">
        <v>104.25</v>
      </c>
      <c r="H196">
        <v>23.96</v>
      </c>
    </row>
    <row r="197" spans="1:8" x14ac:dyDescent="0.25">
      <c r="A197" s="63">
        <f t="shared" si="3"/>
        <v>43661</v>
      </c>
      <c r="B197">
        <v>908.99</v>
      </c>
      <c r="C197">
        <v>83.74</v>
      </c>
      <c r="D197">
        <v>375.94</v>
      </c>
      <c r="E197">
        <v>266.32</v>
      </c>
      <c r="F197">
        <v>52.51</v>
      </c>
      <c r="G197">
        <v>105.01</v>
      </c>
      <c r="H197">
        <v>25.47</v>
      </c>
    </row>
    <row r="198" spans="1:8" x14ac:dyDescent="0.25">
      <c r="A198" s="63">
        <f t="shared" si="3"/>
        <v>43662</v>
      </c>
      <c r="B198">
        <v>985.59999999999991</v>
      </c>
      <c r="C198">
        <v>98.12</v>
      </c>
      <c r="D198">
        <v>406.03</v>
      </c>
      <c r="E198">
        <v>265.61</v>
      </c>
      <c r="F198">
        <v>78.31</v>
      </c>
      <c r="G198">
        <v>109.6</v>
      </c>
      <c r="H198">
        <v>27.93</v>
      </c>
    </row>
    <row r="199" spans="1:8" x14ac:dyDescent="0.25">
      <c r="A199" s="63">
        <f t="shared" si="3"/>
        <v>43663</v>
      </c>
      <c r="B199">
        <v>1041.24</v>
      </c>
      <c r="C199">
        <v>105.76</v>
      </c>
      <c r="D199">
        <v>458.78</v>
      </c>
      <c r="E199">
        <v>266.16000000000003</v>
      </c>
      <c r="F199">
        <v>74.989999999999995</v>
      </c>
      <c r="G199">
        <v>109.55</v>
      </c>
      <c r="H199">
        <v>26</v>
      </c>
    </row>
    <row r="200" spans="1:8" x14ac:dyDescent="0.25">
      <c r="A200" s="63">
        <f t="shared" si="3"/>
        <v>43664</v>
      </c>
      <c r="B200">
        <v>1033.98</v>
      </c>
      <c r="C200">
        <v>113.81</v>
      </c>
      <c r="D200">
        <v>439.54</v>
      </c>
      <c r="E200">
        <v>271.76</v>
      </c>
      <c r="F200">
        <v>76.09</v>
      </c>
      <c r="G200">
        <v>107.77</v>
      </c>
      <c r="H200">
        <v>25.01</v>
      </c>
    </row>
    <row r="201" spans="1:8" x14ac:dyDescent="0.25">
      <c r="A201" s="63">
        <f t="shared" si="3"/>
        <v>43665</v>
      </c>
      <c r="B201">
        <v>975.18999999999994</v>
      </c>
      <c r="C201">
        <v>101.2</v>
      </c>
      <c r="D201">
        <v>427.54</v>
      </c>
      <c r="E201">
        <v>211.17</v>
      </c>
      <c r="F201">
        <v>72.099999999999994</v>
      </c>
      <c r="G201">
        <v>109.41</v>
      </c>
      <c r="H201">
        <v>53.77</v>
      </c>
    </row>
    <row r="202" spans="1:8" x14ac:dyDescent="0.25">
      <c r="A202" s="63">
        <f t="shared" si="3"/>
        <v>43666</v>
      </c>
      <c r="B202">
        <v>960.99999999999989</v>
      </c>
      <c r="C202">
        <v>85.21</v>
      </c>
      <c r="D202">
        <v>406.06</v>
      </c>
      <c r="E202">
        <v>238.02</v>
      </c>
      <c r="F202">
        <v>71.819999999999993</v>
      </c>
      <c r="G202">
        <v>105.73</v>
      </c>
      <c r="H202">
        <v>54.16</v>
      </c>
    </row>
    <row r="203" spans="1:8" x14ac:dyDescent="0.25">
      <c r="A203" s="63">
        <f t="shared" si="3"/>
        <v>43667</v>
      </c>
      <c r="B203">
        <v>872.74</v>
      </c>
      <c r="C203">
        <v>72.17</v>
      </c>
      <c r="D203">
        <v>316.97000000000003</v>
      </c>
      <c r="E203">
        <v>255.46</v>
      </c>
      <c r="F203">
        <v>74.459999999999994</v>
      </c>
      <c r="G203">
        <v>98.93</v>
      </c>
      <c r="H203">
        <v>54.75</v>
      </c>
    </row>
    <row r="204" spans="1:8" x14ac:dyDescent="0.25">
      <c r="A204" s="63">
        <f t="shared" si="3"/>
        <v>43668</v>
      </c>
      <c r="B204">
        <v>1051.5200000000002</v>
      </c>
      <c r="C204">
        <v>103.8</v>
      </c>
      <c r="D204">
        <v>415.02</v>
      </c>
      <c r="E204">
        <v>278.92</v>
      </c>
      <c r="F204">
        <v>85.68</v>
      </c>
      <c r="G204">
        <v>111.47</v>
      </c>
      <c r="H204">
        <v>56.63</v>
      </c>
    </row>
    <row r="205" spans="1:8" x14ac:dyDescent="0.25">
      <c r="A205" s="63">
        <f t="shared" si="3"/>
        <v>43669</v>
      </c>
      <c r="B205">
        <v>1000.6800000000001</v>
      </c>
      <c r="C205">
        <v>100.75</v>
      </c>
      <c r="D205">
        <v>395.44</v>
      </c>
      <c r="E205">
        <v>253.9</v>
      </c>
      <c r="F205">
        <v>88.57</v>
      </c>
      <c r="G205">
        <v>106.05</v>
      </c>
      <c r="H205">
        <v>55.97</v>
      </c>
    </row>
    <row r="206" spans="1:8" x14ac:dyDescent="0.25">
      <c r="A206" s="63">
        <f t="shared" si="3"/>
        <v>43670</v>
      </c>
      <c r="B206">
        <v>1125.75</v>
      </c>
      <c r="C206">
        <v>118.1</v>
      </c>
      <c r="D206">
        <v>441.68</v>
      </c>
      <c r="E206">
        <v>292.81</v>
      </c>
      <c r="F206">
        <v>91.72</v>
      </c>
      <c r="G206">
        <v>126.96</v>
      </c>
      <c r="H206">
        <v>54.48</v>
      </c>
    </row>
    <row r="207" spans="1:8" x14ac:dyDescent="0.25">
      <c r="A207" s="63">
        <f t="shared" si="3"/>
        <v>43671</v>
      </c>
      <c r="B207">
        <v>1064.04</v>
      </c>
      <c r="C207">
        <v>79.62</v>
      </c>
      <c r="D207">
        <v>409.76</v>
      </c>
      <c r="E207">
        <v>307.83</v>
      </c>
      <c r="F207">
        <v>92.88</v>
      </c>
      <c r="G207">
        <v>118.34</v>
      </c>
      <c r="H207">
        <v>55.61</v>
      </c>
    </row>
    <row r="208" spans="1:8" x14ac:dyDescent="0.25">
      <c r="A208" s="63">
        <f t="shared" si="3"/>
        <v>43672</v>
      </c>
      <c r="B208">
        <v>1116.8100000000002</v>
      </c>
      <c r="C208">
        <v>93.09</v>
      </c>
      <c r="D208">
        <v>458.75</v>
      </c>
      <c r="E208">
        <v>304.99</v>
      </c>
      <c r="F208">
        <v>83.33</v>
      </c>
      <c r="G208">
        <v>118.68</v>
      </c>
      <c r="H208">
        <v>57.97</v>
      </c>
    </row>
    <row r="209" spans="1:8" x14ac:dyDescent="0.25">
      <c r="A209" s="63">
        <f t="shared" si="3"/>
        <v>43673</v>
      </c>
      <c r="B209">
        <v>1057.4399999999998</v>
      </c>
      <c r="C209">
        <v>109.37</v>
      </c>
      <c r="D209">
        <v>415.95</v>
      </c>
      <c r="E209">
        <v>287.88</v>
      </c>
      <c r="F209">
        <v>87.14</v>
      </c>
      <c r="G209">
        <v>102.01</v>
      </c>
      <c r="H209">
        <v>55.09</v>
      </c>
    </row>
    <row r="210" spans="1:8" x14ac:dyDescent="0.25">
      <c r="A210" s="63">
        <f t="shared" si="3"/>
        <v>43674</v>
      </c>
      <c r="B210">
        <v>1085.6099999999999</v>
      </c>
      <c r="C210">
        <v>104.41</v>
      </c>
      <c r="D210">
        <v>429.28</v>
      </c>
      <c r="E210">
        <v>306.52</v>
      </c>
      <c r="F210">
        <v>81.16</v>
      </c>
      <c r="G210">
        <v>109.1</v>
      </c>
      <c r="H210">
        <v>55.14</v>
      </c>
    </row>
    <row r="211" spans="1:8" x14ac:dyDescent="0.25">
      <c r="A211" s="63">
        <f t="shared" si="3"/>
        <v>43675</v>
      </c>
      <c r="B211">
        <v>1051.6199999999999</v>
      </c>
      <c r="C211">
        <v>101.32</v>
      </c>
      <c r="D211">
        <v>377</v>
      </c>
      <c r="E211">
        <v>308.27999999999997</v>
      </c>
      <c r="F211">
        <v>96.22</v>
      </c>
      <c r="G211">
        <v>110.87</v>
      </c>
      <c r="H211">
        <v>57.93</v>
      </c>
    </row>
    <row r="212" spans="1:8" x14ac:dyDescent="0.25">
      <c r="A212" s="63">
        <f t="shared" si="3"/>
        <v>43676</v>
      </c>
      <c r="B212">
        <v>1058.71</v>
      </c>
      <c r="C212">
        <v>100.83</v>
      </c>
      <c r="D212">
        <v>375.65</v>
      </c>
      <c r="E212">
        <v>304.20999999999998</v>
      </c>
      <c r="F212">
        <v>102.61</v>
      </c>
      <c r="G212">
        <v>116.64</v>
      </c>
      <c r="H212">
        <v>58.77</v>
      </c>
    </row>
    <row r="213" spans="1:8" x14ac:dyDescent="0.25">
      <c r="A213" s="63">
        <f t="shared" si="3"/>
        <v>43677</v>
      </c>
      <c r="B213">
        <v>1095.3399999999999</v>
      </c>
      <c r="C213">
        <v>100.44</v>
      </c>
      <c r="D213">
        <v>445.32</v>
      </c>
      <c r="E213">
        <v>284.58999999999997</v>
      </c>
      <c r="F213">
        <v>99.74</v>
      </c>
      <c r="G213">
        <v>105.47</v>
      </c>
      <c r="H213">
        <v>59.78</v>
      </c>
    </row>
    <row r="214" spans="1:8" x14ac:dyDescent="0.25">
      <c r="A214" s="63">
        <f t="shared" si="3"/>
        <v>43678</v>
      </c>
      <c r="B214">
        <v>1141.2800000000002</v>
      </c>
      <c r="C214">
        <v>114.06</v>
      </c>
      <c r="D214">
        <v>446.91</v>
      </c>
      <c r="E214">
        <v>314.66000000000003</v>
      </c>
      <c r="F214">
        <v>97.23</v>
      </c>
      <c r="G214">
        <v>109.19</v>
      </c>
      <c r="H214">
        <v>59.23</v>
      </c>
    </row>
    <row r="215" spans="1:8" x14ac:dyDescent="0.25">
      <c r="A215" s="63">
        <f t="shared" si="3"/>
        <v>43679</v>
      </c>
      <c r="B215">
        <v>1138.6299999999999</v>
      </c>
      <c r="C215">
        <v>136.19</v>
      </c>
      <c r="D215">
        <v>457.07</v>
      </c>
      <c r="E215">
        <v>279.31</v>
      </c>
      <c r="F215">
        <v>101.2</v>
      </c>
      <c r="G215">
        <v>104.53</v>
      </c>
      <c r="H215">
        <v>60.33</v>
      </c>
    </row>
    <row r="216" spans="1:8" x14ac:dyDescent="0.25">
      <c r="A216" s="63">
        <f t="shared" si="3"/>
        <v>43680</v>
      </c>
      <c r="B216">
        <v>1077.8900000000001</v>
      </c>
      <c r="C216">
        <v>107.92</v>
      </c>
      <c r="D216">
        <v>389.03</v>
      </c>
      <c r="E216">
        <v>313.22000000000003</v>
      </c>
      <c r="F216">
        <v>99.18</v>
      </c>
      <c r="G216">
        <v>108.35</v>
      </c>
      <c r="H216">
        <v>60.19</v>
      </c>
    </row>
    <row r="217" spans="1:8" x14ac:dyDescent="0.25">
      <c r="A217" s="63">
        <f t="shared" si="3"/>
        <v>43681</v>
      </c>
      <c r="B217">
        <v>896.88000000000011</v>
      </c>
      <c r="C217">
        <v>109.73</v>
      </c>
      <c r="D217">
        <v>243.94</v>
      </c>
      <c r="E217">
        <v>277.27999999999997</v>
      </c>
      <c r="F217">
        <v>96.2</v>
      </c>
      <c r="G217">
        <v>109.54</v>
      </c>
      <c r="H217">
        <v>60.19</v>
      </c>
    </row>
    <row r="218" spans="1:8" x14ac:dyDescent="0.25">
      <c r="A218" s="63">
        <f t="shared" si="3"/>
        <v>43682</v>
      </c>
      <c r="B218">
        <v>1039.92</v>
      </c>
      <c r="C218">
        <v>117.03</v>
      </c>
      <c r="D218">
        <v>342.48</v>
      </c>
      <c r="E218">
        <v>292.54000000000002</v>
      </c>
      <c r="F218">
        <v>99.14</v>
      </c>
      <c r="G218">
        <v>125.84</v>
      </c>
      <c r="H218">
        <v>62.89</v>
      </c>
    </row>
    <row r="219" spans="1:8" x14ac:dyDescent="0.25">
      <c r="A219" s="63">
        <f t="shared" si="3"/>
        <v>43683</v>
      </c>
      <c r="B219">
        <v>1081.04</v>
      </c>
      <c r="C219">
        <v>105.95</v>
      </c>
      <c r="D219">
        <v>428.77</v>
      </c>
      <c r="E219">
        <v>289.55</v>
      </c>
      <c r="F219">
        <v>83.52</v>
      </c>
      <c r="G219">
        <v>113.19</v>
      </c>
      <c r="H219">
        <v>60.06</v>
      </c>
    </row>
    <row r="220" spans="1:8" x14ac:dyDescent="0.25">
      <c r="A220" s="63">
        <f t="shared" si="3"/>
        <v>43684</v>
      </c>
      <c r="B220">
        <v>1141.8200000000002</v>
      </c>
      <c r="C220">
        <v>112.65</v>
      </c>
      <c r="D220">
        <v>452</v>
      </c>
      <c r="E220">
        <v>297.05</v>
      </c>
      <c r="F220">
        <v>109.88</v>
      </c>
      <c r="G220">
        <v>109.59</v>
      </c>
      <c r="H220">
        <v>60.65</v>
      </c>
    </row>
    <row r="221" spans="1:8" x14ac:dyDescent="0.25">
      <c r="A221" s="63">
        <f t="shared" si="3"/>
        <v>43685</v>
      </c>
      <c r="B221">
        <v>1096.0899999999999</v>
      </c>
      <c r="C221">
        <v>79.260000000000005</v>
      </c>
      <c r="D221">
        <v>453.08</v>
      </c>
      <c r="E221">
        <v>300.45</v>
      </c>
      <c r="F221">
        <v>106.28</v>
      </c>
      <c r="G221">
        <v>98.67</v>
      </c>
      <c r="H221">
        <v>58.35</v>
      </c>
    </row>
    <row r="222" spans="1:8" x14ac:dyDescent="0.25">
      <c r="A222" s="63">
        <f t="shared" si="3"/>
        <v>43686</v>
      </c>
      <c r="B222">
        <v>1157.6399999999999</v>
      </c>
      <c r="C222">
        <v>132.35</v>
      </c>
      <c r="D222">
        <v>464.32</v>
      </c>
      <c r="E222">
        <v>294.29000000000002</v>
      </c>
      <c r="F222">
        <v>91.53</v>
      </c>
      <c r="G222">
        <v>116.88</v>
      </c>
      <c r="H222">
        <v>58.27</v>
      </c>
    </row>
    <row r="223" spans="1:8" x14ac:dyDescent="0.25">
      <c r="A223" s="63">
        <f t="shared" si="3"/>
        <v>43687</v>
      </c>
      <c r="B223">
        <v>1037.6300000000001</v>
      </c>
      <c r="C223">
        <v>103.24</v>
      </c>
      <c r="D223">
        <v>358.41</v>
      </c>
      <c r="E223">
        <v>297.19</v>
      </c>
      <c r="F223">
        <v>106.19</v>
      </c>
      <c r="G223">
        <v>113.2</v>
      </c>
      <c r="H223">
        <v>59.4</v>
      </c>
    </row>
    <row r="224" spans="1:8" x14ac:dyDescent="0.25">
      <c r="A224" s="63">
        <f t="shared" si="3"/>
        <v>43688</v>
      </c>
      <c r="B224">
        <v>1087.1399999999999</v>
      </c>
      <c r="C224">
        <v>85.02</v>
      </c>
      <c r="D224">
        <v>456.08</v>
      </c>
      <c r="E224">
        <v>285.89999999999998</v>
      </c>
      <c r="F224">
        <v>84.56</v>
      </c>
      <c r="G224">
        <v>116.35</v>
      </c>
      <c r="H224">
        <v>59.23</v>
      </c>
    </row>
    <row r="225" spans="1:8" x14ac:dyDescent="0.25">
      <c r="A225" s="63">
        <f t="shared" si="3"/>
        <v>43689</v>
      </c>
      <c r="B225">
        <v>1057.1499999999999</v>
      </c>
      <c r="C225">
        <v>115.41</v>
      </c>
      <c r="D225">
        <v>377.95</v>
      </c>
      <c r="E225">
        <v>299.74</v>
      </c>
      <c r="F225">
        <v>86.44</v>
      </c>
      <c r="G225">
        <v>118.55</v>
      </c>
      <c r="H225">
        <v>59.06</v>
      </c>
    </row>
    <row r="226" spans="1:8" x14ac:dyDescent="0.25">
      <c r="A226" s="63">
        <f t="shared" si="3"/>
        <v>43690</v>
      </c>
      <c r="B226">
        <v>1177.97</v>
      </c>
      <c r="C226">
        <v>129.81</v>
      </c>
      <c r="D226">
        <v>466.85</v>
      </c>
      <c r="E226">
        <v>295.32</v>
      </c>
      <c r="F226">
        <v>102.86</v>
      </c>
      <c r="G226">
        <v>121.21</v>
      </c>
      <c r="H226">
        <v>61.92</v>
      </c>
    </row>
    <row r="227" spans="1:8" x14ac:dyDescent="0.25">
      <c r="A227" s="63">
        <f t="shared" si="3"/>
        <v>43691</v>
      </c>
      <c r="B227">
        <v>1100.7</v>
      </c>
      <c r="C227">
        <v>113.54</v>
      </c>
      <c r="D227">
        <v>425.17</v>
      </c>
      <c r="E227">
        <v>297.19</v>
      </c>
      <c r="F227">
        <v>103.26</v>
      </c>
      <c r="G227">
        <v>101.98</v>
      </c>
      <c r="H227">
        <v>59.56</v>
      </c>
    </row>
    <row r="228" spans="1:8" x14ac:dyDescent="0.25">
      <c r="A228" s="63">
        <f t="shared" si="3"/>
        <v>43692</v>
      </c>
      <c r="B228">
        <v>1101.1099999999999</v>
      </c>
      <c r="C228">
        <v>109.09</v>
      </c>
      <c r="D228">
        <v>435.96</v>
      </c>
      <c r="E228">
        <v>293.55</v>
      </c>
      <c r="F228">
        <v>95.9</v>
      </c>
      <c r="G228">
        <v>107.56</v>
      </c>
      <c r="H228">
        <v>59.05</v>
      </c>
    </row>
    <row r="229" spans="1:8" x14ac:dyDescent="0.25">
      <c r="A229" s="63">
        <f t="shared" si="3"/>
        <v>43693</v>
      </c>
      <c r="B229">
        <v>1085.6600000000001</v>
      </c>
      <c r="C229">
        <v>131.55000000000001</v>
      </c>
      <c r="D229">
        <v>430.43</v>
      </c>
      <c r="E229">
        <v>257.27</v>
      </c>
      <c r="F229">
        <v>95.87</v>
      </c>
      <c r="G229">
        <v>114.37</v>
      </c>
      <c r="H229">
        <v>56.17</v>
      </c>
    </row>
    <row r="230" spans="1:8" x14ac:dyDescent="0.25">
      <c r="A230" s="63">
        <f t="shared" si="3"/>
        <v>43694</v>
      </c>
      <c r="B230">
        <v>964.62999999999988</v>
      </c>
      <c r="C230">
        <v>95.74</v>
      </c>
      <c r="D230">
        <v>369.05</v>
      </c>
      <c r="E230">
        <v>256.26</v>
      </c>
      <c r="F230">
        <v>91.67</v>
      </c>
      <c r="G230">
        <v>90.54</v>
      </c>
      <c r="H230">
        <v>61.37</v>
      </c>
    </row>
    <row r="231" spans="1:8" x14ac:dyDescent="0.25">
      <c r="A231" s="63">
        <f t="shared" si="3"/>
        <v>43695</v>
      </c>
      <c r="B231">
        <v>759.81999999999994</v>
      </c>
      <c r="C231">
        <v>68.28</v>
      </c>
      <c r="D231">
        <v>300.76</v>
      </c>
      <c r="E231">
        <v>152.11000000000001</v>
      </c>
      <c r="F231">
        <v>88.8</v>
      </c>
      <c r="G231">
        <v>89.77</v>
      </c>
      <c r="H231">
        <v>60.1</v>
      </c>
    </row>
    <row r="232" spans="1:8" x14ac:dyDescent="0.25">
      <c r="A232" s="63">
        <f t="shared" si="3"/>
        <v>43696</v>
      </c>
      <c r="B232">
        <v>943.54</v>
      </c>
      <c r="C232">
        <v>95.59</v>
      </c>
      <c r="D232">
        <v>350.95</v>
      </c>
      <c r="E232">
        <v>254.17</v>
      </c>
      <c r="F232">
        <v>88.57</v>
      </c>
      <c r="G232">
        <v>95.27</v>
      </c>
      <c r="H232">
        <v>58.99</v>
      </c>
    </row>
    <row r="233" spans="1:8" x14ac:dyDescent="0.25">
      <c r="A233" s="63">
        <f t="shared" si="3"/>
        <v>43697</v>
      </c>
      <c r="B233">
        <v>959.6400000000001</v>
      </c>
      <c r="C233">
        <v>103.72</v>
      </c>
      <c r="D233">
        <v>374.56</v>
      </c>
      <c r="E233">
        <v>247.85</v>
      </c>
      <c r="F233">
        <v>71.81</v>
      </c>
      <c r="G233">
        <v>108.68</v>
      </c>
      <c r="H233">
        <v>53.02</v>
      </c>
    </row>
    <row r="234" spans="1:8" x14ac:dyDescent="0.25">
      <c r="A234" s="63">
        <f t="shared" si="3"/>
        <v>43698</v>
      </c>
      <c r="B234">
        <v>960.94</v>
      </c>
      <c r="C234">
        <v>108.89</v>
      </c>
      <c r="D234">
        <v>383.9</v>
      </c>
      <c r="E234">
        <v>250.74</v>
      </c>
      <c r="F234">
        <v>79.209999999999994</v>
      </c>
      <c r="G234">
        <v>86.19</v>
      </c>
      <c r="H234">
        <v>52.01</v>
      </c>
    </row>
    <row r="235" spans="1:8" x14ac:dyDescent="0.25">
      <c r="A235" s="63">
        <f t="shared" si="3"/>
        <v>43699</v>
      </c>
      <c r="B235">
        <v>934.45</v>
      </c>
      <c r="C235">
        <v>82.63</v>
      </c>
      <c r="D235">
        <v>378.17</v>
      </c>
      <c r="E235">
        <v>238.66</v>
      </c>
      <c r="F235">
        <v>85.51</v>
      </c>
      <c r="G235">
        <v>96.76</v>
      </c>
      <c r="H235">
        <v>52.72</v>
      </c>
    </row>
    <row r="236" spans="1:8" x14ac:dyDescent="0.25">
      <c r="A236" s="63">
        <f t="shared" si="3"/>
        <v>43700</v>
      </c>
      <c r="B236">
        <v>885.95999999999992</v>
      </c>
      <c r="C236">
        <v>80.069999999999993</v>
      </c>
      <c r="D236">
        <v>322.20999999999998</v>
      </c>
      <c r="E236">
        <v>241.15</v>
      </c>
      <c r="F236">
        <v>97.01</v>
      </c>
      <c r="G236">
        <v>91.8</v>
      </c>
      <c r="H236">
        <v>53.72</v>
      </c>
    </row>
    <row r="237" spans="1:8" x14ac:dyDescent="0.25">
      <c r="A237" s="63">
        <f t="shared" si="3"/>
        <v>43701</v>
      </c>
      <c r="B237">
        <v>832.54</v>
      </c>
      <c r="C237">
        <v>69.45</v>
      </c>
      <c r="D237">
        <v>279.79000000000002</v>
      </c>
      <c r="E237">
        <v>238.12</v>
      </c>
      <c r="F237">
        <v>96.75</v>
      </c>
      <c r="G237">
        <v>93.67</v>
      </c>
      <c r="H237">
        <v>54.76</v>
      </c>
    </row>
    <row r="238" spans="1:8" x14ac:dyDescent="0.25">
      <c r="A238" s="63">
        <f t="shared" si="3"/>
        <v>43702</v>
      </c>
      <c r="B238">
        <v>831.17000000000007</v>
      </c>
      <c r="C238">
        <v>54.09</v>
      </c>
      <c r="D238">
        <v>298.82</v>
      </c>
      <c r="E238">
        <v>224.64</v>
      </c>
      <c r="F238">
        <v>92.72</v>
      </c>
      <c r="G238">
        <v>104.33</v>
      </c>
      <c r="H238">
        <v>56.57</v>
      </c>
    </row>
    <row r="239" spans="1:8" x14ac:dyDescent="0.25">
      <c r="A239" s="63">
        <f t="shared" si="3"/>
        <v>43703</v>
      </c>
      <c r="B239">
        <v>929.50999999999988</v>
      </c>
      <c r="C239">
        <v>89.32</v>
      </c>
      <c r="D239">
        <v>333.38</v>
      </c>
      <c r="E239">
        <v>248.64</v>
      </c>
      <c r="F239">
        <v>92.04</v>
      </c>
      <c r="G239">
        <v>109.71</v>
      </c>
      <c r="H239">
        <v>56.42</v>
      </c>
    </row>
    <row r="240" spans="1:8" x14ac:dyDescent="0.25">
      <c r="A240" s="63">
        <f t="shared" si="3"/>
        <v>43704</v>
      </c>
      <c r="B240">
        <v>917.1</v>
      </c>
      <c r="C240">
        <v>74.33</v>
      </c>
      <c r="D240">
        <v>344.78</v>
      </c>
      <c r="E240">
        <v>247.78</v>
      </c>
      <c r="F240">
        <v>83.65</v>
      </c>
      <c r="G240">
        <v>107.24</v>
      </c>
      <c r="H240">
        <v>59.32</v>
      </c>
    </row>
    <row r="241" spans="1:8" x14ac:dyDescent="0.25">
      <c r="A241" s="63">
        <f t="shared" si="3"/>
        <v>43705</v>
      </c>
      <c r="B241">
        <v>819.59</v>
      </c>
      <c r="C241">
        <v>72.760000000000005</v>
      </c>
      <c r="D241">
        <v>310.88</v>
      </c>
      <c r="E241">
        <v>201.55</v>
      </c>
      <c r="F241">
        <v>88.23</v>
      </c>
      <c r="G241">
        <v>87.9</v>
      </c>
      <c r="H241">
        <v>58.27</v>
      </c>
    </row>
    <row r="242" spans="1:8" x14ac:dyDescent="0.25">
      <c r="A242" s="63">
        <f t="shared" si="3"/>
        <v>43706</v>
      </c>
      <c r="B242">
        <v>762.42</v>
      </c>
      <c r="C242">
        <v>67.94</v>
      </c>
      <c r="D242">
        <v>322.98</v>
      </c>
      <c r="E242">
        <v>145.88</v>
      </c>
      <c r="F242">
        <v>72.489999999999995</v>
      </c>
      <c r="G242">
        <v>91.13</v>
      </c>
      <c r="H242">
        <v>62</v>
      </c>
    </row>
    <row r="243" spans="1:8" x14ac:dyDescent="0.25">
      <c r="A243" s="63">
        <f t="shared" si="3"/>
        <v>43707</v>
      </c>
      <c r="B243">
        <v>499.42000000000007</v>
      </c>
      <c r="C243">
        <v>50.38</v>
      </c>
      <c r="D243">
        <v>232.77</v>
      </c>
      <c r="F243">
        <v>82.67</v>
      </c>
      <c r="G243">
        <v>69.84</v>
      </c>
      <c r="H243">
        <v>63.76</v>
      </c>
    </row>
    <row r="244" spans="1:8" x14ac:dyDescent="0.25">
      <c r="A244" s="63">
        <f t="shared" si="3"/>
        <v>43708</v>
      </c>
      <c r="B244">
        <v>728.53</v>
      </c>
      <c r="C244">
        <v>53.23</v>
      </c>
      <c r="D244">
        <v>217.26</v>
      </c>
      <c r="E244">
        <v>261.18</v>
      </c>
      <c r="F244">
        <v>73.8</v>
      </c>
      <c r="G244">
        <v>70.66</v>
      </c>
      <c r="H244">
        <v>52.4</v>
      </c>
    </row>
    <row r="245" spans="1:8" x14ac:dyDescent="0.25">
      <c r="A245" s="63">
        <f t="shared" si="3"/>
        <v>43709</v>
      </c>
      <c r="B245">
        <v>757.48</v>
      </c>
      <c r="C245">
        <v>52.39</v>
      </c>
      <c r="D245">
        <v>254.02</v>
      </c>
      <c r="E245">
        <v>267.58999999999997</v>
      </c>
      <c r="F245">
        <v>67.5</v>
      </c>
      <c r="G245">
        <v>67.37</v>
      </c>
      <c r="H245">
        <v>48.61</v>
      </c>
    </row>
    <row r="246" spans="1:8" x14ac:dyDescent="0.25">
      <c r="A246" s="63">
        <f t="shared" si="3"/>
        <v>43710</v>
      </c>
      <c r="B246">
        <v>912.78</v>
      </c>
      <c r="C246">
        <v>74.13</v>
      </c>
      <c r="D246">
        <v>332.16</v>
      </c>
      <c r="E246">
        <v>259.19</v>
      </c>
      <c r="F246">
        <v>93.76</v>
      </c>
      <c r="G246">
        <v>102.64</v>
      </c>
      <c r="H246">
        <v>50.9</v>
      </c>
    </row>
    <row r="247" spans="1:8" x14ac:dyDescent="0.25">
      <c r="A247" s="63">
        <f t="shared" si="3"/>
        <v>43711</v>
      </c>
      <c r="B247">
        <v>934.43999999999994</v>
      </c>
      <c r="C247">
        <v>89.25</v>
      </c>
      <c r="D247">
        <v>387.97</v>
      </c>
      <c r="E247">
        <v>206.55</v>
      </c>
      <c r="F247">
        <v>100.64</v>
      </c>
      <c r="G247">
        <v>100.1</v>
      </c>
      <c r="H247">
        <v>49.93</v>
      </c>
    </row>
    <row r="248" spans="1:8" x14ac:dyDescent="0.25">
      <c r="A248" s="63">
        <f t="shared" si="3"/>
        <v>43712</v>
      </c>
      <c r="B248">
        <v>854.98</v>
      </c>
      <c r="C248">
        <v>84.6</v>
      </c>
      <c r="D248">
        <v>356.52</v>
      </c>
      <c r="E248">
        <v>175.75</v>
      </c>
      <c r="F248">
        <v>95.27</v>
      </c>
      <c r="G248">
        <v>89.25</v>
      </c>
      <c r="H248">
        <v>53.59</v>
      </c>
    </row>
    <row r="249" spans="1:8" x14ac:dyDescent="0.25">
      <c r="A249" s="63">
        <f t="shared" si="3"/>
        <v>43713</v>
      </c>
      <c r="B249">
        <v>874.3900000000001</v>
      </c>
      <c r="C249">
        <v>69.150000000000006</v>
      </c>
      <c r="D249">
        <v>343.1</v>
      </c>
      <c r="E249">
        <v>252.46</v>
      </c>
      <c r="F249">
        <v>88.08</v>
      </c>
      <c r="G249">
        <v>67.41</v>
      </c>
      <c r="H249">
        <v>54.19</v>
      </c>
    </row>
    <row r="250" spans="1:8" x14ac:dyDescent="0.25">
      <c r="A250" s="63">
        <f t="shared" si="3"/>
        <v>43714</v>
      </c>
      <c r="B250">
        <v>718.31</v>
      </c>
      <c r="C250">
        <v>87.31</v>
      </c>
      <c r="D250">
        <v>272.64999999999998</v>
      </c>
      <c r="E250">
        <v>144.33000000000001</v>
      </c>
      <c r="F250">
        <v>83.04</v>
      </c>
      <c r="G250">
        <v>81.38</v>
      </c>
      <c r="H250">
        <v>49.6</v>
      </c>
    </row>
    <row r="251" spans="1:8" x14ac:dyDescent="0.25">
      <c r="A251" s="63">
        <f t="shared" si="3"/>
        <v>43715</v>
      </c>
      <c r="B251">
        <v>321.68</v>
      </c>
      <c r="C251">
        <v>48.39</v>
      </c>
      <c r="E251">
        <v>78.25</v>
      </c>
      <c r="F251">
        <v>76.849999999999994</v>
      </c>
      <c r="G251">
        <v>68.38</v>
      </c>
      <c r="H251">
        <v>49.81</v>
      </c>
    </row>
    <row r="252" spans="1:8" x14ac:dyDescent="0.25">
      <c r="A252" s="63">
        <f t="shared" si="3"/>
        <v>43716</v>
      </c>
      <c r="B252">
        <v>155.11000000000001</v>
      </c>
      <c r="F252">
        <v>71.709999999999994</v>
      </c>
      <c r="G252">
        <v>83.4</v>
      </c>
    </row>
    <row r="253" spans="1:8" x14ac:dyDescent="0.25">
      <c r="A253" s="63">
        <f t="shared" si="3"/>
        <v>43717</v>
      </c>
      <c r="B253">
        <v>918.45</v>
      </c>
      <c r="C253">
        <v>83.78</v>
      </c>
      <c r="D253">
        <v>386.92</v>
      </c>
      <c r="E253">
        <v>225.94</v>
      </c>
      <c r="F253">
        <v>82.4</v>
      </c>
      <c r="G253">
        <v>86.05</v>
      </c>
      <c r="H253">
        <v>53.36</v>
      </c>
    </row>
    <row r="254" spans="1:8" x14ac:dyDescent="0.25">
      <c r="A254" s="63">
        <f t="shared" si="3"/>
        <v>43718</v>
      </c>
      <c r="B254">
        <v>985.61999999999989</v>
      </c>
      <c r="C254">
        <v>83.15</v>
      </c>
      <c r="D254">
        <v>406.37</v>
      </c>
      <c r="E254">
        <v>243.69</v>
      </c>
      <c r="F254">
        <v>95.81</v>
      </c>
      <c r="G254">
        <v>105.82</v>
      </c>
      <c r="H254">
        <v>50.78</v>
      </c>
    </row>
    <row r="255" spans="1:8" x14ac:dyDescent="0.25">
      <c r="A255" s="63">
        <f t="shared" si="3"/>
        <v>43719</v>
      </c>
      <c r="B255">
        <v>889.8599999999999</v>
      </c>
      <c r="C255">
        <v>75.44</v>
      </c>
      <c r="D255">
        <v>419.72</v>
      </c>
      <c r="E255">
        <v>154.11000000000001</v>
      </c>
      <c r="F255">
        <v>87.86</v>
      </c>
      <c r="G255">
        <v>101.54</v>
      </c>
      <c r="H255">
        <v>51.19</v>
      </c>
    </row>
    <row r="256" spans="1:8" x14ac:dyDescent="0.25">
      <c r="A256" s="63">
        <f t="shared" si="3"/>
        <v>43720</v>
      </c>
      <c r="B256">
        <v>877.36</v>
      </c>
      <c r="C256">
        <v>81.02</v>
      </c>
      <c r="D256">
        <v>342.14</v>
      </c>
      <c r="E256">
        <v>213.61</v>
      </c>
      <c r="F256">
        <v>95</v>
      </c>
      <c r="G256">
        <v>97.25</v>
      </c>
      <c r="H256">
        <v>48.34</v>
      </c>
    </row>
    <row r="257" spans="1:8" x14ac:dyDescent="0.25">
      <c r="A257" s="63">
        <f t="shared" si="3"/>
        <v>43721</v>
      </c>
      <c r="B257">
        <v>574.09</v>
      </c>
      <c r="C257">
        <v>65.489999999999995</v>
      </c>
      <c r="D257">
        <v>185.23</v>
      </c>
      <c r="E257">
        <v>106.92</v>
      </c>
      <c r="F257">
        <v>87.38</v>
      </c>
      <c r="G257">
        <v>86.37</v>
      </c>
      <c r="H257">
        <v>42.7</v>
      </c>
    </row>
    <row r="258" spans="1:8" x14ac:dyDescent="0.25">
      <c r="A258" s="63">
        <f t="shared" si="3"/>
        <v>43722</v>
      </c>
      <c r="B258">
        <v>104.8</v>
      </c>
      <c r="C258">
        <v>1.62</v>
      </c>
      <c r="F258">
        <v>60.13</v>
      </c>
      <c r="G258">
        <v>36.47</v>
      </c>
      <c r="H258">
        <v>6.58</v>
      </c>
    </row>
    <row r="259" spans="1:8" x14ac:dyDescent="0.25">
      <c r="A259" s="63">
        <f t="shared" si="3"/>
        <v>43723</v>
      </c>
      <c r="B259">
        <v>443.86</v>
      </c>
      <c r="E259">
        <v>233.72</v>
      </c>
      <c r="F259">
        <v>81.87</v>
      </c>
      <c r="G259">
        <v>81.19</v>
      </c>
      <c r="H259">
        <v>47.08</v>
      </c>
    </row>
    <row r="260" spans="1:8" x14ac:dyDescent="0.25">
      <c r="A260" s="63">
        <f t="shared" ref="A260:A323" si="4">A259+1</f>
        <v>43724</v>
      </c>
      <c r="B260">
        <v>922.22</v>
      </c>
      <c r="C260">
        <v>77.430000000000007</v>
      </c>
      <c r="D260">
        <v>417.24</v>
      </c>
      <c r="E260">
        <v>212.68</v>
      </c>
      <c r="F260">
        <v>83.09</v>
      </c>
      <c r="G260">
        <v>81.010000000000005</v>
      </c>
      <c r="H260">
        <v>50.77</v>
      </c>
    </row>
    <row r="261" spans="1:8" x14ac:dyDescent="0.25">
      <c r="A261" s="63">
        <f t="shared" si="4"/>
        <v>43725</v>
      </c>
      <c r="B261">
        <v>791.2</v>
      </c>
      <c r="C261">
        <v>66.180000000000007</v>
      </c>
      <c r="D261">
        <v>330.54</v>
      </c>
      <c r="E261">
        <v>204.41</v>
      </c>
      <c r="F261">
        <v>74.17</v>
      </c>
      <c r="G261">
        <v>66.209999999999994</v>
      </c>
      <c r="H261">
        <v>49.69</v>
      </c>
    </row>
    <row r="262" spans="1:8" x14ac:dyDescent="0.25">
      <c r="A262" s="63">
        <f t="shared" si="4"/>
        <v>43726</v>
      </c>
      <c r="B262">
        <v>801.04000000000008</v>
      </c>
      <c r="C262">
        <v>53.01</v>
      </c>
      <c r="D262">
        <v>345.55</v>
      </c>
      <c r="E262">
        <v>183.62</v>
      </c>
      <c r="F262">
        <v>86.21</v>
      </c>
      <c r="G262">
        <v>75.13</v>
      </c>
      <c r="H262">
        <v>57.52</v>
      </c>
    </row>
    <row r="263" spans="1:8" x14ac:dyDescent="0.25">
      <c r="A263" s="63">
        <f t="shared" si="4"/>
        <v>43727</v>
      </c>
      <c r="B263">
        <v>786.73000000000013</v>
      </c>
      <c r="C263">
        <v>58.73</v>
      </c>
      <c r="D263">
        <v>338.43</v>
      </c>
      <c r="E263">
        <v>181.18</v>
      </c>
      <c r="F263">
        <v>80.7</v>
      </c>
      <c r="G263">
        <v>69.83</v>
      </c>
      <c r="H263">
        <v>57.86</v>
      </c>
    </row>
    <row r="264" spans="1:8" x14ac:dyDescent="0.25">
      <c r="A264" s="63">
        <f t="shared" si="4"/>
        <v>43728</v>
      </c>
      <c r="B264">
        <v>499.87</v>
      </c>
      <c r="C264">
        <v>81.48</v>
      </c>
      <c r="D264">
        <v>104.82</v>
      </c>
      <c r="E264">
        <v>96.25</v>
      </c>
      <c r="F264">
        <v>84.74</v>
      </c>
      <c r="G264">
        <v>73.13</v>
      </c>
      <c r="H264">
        <v>59.45</v>
      </c>
    </row>
    <row r="265" spans="1:8" x14ac:dyDescent="0.25">
      <c r="A265" s="63">
        <f t="shared" si="4"/>
        <v>43729</v>
      </c>
      <c r="B265">
        <v>243.57999999999998</v>
      </c>
      <c r="C265">
        <v>42.9</v>
      </c>
      <c r="F265">
        <v>88.49</v>
      </c>
      <c r="G265">
        <v>54.23</v>
      </c>
      <c r="H265">
        <v>57.96</v>
      </c>
    </row>
    <row r="266" spans="1:8" x14ac:dyDescent="0.25">
      <c r="A266" s="63">
        <f t="shared" si="4"/>
        <v>43730</v>
      </c>
      <c r="B266">
        <v>379.9</v>
      </c>
      <c r="E266">
        <v>237.68</v>
      </c>
      <c r="F266">
        <v>88.09</v>
      </c>
      <c r="G266">
        <v>54.13</v>
      </c>
    </row>
    <row r="267" spans="1:8" x14ac:dyDescent="0.25">
      <c r="A267" s="63">
        <f t="shared" si="4"/>
        <v>43731</v>
      </c>
      <c r="B267">
        <v>1000.0400000000001</v>
      </c>
      <c r="C267">
        <v>97.08</v>
      </c>
      <c r="D267">
        <v>473.05</v>
      </c>
      <c r="E267">
        <v>213.23</v>
      </c>
      <c r="F267">
        <v>72.37</v>
      </c>
      <c r="G267">
        <v>84.22</v>
      </c>
      <c r="H267">
        <v>60.09</v>
      </c>
    </row>
    <row r="268" spans="1:8" x14ac:dyDescent="0.25">
      <c r="A268" s="63">
        <f t="shared" si="4"/>
        <v>43732</v>
      </c>
      <c r="B268">
        <v>928.32999999999993</v>
      </c>
      <c r="C268">
        <v>79.22</v>
      </c>
      <c r="D268">
        <v>386.74</v>
      </c>
      <c r="E268">
        <v>224.14</v>
      </c>
      <c r="F268">
        <v>87.66</v>
      </c>
      <c r="G268">
        <v>85.92</v>
      </c>
      <c r="H268">
        <v>64.650000000000006</v>
      </c>
    </row>
    <row r="269" spans="1:8" x14ac:dyDescent="0.25">
      <c r="A269" s="63">
        <f t="shared" si="4"/>
        <v>43733</v>
      </c>
      <c r="B269">
        <v>922.56000000000006</v>
      </c>
      <c r="C269">
        <v>86.12</v>
      </c>
      <c r="D269">
        <v>411.58</v>
      </c>
      <c r="E269">
        <v>199.76</v>
      </c>
      <c r="F269">
        <v>81.209999999999994</v>
      </c>
      <c r="G269">
        <v>85.09</v>
      </c>
      <c r="H269">
        <v>58.8</v>
      </c>
    </row>
    <row r="270" spans="1:8" x14ac:dyDescent="0.25">
      <c r="A270" s="63">
        <f t="shared" si="4"/>
        <v>43734</v>
      </c>
      <c r="B270">
        <v>873.26</v>
      </c>
      <c r="C270">
        <v>85.05</v>
      </c>
      <c r="D270">
        <v>336.39</v>
      </c>
      <c r="E270">
        <v>230.76</v>
      </c>
      <c r="F270">
        <v>85.5</v>
      </c>
      <c r="G270">
        <v>76.62</v>
      </c>
      <c r="H270">
        <v>58.94</v>
      </c>
    </row>
    <row r="271" spans="1:8" x14ac:dyDescent="0.25">
      <c r="A271" s="63">
        <f t="shared" si="4"/>
        <v>43735</v>
      </c>
      <c r="B271">
        <v>751.17</v>
      </c>
      <c r="C271">
        <v>84.84</v>
      </c>
      <c r="D271">
        <v>257.57</v>
      </c>
      <c r="E271">
        <v>204.16</v>
      </c>
      <c r="F271">
        <v>95.68</v>
      </c>
      <c r="G271">
        <v>46.3</v>
      </c>
      <c r="H271">
        <v>62.62</v>
      </c>
    </row>
    <row r="272" spans="1:8" x14ac:dyDescent="0.25">
      <c r="A272" s="63">
        <f t="shared" si="4"/>
        <v>43736</v>
      </c>
      <c r="B272">
        <v>437.56000000000006</v>
      </c>
      <c r="C272">
        <v>47.96</v>
      </c>
      <c r="E272">
        <v>199.2</v>
      </c>
      <c r="F272">
        <v>85.43</v>
      </c>
      <c r="G272">
        <v>44.49</v>
      </c>
      <c r="H272">
        <v>60.48</v>
      </c>
    </row>
    <row r="273" spans="1:8" x14ac:dyDescent="0.25">
      <c r="A273" s="63">
        <f t="shared" si="4"/>
        <v>43737</v>
      </c>
      <c r="B273">
        <v>297.26</v>
      </c>
      <c r="E273">
        <v>213.5</v>
      </c>
      <c r="F273">
        <v>83.76</v>
      </c>
    </row>
    <row r="274" spans="1:8" x14ac:dyDescent="0.25">
      <c r="A274" s="63">
        <f t="shared" si="4"/>
        <v>43738</v>
      </c>
      <c r="B274">
        <v>869.16</v>
      </c>
      <c r="C274">
        <v>74.39</v>
      </c>
      <c r="D274">
        <v>376.7</v>
      </c>
      <c r="E274">
        <v>210.48</v>
      </c>
      <c r="F274">
        <v>73.58</v>
      </c>
      <c r="G274">
        <v>68.37</v>
      </c>
      <c r="H274">
        <v>65.64</v>
      </c>
    </row>
    <row r="275" spans="1:8" x14ac:dyDescent="0.25">
      <c r="A275" s="63">
        <f t="shared" si="4"/>
        <v>43739</v>
      </c>
      <c r="B275">
        <v>792.32999999999993</v>
      </c>
      <c r="C275">
        <v>68.31</v>
      </c>
      <c r="D275">
        <v>288.64999999999998</v>
      </c>
      <c r="E275">
        <v>207.45</v>
      </c>
      <c r="F275">
        <v>70.63</v>
      </c>
      <c r="G275">
        <v>88.47</v>
      </c>
      <c r="H275">
        <v>68.819999999999993</v>
      </c>
    </row>
    <row r="276" spans="1:8" x14ac:dyDescent="0.25">
      <c r="A276" s="63">
        <f t="shared" si="4"/>
        <v>43740</v>
      </c>
      <c r="B276">
        <v>715.45</v>
      </c>
      <c r="C276">
        <v>59.92</v>
      </c>
      <c r="D276">
        <v>255.76</v>
      </c>
      <c r="E276">
        <v>207.03</v>
      </c>
      <c r="F276">
        <v>53.89</v>
      </c>
      <c r="G276">
        <v>74.81</v>
      </c>
      <c r="H276">
        <v>64.040000000000006</v>
      </c>
    </row>
    <row r="277" spans="1:8" x14ac:dyDescent="0.25">
      <c r="A277" s="63">
        <f t="shared" si="4"/>
        <v>43741</v>
      </c>
      <c r="B277">
        <v>706.01</v>
      </c>
      <c r="C277">
        <v>48.14</v>
      </c>
      <c r="D277">
        <v>259.33</v>
      </c>
      <c r="E277">
        <v>175.64</v>
      </c>
      <c r="F277">
        <v>76.290000000000006</v>
      </c>
      <c r="G277">
        <v>82.28</v>
      </c>
      <c r="H277">
        <v>64.33</v>
      </c>
    </row>
    <row r="278" spans="1:8" x14ac:dyDescent="0.25">
      <c r="A278" s="63">
        <f t="shared" si="4"/>
        <v>43742</v>
      </c>
      <c r="B278">
        <v>342.43</v>
      </c>
      <c r="C278">
        <v>37.01</v>
      </c>
      <c r="E278">
        <v>90.54</v>
      </c>
      <c r="F278">
        <v>84.51</v>
      </c>
      <c r="G278">
        <v>67.290000000000006</v>
      </c>
      <c r="H278">
        <v>63.08</v>
      </c>
    </row>
    <row r="279" spans="1:8" x14ac:dyDescent="0.25">
      <c r="A279" s="63">
        <f t="shared" si="4"/>
        <v>43743</v>
      </c>
      <c r="B279">
        <v>0</v>
      </c>
    </row>
    <row r="280" spans="1:8" x14ac:dyDescent="0.25">
      <c r="A280" s="63">
        <f t="shared" si="4"/>
        <v>43744</v>
      </c>
      <c r="B280">
        <v>0</v>
      </c>
    </row>
    <row r="281" spans="1:8" x14ac:dyDescent="0.25">
      <c r="A281" s="63">
        <f t="shared" si="4"/>
        <v>43745</v>
      </c>
      <c r="B281">
        <v>562.75</v>
      </c>
      <c r="C281">
        <v>40.32</v>
      </c>
      <c r="D281">
        <v>236.74</v>
      </c>
      <c r="E281">
        <v>96.42</v>
      </c>
      <c r="F281">
        <v>63.99</v>
      </c>
      <c r="G281">
        <v>62.68</v>
      </c>
      <c r="H281">
        <v>62.6</v>
      </c>
    </row>
    <row r="282" spans="1:8" x14ac:dyDescent="0.25">
      <c r="A282" s="63">
        <f t="shared" si="4"/>
        <v>43746</v>
      </c>
      <c r="B282">
        <v>553.61</v>
      </c>
      <c r="C282">
        <v>41.71</v>
      </c>
      <c r="D282">
        <v>227.52</v>
      </c>
      <c r="E282">
        <v>112.81</v>
      </c>
      <c r="F282">
        <v>48.49</v>
      </c>
      <c r="G282">
        <v>62.14</v>
      </c>
      <c r="H282">
        <v>60.94</v>
      </c>
    </row>
    <row r="283" spans="1:8" x14ac:dyDescent="0.25">
      <c r="A283" s="63">
        <f t="shared" si="4"/>
        <v>43747</v>
      </c>
      <c r="B283">
        <v>520.95000000000005</v>
      </c>
      <c r="C283">
        <v>32.799999999999997</v>
      </c>
      <c r="D283">
        <v>219.23</v>
      </c>
      <c r="E283">
        <v>107.43</v>
      </c>
      <c r="F283">
        <v>45</v>
      </c>
      <c r="G283">
        <v>64.17</v>
      </c>
      <c r="H283">
        <v>52.32</v>
      </c>
    </row>
    <row r="284" spans="1:8" x14ac:dyDescent="0.25">
      <c r="A284" s="63">
        <f t="shared" si="4"/>
        <v>43748</v>
      </c>
      <c r="B284">
        <v>504.77</v>
      </c>
      <c r="C284">
        <v>25.72</v>
      </c>
      <c r="D284">
        <v>231.24</v>
      </c>
      <c r="E284">
        <v>99.18</v>
      </c>
      <c r="F284">
        <v>42.51</v>
      </c>
      <c r="G284">
        <v>55.72</v>
      </c>
      <c r="H284">
        <v>50.4</v>
      </c>
    </row>
    <row r="285" spans="1:8" x14ac:dyDescent="0.25">
      <c r="A285" s="63">
        <f t="shared" si="4"/>
        <v>43749</v>
      </c>
      <c r="B285">
        <v>442.28999999999996</v>
      </c>
      <c r="D285">
        <v>218.79</v>
      </c>
      <c r="E285">
        <v>131.5</v>
      </c>
      <c r="F285">
        <v>37.51</v>
      </c>
      <c r="G285">
        <v>54.49</v>
      </c>
    </row>
    <row r="286" spans="1:8" x14ac:dyDescent="0.25">
      <c r="A286" s="63">
        <f t="shared" si="4"/>
        <v>43750</v>
      </c>
      <c r="B286">
        <v>431.90999999999997</v>
      </c>
      <c r="D286">
        <v>210</v>
      </c>
      <c r="E286">
        <v>130.75</v>
      </c>
      <c r="F286">
        <v>36.659999999999997</v>
      </c>
      <c r="G286">
        <v>54.5</v>
      </c>
    </row>
    <row r="287" spans="1:8" x14ac:dyDescent="0.25">
      <c r="A287" s="63">
        <f t="shared" si="4"/>
        <v>43751</v>
      </c>
      <c r="B287">
        <v>480.22</v>
      </c>
      <c r="C287">
        <v>41.75</v>
      </c>
      <c r="D287">
        <v>184.49</v>
      </c>
      <c r="E287">
        <v>134.6</v>
      </c>
      <c r="F287">
        <v>53.14</v>
      </c>
      <c r="G287">
        <v>66.239999999999995</v>
      </c>
    </row>
    <row r="288" spans="1:8" x14ac:dyDescent="0.25">
      <c r="A288" s="63">
        <f t="shared" si="4"/>
        <v>43752</v>
      </c>
      <c r="B288">
        <v>603.52</v>
      </c>
      <c r="C288">
        <v>43.1</v>
      </c>
      <c r="D288">
        <v>265.02</v>
      </c>
      <c r="E288">
        <v>124.36</v>
      </c>
      <c r="F288">
        <v>50.53</v>
      </c>
      <c r="G288">
        <v>65.239999999999995</v>
      </c>
      <c r="H288">
        <v>55.27</v>
      </c>
    </row>
    <row r="289" spans="1:8" x14ac:dyDescent="0.25">
      <c r="A289" s="63">
        <f t="shared" si="4"/>
        <v>43753</v>
      </c>
      <c r="B289">
        <v>556.43999999999994</v>
      </c>
      <c r="C289">
        <v>46.38</v>
      </c>
      <c r="D289">
        <v>227.16</v>
      </c>
      <c r="E289">
        <v>116.09</v>
      </c>
      <c r="F289">
        <v>52.77</v>
      </c>
      <c r="G289">
        <v>53.65</v>
      </c>
      <c r="H289">
        <v>60.39</v>
      </c>
    </row>
    <row r="290" spans="1:8" x14ac:dyDescent="0.25">
      <c r="A290" s="63">
        <f t="shared" si="4"/>
        <v>43754</v>
      </c>
      <c r="B290">
        <v>532.73</v>
      </c>
      <c r="C290">
        <v>43.89</v>
      </c>
      <c r="D290">
        <v>217.42</v>
      </c>
      <c r="E290">
        <v>110.55</v>
      </c>
      <c r="F290">
        <v>45.77</v>
      </c>
      <c r="G290">
        <v>52.61</v>
      </c>
      <c r="H290">
        <v>62.49</v>
      </c>
    </row>
    <row r="291" spans="1:8" x14ac:dyDescent="0.25">
      <c r="A291" s="63">
        <f t="shared" si="4"/>
        <v>43755</v>
      </c>
      <c r="B291">
        <v>510.56</v>
      </c>
      <c r="C291">
        <v>37.1</v>
      </c>
      <c r="D291">
        <v>211.14</v>
      </c>
      <c r="E291">
        <v>107.25</v>
      </c>
      <c r="F291">
        <v>55.95</v>
      </c>
      <c r="G291">
        <v>39.49</v>
      </c>
      <c r="H291">
        <v>59.63</v>
      </c>
    </row>
    <row r="292" spans="1:8" x14ac:dyDescent="0.25">
      <c r="A292" s="63">
        <f t="shared" si="4"/>
        <v>43756</v>
      </c>
      <c r="B292">
        <v>504.97</v>
      </c>
      <c r="C292">
        <v>38.35</v>
      </c>
      <c r="D292">
        <v>192.8</v>
      </c>
      <c r="E292">
        <v>116.87</v>
      </c>
      <c r="F292">
        <v>55.92</v>
      </c>
      <c r="G292">
        <v>37.85</v>
      </c>
      <c r="H292">
        <v>63.18</v>
      </c>
    </row>
    <row r="293" spans="1:8" x14ac:dyDescent="0.25">
      <c r="A293" s="63">
        <f t="shared" si="4"/>
        <v>43757</v>
      </c>
      <c r="B293">
        <v>506.04000000000008</v>
      </c>
      <c r="C293">
        <v>34.270000000000003</v>
      </c>
      <c r="D293">
        <v>189.44</v>
      </c>
      <c r="E293">
        <v>116.7</v>
      </c>
      <c r="F293">
        <v>60.53</v>
      </c>
      <c r="G293">
        <v>41.35</v>
      </c>
      <c r="H293">
        <v>63.75</v>
      </c>
    </row>
    <row r="294" spans="1:8" x14ac:dyDescent="0.25">
      <c r="A294" s="63">
        <f t="shared" si="4"/>
        <v>43758</v>
      </c>
      <c r="B294">
        <v>726.56000000000006</v>
      </c>
      <c r="C294">
        <v>48.21</v>
      </c>
      <c r="D294">
        <v>244.86</v>
      </c>
      <c r="E294">
        <v>270.37</v>
      </c>
      <c r="F294">
        <v>88.21</v>
      </c>
      <c r="G294">
        <v>74.91</v>
      </c>
    </row>
    <row r="295" spans="1:8" x14ac:dyDescent="0.25">
      <c r="A295" s="63">
        <f t="shared" si="4"/>
        <v>43759</v>
      </c>
      <c r="B295">
        <v>830.56999999999994</v>
      </c>
      <c r="C295">
        <v>91.98</v>
      </c>
      <c r="D295">
        <v>218.84</v>
      </c>
      <c r="E295">
        <v>274.51</v>
      </c>
      <c r="F295">
        <v>99.46</v>
      </c>
      <c r="G295">
        <v>81.650000000000006</v>
      </c>
      <c r="H295">
        <v>64.13</v>
      </c>
    </row>
    <row r="296" spans="1:8" x14ac:dyDescent="0.25">
      <c r="A296" s="63">
        <f t="shared" si="4"/>
        <v>43760</v>
      </c>
      <c r="B296">
        <v>520.48</v>
      </c>
      <c r="C296">
        <v>40.78</v>
      </c>
      <c r="D296">
        <v>234.15</v>
      </c>
      <c r="E296">
        <v>88.39</v>
      </c>
      <c r="F296">
        <v>42.16</v>
      </c>
      <c r="G296">
        <v>51.04</v>
      </c>
      <c r="H296">
        <v>63.96</v>
      </c>
    </row>
    <row r="297" spans="1:8" x14ac:dyDescent="0.25">
      <c r="A297" s="63">
        <f t="shared" si="4"/>
        <v>43761</v>
      </c>
      <c r="B297">
        <v>539.6</v>
      </c>
      <c r="C297">
        <v>40.85</v>
      </c>
      <c r="D297">
        <v>229.26</v>
      </c>
      <c r="E297">
        <v>108.11</v>
      </c>
      <c r="F297">
        <v>61.24</v>
      </c>
      <c r="G297">
        <v>35.729999999999997</v>
      </c>
      <c r="H297">
        <v>64.41</v>
      </c>
    </row>
    <row r="298" spans="1:8" x14ac:dyDescent="0.25">
      <c r="A298" s="63">
        <f t="shared" si="4"/>
        <v>43762</v>
      </c>
      <c r="B298">
        <v>536.55000000000007</v>
      </c>
      <c r="C298">
        <v>29.91</v>
      </c>
      <c r="D298">
        <v>237.29</v>
      </c>
      <c r="E298">
        <v>99.17</v>
      </c>
      <c r="F298">
        <v>67.239999999999995</v>
      </c>
      <c r="G298">
        <v>37.67</v>
      </c>
      <c r="H298">
        <v>65.27</v>
      </c>
    </row>
    <row r="299" spans="1:8" x14ac:dyDescent="0.25">
      <c r="A299" s="63">
        <f t="shared" si="4"/>
        <v>43763</v>
      </c>
      <c r="B299">
        <v>445.53</v>
      </c>
      <c r="C299">
        <v>36.86</v>
      </c>
      <c r="D299">
        <v>150.12</v>
      </c>
      <c r="E299">
        <v>112.33</v>
      </c>
      <c r="F299">
        <v>47.1</v>
      </c>
      <c r="G299">
        <v>34.46</v>
      </c>
      <c r="H299">
        <v>64.66</v>
      </c>
    </row>
    <row r="300" spans="1:8" x14ac:dyDescent="0.25">
      <c r="A300" s="63">
        <f t="shared" si="4"/>
        <v>43764</v>
      </c>
      <c r="B300">
        <v>319.20000000000005</v>
      </c>
      <c r="C300">
        <v>38.909999999999997</v>
      </c>
      <c r="E300">
        <v>112.27</v>
      </c>
      <c r="F300">
        <v>52.25</v>
      </c>
      <c r="G300">
        <v>51.02</v>
      </c>
      <c r="H300">
        <v>64.75</v>
      </c>
    </row>
    <row r="301" spans="1:8" x14ac:dyDescent="0.25">
      <c r="A301" s="63">
        <f t="shared" si="4"/>
        <v>43765</v>
      </c>
      <c r="B301">
        <v>259.83</v>
      </c>
      <c r="C301">
        <v>35.79</v>
      </c>
      <c r="E301">
        <v>109.53</v>
      </c>
      <c r="F301">
        <v>62.27</v>
      </c>
      <c r="G301">
        <v>52.24</v>
      </c>
    </row>
    <row r="302" spans="1:8" x14ac:dyDescent="0.25">
      <c r="A302" s="63">
        <f t="shared" si="4"/>
        <v>43766</v>
      </c>
      <c r="B302">
        <v>567.6400000000001</v>
      </c>
      <c r="C302">
        <v>42.29</v>
      </c>
      <c r="D302">
        <v>260.60000000000002</v>
      </c>
      <c r="E302">
        <v>100.73</v>
      </c>
      <c r="F302">
        <v>60.12</v>
      </c>
      <c r="G302">
        <v>42.32</v>
      </c>
      <c r="H302">
        <v>61.58</v>
      </c>
    </row>
    <row r="303" spans="1:8" x14ac:dyDescent="0.25">
      <c r="A303" s="63">
        <f t="shared" si="4"/>
        <v>43767</v>
      </c>
      <c r="B303">
        <v>580.62999999999988</v>
      </c>
      <c r="C303">
        <v>37.659999999999997</v>
      </c>
      <c r="D303">
        <v>266.13</v>
      </c>
      <c r="E303">
        <v>97.36</v>
      </c>
      <c r="F303">
        <v>60.81</v>
      </c>
      <c r="G303">
        <v>55.86</v>
      </c>
      <c r="H303">
        <v>62.81</v>
      </c>
    </row>
    <row r="304" spans="1:8" x14ac:dyDescent="0.25">
      <c r="A304" s="63">
        <f t="shared" si="4"/>
        <v>43768</v>
      </c>
      <c r="B304">
        <v>535.23</v>
      </c>
      <c r="C304">
        <v>32.04</v>
      </c>
      <c r="D304">
        <v>234.19</v>
      </c>
      <c r="E304">
        <v>91.09</v>
      </c>
      <c r="F304">
        <v>55.89</v>
      </c>
      <c r="G304">
        <v>57.57</v>
      </c>
      <c r="H304">
        <v>64.45</v>
      </c>
    </row>
    <row r="305" spans="1:8" x14ac:dyDescent="0.25">
      <c r="A305" s="63">
        <f t="shared" si="4"/>
        <v>43769</v>
      </c>
      <c r="B305">
        <v>717.61</v>
      </c>
      <c r="C305">
        <v>23.54</v>
      </c>
      <c r="D305">
        <v>189.72</v>
      </c>
      <c r="E305">
        <v>240.35</v>
      </c>
      <c r="F305">
        <v>100.11</v>
      </c>
      <c r="G305">
        <v>96.92</v>
      </c>
      <c r="H305">
        <v>66.97</v>
      </c>
    </row>
    <row r="306" spans="1:8" x14ac:dyDescent="0.25">
      <c r="A306" s="63">
        <f t="shared" si="4"/>
        <v>43770</v>
      </c>
      <c r="B306">
        <v>420.59000000000003</v>
      </c>
      <c r="C306">
        <v>24.66</v>
      </c>
      <c r="D306">
        <v>137.41999999999999</v>
      </c>
      <c r="E306">
        <v>81.45</v>
      </c>
      <c r="F306">
        <v>60.84</v>
      </c>
      <c r="G306">
        <v>49.87</v>
      </c>
      <c r="H306">
        <v>66.349999999999994</v>
      </c>
    </row>
    <row r="307" spans="1:8" x14ac:dyDescent="0.25">
      <c r="A307" s="63">
        <f t="shared" si="4"/>
        <v>43771</v>
      </c>
      <c r="B307">
        <v>215.86</v>
      </c>
      <c r="E307">
        <v>34.799999999999997</v>
      </c>
      <c r="F307">
        <v>62.56</v>
      </c>
      <c r="G307">
        <v>53.69</v>
      </c>
      <c r="H307">
        <v>64.81</v>
      </c>
    </row>
    <row r="308" spans="1:8" x14ac:dyDescent="0.25">
      <c r="A308" s="63">
        <f t="shared" si="4"/>
        <v>43772</v>
      </c>
      <c r="B308">
        <v>163.93</v>
      </c>
      <c r="F308">
        <v>60.32</v>
      </c>
      <c r="G308">
        <v>39.93</v>
      </c>
      <c r="H308">
        <v>63.68</v>
      </c>
    </row>
    <row r="309" spans="1:8" x14ac:dyDescent="0.25">
      <c r="A309" s="63">
        <f t="shared" si="4"/>
        <v>43773</v>
      </c>
      <c r="B309">
        <v>513.61</v>
      </c>
      <c r="C309">
        <v>33.64</v>
      </c>
      <c r="D309">
        <v>244.68</v>
      </c>
      <c r="E309">
        <v>75.31</v>
      </c>
      <c r="F309">
        <v>63.67</v>
      </c>
      <c r="G309">
        <v>32.82</v>
      </c>
      <c r="H309">
        <v>63.49</v>
      </c>
    </row>
    <row r="310" spans="1:8" x14ac:dyDescent="0.25">
      <c r="A310" s="63">
        <f t="shared" si="4"/>
        <v>43774</v>
      </c>
      <c r="B310">
        <v>529.1</v>
      </c>
      <c r="C310">
        <v>30.5</v>
      </c>
      <c r="D310">
        <v>246.61</v>
      </c>
      <c r="E310">
        <v>81.73</v>
      </c>
      <c r="F310">
        <v>64.03</v>
      </c>
      <c r="G310">
        <v>42.35</v>
      </c>
      <c r="H310">
        <v>63.88</v>
      </c>
    </row>
    <row r="311" spans="1:8" x14ac:dyDescent="0.25">
      <c r="A311" s="63">
        <f t="shared" si="4"/>
        <v>43775</v>
      </c>
      <c r="B311">
        <v>582.36</v>
      </c>
      <c r="C311">
        <v>51.47</v>
      </c>
      <c r="D311">
        <v>259.2</v>
      </c>
      <c r="E311">
        <v>102.76</v>
      </c>
      <c r="F311">
        <v>49.95</v>
      </c>
      <c r="G311">
        <v>55.65</v>
      </c>
      <c r="H311">
        <v>63.33</v>
      </c>
    </row>
    <row r="312" spans="1:8" x14ac:dyDescent="0.25">
      <c r="A312" s="63">
        <f t="shared" si="4"/>
        <v>43776</v>
      </c>
      <c r="B312">
        <v>529.49</v>
      </c>
      <c r="C312">
        <v>34.9</v>
      </c>
      <c r="D312">
        <v>233.29</v>
      </c>
      <c r="E312">
        <v>97.11</v>
      </c>
      <c r="F312">
        <v>51.61</v>
      </c>
      <c r="G312">
        <v>51.14</v>
      </c>
      <c r="H312">
        <v>61.44</v>
      </c>
    </row>
    <row r="313" spans="1:8" x14ac:dyDescent="0.25">
      <c r="A313" s="63">
        <f t="shared" si="4"/>
        <v>43777</v>
      </c>
      <c r="B313">
        <v>548.06999999999994</v>
      </c>
      <c r="C313">
        <v>36.4</v>
      </c>
      <c r="D313">
        <v>233.88</v>
      </c>
      <c r="E313">
        <v>112.27</v>
      </c>
      <c r="F313">
        <v>63.63</v>
      </c>
      <c r="G313">
        <v>41.74</v>
      </c>
      <c r="H313">
        <v>60.15</v>
      </c>
    </row>
    <row r="314" spans="1:8" x14ac:dyDescent="0.25">
      <c r="A314" s="63">
        <f t="shared" si="4"/>
        <v>43778</v>
      </c>
      <c r="B314">
        <v>472.84</v>
      </c>
      <c r="C314">
        <v>40.17</v>
      </c>
      <c r="D314">
        <v>160.9</v>
      </c>
      <c r="E314">
        <v>112.77</v>
      </c>
      <c r="F314">
        <v>64.88</v>
      </c>
      <c r="G314">
        <v>33.549999999999997</v>
      </c>
      <c r="H314">
        <v>60.57</v>
      </c>
    </row>
    <row r="315" spans="1:8" x14ac:dyDescent="0.25">
      <c r="A315" s="63">
        <f t="shared" si="4"/>
        <v>43779</v>
      </c>
      <c r="B315">
        <v>503.34000000000003</v>
      </c>
      <c r="C315">
        <v>47.61</v>
      </c>
      <c r="D315">
        <v>183.77</v>
      </c>
      <c r="E315">
        <v>100.42</v>
      </c>
      <c r="F315">
        <v>62.08</v>
      </c>
      <c r="G315">
        <v>48.55</v>
      </c>
      <c r="H315">
        <v>60.91</v>
      </c>
    </row>
    <row r="316" spans="1:8" x14ac:dyDescent="0.25">
      <c r="A316" s="63">
        <f t="shared" si="4"/>
        <v>43780</v>
      </c>
      <c r="B316">
        <v>605.80999999999995</v>
      </c>
      <c r="C316">
        <v>46.03</v>
      </c>
      <c r="D316">
        <v>239.43</v>
      </c>
      <c r="E316">
        <v>130.41999999999999</v>
      </c>
      <c r="F316">
        <v>68.959999999999994</v>
      </c>
      <c r="G316">
        <v>54.85</v>
      </c>
      <c r="H316">
        <v>66.12</v>
      </c>
    </row>
    <row r="317" spans="1:8" x14ac:dyDescent="0.25">
      <c r="A317" s="63">
        <f t="shared" si="4"/>
        <v>43781</v>
      </c>
      <c r="B317">
        <v>794.24</v>
      </c>
      <c r="C317">
        <v>82.12</v>
      </c>
      <c r="D317">
        <v>236.98</v>
      </c>
      <c r="E317">
        <v>257.88</v>
      </c>
      <c r="F317">
        <v>97.07</v>
      </c>
      <c r="G317">
        <v>57</v>
      </c>
      <c r="H317">
        <v>63.19</v>
      </c>
    </row>
    <row r="318" spans="1:8" x14ac:dyDescent="0.25">
      <c r="A318" s="63">
        <f t="shared" si="4"/>
        <v>43782</v>
      </c>
      <c r="B318">
        <v>797.37</v>
      </c>
      <c r="C318">
        <v>74.41</v>
      </c>
      <c r="D318">
        <v>237.86</v>
      </c>
      <c r="E318">
        <v>238.4</v>
      </c>
      <c r="F318">
        <v>92</v>
      </c>
      <c r="G318">
        <v>92.71</v>
      </c>
      <c r="H318">
        <v>61.99</v>
      </c>
    </row>
    <row r="319" spans="1:8" x14ac:dyDescent="0.25">
      <c r="A319" s="63">
        <f t="shared" si="4"/>
        <v>43783</v>
      </c>
      <c r="B319">
        <v>811.7600000000001</v>
      </c>
      <c r="C319">
        <v>41.05</v>
      </c>
      <c r="D319">
        <v>238.7</v>
      </c>
      <c r="E319">
        <v>264.11</v>
      </c>
      <c r="F319">
        <v>105.45</v>
      </c>
      <c r="G319">
        <v>101.82</v>
      </c>
      <c r="H319">
        <v>60.63</v>
      </c>
    </row>
    <row r="320" spans="1:8" x14ac:dyDescent="0.25">
      <c r="A320" s="63">
        <f t="shared" si="4"/>
        <v>43784</v>
      </c>
      <c r="B320">
        <v>839.38000000000011</v>
      </c>
      <c r="C320">
        <v>78.599999999999994</v>
      </c>
      <c r="D320">
        <v>228.99</v>
      </c>
      <c r="E320">
        <v>280.72000000000003</v>
      </c>
      <c r="F320">
        <v>93.27</v>
      </c>
      <c r="G320">
        <v>96.21</v>
      </c>
      <c r="H320">
        <v>61.59</v>
      </c>
    </row>
    <row r="321" spans="1:8" x14ac:dyDescent="0.25">
      <c r="A321" s="63">
        <f t="shared" si="4"/>
        <v>43785</v>
      </c>
      <c r="B321">
        <v>535.31000000000006</v>
      </c>
      <c r="C321">
        <v>41.14</v>
      </c>
      <c r="D321">
        <v>216.52</v>
      </c>
      <c r="E321">
        <v>106.76</v>
      </c>
      <c r="F321">
        <v>56.43</v>
      </c>
      <c r="G321">
        <v>52.92</v>
      </c>
      <c r="H321">
        <v>61.54</v>
      </c>
    </row>
    <row r="322" spans="1:8" x14ac:dyDescent="0.25">
      <c r="A322" s="63">
        <f t="shared" si="4"/>
        <v>43786</v>
      </c>
      <c r="B322">
        <v>538.11</v>
      </c>
      <c r="C322">
        <v>47.18</v>
      </c>
      <c r="D322">
        <v>194.78</v>
      </c>
      <c r="E322">
        <v>112.99</v>
      </c>
      <c r="F322">
        <v>65.849999999999994</v>
      </c>
      <c r="G322">
        <v>53.85</v>
      </c>
      <c r="H322">
        <v>63.46</v>
      </c>
    </row>
    <row r="323" spans="1:8" x14ac:dyDescent="0.25">
      <c r="A323" s="63">
        <f t="shared" si="4"/>
        <v>43787</v>
      </c>
      <c r="B323">
        <v>604.56000000000006</v>
      </c>
      <c r="C323">
        <v>47.33</v>
      </c>
      <c r="D323">
        <v>239.48</v>
      </c>
      <c r="E323">
        <v>131.9</v>
      </c>
      <c r="F323">
        <v>60.82</v>
      </c>
      <c r="G323">
        <v>62.66</v>
      </c>
      <c r="H323">
        <v>62.37</v>
      </c>
    </row>
    <row r="324" spans="1:8" x14ac:dyDescent="0.25">
      <c r="A324" s="63">
        <f t="shared" ref="A324:A366" si="5">A323+1</f>
        <v>43788</v>
      </c>
      <c r="B324">
        <v>955.43</v>
      </c>
      <c r="C324">
        <v>37.97</v>
      </c>
      <c r="D324">
        <v>456.94</v>
      </c>
      <c r="E324">
        <v>238.46</v>
      </c>
      <c r="F324">
        <v>104.99</v>
      </c>
      <c r="G324">
        <v>55.53</v>
      </c>
      <c r="H324">
        <v>61.54</v>
      </c>
    </row>
    <row r="325" spans="1:8" x14ac:dyDescent="0.25">
      <c r="A325" s="63">
        <f t="shared" si="5"/>
        <v>43789</v>
      </c>
      <c r="B325">
        <v>1060.7</v>
      </c>
      <c r="C325">
        <v>73.260000000000005</v>
      </c>
      <c r="D325">
        <v>459.02</v>
      </c>
      <c r="E325">
        <v>261.27</v>
      </c>
      <c r="F325">
        <v>100.83</v>
      </c>
      <c r="G325">
        <v>102.68</v>
      </c>
      <c r="H325">
        <v>63.64</v>
      </c>
    </row>
    <row r="326" spans="1:8" x14ac:dyDescent="0.25">
      <c r="A326" s="63">
        <f t="shared" si="5"/>
        <v>43790</v>
      </c>
      <c r="B326">
        <v>986.95</v>
      </c>
      <c r="C326">
        <v>46.64</v>
      </c>
      <c r="D326">
        <v>417.18</v>
      </c>
      <c r="E326">
        <v>248.29</v>
      </c>
      <c r="F326">
        <v>96.07</v>
      </c>
      <c r="G326">
        <v>114.39</v>
      </c>
      <c r="H326">
        <v>64.38</v>
      </c>
    </row>
    <row r="327" spans="1:8" x14ac:dyDescent="0.25">
      <c r="A327" s="63">
        <f t="shared" si="5"/>
        <v>43791</v>
      </c>
      <c r="B327">
        <v>817.46</v>
      </c>
      <c r="C327">
        <v>58.55</v>
      </c>
      <c r="D327">
        <v>212.42</v>
      </c>
      <c r="E327">
        <v>267.10000000000002</v>
      </c>
      <c r="F327">
        <v>98.01</v>
      </c>
      <c r="G327">
        <v>119.43</v>
      </c>
      <c r="H327">
        <v>61.95</v>
      </c>
    </row>
    <row r="328" spans="1:8" x14ac:dyDescent="0.25">
      <c r="A328" s="63">
        <f t="shared" si="5"/>
        <v>43792</v>
      </c>
      <c r="B328">
        <v>559.86</v>
      </c>
      <c r="C328">
        <v>27.49</v>
      </c>
      <c r="D328">
        <v>205.59</v>
      </c>
      <c r="E328">
        <v>134.43</v>
      </c>
      <c r="F328">
        <v>64.69</v>
      </c>
      <c r="G328">
        <v>60.51</v>
      </c>
      <c r="H328">
        <v>67.150000000000006</v>
      </c>
    </row>
    <row r="329" spans="1:8" x14ac:dyDescent="0.25">
      <c r="A329" s="63">
        <f t="shared" si="5"/>
        <v>43793</v>
      </c>
      <c r="B329">
        <v>537.08000000000004</v>
      </c>
      <c r="C329">
        <v>41.02</v>
      </c>
      <c r="D329">
        <v>189.92</v>
      </c>
      <c r="E329">
        <v>120.58</v>
      </c>
      <c r="F329">
        <v>63.61</v>
      </c>
      <c r="G329">
        <v>60.29</v>
      </c>
      <c r="H329">
        <v>61.66</v>
      </c>
    </row>
    <row r="330" spans="1:8" x14ac:dyDescent="0.25">
      <c r="A330" s="63">
        <f t="shared" si="5"/>
        <v>43794</v>
      </c>
      <c r="B330">
        <v>581.38</v>
      </c>
      <c r="C330">
        <v>50.35</v>
      </c>
      <c r="D330">
        <v>237.1</v>
      </c>
      <c r="E330">
        <v>133.93</v>
      </c>
      <c r="F330">
        <v>57.24</v>
      </c>
      <c r="G330">
        <v>47.48</v>
      </c>
      <c r="H330">
        <v>55.28</v>
      </c>
    </row>
    <row r="331" spans="1:8" x14ac:dyDescent="0.25">
      <c r="A331" s="63">
        <f t="shared" si="5"/>
        <v>43795</v>
      </c>
      <c r="B331">
        <v>1026.1400000000001</v>
      </c>
      <c r="C331">
        <v>78.28</v>
      </c>
      <c r="D331">
        <v>443.47</v>
      </c>
      <c r="E331">
        <v>276.72000000000003</v>
      </c>
      <c r="F331">
        <v>83.9</v>
      </c>
      <c r="G331">
        <v>81.11</v>
      </c>
      <c r="H331">
        <v>62.66</v>
      </c>
    </row>
    <row r="332" spans="1:8" x14ac:dyDescent="0.25">
      <c r="A332" s="63">
        <f t="shared" si="5"/>
        <v>43796</v>
      </c>
      <c r="B332">
        <v>1009.8899999999999</v>
      </c>
      <c r="C332">
        <v>78.819999999999993</v>
      </c>
      <c r="D332">
        <v>436.22</v>
      </c>
      <c r="E332">
        <v>274.04000000000002</v>
      </c>
      <c r="F332">
        <v>80.540000000000006</v>
      </c>
      <c r="G332">
        <v>81.209999999999994</v>
      </c>
      <c r="H332">
        <v>59.06</v>
      </c>
    </row>
    <row r="333" spans="1:8" x14ac:dyDescent="0.25">
      <c r="A333" s="63">
        <f t="shared" si="5"/>
        <v>43797</v>
      </c>
      <c r="B333">
        <v>993.67000000000007</v>
      </c>
      <c r="C333">
        <v>69.069999999999993</v>
      </c>
      <c r="D333">
        <v>457.29</v>
      </c>
      <c r="E333">
        <v>253.75</v>
      </c>
      <c r="F333">
        <v>75.12</v>
      </c>
      <c r="G333">
        <v>79.930000000000007</v>
      </c>
      <c r="H333">
        <v>58.51</v>
      </c>
    </row>
    <row r="334" spans="1:8" x14ac:dyDescent="0.25">
      <c r="A334" s="63">
        <f t="shared" si="5"/>
        <v>43798</v>
      </c>
      <c r="B334">
        <v>549.62</v>
      </c>
      <c r="C334">
        <v>42.74</v>
      </c>
      <c r="D334">
        <v>211.67</v>
      </c>
      <c r="E334">
        <v>128.03</v>
      </c>
      <c r="F334">
        <v>61.45</v>
      </c>
      <c r="G334">
        <v>48.09</v>
      </c>
      <c r="H334">
        <v>57.64</v>
      </c>
    </row>
    <row r="335" spans="1:8" x14ac:dyDescent="0.25">
      <c r="A335" s="63">
        <f t="shared" si="5"/>
        <v>43799</v>
      </c>
      <c r="B335">
        <v>525.76</v>
      </c>
      <c r="C335">
        <v>27.2</v>
      </c>
      <c r="D335">
        <v>216.79</v>
      </c>
      <c r="E335">
        <v>112.66</v>
      </c>
      <c r="F335">
        <v>58.7</v>
      </c>
      <c r="G335">
        <v>52.71</v>
      </c>
      <c r="H335">
        <v>57.7</v>
      </c>
    </row>
    <row r="336" spans="1:8" x14ac:dyDescent="0.25">
      <c r="A336" s="63">
        <f t="shared" si="5"/>
        <v>43800</v>
      </c>
      <c r="B336">
        <v>803.33100000000002</v>
      </c>
      <c r="C336">
        <v>72.38</v>
      </c>
      <c r="D336">
        <v>325.61</v>
      </c>
      <c r="E336">
        <v>197.73</v>
      </c>
      <c r="F336">
        <v>110.26</v>
      </c>
      <c r="G336">
        <v>97.35</v>
      </c>
      <c r="H336">
        <v>1E-3</v>
      </c>
    </row>
    <row r="337" spans="1:8" x14ac:dyDescent="0.25">
      <c r="A337" s="63">
        <f t="shared" si="5"/>
        <v>43801</v>
      </c>
      <c r="B337">
        <v>942.34</v>
      </c>
      <c r="C337">
        <v>78.66</v>
      </c>
      <c r="D337">
        <v>362.92</v>
      </c>
      <c r="E337">
        <v>250.36</v>
      </c>
      <c r="F337">
        <v>88.19</v>
      </c>
      <c r="G337">
        <v>104.42</v>
      </c>
      <c r="H337">
        <v>57.79</v>
      </c>
    </row>
    <row r="338" spans="1:8" x14ac:dyDescent="0.25">
      <c r="A338" s="63">
        <f t="shared" si="5"/>
        <v>43802</v>
      </c>
      <c r="B338">
        <v>1017.38</v>
      </c>
      <c r="C338">
        <v>79.709999999999994</v>
      </c>
      <c r="D338">
        <v>424.87</v>
      </c>
      <c r="E338">
        <v>254.27</v>
      </c>
      <c r="F338">
        <v>88.62</v>
      </c>
      <c r="G338">
        <v>112.87</v>
      </c>
      <c r="H338">
        <v>57.04</v>
      </c>
    </row>
    <row r="339" spans="1:8" x14ac:dyDescent="0.25">
      <c r="A339" s="63">
        <f t="shared" si="5"/>
        <v>43803</v>
      </c>
      <c r="B339">
        <v>953.5100000000001</v>
      </c>
      <c r="C339">
        <v>80.819999999999993</v>
      </c>
      <c r="D339">
        <v>432.38</v>
      </c>
      <c r="E339">
        <v>192.43</v>
      </c>
      <c r="F339">
        <v>79.75</v>
      </c>
      <c r="G339">
        <v>110.98</v>
      </c>
      <c r="H339">
        <v>57.15</v>
      </c>
    </row>
    <row r="340" spans="1:8" x14ac:dyDescent="0.25">
      <c r="A340" s="63">
        <f t="shared" si="5"/>
        <v>43804</v>
      </c>
      <c r="B340">
        <v>989.62</v>
      </c>
      <c r="C340">
        <v>80.5</v>
      </c>
      <c r="D340">
        <v>426.53</v>
      </c>
      <c r="E340">
        <v>250.96</v>
      </c>
      <c r="F340">
        <v>74.95</v>
      </c>
      <c r="G340">
        <v>97.89</v>
      </c>
      <c r="H340">
        <v>58.79</v>
      </c>
    </row>
    <row r="341" spans="1:8" x14ac:dyDescent="0.25">
      <c r="A341" s="63">
        <f t="shared" si="5"/>
        <v>43805</v>
      </c>
      <c r="B341">
        <v>993.72</v>
      </c>
      <c r="C341">
        <v>80.58</v>
      </c>
      <c r="D341">
        <v>395.23</v>
      </c>
      <c r="E341">
        <v>277.83</v>
      </c>
      <c r="F341">
        <v>78.569999999999993</v>
      </c>
      <c r="G341">
        <v>105.6</v>
      </c>
      <c r="H341">
        <v>55.91</v>
      </c>
    </row>
    <row r="342" spans="1:8" x14ac:dyDescent="0.25">
      <c r="A342" s="63">
        <f t="shared" si="5"/>
        <v>43806</v>
      </c>
      <c r="B342">
        <v>826.05000000000007</v>
      </c>
      <c r="C342">
        <v>84.98</v>
      </c>
      <c r="D342">
        <v>314.33</v>
      </c>
      <c r="E342">
        <v>194.63</v>
      </c>
      <c r="F342">
        <v>77.8</v>
      </c>
      <c r="G342">
        <v>98.49</v>
      </c>
      <c r="H342">
        <v>55.82</v>
      </c>
    </row>
    <row r="343" spans="1:8" x14ac:dyDescent="0.25">
      <c r="A343" s="63">
        <f t="shared" si="5"/>
        <v>43807</v>
      </c>
      <c r="B343">
        <v>654.6</v>
      </c>
      <c r="C343">
        <v>66.930000000000007</v>
      </c>
      <c r="D343">
        <v>139.44</v>
      </c>
      <c r="E343">
        <v>287.60000000000002</v>
      </c>
      <c r="F343">
        <v>69.92</v>
      </c>
      <c r="G343">
        <v>84.24</v>
      </c>
      <c r="H343">
        <v>6.47</v>
      </c>
    </row>
    <row r="344" spans="1:8" x14ac:dyDescent="0.25">
      <c r="A344" s="63">
        <f t="shared" si="5"/>
        <v>43808</v>
      </c>
      <c r="B344">
        <v>932.35</v>
      </c>
      <c r="C344">
        <v>88.3</v>
      </c>
      <c r="D344">
        <v>351.08</v>
      </c>
      <c r="E344">
        <v>280.60000000000002</v>
      </c>
      <c r="F344">
        <v>74.790000000000006</v>
      </c>
      <c r="G344">
        <v>82.87</v>
      </c>
      <c r="H344">
        <v>54.71</v>
      </c>
    </row>
    <row r="345" spans="1:8" x14ac:dyDescent="0.25">
      <c r="A345" s="63">
        <f t="shared" si="5"/>
        <v>43809</v>
      </c>
      <c r="B345">
        <v>1068.5800000000002</v>
      </c>
      <c r="C345">
        <v>92.17</v>
      </c>
      <c r="D345">
        <v>446.57</v>
      </c>
      <c r="E345">
        <v>267.95</v>
      </c>
      <c r="F345">
        <v>110.8</v>
      </c>
      <c r="G345">
        <v>88.45</v>
      </c>
      <c r="H345">
        <v>62.64</v>
      </c>
    </row>
    <row r="346" spans="1:8" x14ac:dyDescent="0.25">
      <c r="A346" s="63">
        <f t="shared" si="5"/>
        <v>43810</v>
      </c>
      <c r="B346">
        <v>1074.25</v>
      </c>
      <c r="C346">
        <v>99.25</v>
      </c>
      <c r="D346">
        <v>421.24</v>
      </c>
      <c r="E346">
        <v>292.02999999999997</v>
      </c>
      <c r="F346">
        <v>103.75</v>
      </c>
      <c r="G346">
        <v>99.11</v>
      </c>
      <c r="H346">
        <v>58.87</v>
      </c>
    </row>
    <row r="347" spans="1:8" x14ac:dyDescent="0.25">
      <c r="A347" s="63">
        <f t="shared" si="5"/>
        <v>43811</v>
      </c>
      <c r="B347">
        <v>1059.49</v>
      </c>
      <c r="C347">
        <v>92.9</v>
      </c>
      <c r="D347">
        <v>429.75</v>
      </c>
      <c r="E347">
        <v>273.12</v>
      </c>
      <c r="F347">
        <v>103.14</v>
      </c>
      <c r="G347">
        <v>102.93</v>
      </c>
      <c r="H347">
        <v>57.65</v>
      </c>
    </row>
    <row r="348" spans="1:8" x14ac:dyDescent="0.25">
      <c r="A348" s="63">
        <f t="shared" si="5"/>
        <v>43812</v>
      </c>
      <c r="B348">
        <v>1053.8800000000001</v>
      </c>
      <c r="C348">
        <v>88.11</v>
      </c>
      <c r="D348">
        <v>452.86</v>
      </c>
      <c r="E348">
        <v>249.37</v>
      </c>
      <c r="F348">
        <v>104.26</v>
      </c>
      <c r="G348">
        <v>101.07</v>
      </c>
      <c r="H348">
        <v>58.21</v>
      </c>
    </row>
    <row r="349" spans="1:8" x14ac:dyDescent="0.25">
      <c r="A349" s="63">
        <f t="shared" si="5"/>
        <v>43813</v>
      </c>
      <c r="B349">
        <v>1073.81</v>
      </c>
      <c r="C349">
        <v>84.22</v>
      </c>
      <c r="D349">
        <v>439.4</v>
      </c>
      <c r="E349">
        <v>265.70999999999998</v>
      </c>
      <c r="F349">
        <v>112.99</v>
      </c>
      <c r="G349">
        <v>111.15</v>
      </c>
      <c r="H349">
        <v>60.34</v>
      </c>
    </row>
    <row r="350" spans="1:8" x14ac:dyDescent="0.25">
      <c r="A350" s="63">
        <f t="shared" si="5"/>
        <v>43814</v>
      </c>
      <c r="B350">
        <v>933.34</v>
      </c>
      <c r="C350">
        <v>67.209999999999994</v>
      </c>
      <c r="D350">
        <v>374.44</v>
      </c>
      <c r="E350">
        <v>207.06</v>
      </c>
      <c r="F350">
        <v>115.52</v>
      </c>
      <c r="G350">
        <v>107.45</v>
      </c>
      <c r="H350">
        <v>61.66</v>
      </c>
    </row>
    <row r="351" spans="1:8" x14ac:dyDescent="0.25">
      <c r="A351" s="63">
        <f t="shared" si="5"/>
        <v>43815</v>
      </c>
      <c r="B351">
        <v>962.42000000000007</v>
      </c>
      <c r="C351">
        <v>85</v>
      </c>
      <c r="D351">
        <v>363.51</v>
      </c>
      <c r="E351">
        <v>230.94</v>
      </c>
      <c r="F351">
        <v>97.84</v>
      </c>
      <c r="G351">
        <v>119.76</v>
      </c>
      <c r="H351">
        <v>65.37</v>
      </c>
    </row>
    <row r="352" spans="1:8" x14ac:dyDescent="0.25">
      <c r="A352" s="63">
        <f t="shared" si="5"/>
        <v>43816</v>
      </c>
      <c r="B352">
        <v>1116.95</v>
      </c>
      <c r="C352">
        <v>89.26</v>
      </c>
      <c r="D352">
        <v>458.25</v>
      </c>
      <c r="E352">
        <v>283.52</v>
      </c>
      <c r="F352">
        <v>107.59</v>
      </c>
      <c r="G352">
        <v>111.19</v>
      </c>
      <c r="H352">
        <v>67.14</v>
      </c>
    </row>
    <row r="353" spans="1:8" x14ac:dyDescent="0.25">
      <c r="A353" s="63">
        <f t="shared" si="5"/>
        <v>43817</v>
      </c>
      <c r="B353">
        <v>1081.51</v>
      </c>
      <c r="C353">
        <v>96.9</v>
      </c>
      <c r="D353">
        <v>416.58</v>
      </c>
      <c r="E353">
        <v>276.11</v>
      </c>
      <c r="F353">
        <v>115.85</v>
      </c>
      <c r="G353">
        <v>112.04</v>
      </c>
      <c r="H353">
        <v>64.03</v>
      </c>
    </row>
    <row r="354" spans="1:8" x14ac:dyDescent="0.25">
      <c r="A354" s="63">
        <f t="shared" si="5"/>
        <v>43818</v>
      </c>
      <c r="B354">
        <v>1098.1799999999998</v>
      </c>
      <c r="C354">
        <v>88.3</v>
      </c>
      <c r="D354">
        <v>455.13</v>
      </c>
      <c r="E354">
        <v>281.63</v>
      </c>
      <c r="F354">
        <v>99.13</v>
      </c>
      <c r="G354">
        <v>108.71</v>
      </c>
      <c r="H354">
        <v>65.28</v>
      </c>
    </row>
    <row r="355" spans="1:8" x14ac:dyDescent="0.25">
      <c r="A355" s="63">
        <f t="shared" si="5"/>
        <v>43819</v>
      </c>
      <c r="B355">
        <v>1027.3499999999999</v>
      </c>
      <c r="C355">
        <v>86.53</v>
      </c>
      <c r="D355">
        <v>418.22</v>
      </c>
      <c r="E355">
        <v>263.83</v>
      </c>
      <c r="F355">
        <v>93.95</v>
      </c>
      <c r="G355">
        <v>96.86</v>
      </c>
      <c r="H355">
        <v>67.959999999999994</v>
      </c>
    </row>
    <row r="356" spans="1:8" x14ac:dyDescent="0.25">
      <c r="A356" s="63">
        <f t="shared" si="5"/>
        <v>43820</v>
      </c>
      <c r="B356">
        <v>1011.65</v>
      </c>
      <c r="C356">
        <v>88.33</v>
      </c>
      <c r="D356">
        <v>408.01</v>
      </c>
      <c r="E356">
        <v>246.52</v>
      </c>
      <c r="F356">
        <v>109.11</v>
      </c>
      <c r="G356">
        <v>95.31</v>
      </c>
      <c r="H356">
        <v>64.37</v>
      </c>
    </row>
    <row r="357" spans="1:8" x14ac:dyDescent="0.25">
      <c r="A357" s="63">
        <f t="shared" si="5"/>
        <v>43821</v>
      </c>
      <c r="B357">
        <v>916.6099999999999</v>
      </c>
      <c r="C357">
        <v>85.8</v>
      </c>
      <c r="D357">
        <v>315.12</v>
      </c>
      <c r="E357">
        <v>260.10000000000002</v>
      </c>
      <c r="F357">
        <v>98.96</v>
      </c>
      <c r="G357">
        <v>91.31</v>
      </c>
      <c r="H357">
        <v>65.319999999999993</v>
      </c>
    </row>
    <row r="358" spans="1:8" x14ac:dyDescent="0.25">
      <c r="A358" s="63">
        <f t="shared" si="5"/>
        <v>43822</v>
      </c>
      <c r="B358">
        <v>975.59</v>
      </c>
      <c r="C358">
        <v>72.540000000000006</v>
      </c>
      <c r="D358">
        <v>394.17</v>
      </c>
      <c r="E358">
        <v>253.78</v>
      </c>
      <c r="F358">
        <v>91.74</v>
      </c>
      <c r="G358">
        <v>100.21</v>
      </c>
      <c r="H358">
        <v>63.15</v>
      </c>
    </row>
    <row r="359" spans="1:8" x14ac:dyDescent="0.25">
      <c r="A359" s="63">
        <f t="shared" si="5"/>
        <v>43823</v>
      </c>
      <c r="B359">
        <v>992.24</v>
      </c>
      <c r="C359">
        <v>80.86</v>
      </c>
      <c r="D359">
        <v>410.18</v>
      </c>
      <c r="E359">
        <v>234.52</v>
      </c>
      <c r="F359">
        <v>97.69</v>
      </c>
      <c r="G359">
        <v>105.33</v>
      </c>
      <c r="H359">
        <v>63.66</v>
      </c>
    </row>
    <row r="360" spans="1:8" x14ac:dyDescent="0.25">
      <c r="A360" s="63">
        <f t="shared" si="5"/>
        <v>43824</v>
      </c>
      <c r="B360">
        <v>1068.1400000000001</v>
      </c>
      <c r="C360">
        <v>101.95</v>
      </c>
      <c r="D360">
        <v>416.58</v>
      </c>
      <c r="E360">
        <v>274.76</v>
      </c>
      <c r="F360">
        <v>98.69</v>
      </c>
      <c r="G360">
        <v>111.83</v>
      </c>
      <c r="H360">
        <v>64.33</v>
      </c>
    </row>
    <row r="361" spans="1:8" x14ac:dyDescent="0.25">
      <c r="A361" s="63">
        <f t="shared" si="5"/>
        <v>43825</v>
      </c>
      <c r="B361">
        <v>1010.1</v>
      </c>
      <c r="C361">
        <v>89.79</v>
      </c>
      <c r="D361">
        <v>420.33</v>
      </c>
      <c r="E361">
        <v>238.47</v>
      </c>
      <c r="F361">
        <v>84.22</v>
      </c>
      <c r="G361">
        <v>115.61</v>
      </c>
      <c r="H361">
        <v>61.68</v>
      </c>
    </row>
    <row r="362" spans="1:8" x14ac:dyDescent="0.25">
      <c r="A362" s="63">
        <f t="shared" si="5"/>
        <v>43826</v>
      </c>
      <c r="B362">
        <v>609.78000000000009</v>
      </c>
      <c r="C362">
        <v>84.01</v>
      </c>
      <c r="D362">
        <v>189.59</v>
      </c>
      <c r="E362">
        <v>113.98</v>
      </c>
      <c r="F362">
        <v>79.69</v>
      </c>
      <c r="G362">
        <v>81.31</v>
      </c>
      <c r="H362">
        <v>61.2</v>
      </c>
    </row>
    <row r="363" spans="1:8" x14ac:dyDescent="0.25">
      <c r="A363" s="63">
        <f t="shared" si="5"/>
        <v>43827</v>
      </c>
      <c r="B363">
        <v>1.08</v>
      </c>
      <c r="F363">
        <v>1.08</v>
      </c>
    </row>
    <row r="364" spans="1:8" x14ac:dyDescent="0.25">
      <c r="A364" s="63">
        <f t="shared" si="5"/>
        <v>43828</v>
      </c>
      <c r="B364">
        <v>0</v>
      </c>
    </row>
    <row r="365" spans="1:8" x14ac:dyDescent="0.25">
      <c r="A365" s="63">
        <f t="shared" si="5"/>
        <v>43829</v>
      </c>
      <c r="B365">
        <v>0</v>
      </c>
    </row>
    <row r="366" spans="1:8" x14ac:dyDescent="0.25">
      <c r="A366" s="63">
        <f t="shared" si="5"/>
        <v>43830</v>
      </c>
      <c r="B366">
        <v>0</v>
      </c>
    </row>
    <row r="367" spans="1:8" x14ac:dyDescent="0.25">
      <c r="A367" s="63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7"/>
  <sheetViews>
    <sheetView topLeftCell="A349" workbookViewId="0">
      <selection activeCell="A366" sqref="A366:A367"/>
    </sheetView>
  </sheetViews>
  <sheetFormatPr defaultRowHeight="15" x14ac:dyDescent="0.25"/>
  <cols>
    <col min="1" max="1" width="10.140625" bestFit="1" customWidth="1"/>
  </cols>
  <sheetData>
    <row r="1" spans="1:8" x14ac:dyDescent="0.25">
      <c r="A1" t="s">
        <v>42</v>
      </c>
      <c r="B1" t="s">
        <v>41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</row>
    <row r="2" spans="1:8" x14ac:dyDescent="0.25">
      <c r="A2" s="63">
        <v>43831</v>
      </c>
      <c r="B2">
        <v>0</v>
      </c>
    </row>
    <row r="3" spans="1:8" x14ac:dyDescent="0.25">
      <c r="A3" s="63">
        <f>A2+1</f>
        <v>43832</v>
      </c>
      <c r="B3">
        <v>0</v>
      </c>
    </row>
    <row r="4" spans="1:8" x14ac:dyDescent="0.25">
      <c r="A4" s="63">
        <f t="shared" ref="A4:A67" si="0">A3+1</f>
        <v>43833</v>
      </c>
      <c r="B4">
        <v>0</v>
      </c>
    </row>
    <row r="5" spans="1:8" x14ac:dyDescent="0.25">
      <c r="A5" s="63">
        <f t="shared" si="0"/>
        <v>43834</v>
      </c>
      <c r="B5">
        <v>0</v>
      </c>
    </row>
    <row r="6" spans="1:8" x14ac:dyDescent="0.25">
      <c r="A6" s="63">
        <f t="shared" si="0"/>
        <v>43835</v>
      </c>
      <c r="B6">
        <v>0</v>
      </c>
    </row>
    <row r="7" spans="1:8" x14ac:dyDescent="0.25">
      <c r="A7" s="63">
        <f t="shared" si="0"/>
        <v>43836</v>
      </c>
      <c r="B7">
        <v>0</v>
      </c>
    </row>
    <row r="8" spans="1:8" x14ac:dyDescent="0.25">
      <c r="A8" s="63">
        <f t="shared" si="0"/>
        <v>43837</v>
      </c>
      <c r="B8">
        <v>0</v>
      </c>
    </row>
    <row r="9" spans="1:8" x14ac:dyDescent="0.25">
      <c r="A9" s="63">
        <f t="shared" si="0"/>
        <v>43838</v>
      </c>
      <c r="B9">
        <v>895.9</v>
      </c>
      <c r="C9">
        <v>110.65</v>
      </c>
      <c r="D9">
        <v>370.2</v>
      </c>
      <c r="E9">
        <v>143.18</v>
      </c>
      <c r="F9">
        <v>112.06</v>
      </c>
      <c r="G9">
        <v>97.08</v>
      </c>
      <c r="H9">
        <v>62.73</v>
      </c>
    </row>
    <row r="10" spans="1:8" x14ac:dyDescent="0.25">
      <c r="A10" s="63">
        <f t="shared" si="0"/>
        <v>43839</v>
      </c>
      <c r="B10">
        <v>898.88999999999987</v>
      </c>
      <c r="C10">
        <v>77.33</v>
      </c>
      <c r="D10">
        <v>362.9</v>
      </c>
      <c r="E10">
        <v>201.09</v>
      </c>
      <c r="F10">
        <v>100.65</v>
      </c>
      <c r="G10">
        <v>90</v>
      </c>
      <c r="H10">
        <v>66.92</v>
      </c>
    </row>
    <row r="11" spans="1:8" x14ac:dyDescent="0.25">
      <c r="A11" s="63">
        <f t="shared" si="0"/>
        <v>43840</v>
      </c>
      <c r="B11">
        <v>882.02</v>
      </c>
      <c r="C11">
        <v>86.81</v>
      </c>
      <c r="D11">
        <v>295.82</v>
      </c>
      <c r="E11">
        <v>244.26</v>
      </c>
      <c r="F11">
        <v>108.74</v>
      </c>
      <c r="G11">
        <v>79.430000000000007</v>
      </c>
      <c r="H11">
        <v>66.959999999999994</v>
      </c>
    </row>
    <row r="12" spans="1:8" x14ac:dyDescent="0.25">
      <c r="A12" s="63">
        <f t="shared" si="0"/>
        <v>43841</v>
      </c>
      <c r="B12">
        <v>911.8599999999999</v>
      </c>
      <c r="C12">
        <v>78.98</v>
      </c>
      <c r="D12">
        <v>283.17</v>
      </c>
      <c r="E12">
        <v>273.14</v>
      </c>
      <c r="F12">
        <v>132.80000000000001</v>
      </c>
      <c r="G12">
        <v>76.91</v>
      </c>
      <c r="H12">
        <v>66.86</v>
      </c>
    </row>
    <row r="13" spans="1:8" x14ac:dyDescent="0.25">
      <c r="A13" s="63">
        <f t="shared" si="0"/>
        <v>43842</v>
      </c>
      <c r="B13">
        <v>885.64999999999986</v>
      </c>
      <c r="C13">
        <v>77.12</v>
      </c>
      <c r="D13">
        <v>249.4</v>
      </c>
      <c r="E13">
        <v>275.32</v>
      </c>
      <c r="F13">
        <v>117.41</v>
      </c>
      <c r="G13">
        <v>100.33</v>
      </c>
      <c r="H13">
        <v>66.069999999999993</v>
      </c>
    </row>
    <row r="14" spans="1:8" x14ac:dyDescent="0.25">
      <c r="A14" s="63">
        <f t="shared" si="0"/>
        <v>43843</v>
      </c>
      <c r="B14">
        <v>863.31999999999994</v>
      </c>
      <c r="C14">
        <v>70.67</v>
      </c>
      <c r="D14">
        <v>260.56</v>
      </c>
      <c r="E14">
        <v>244.31</v>
      </c>
      <c r="F14">
        <v>112.61</v>
      </c>
      <c r="G14">
        <v>112.12</v>
      </c>
      <c r="H14">
        <v>63.05</v>
      </c>
    </row>
    <row r="15" spans="1:8" x14ac:dyDescent="0.25">
      <c r="A15" s="63">
        <f t="shared" si="0"/>
        <v>43844</v>
      </c>
      <c r="B15">
        <v>925.33999999999992</v>
      </c>
      <c r="C15">
        <v>79.55</v>
      </c>
      <c r="D15">
        <v>290.82</v>
      </c>
      <c r="E15">
        <v>267.68</v>
      </c>
      <c r="F15">
        <v>114.27</v>
      </c>
      <c r="G15">
        <v>110.38</v>
      </c>
      <c r="H15">
        <v>62.64</v>
      </c>
    </row>
    <row r="16" spans="1:8" x14ac:dyDescent="0.25">
      <c r="A16" s="63">
        <f t="shared" si="0"/>
        <v>43845</v>
      </c>
      <c r="B16">
        <v>848.57</v>
      </c>
      <c r="C16">
        <v>101.36</v>
      </c>
      <c r="D16">
        <v>262.82</v>
      </c>
      <c r="E16">
        <v>193.54</v>
      </c>
      <c r="F16">
        <v>117.64</v>
      </c>
      <c r="G16">
        <v>108.84</v>
      </c>
      <c r="H16">
        <v>64.37</v>
      </c>
    </row>
    <row r="17" spans="1:8" x14ac:dyDescent="0.25">
      <c r="A17" s="63">
        <f t="shared" si="0"/>
        <v>43846</v>
      </c>
      <c r="B17">
        <v>906.42000000000007</v>
      </c>
      <c r="C17">
        <v>69.36</v>
      </c>
      <c r="D17">
        <v>300.61</v>
      </c>
      <c r="E17">
        <v>266.74</v>
      </c>
      <c r="F17">
        <v>119.61</v>
      </c>
      <c r="G17">
        <v>87.99</v>
      </c>
      <c r="H17">
        <v>62.11</v>
      </c>
    </row>
    <row r="18" spans="1:8" x14ac:dyDescent="0.25">
      <c r="A18" s="63">
        <f t="shared" si="0"/>
        <v>43847</v>
      </c>
      <c r="B18">
        <v>888.49</v>
      </c>
      <c r="C18">
        <v>49.89</v>
      </c>
      <c r="D18">
        <v>342.59</v>
      </c>
      <c r="E18">
        <v>218.65</v>
      </c>
      <c r="F18">
        <v>116.91</v>
      </c>
      <c r="G18">
        <v>96.09</v>
      </c>
      <c r="H18">
        <v>64.36</v>
      </c>
    </row>
    <row r="19" spans="1:8" x14ac:dyDescent="0.25">
      <c r="A19" s="63">
        <f t="shared" si="0"/>
        <v>43848</v>
      </c>
      <c r="B19">
        <v>835.03</v>
      </c>
      <c r="C19">
        <v>62.83</v>
      </c>
      <c r="D19">
        <v>328.51</v>
      </c>
      <c r="E19">
        <v>185.94</v>
      </c>
      <c r="F19">
        <v>112.67</v>
      </c>
      <c r="G19">
        <v>80.23</v>
      </c>
      <c r="H19">
        <v>64.849999999999994</v>
      </c>
    </row>
    <row r="20" spans="1:8" x14ac:dyDescent="0.25">
      <c r="A20" s="63">
        <f t="shared" si="0"/>
        <v>43849</v>
      </c>
      <c r="B20">
        <v>913.83999999999992</v>
      </c>
      <c r="C20">
        <v>82.77</v>
      </c>
      <c r="D20">
        <v>356.34</v>
      </c>
      <c r="E20">
        <v>210.94</v>
      </c>
      <c r="F20">
        <v>118.52</v>
      </c>
      <c r="G20">
        <v>80.64</v>
      </c>
      <c r="H20">
        <v>64.63</v>
      </c>
    </row>
    <row r="21" spans="1:8" x14ac:dyDescent="0.25">
      <c r="A21" s="63">
        <f t="shared" si="0"/>
        <v>43850</v>
      </c>
      <c r="B21">
        <v>989.43</v>
      </c>
      <c r="C21">
        <v>99.24</v>
      </c>
      <c r="D21">
        <v>369.07</v>
      </c>
      <c r="E21">
        <v>226.72</v>
      </c>
      <c r="F21">
        <v>122.73</v>
      </c>
      <c r="G21">
        <v>106.37</v>
      </c>
      <c r="H21">
        <v>65.3</v>
      </c>
    </row>
    <row r="22" spans="1:8" x14ac:dyDescent="0.25">
      <c r="A22" s="63">
        <f t="shared" si="0"/>
        <v>43851</v>
      </c>
      <c r="B22">
        <v>887.75000000000011</v>
      </c>
      <c r="C22">
        <v>88.86</v>
      </c>
      <c r="D22">
        <v>333.98</v>
      </c>
      <c r="E22">
        <v>203.21</v>
      </c>
      <c r="F22">
        <v>102.12</v>
      </c>
      <c r="G22">
        <v>103.11</v>
      </c>
      <c r="H22">
        <v>56.47</v>
      </c>
    </row>
    <row r="23" spans="1:8" x14ac:dyDescent="0.25">
      <c r="A23" s="63">
        <f t="shared" si="0"/>
        <v>43852</v>
      </c>
      <c r="B23">
        <v>915.26</v>
      </c>
      <c r="C23">
        <v>93.42</v>
      </c>
      <c r="D23">
        <v>369.77</v>
      </c>
      <c r="E23">
        <v>183.9</v>
      </c>
      <c r="F23">
        <v>110.51</v>
      </c>
      <c r="G23">
        <v>95.66</v>
      </c>
      <c r="H23">
        <v>62</v>
      </c>
    </row>
    <row r="24" spans="1:8" x14ac:dyDescent="0.25">
      <c r="A24" s="63">
        <f t="shared" si="0"/>
        <v>43853</v>
      </c>
      <c r="B24">
        <v>902.22</v>
      </c>
      <c r="C24">
        <v>104.62</v>
      </c>
      <c r="D24">
        <v>318.55</v>
      </c>
      <c r="E24">
        <v>194.7</v>
      </c>
      <c r="F24">
        <v>109.77</v>
      </c>
      <c r="G24">
        <v>115.59</v>
      </c>
      <c r="H24">
        <v>58.99</v>
      </c>
    </row>
    <row r="25" spans="1:8" x14ac:dyDescent="0.25">
      <c r="A25" s="63">
        <f t="shared" si="0"/>
        <v>43854</v>
      </c>
      <c r="B25">
        <v>939.49</v>
      </c>
      <c r="C25">
        <v>97.19</v>
      </c>
      <c r="D25">
        <v>361.54</v>
      </c>
      <c r="E25">
        <v>207.6</v>
      </c>
      <c r="F25">
        <v>102.75</v>
      </c>
      <c r="G25">
        <v>109.97</v>
      </c>
      <c r="H25">
        <v>60.44</v>
      </c>
    </row>
    <row r="26" spans="1:8" x14ac:dyDescent="0.25">
      <c r="A26" s="63">
        <f t="shared" si="0"/>
        <v>43855</v>
      </c>
      <c r="B26">
        <v>929.06999999999994</v>
      </c>
      <c r="C26">
        <v>97.43</v>
      </c>
      <c r="D26">
        <v>335.44</v>
      </c>
      <c r="E26">
        <v>222.51</v>
      </c>
      <c r="F26">
        <v>106.77</v>
      </c>
      <c r="G26">
        <v>105.11</v>
      </c>
      <c r="H26">
        <v>61.81</v>
      </c>
    </row>
    <row r="27" spans="1:8" x14ac:dyDescent="0.25">
      <c r="A27" s="63">
        <f t="shared" si="0"/>
        <v>43856</v>
      </c>
      <c r="B27">
        <v>956.7</v>
      </c>
      <c r="C27">
        <v>90.78</v>
      </c>
      <c r="D27">
        <v>379.82</v>
      </c>
      <c r="E27">
        <v>212.88</v>
      </c>
      <c r="F27">
        <v>116.75</v>
      </c>
      <c r="G27">
        <v>94.96</v>
      </c>
      <c r="H27">
        <v>61.51</v>
      </c>
    </row>
    <row r="28" spans="1:8" x14ac:dyDescent="0.25">
      <c r="A28" s="63">
        <f t="shared" si="0"/>
        <v>43857</v>
      </c>
      <c r="B28">
        <v>958.3599999999999</v>
      </c>
      <c r="C28">
        <v>93.42</v>
      </c>
      <c r="D28">
        <v>363.93</v>
      </c>
      <c r="E28">
        <v>214.03</v>
      </c>
      <c r="F28">
        <v>115.28</v>
      </c>
      <c r="G28">
        <v>110.05</v>
      </c>
      <c r="H28">
        <v>61.65</v>
      </c>
    </row>
    <row r="29" spans="1:8" x14ac:dyDescent="0.25">
      <c r="A29" s="63">
        <f t="shared" si="0"/>
        <v>43858</v>
      </c>
      <c r="B29">
        <v>993.83999999999992</v>
      </c>
      <c r="C29">
        <v>93.32</v>
      </c>
      <c r="D29">
        <v>392.22</v>
      </c>
      <c r="E29">
        <v>225.96</v>
      </c>
      <c r="F29">
        <v>105.79</v>
      </c>
      <c r="G29">
        <v>110.26</v>
      </c>
      <c r="H29">
        <v>66.290000000000006</v>
      </c>
    </row>
    <row r="30" spans="1:8" x14ac:dyDescent="0.25">
      <c r="A30" s="63">
        <f t="shared" si="0"/>
        <v>43859</v>
      </c>
      <c r="B30">
        <v>934.41000000000008</v>
      </c>
      <c r="C30">
        <v>92.54</v>
      </c>
      <c r="D30">
        <v>396.42</v>
      </c>
      <c r="E30">
        <v>168.71</v>
      </c>
      <c r="F30">
        <v>103.68</v>
      </c>
      <c r="G30">
        <v>104.63</v>
      </c>
      <c r="H30">
        <v>68.430000000000007</v>
      </c>
    </row>
    <row r="31" spans="1:8" x14ac:dyDescent="0.25">
      <c r="A31" s="63">
        <f t="shared" si="0"/>
        <v>43860</v>
      </c>
      <c r="B31">
        <v>953.13</v>
      </c>
      <c r="C31">
        <v>99.13</v>
      </c>
      <c r="D31">
        <v>369.06</v>
      </c>
      <c r="E31">
        <v>204.68</v>
      </c>
      <c r="F31">
        <v>109.91</v>
      </c>
      <c r="G31">
        <v>99.5</v>
      </c>
      <c r="H31">
        <v>70.849999999999994</v>
      </c>
    </row>
    <row r="32" spans="1:8" x14ac:dyDescent="0.25">
      <c r="A32" s="63">
        <f t="shared" si="0"/>
        <v>43861</v>
      </c>
      <c r="B32">
        <v>939.29</v>
      </c>
      <c r="C32">
        <v>90.21</v>
      </c>
      <c r="D32">
        <v>389.12</v>
      </c>
      <c r="E32">
        <v>207.72</v>
      </c>
      <c r="F32">
        <v>102.67</v>
      </c>
      <c r="G32">
        <v>85.86</v>
      </c>
      <c r="H32">
        <v>63.71</v>
      </c>
    </row>
    <row r="33" spans="1:8" x14ac:dyDescent="0.25">
      <c r="A33" s="63">
        <f t="shared" si="0"/>
        <v>43862</v>
      </c>
      <c r="B33">
        <v>937.74</v>
      </c>
      <c r="C33">
        <v>80.53</v>
      </c>
      <c r="D33">
        <v>347.6</v>
      </c>
      <c r="E33">
        <v>242.57</v>
      </c>
      <c r="F33">
        <v>110.88</v>
      </c>
      <c r="G33">
        <v>73.66</v>
      </c>
      <c r="H33">
        <v>82.5</v>
      </c>
    </row>
    <row r="34" spans="1:8" x14ac:dyDescent="0.25">
      <c r="A34" s="63">
        <f t="shared" si="0"/>
        <v>43863</v>
      </c>
      <c r="B34">
        <v>788.98</v>
      </c>
      <c r="C34">
        <v>69.33</v>
      </c>
      <c r="D34">
        <v>189.91</v>
      </c>
      <c r="E34">
        <v>248.1</v>
      </c>
      <c r="F34">
        <v>110.48</v>
      </c>
      <c r="G34">
        <v>90.75</v>
      </c>
      <c r="H34">
        <v>80.41</v>
      </c>
    </row>
    <row r="35" spans="1:8" x14ac:dyDescent="0.25">
      <c r="A35" s="63">
        <f t="shared" si="0"/>
        <v>43864</v>
      </c>
      <c r="B35">
        <v>1051.5</v>
      </c>
      <c r="C35">
        <v>113.16</v>
      </c>
      <c r="D35">
        <v>386.98</v>
      </c>
      <c r="E35">
        <v>270.3</v>
      </c>
      <c r="F35">
        <v>94.64</v>
      </c>
      <c r="G35">
        <v>108.43</v>
      </c>
      <c r="H35">
        <v>77.989999999999995</v>
      </c>
    </row>
    <row r="36" spans="1:8" x14ac:dyDescent="0.25">
      <c r="A36" s="63">
        <f t="shared" si="0"/>
        <v>43865</v>
      </c>
      <c r="B36">
        <v>1040.3800000000001</v>
      </c>
      <c r="C36">
        <v>85.16</v>
      </c>
      <c r="D36">
        <v>374.21</v>
      </c>
      <c r="E36">
        <v>267.13</v>
      </c>
      <c r="F36">
        <v>113.95</v>
      </c>
      <c r="G36">
        <v>113.58</v>
      </c>
      <c r="H36">
        <v>86.35</v>
      </c>
    </row>
    <row r="37" spans="1:8" x14ac:dyDescent="0.25">
      <c r="A37" s="63">
        <f t="shared" si="0"/>
        <v>43866</v>
      </c>
      <c r="B37">
        <v>1032.21</v>
      </c>
      <c r="C37">
        <v>82.42</v>
      </c>
      <c r="D37">
        <v>374.78</v>
      </c>
      <c r="E37">
        <v>268.95999999999998</v>
      </c>
      <c r="F37">
        <v>109.05</v>
      </c>
      <c r="G37">
        <v>114.47</v>
      </c>
      <c r="H37">
        <v>82.53</v>
      </c>
    </row>
    <row r="38" spans="1:8" x14ac:dyDescent="0.25">
      <c r="A38" s="63">
        <f t="shared" si="0"/>
        <v>43867</v>
      </c>
      <c r="B38">
        <v>1039.6500000000001</v>
      </c>
      <c r="C38">
        <v>102.9</v>
      </c>
      <c r="D38">
        <v>396.72</v>
      </c>
      <c r="E38">
        <v>254.36</v>
      </c>
      <c r="F38">
        <v>105.88</v>
      </c>
      <c r="G38">
        <v>96.34</v>
      </c>
      <c r="H38">
        <v>83.45</v>
      </c>
    </row>
    <row r="39" spans="1:8" x14ac:dyDescent="0.25">
      <c r="A39" s="63">
        <f t="shared" si="0"/>
        <v>43868</v>
      </c>
      <c r="B39">
        <v>1041.9199999999998</v>
      </c>
      <c r="C39">
        <v>99.27</v>
      </c>
      <c r="D39">
        <v>396.02</v>
      </c>
      <c r="E39">
        <v>264.77999999999997</v>
      </c>
      <c r="F39">
        <v>105.91</v>
      </c>
      <c r="G39">
        <v>92.29</v>
      </c>
      <c r="H39">
        <v>83.65</v>
      </c>
    </row>
    <row r="40" spans="1:8" x14ac:dyDescent="0.25">
      <c r="A40" s="63">
        <f t="shared" si="0"/>
        <v>43869</v>
      </c>
      <c r="B40">
        <v>920.24</v>
      </c>
      <c r="C40">
        <v>93.1</v>
      </c>
      <c r="D40">
        <v>287.69</v>
      </c>
      <c r="E40">
        <v>262.06</v>
      </c>
      <c r="F40">
        <v>118.38</v>
      </c>
      <c r="G40">
        <v>75.7</v>
      </c>
      <c r="H40">
        <v>83.31</v>
      </c>
    </row>
    <row r="41" spans="1:8" x14ac:dyDescent="0.25">
      <c r="A41" s="63">
        <f t="shared" si="0"/>
        <v>43870</v>
      </c>
      <c r="B41">
        <v>799.21</v>
      </c>
      <c r="C41">
        <v>108.97</v>
      </c>
      <c r="D41">
        <v>148.94999999999999</v>
      </c>
      <c r="E41">
        <v>259.8</v>
      </c>
      <c r="F41">
        <v>113.3</v>
      </c>
      <c r="G41">
        <v>84.33</v>
      </c>
      <c r="H41">
        <v>83.86</v>
      </c>
    </row>
    <row r="42" spans="1:8" x14ac:dyDescent="0.25">
      <c r="A42" s="63">
        <f t="shared" si="0"/>
        <v>43871</v>
      </c>
      <c r="B42">
        <v>984.36</v>
      </c>
      <c r="C42">
        <v>81.48</v>
      </c>
      <c r="D42">
        <v>376.95</v>
      </c>
      <c r="E42">
        <v>222.66</v>
      </c>
      <c r="F42">
        <v>112.11</v>
      </c>
      <c r="G42">
        <v>106.31</v>
      </c>
      <c r="H42">
        <v>84.85</v>
      </c>
    </row>
    <row r="43" spans="1:8" x14ac:dyDescent="0.25">
      <c r="A43" s="63">
        <f t="shared" si="0"/>
        <v>43872</v>
      </c>
      <c r="B43">
        <v>1066.08</v>
      </c>
      <c r="C43">
        <v>78.09</v>
      </c>
      <c r="D43">
        <v>421.92</v>
      </c>
      <c r="E43">
        <v>250.29</v>
      </c>
      <c r="F43">
        <v>112.32</v>
      </c>
      <c r="G43">
        <v>117.37</v>
      </c>
      <c r="H43">
        <v>86.09</v>
      </c>
    </row>
    <row r="44" spans="1:8" x14ac:dyDescent="0.25">
      <c r="A44" s="63">
        <f t="shared" si="0"/>
        <v>43873</v>
      </c>
      <c r="B44">
        <v>1104.6299999999999</v>
      </c>
      <c r="C44">
        <v>136.88999999999999</v>
      </c>
      <c r="D44">
        <v>407.52</v>
      </c>
      <c r="E44">
        <v>255.87</v>
      </c>
      <c r="F44">
        <v>108.01</v>
      </c>
      <c r="G44">
        <v>112.79</v>
      </c>
      <c r="H44">
        <v>83.55</v>
      </c>
    </row>
    <row r="45" spans="1:8" x14ac:dyDescent="0.25">
      <c r="A45" s="63">
        <f t="shared" si="0"/>
        <v>43874</v>
      </c>
      <c r="B45">
        <v>1086.43</v>
      </c>
      <c r="C45">
        <v>94.89</v>
      </c>
      <c r="D45">
        <v>426.42</v>
      </c>
      <c r="E45">
        <v>254.52</v>
      </c>
      <c r="F45">
        <v>109.85</v>
      </c>
      <c r="G45">
        <v>114.17</v>
      </c>
      <c r="H45">
        <v>86.58</v>
      </c>
    </row>
    <row r="46" spans="1:8" x14ac:dyDescent="0.25">
      <c r="A46" s="63">
        <f t="shared" si="0"/>
        <v>43875</v>
      </c>
      <c r="B46">
        <v>1089.69</v>
      </c>
      <c r="C46">
        <v>110.5</v>
      </c>
      <c r="D46">
        <v>445</v>
      </c>
      <c r="E46">
        <v>235.12</v>
      </c>
      <c r="F46">
        <v>102.35</v>
      </c>
      <c r="G46">
        <v>108.98</v>
      </c>
      <c r="H46">
        <v>87.74</v>
      </c>
    </row>
    <row r="47" spans="1:8" x14ac:dyDescent="0.25">
      <c r="A47" s="63">
        <f t="shared" si="0"/>
        <v>43876</v>
      </c>
      <c r="B47">
        <v>1017.5499999999998</v>
      </c>
      <c r="C47">
        <v>70.83</v>
      </c>
      <c r="D47">
        <v>426.13</v>
      </c>
      <c r="E47">
        <v>228.11</v>
      </c>
      <c r="F47">
        <v>102.04</v>
      </c>
      <c r="G47">
        <v>108.04</v>
      </c>
      <c r="H47">
        <v>82.4</v>
      </c>
    </row>
    <row r="48" spans="1:8" x14ac:dyDescent="0.25">
      <c r="A48" s="63">
        <f t="shared" si="0"/>
        <v>43877</v>
      </c>
      <c r="B48">
        <v>968.56000000000006</v>
      </c>
      <c r="C48">
        <v>111.69</v>
      </c>
      <c r="D48">
        <v>350.61</v>
      </c>
      <c r="E48">
        <v>216.2</v>
      </c>
      <c r="F48">
        <v>98.08</v>
      </c>
      <c r="G48">
        <v>107.88</v>
      </c>
      <c r="H48">
        <v>84.1</v>
      </c>
    </row>
    <row r="49" spans="1:8" x14ac:dyDescent="0.25">
      <c r="A49" s="63">
        <f t="shared" si="0"/>
        <v>43878</v>
      </c>
      <c r="B49">
        <v>1026.3</v>
      </c>
      <c r="C49">
        <v>83.54</v>
      </c>
      <c r="D49">
        <v>414.44</v>
      </c>
      <c r="E49">
        <v>239.15</v>
      </c>
      <c r="F49">
        <v>95.38</v>
      </c>
      <c r="G49">
        <v>111.32</v>
      </c>
      <c r="H49">
        <v>82.47</v>
      </c>
    </row>
    <row r="50" spans="1:8" x14ac:dyDescent="0.25">
      <c r="A50" s="63">
        <f t="shared" si="0"/>
        <v>43879</v>
      </c>
      <c r="B50">
        <v>1009.18</v>
      </c>
      <c r="C50">
        <v>117.53</v>
      </c>
      <c r="D50">
        <v>419.01</v>
      </c>
      <c r="E50">
        <v>184.41</v>
      </c>
      <c r="F50">
        <v>93.41</v>
      </c>
      <c r="G50">
        <v>120.62</v>
      </c>
      <c r="H50">
        <v>74.2</v>
      </c>
    </row>
    <row r="51" spans="1:8" x14ac:dyDescent="0.25">
      <c r="A51" s="63">
        <f t="shared" si="0"/>
        <v>43880</v>
      </c>
      <c r="B51">
        <v>1068.8800000000001</v>
      </c>
      <c r="C51">
        <v>99.12</v>
      </c>
      <c r="D51">
        <v>443.35</v>
      </c>
      <c r="E51">
        <v>225.27</v>
      </c>
      <c r="F51">
        <v>97.18</v>
      </c>
      <c r="G51">
        <v>119.95</v>
      </c>
      <c r="H51">
        <v>84.01</v>
      </c>
    </row>
    <row r="52" spans="1:8" x14ac:dyDescent="0.25">
      <c r="A52" s="63">
        <f t="shared" si="0"/>
        <v>43881</v>
      </c>
      <c r="B52">
        <v>1068.8799999999999</v>
      </c>
      <c r="C52">
        <v>86.83</v>
      </c>
      <c r="D52">
        <v>445.92</v>
      </c>
      <c r="E52">
        <v>235.57</v>
      </c>
      <c r="F52">
        <v>102.21</v>
      </c>
      <c r="G52">
        <v>113.25</v>
      </c>
      <c r="H52">
        <v>85.1</v>
      </c>
    </row>
    <row r="53" spans="1:8" x14ac:dyDescent="0.25">
      <c r="A53" s="63">
        <f t="shared" si="0"/>
        <v>43882</v>
      </c>
      <c r="B53">
        <v>1062.19</v>
      </c>
      <c r="C53">
        <v>99.2</v>
      </c>
      <c r="D53">
        <v>435.56</v>
      </c>
      <c r="E53">
        <v>224.44</v>
      </c>
      <c r="F53">
        <v>99.99</v>
      </c>
      <c r="G53">
        <v>116.2</v>
      </c>
      <c r="H53">
        <v>86.8</v>
      </c>
    </row>
    <row r="54" spans="1:8" x14ac:dyDescent="0.25">
      <c r="A54" s="63">
        <f t="shared" si="0"/>
        <v>43883</v>
      </c>
      <c r="B54">
        <v>1019.81</v>
      </c>
      <c r="C54">
        <v>90.89</v>
      </c>
      <c r="D54">
        <v>397.31</v>
      </c>
      <c r="E54">
        <v>234.15</v>
      </c>
      <c r="F54">
        <v>97.8</v>
      </c>
      <c r="G54">
        <v>117.23</v>
      </c>
      <c r="H54">
        <v>82.43</v>
      </c>
    </row>
    <row r="55" spans="1:8" x14ac:dyDescent="0.25">
      <c r="A55" s="63">
        <f t="shared" si="0"/>
        <v>43884</v>
      </c>
      <c r="B55">
        <v>959.31999999999994</v>
      </c>
      <c r="C55">
        <v>92.93</v>
      </c>
      <c r="D55">
        <v>367.14</v>
      </c>
      <c r="E55">
        <v>202.02</v>
      </c>
      <c r="F55">
        <v>95.9</v>
      </c>
      <c r="G55">
        <v>127.53</v>
      </c>
      <c r="H55">
        <v>73.8</v>
      </c>
    </row>
    <row r="56" spans="1:8" x14ac:dyDescent="0.25">
      <c r="A56" s="63">
        <f t="shared" si="0"/>
        <v>43885</v>
      </c>
      <c r="B56">
        <v>1115.2099999999998</v>
      </c>
      <c r="C56">
        <v>123.14</v>
      </c>
      <c r="D56">
        <v>434.28</v>
      </c>
      <c r="E56">
        <v>273.89999999999998</v>
      </c>
      <c r="F56">
        <v>87.32</v>
      </c>
      <c r="G56">
        <v>113.26</v>
      </c>
      <c r="H56">
        <v>83.31</v>
      </c>
    </row>
    <row r="57" spans="1:8" x14ac:dyDescent="0.25">
      <c r="A57" s="63">
        <f t="shared" si="0"/>
        <v>43886</v>
      </c>
      <c r="B57">
        <v>1065.5</v>
      </c>
      <c r="C57">
        <v>115.87</v>
      </c>
      <c r="D57">
        <v>419.98</v>
      </c>
      <c r="E57">
        <v>234.6</v>
      </c>
      <c r="F57">
        <v>115.06</v>
      </c>
      <c r="G57">
        <v>102.41</v>
      </c>
      <c r="H57">
        <v>77.58</v>
      </c>
    </row>
    <row r="58" spans="1:8" x14ac:dyDescent="0.25">
      <c r="A58" s="63">
        <f t="shared" si="0"/>
        <v>43887</v>
      </c>
      <c r="B58">
        <v>1042.27</v>
      </c>
      <c r="C58">
        <v>125.47</v>
      </c>
      <c r="D58">
        <v>420.92</v>
      </c>
      <c r="E58">
        <v>217.85</v>
      </c>
      <c r="F58">
        <v>96.19</v>
      </c>
      <c r="G58">
        <v>101.41</v>
      </c>
      <c r="H58">
        <v>80.430000000000007</v>
      </c>
    </row>
    <row r="59" spans="1:8" x14ac:dyDescent="0.25">
      <c r="A59" s="63">
        <f t="shared" si="0"/>
        <v>43888</v>
      </c>
      <c r="B59">
        <v>1096.75</v>
      </c>
      <c r="C59">
        <v>111.41</v>
      </c>
      <c r="D59">
        <v>444.73</v>
      </c>
      <c r="E59">
        <v>262.64</v>
      </c>
      <c r="F59">
        <v>97.19</v>
      </c>
      <c r="G59">
        <v>100.18</v>
      </c>
      <c r="H59">
        <v>80.599999999999994</v>
      </c>
    </row>
    <row r="60" spans="1:8" x14ac:dyDescent="0.25">
      <c r="A60" s="63">
        <f t="shared" si="0"/>
        <v>43889</v>
      </c>
      <c r="B60">
        <v>1111.56</v>
      </c>
      <c r="C60">
        <v>142.84</v>
      </c>
      <c r="D60">
        <v>433.83</v>
      </c>
      <c r="E60">
        <v>252.53</v>
      </c>
      <c r="F60">
        <v>102.08</v>
      </c>
      <c r="G60">
        <v>98.91</v>
      </c>
      <c r="H60">
        <v>81.37</v>
      </c>
    </row>
    <row r="61" spans="1:8" x14ac:dyDescent="0.25">
      <c r="A61" s="63">
        <f t="shared" si="0"/>
        <v>43890</v>
      </c>
      <c r="B61">
        <v>1096.7700000000002</v>
      </c>
      <c r="C61">
        <v>148.94999999999999</v>
      </c>
      <c r="D61">
        <v>411.22</v>
      </c>
      <c r="E61">
        <v>255.67</v>
      </c>
      <c r="F61">
        <v>96.96</v>
      </c>
      <c r="G61">
        <v>102.32</v>
      </c>
      <c r="H61">
        <v>81.650000000000006</v>
      </c>
    </row>
    <row r="62" spans="1:8" x14ac:dyDescent="0.25">
      <c r="A62" s="63">
        <f t="shared" si="0"/>
        <v>43891</v>
      </c>
      <c r="B62">
        <v>1033.21</v>
      </c>
      <c r="C62">
        <v>104.65</v>
      </c>
      <c r="D62">
        <v>400.53</v>
      </c>
      <c r="E62">
        <v>244.6</v>
      </c>
      <c r="F62">
        <v>93.84</v>
      </c>
      <c r="G62">
        <v>105.31</v>
      </c>
      <c r="H62">
        <v>84.28</v>
      </c>
    </row>
    <row r="63" spans="1:8" x14ac:dyDescent="0.25">
      <c r="A63" s="63">
        <f t="shared" si="0"/>
        <v>43892</v>
      </c>
      <c r="B63">
        <v>996.87999999999988</v>
      </c>
      <c r="C63">
        <v>116.01</v>
      </c>
      <c r="D63">
        <v>383.28</v>
      </c>
      <c r="E63">
        <v>225.47</v>
      </c>
      <c r="F63">
        <v>88.38</v>
      </c>
      <c r="G63">
        <v>96.44</v>
      </c>
      <c r="H63">
        <v>87.3</v>
      </c>
    </row>
    <row r="64" spans="1:8" x14ac:dyDescent="0.25">
      <c r="A64" s="63">
        <f t="shared" si="0"/>
        <v>43893</v>
      </c>
      <c r="B64">
        <v>1046.0899999999999</v>
      </c>
      <c r="C64">
        <v>107.97</v>
      </c>
      <c r="D64">
        <v>391.06</v>
      </c>
      <c r="E64">
        <v>230.79</v>
      </c>
      <c r="F64">
        <v>106.3</v>
      </c>
      <c r="G64">
        <v>121.39</v>
      </c>
      <c r="H64">
        <v>88.58</v>
      </c>
    </row>
    <row r="65" spans="1:8" x14ac:dyDescent="0.25">
      <c r="A65" s="63">
        <f t="shared" si="0"/>
        <v>43894</v>
      </c>
      <c r="B65">
        <v>1015.8299999999999</v>
      </c>
      <c r="C65">
        <v>135.63</v>
      </c>
      <c r="D65">
        <v>342.55</v>
      </c>
      <c r="E65">
        <v>238.94</v>
      </c>
      <c r="F65">
        <v>91.75</v>
      </c>
      <c r="G65">
        <v>118.94</v>
      </c>
      <c r="H65">
        <v>88.02</v>
      </c>
    </row>
    <row r="66" spans="1:8" x14ac:dyDescent="0.25">
      <c r="A66" s="63">
        <f t="shared" si="0"/>
        <v>43895</v>
      </c>
      <c r="B66">
        <v>987.42</v>
      </c>
      <c r="C66">
        <v>67.489999999999995</v>
      </c>
      <c r="D66">
        <v>384.07</v>
      </c>
      <c r="E66">
        <v>227.3</v>
      </c>
      <c r="F66">
        <v>95.93</v>
      </c>
      <c r="G66">
        <v>122.11</v>
      </c>
      <c r="H66">
        <v>90.52</v>
      </c>
    </row>
    <row r="67" spans="1:8" x14ac:dyDescent="0.25">
      <c r="A67" s="63">
        <f t="shared" si="0"/>
        <v>43896</v>
      </c>
      <c r="B67">
        <v>940.43</v>
      </c>
      <c r="C67">
        <v>99.76</v>
      </c>
      <c r="D67">
        <v>359.34</v>
      </c>
      <c r="E67">
        <v>191.67</v>
      </c>
      <c r="F67">
        <v>94.22</v>
      </c>
      <c r="G67">
        <v>111.06</v>
      </c>
      <c r="H67">
        <v>84.38</v>
      </c>
    </row>
    <row r="68" spans="1:8" x14ac:dyDescent="0.25">
      <c r="A68" s="63">
        <f t="shared" ref="A68:A131" si="1">A67+1</f>
        <v>43897</v>
      </c>
      <c r="B68">
        <v>1082.79</v>
      </c>
      <c r="C68">
        <v>107.58</v>
      </c>
      <c r="D68">
        <v>420.22</v>
      </c>
      <c r="E68">
        <v>262.68</v>
      </c>
      <c r="F68">
        <v>99.97</v>
      </c>
      <c r="G68">
        <v>113.29</v>
      </c>
      <c r="H68">
        <v>79.05</v>
      </c>
    </row>
    <row r="69" spans="1:8" x14ac:dyDescent="0.25">
      <c r="A69" s="63">
        <f t="shared" si="1"/>
        <v>43898</v>
      </c>
      <c r="B69">
        <v>1019.1999999999999</v>
      </c>
      <c r="C69">
        <v>100.32</v>
      </c>
      <c r="D69">
        <v>381.27</v>
      </c>
      <c r="E69">
        <v>265</v>
      </c>
      <c r="F69">
        <v>95.53</v>
      </c>
      <c r="G69">
        <v>90.95</v>
      </c>
      <c r="H69">
        <v>86.13</v>
      </c>
    </row>
    <row r="70" spans="1:8" x14ac:dyDescent="0.25">
      <c r="A70" s="63">
        <f t="shared" si="1"/>
        <v>43899</v>
      </c>
      <c r="B70">
        <v>972.1099999999999</v>
      </c>
      <c r="C70">
        <v>94.64</v>
      </c>
      <c r="D70">
        <v>373.28</v>
      </c>
      <c r="E70">
        <v>244.82</v>
      </c>
      <c r="F70">
        <v>93.82</v>
      </c>
      <c r="G70">
        <v>79.55</v>
      </c>
      <c r="H70">
        <v>86</v>
      </c>
    </row>
    <row r="71" spans="1:8" x14ac:dyDescent="0.25">
      <c r="A71" s="63">
        <f t="shared" si="1"/>
        <v>43900</v>
      </c>
      <c r="B71">
        <v>1027.08</v>
      </c>
      <c r="C71">
        <v>97.17</v>
      </c>
      <c r="D71">
        <v>415.3</v>
      </c>
      <c r="E71">
        <v>250.04</v>
      </c>
      <c r="F71">
        <v>88.73</v>
      </c>
      <c r="G71">
        <v>86.85</v>
      </c>
      <c r="H71">
        <v>88.99</v>
      </c>
    </row>
    <row r="72" spans="1:8" x14ac:dyDescent="0.25">
      <c r="A72" s="63">
        <f t="shared" si="1"/>
        <v>43901</v>
      </c>
      <c r="B72">
        <v>1088.33</v>
      </c>
      <c r="C72">
        <v>105.84</v>
      </c>
      <c r="D72">
        <v>445.09</v>
      </c>
      <c r="E72">
        <v>250.86</v>
      </c>
      <c r="F72">
        <v>99.36</v>
      </c>
      <c r="G72">
        <v>96.43</v>
      </c>
      <c r="H72">
        <v>90.75</v>
      </c>
    </row>
    <row r="73" spans="1:8" x14ac:dyDescent="0.25">
      <c r="A73" s="63">
        <f t="shared" si="1"/>
        <v>43902</v>
      </c>
      <c r="B73">
        <v>1019.6700000000001</v>
      </c>
      <c r="C73">
        <v>84.8</v>
      </c>
      <c r="D73">
        <v>411.28</v>
      </c>
      <c r="E73">
        <v>233.9</v>
      </c>
      <c r="F73">
        <v>94.19</v>
      </c>
      <c r="G73">
        <v>106.05</v>
      </c>
      <c r="H73">
        <v>89.45</v>
      </c>
    </row>
    <row r="74" spans="1:8" x14ac:dyDescent="0.25">
      <c r="A74" s="63">
        <f t="shared" si="1"/>
        <v>43903</v>
      </c>
      <c r="B74">
        <v>1054.07</v>
      </c>
      <c r="C74">
        <v>107.92</v>
      </c>
      <c r="D74">
        <v>417.59</v>
      </c>
      <c r="E74">
        <v>252.61</v>
      </c>
      <c r="F74">
        <v>90.64</v>
      </c>
      <c r="G74">
        <v>100.9</v>
      </c>
      <c r="H74">
        <v>84.41</v>
      </c>
    </row>
    <row r="75" spans="1:8" x14ac:dyDescent="0.25">
      <c r="A75" s="63">
        <f t="shared" si="1"/>
        <v>43904</v>
      </c>
      <c r="B75">
        <v>1047.26</v>
      </c>
      <c r="C75">
        <v>103.18</v>
      </c>
      <c r="D75">
        <v>407.52</v>
      </c>
      <c r="E75">
        <v>237.45</v>
      </c>
      <c r="F75">
        <v>108.07</v>
      </c>
      <c r="G75">
        <v>101.6</v>
      </c>
      <c r="H75">
        <v>89.44</v>
      </c>
    </row>
    <row r="76" spans="1:8" x14ac:dyDescent="0.25">
      <c r="A76" s="63">
        <f t="shared" si="1"/>
        <v>43905</v>
      </c>
      <c r="B76">
        <v>944.89</v>
      </c>
      <c r="C76">
        <v>121.1</v>
      </c>
      <c r="D76">
        <v>343.85</v>
      </c>
      <c r="E76">
        <v>207.64</v>
      </c>
      <c r="F76">
        <v>109.01</v>
      </c>
      <c r="G76">
        <v>74.91</v>
      </c>
      <c r="H76">
        <v>88.38</v>
      </c>
    </row>
    <row r="77" spans="1:8" x14ac:dyDescent="0.25">
      <c r="A77" s="63">
        <f t="shared" si="1"/>
        <v>43906</v>
      </c>
      <c r="B77">
        <v>1003.02</v>
      </c>
      <c r="C77">
        <v>100.39</v>
      </c>
      <c r="D77">
        <v>397.29</v>
      </c>
      <c r="E77">
        <v>207.61</v>
      </c>
      <c r="F77">
        <v>103.13</v>
      </c>
      <c r="G77">
        <v>104.56</v>
      </c>
      <c r="H77">
        <v>90.04</v>
      </c>
    </row>
    <row r="78" spans="1:8" x14ac:dyDescent="0.25">
      <c r="A78" s="63">
        <f t="shared" si="1"/>
        <v>43907</v>
      </c>
      <c r="B78">
        <v>822.58</v>
      </c>
      <c r="C78">
        <v>75.349999999999994</v>
      </c>
      <c r="D78">
        <v>290.95999999999998</v>
      </c>
      <c r="E78">
        <v>183.69</v>
      </c>
      <c r="F78">
        <v>99.26</v>
      </c>
      <c r="G78">
        <v>83.86</v>
      </c>
      <c r="H78">
        <v>89.46</v>
      </c>
    </row>
    <row r="79" spans="1:8" x14ac:dyDescent="0.25">
      <c r="A79" s="63">
        <f t="shared" si="1"/>
        <v>43908</v>
      </c>
      <c r="B79">
        <v>780.18000000000006</v>
      </c>
      <c r="C79">
        <v>82.48</v>
      </c>
      <c r="D79">
        <v>292.97000000000003</v>
      </c>
      <c r="E79">
        <v>147.75</v>
      </c>
      <c r="F79">
        <v>95.12</v>
      </c>
      <c r="G79">
        <v>78.17</v>
      </c>
      <c r="H79">
        <v>83.69</v>
      </c>
    </row>
    <row r="80" spans="1:8" x14ac:dyDescent="0.25">
      <c r="A80" s="63">
        <f t="shared" si="1"/>
        <v>43909</v>
      </c>
      <c r="B80">
        <v>701.45999999999992</v>
      </c>
      <c r="C80">
        <v>99.72</v>
      </c>
      <c r="D80">
        <v>297.07</v>
      </c>
      <c r="E80">
        <v>65.28</v>
      </c>
      <c r="F80">
        <v>83.66</v>
      </c>
      <c r="G80">
        <v>70.12</v>
      </c>
      <c r="H80">
        <v>85.61</v>
      </c>
    </row>
    <row r="81" spans="1:8" x14ac:dyDescent="0.25">
      <c r="A81" s="63">
        <f t="shared" si="1"/>
        <v>43910</v>
      </c>
      <c r="B81">
        <v>526.85099999999989</v>
      </c>
      <c r="C81">
        <v>61.89</v>
      </c>
      <c r="D81">
        <v>262.39999999999998</v>
      </c>
      <c r="E81">
        <v>1E-3</v>
      </c>
      <c r="F81">
        <v>74.400000000000006</v>
      </c>
      <c r="G81">
        <v>72.81</v>
      </c>
      <c r="H81">
        <v>55.35</v>
      </c>
    </row>
    <row r="82" spans="1:8" x14ac:dyDescent="0.25">
      <c r="A82" s="63">
        <f t="shared" si="1"/>
        <v>43911</v>
      </c>
      <c r="B82">
        <v>366.09100000000001</v>
      </c>
      <c r="C82">
        <v>68.510000000000005</v>
      </c>
      <c r="D82">
        <v>104.42</v>
      </c>
      <c r="E82">
        <v>1E-3</v>
      </c>
      <c r="F82">
        <v>69.34</v>
      </c>
      <c r="G82">
        <v>67.8</v>
      </c>
      <c r="H82">
        <v>56.02</v>
      </c>
    </row>
    <row r="83" spans="1:8" x14ac:dyDescent="0.25">
      <c r="A83" s="63">
        <f t="shared" si="1"/>
        <v>43912</v>
      </c>
      <c r="B83">
        <v>343.14010000000002</v>
      </c>
      <c r="C83">
        <v>55.91</v>
      </c>
      <c r="D83">
        <v>1E-4</v>
      </c>
      <c r="E83">
        <v>93.81</v>
      </c>
      <c r="F83">
        <v>76.38</v>
      </c>
      <c r="G83">
        <v>59.94</v>
      </c>
      <c r="H83">
        <v>57.1</v>
      </c>
    </row>
    <row r="84" spans="1:8" x14ac:dyDescent="0.25">
      <c r="A84" s="63">
        <f t="shared" si="1"/>
        <v>43913</v>
      </c>
      <c r="B84">
        <v>872.22</v>
      </c>
      <c r="C84">
        <v>56.7</v>
      </c>
      <c r="D84">
        <v>404.19</v>
      </c>
      <c r="E84">
        <v>183.28</v>
      </c>
      <c r="F84">
        <v>82.24</v>
      </c>
      <c r="G84">
        <v>87</v>
      </c>
      <c r="H84">
        <v>58.81</v>
      </c>
    </row>
    <row r="85" spans="1:8" x14ac:dyDescent="0.25">
      <c r="A85" s="63">
        <f t="shared" si="1"/>
        <v>43914</v>
      </c>
      <c r="B85">
        <v>859.16000000000008</v>
      </c>
      <c r="C85">
        <v>81.069999999999993</v>
      </c>
      <c r="D85">
        <v>353.67</v>
      </c>
      <c r="E85">
        <v>218.59</v>
      </c>
      <c r="F85">
        <v>71.38</v>
      </c>
      <c r="G85">
        <v>81.13</v>
      </c>
      <c r="H85">
        <v>53.32</v>
      </c>
    </row>
    <row r="86" spans="1:8" x14ac:dyDescent="0.25">
      <c r="A86" s="63">
        <f t="shared" si="1"/>
        <v>43915</v>
      </c>
      <c r="B86">
        <v>844.31</v>
      </c>
      <c r="C86">
        <v>64.67</v>
      </c>
      <c r="D86">
        <v>335.29</v>
      </c>
      <c r="E86">
        <v>225.9</v>
      </c>
      <c r="F86">
        <v>87.34</v>
      </c>
      <c r="G86">
        <v>75.81</v>
      </c>
      <c r="H86">
        <v>55.3</v>
      </c>
    </row>
    <row r="87" spans="1:8" x14ac:dyDescent="0.25">
      <c r="A87" s="63">
        <f t="shared" si="1"/>
        <v>43916</v>
      </c>
      <c r="B87">
        <v>734.89</v>
      </c>
      <c r="C87">
        <v>63.5</v>
      </c>
      <c r="D87">
        <v>223.66</v>
      </c>
      <c r="E87">
        <v>222.36</v>
      </c>
      <c r="F87">
        <v>91.25</v>
      </c>
      <c r="G87">
        <v>76.58</v>
      </c>
      <c r="H87">
        <v>57.54</v>
      </c>
    </row>
    <row r="88" spans="1:8" x14ac:dyDescent="0.25">
      <c r="A88" s="63">
        <f t="shared" si="1"/>
        <v>43917</v>
      </c>
      <c r="B88">
        <v>283.42099999999999</v>
      </c>
      <c r="C88">
        <v>33.270000000000003</v>
      </c>
      <c r="D88">
        <v>74.290000000000006</v>
      </c>
      <c r="E88">
        <v>90.23</v>
      </c>
      <c r="F88">
        <v>41.65</v>
      </c>
      <c r="G88">
        <v>43.98</v>
      </c>
      <c r="H88">
        <v>1E-3</v>
      </c>
    </row>
    <row r="89" spans="1:8" x14ac:dyDescent="0.25">
      <c r="A89" s="63">
        <f t="shared" si="1"/>
        <v>43918</v>
      </c>
      <c r="B89">
        <v>0</v>
      </c>
    </row>
    <row r="90" spans="1:8" x14ac:dyDescent="0.25">
      <c r="A90" s="63">
        <f t="shared" si="1"/>
        <v>43919</v>
      </c>
      <c r="B90">
        <v>0</v>
      </c>
    </row>
    <row r="91" spans="1:8" x14ac:dyDescent="0.25">
      <c r="A91" s="63">
        <f t="shared" si="1"/>
        <v>43920</v>
      </c>
      <c r="B91">
        <v>0</v>
      </c>
    </row>
    <row r="92" spans="1:8" x14ac:dyDescent="0.25">
      <c r="A92" s="63">
        <f t="shared" si="1"/>
        <v>43921</v>
      </c>
      <c r="B92">
        <v>0</v>
      </c>
    </row>
    <row r="93" spans="1:8" x14ac:dyDescent="0.25">
      <c r="A93" s="63">
        <f t="shared" si="1"/>
        <v>43922</v>
      </c>
      <c r="B93">
        <v>0</v>
      </c>
    </row>
    <row r="94" spans="1:8" x14ac:dyDescent="0.25">
      <c r="A94" s="63">
        <f t="shared" si="1"/>
        <v>43923</v>
      </c>
      <c r="B94">
        <v>0</v>
      </c>
    </row>
    <row r="95" spans="1:8" x14ac:dyDescent="0.25">
      <c r="A95" s="63">
        <f t="shared" si="1"/>
        <v>43924</v>
      </c>
      <c r="B95">
        <v>0</v>
      </c>
    </row>
    <row r="96" spans="1:8" x14ac:dyDescent="0.25">
      <c r="A96" s="63">
        <f t="shared" si="1"/>
        <v>43925</v>
      </c>
      <c r="B96">
        <v>0</v>
      </c>
    </row>
    <row r="97" spans="1:8" x14ac:dyDescent="0.25">
      <c r="A97" s="63">
        <f t="shared" si="1"/>
        <v>43926</v>
      </c>
      <c r="B97">
        <v>0</v>
      </c>
    </row>
    <row r="98" spans="1:8" x14ac:dyDescent="0.25">
      <c r="A98" s="63">
        <f t="shared" si="1"/>
        <v>43927</v>
      </c>
      <c r="B98">
        <v>886.28000000000009</v>
      </c>
      <c r="C98">
        <v>71.98</v>
      </c>
      <c r="D98">
        <v>398.07</v>
      </c>
      <c r="E98">
        <v>206.3</v>
      </c>
      <c r="F98">
        <v>80.61</v>
      </c>
      <c r="G98">
        <v>74.84</v>
      </c>
      <c r="H98">
        <v>54.48</v>
      </c>
    </row>
    <row r="99" spans="1:8" x14ac:dyDescent="0.25">
      <c r="A99" s="63">
        <f t="shared" si="1"/>
        <v>43928</v>
      </c>
      <c r="B99">
        <v>941.63000000000011</v>
      </c>
      <c r="C99">
        <v>83.07</v>
      </c>
      <c r="D99">
        <v>379.05</v>
      </c>
      <c r="E99">
        <v>213.23</v>
      </c>
      <c r="F99">
        <v>111.2</v>
      </c>
      <c r="G99">
        <v>90.14</v>
      </c>
      <c r="H99">
        <v>64.94</v>
      </c>
    </row>
    <row r="100" spans="1:8" x14ac:dyDescent="0.25">
      <c r="A100" s="63">
        <f t="shared" si="1"/>
        <v>43929</v>
      </c>
      <c r="B100">
        <v>928.89</v>
      </c>
      <c r="C100">
        <v>88.62</v>
      </c>
      <c r="D100">
        <v>335.06</v>
      </c>
      <c r="E100">
        <v>210.92</v>
      </c>
      <c r="F100">
        <v>121.48</v>
      </c>
      <c r="G100">
        <v>106.8</v>
      </c>
      <c r="H100">
        <v>66.010000000000005</v>
      </c>
    </row>
    <row r="101" spans="1:8" x14ac:dyDescent="0.25">
      <c r="A101" s="63">
        <f t="shared" si="1"/>
        <v>43930</v>
      </c>
      <c r="B101">
        <v>886.15000000000009</v>
      </c>
      <c r="C101">
        <v>82.8</v>
      </c>
      <c r="D101">
        <v>371.4</v>
      </c>
      <c r="E101">
        <v>149.41999999999999</v>
      </c>
      <c r="F101">
        <v>117.12</v>
      </c>
      <c r="G101">
        <v>98.95</v>
      </c>
      <c r="H101">
        <v>66.459999999999994</v>
      </c>
    </row>
    <row r="102" spans="1:8" x14ac:dyDescent="0.25">
      <c r="A102" s="63">
        <f t="shared" si="1"/>
        <v>43931</v>
      </c>
      <c r="B102">
        <v>806.57999999999993</v>
      </c>
      <c r="C102">
        <v>70.36</v>
      </c>
      <c r="D102">
        <v>338.33</v>
      </c>
      <c r="E102">
        <v>121.42</v>
      </c>
      <c r="F102">
        <v>110.26</v>
      </c>
      <c r="G102">
        <v>98.4</v>
      </c>
      <c r="H102">
        <v>67.81</v>
      </c>
    </row>
    <row r="103" spans="1:8" x14ac:dyDescent="0.25">
      <c r="A103" s="63">
        <f t="shared" si="1"/>
        <v>43932</v>
      </c>
      <c r="B103">
        <v>787.24</v>
      </c>
      <c r="C103">
        <v>78.77</v>
      </c>
      <c r="D103">
        <v>334</v>
      </c>
      <c r="E103">
        <v>121.84</v>
      </c>
      <c r="F103">
        <v>105.54</v>
      </c>
      <c r="G103">
        <v>80.87</v>
      </c>
      <c r="H103">
        <v>66.22</v>
      </c>
    </row>
    <row r="104" spans="1:8" x14ac:dyDescent="0.25">
      <c r="A104" s="63">
        <f t="shared" si="1"/>
        <v>43933</v>
      </c>
      <c r="B104">
        <v>827.48</v>
      </c>
      <c r="C104">
        <v>58.92</v>
      </c>
      <c r="D104">
        <v>371.59</v>
      </c>
      <c r="E104">
        <v>138.15</v>
      </c>
      <c r="F104">
        <v>112.35</v>
      </c>
      <c r="G104">
        <v>80.61</v>
      </c>
      <c r="H104">
        <v>65.86</v>
      </c>
    </row>
    <row r="105" spans="1:8" x14ac:dyDescent="0.25">
      <c r="A105" s="63">
        <f t="shared" si="1"/>
        <v>43934</v>
      </c>
      <c r="B105">
        <v>869.30000000000007</v>
      </c>
      <c r="C105">
        <v>67.62</v>
      </c>
      <c r="D105">
        <v>359.22</v>
      </c>
      <c r="E105">
        <v>160.88999999999999</v>
      </c>
      <c r="F105">
        <v>111.34</v>
      </c>
      <c r="G105">
        <v>103.86</v>
      </c>
      <c r="H105">
        <v>66.37</v>
      </c>
    </row>
    <row r="106" spans="1:8" x14ac:dyDescent="0.25">
      <c r="A106" s="63">
        <f t="shared" si="1"/>
        <v>43935</v>
      </c>
      <c r="B106">
        <v>840.06000000000006</v>
      </c>
      <c r="C106">
        <v>76.73</v>
      </c>
      <c r="D106">
        <v>357.5</v>
      </c>
      <c r="E106">
        <v>155.25</v>
      </c>
      <c r="F106">
        <v>94.83</v>
      </c>
      <c r="G106">
        <v>91.75</v>
      </c>
      <c r="H106">
        <v>64</v>
      </c>
    </row>
    <row r="107" spans="1:8" x14ac:dyDescent="0.25">
      <c r="A107" s="63">
        <f t="shared" si="1"/>
        <v>43936</v>
      </c>
      <c r="B107">
        <v>838.59</v>
      </c>
      <c r="C107">
        <v>87.32</v>
      </c>
      <c r="D107">
        <v>348.23</v>
      </c>
      <c r="E107">
        <v>159.63999999999999</v>
      </c>
      <c r="F107">
        <v>95.02</v>
      </c>
      <c r="G107">
        <v>83.83</v>
      </c>
      <c r="H107">
        <v>64.55</v>
      </c>
    </row>
    <row r="108" spans="1:8" x14ac:dyDescent="0.25">
      <c r="A108" s="63">
        <f t="shared" si="1"/>
        <v>43937</v>
      </c>
      <c r="B108">
        <v>807.43999999999994</v>
      </c>
      <c r="C108">
        <v>82.73</v>
      </c>
      <c r="D108">
        <v>323.48</v>
      </c>
      <c r="E108">
        <v>153.13999999999999</v>
      </c>
      <c r="F108">
        <v>95.75</v>
      </c>
      <c r="G108">
        <v>82.79</v>
      </c>
      <c r="H108">
        <v>69.55</v>
      </c>
    </row>
    <row r="109" spans="1:8" x14ac:dyDescent="0.25">
      <c r="A109" s="63">
        <f t="shared" si="1"/>
        <v>43938</v>
      </c>
      <c r="B109">
        <v>770.83000000000015</v>
      </c>
      <c r="C109">
        <v>76.349999999999994</v>
      </c>
      <c r="D109">
        <v>285.76</v>
      </c>
      <c r="E109">
        <v>166.85</v>
      </c>
      <c r="F109">
        <v>97.46</v>
      </c>
      <c r="G109">
        <v>78.709999999999994</v>
      </c>
      <c r="H109">
        <v>65.7</v>
      </c>
    </row>
    <row r="110" spans="1:8" x14ac:dyDescent="0.25">
      <c r="A110" s="63">
        <f t="shared" si="1"/>
        <v>43939</v>
      </c>
      <c r="B110">
        <v>712.48</v>
      </c>
      <c r="C110">
        <v>83.99</v>
      </c>
      <c r="D110">
        <v>268.67</v>
      </c>
      <c r="E110">
        <v>119.1</v>
      </c>
      <c r="F110">
        <v>101.51</v>
      </c>
      <c r="G110">
        <v>73.510000000000005</v>
      </c>
      <c r="H110">
        <v>65.7</v>
      </c>
    </row>
    <row r="111" spans="1:8" x14ac:dyDescent="0.25">
      <c r="A111" s="63">
        <f t="shared" si="1"/>
        <v>43940</v>
      </c>
      <c r="B111">
        <v>748.4899999999999</v>
      </c>
      <c r="C111">
        <v>69.08</v>
      </c>
      <c r="D111">
        <v>312.82</v>
      </c>
      <c r="E111">
        <v>142.12</v>
      </c>
      <c r="F111">
        <v>92.27</v>
      </c>
      <c r="G111">
        <v>67.55</v>
      </c>
      <c r="H111">
        <v>64.650000000000006</v>
      </c>
    </row>
    <row r="112" spans="1:8" x14ac:dyDescent="0.25">
      <c r="A112" s="63">
        <f t="shared" si="1"/>
        <v>43941</v>
      </c>
      <c r="B112">
        <v>840.11</v>
      </c>
      <c r="C112">
        <v>94.51</v>
      </c>
      <c r="D112">
        <v>324.04000000000002</v>
      </c>
      <c r="E112">
        <v>158.81</v>
      </c>
      <c r="F112">
        <v>104.92</v>
      </c>
      <c r="G112">
        <v>90.74</v>
      </c>
      <c r="H112">
        <v>67.09</v>
      </c>
    </row>
    <row r="113" spans="1:8" x14ac:dyDescent="0.25">
      <c r="A113" s="63">
        <f t="shared" si="1"/>
        <v>43942</v>
      </c>
      <c r="B113">
        <v>692.67</v>
      </c>
      <c r="C113">
        <v>82.38</v>
      </c>
      <c r="D113">
        <v>244.04</v>
      </c>
      <c r="E113">
        <v>112.25</v>
      </c>
      <c r="F113">
        <v>101.13</v>
      </c>
      <c r="G113">
        <v>83.97</v>
      </c>
      <c r="H113">
        <v>68.900000000000006</v>
      </c>
    </row>
    <row r="114" spans="1:8" x14ac:dyDescent="0.25">
      <c r="A114" s="63">
        <f t="shared" si="1"/>
        <v>43943</v>
      </c>
      <c r="B114">
        <v>448.42</v>
      </c>
      <c r="C114">
        <v>81.06</v>
      </c>
      <c r="D114">
        <v>98.47</v>
      </c>
      <c r="E114">
        <v>63.92</v>
      </c>
      <c r="F114">
        <v>81.040000000000006</v>
      </c>
      <c r="G114">
        <v>53.26</v>
      </c>
      <c r="H114">
        <v>70.67</v>
      </c>
    </row>
    <row r="115" spans="1:8" x14ac:dyDescent="0.25">
      <c r="A115" s="63">
        <f t="shared" si="1"/>
        <v>43944</v>
      </c>
      <c r="B115">
        <v>463.57000000000005</v>
      </c>
      <c r="C115">
        <v>48.17</v>
      </c>
      <c r="D115">
        <v>132.52000000000001</v>
      </c>
      <c r="E115">
        <v>65.48</v>
      </c>
      <c r="F115">
        <v>89.86</v>
      </c>
      <c r="G115">
        <v>46.06</v>
      </c>
      <c r="H115">
        <v>81.48</v>
      </c>
    </row>
    <row r="116" spans="1:8" x14ac:dyDescent="0.25">
      <c r="A116" s="63">
        <f t="shared" si="1"/>
        <v>43945</v>
      </c>
      <c r="B116">
        <v>487.71999999999997</v>
      </c>
      <c r="C116">
        <v>53.53</v>
      </c>
      <c r="D116">
        <v>105.17</v>
      </c>
      <c r="E116">
        <v>74.599999999999994</v>
      </c>
      <c r="F116">
        <v>90.07</v>
      </c>
      <c r="G116">
        <v>81.27</v>
      </c>
      <c r="H116">
        <v>83.08</v>
      </c>
    </row>
    <row r="117" spans="1:8" x14ac:dyDescent="0.25">
      <c r="A117" s="63">
        <f t="shared" si="1"/>
        <v>43946</v>
      </c>
      <c r="B117">
        <v>506.39</v>
      </c>
      <c r="C117">
        <v>61.25</v>
      </c>
      <c r="D117">
        <v>111.44</v>
      </c>
      <c r="E117">
        <v>87.1</v>
      </c>
      <c r="F117">
        <v>100.22</v>
      </c>
      <c r="G117">
        <v>64.36</v>
      </c>
      <c r="H117">
        <v>82.02</v>
      </c>
    </row>
    <row r="118" spans="1:8" x14ac:dyDescent="0.25">
      <c r="A118" s="63">
        <f t="shared" si="1"/>
        <v>43947</v>
      </c>
      <c r="B118">
        <v>761.72</v>
      </c>
      <c r="C118">
        <v>54.56</v>
      </c>
      <c r="D118">
        <v>332.85</v>
      </c>
      <c r="E118">
        <v>120.42</v>
      </c>
      <c r="F118">
        <v>90.93</v>
      </c>
      <c r="G118">
        <v>82.38</v>
      </c>
      <c r="H118">
        <v>80.58</v>
      </c>
    </row>
    <row r="119" spans="1:8" x14ac:dyDescent="0.25">
      <c r="A119" s="63">
        <f t="shared" si="1"/>
        <v>43948</v>
      </c>
      <c r="B119">
        <v>714.46</v>
      </c>
      <c r="C119">
        <v>66.83</v>
      </c>
      <c r="D119">
        <v>309.98</v>
      </c>
      <c r="E119">
        <v>131.13</v>
      </c>
      <c r="F119">
        <v>66.88</v>
      </c>
      <c r="G119">
        <v>58.7</v>
      </c>
      <c r="H119">
        <v>80.94</v>
      </c>
    </row>
    <row r="120" spans="1:8" x14ac:dyDescent="0.25">
      <c r="A120" s="63">
        <f t="shared" si="1"/>
        <v>43949</v>
      </c>
      <c r="B120">
        <v>675.81</v>
      </c>
      <c r="C120">
        <v>66</v>
      </c>
      <c r="D120">
        <v>282.14</v>
      </c>
      <c r="E120">
        <v>122.33</v>
      </c>
      <c r="F120">
        <v>71.52</v>
      </c>
      <c r="G120">
        <v>56.92</v>
      </c>
      <c r="H120">
        <v>76.900000000000006</v>
      </c>
    </row>
    <row r="121" spans="1:8" x14ac:dyDescent="0.25">
      <c r="A121" s="63">
        <f t="shared" si="1"/>
        <v>43950</v>
      </c>
      <c r="B121">
        <v>645.5</v>
      </c>
      <c r="C121">
        <v>70.069999999999993</v>
      </c>
      <c r="D121">
        <v>253.18</v>
      </c>
      <c r="E121">
        <v>122.7</v>
      </c>
      <c r="F121">
        <v>65.64</v>
      </c>
      <c r="G121">
        <v>50.1</v>
      </c>
      <c r="H121">
        <v>83.81</v>
      </c>
    </row>
    <row r="122" spans="1:8" x14ac:dyDescent="0.25">
      <c r="A122" s="63">
        <f t="shared" si="1"/>
        <v>43951</v>
      </c>
      <c r="B122">
        <v>672.3</v>
      </c>
      <c r="C122">
        <v>65.09</v>
      </c>
      <c r="D122">
        <v>293.43</v>
      </c>
      <c r="E122">
        <v>123.25</v>
      </c>
      <c r="F122">
        <v>62.78</v>
      </c>
      <c r="G122">
        <v>47.11</v>
      </c>
      <c r="H122">
        <v>80.64</v>
      </c>
    </row>
    <row r="123" spans="1:8" x14ac:dyDescent="0.25">
      <c r="A123" s="63">
        <f t="shared" si="1"/>
        <v>43952</v>
      </c>
      <c r="B123">
        <v>740.42</v>
      </c>
      <c r="C123">
        <v>47.6</v>
      </c>
      <c r="D123">
        <v>350.07</v>
      </c>
      <c r="E123">
        <v>161.96</v>
      </c>
      <c r="F123">
        <v>62.8</v>
      </c>
      <c r="G123">
        <v>44.96</v>
      </c>
      <c r="H123">
        <v>73.03</v>
      </c>
    </row>
    <row r="124" spans="1:8" x14ac:dyDescent="0.25">
      <c r="A124" s="63">
        <f t="shared" si="1"/>
        <v>43953</v>
      </c>
      <c r="B124">
        <v>796.40000000000009</v>
      </c>
      <c r="C124">
        <v>57.31</v>
      </c>
      <c r="D124">
        <v>336.5</v>
      </c>
      <c r="E124">
        <v>174.92</v>
      </c>
      <c r="F124">
        <v>72.180000000000007</v>
      </c>
      <c r="G124">
        <v>77.53</v>
      </c>
      <c r="H124">
        <v>77.959999999999994</v>
      </c>
    </row>
    <row r="125" spans="1:8" x14ac:dyDescent="0.25">
      <c r="A125" s="63">
        <f t="shared" si="1"/>
        <v>43954</v>
      </c>
      <c r="B125">
        <v>477.69009999999997</v>
      </c>
      <c r="C125">
        <v>88.06</v>
      </c>
      <c r="D125">
        <v>1E-4</v>
      </c>
      <c r="E125">
        <v>173.54</v>
      </c>
      <c r="F125">
        <v>67.16</v>
      </c>
      <c r="G125">
        <v>70.97</v>
      </c>
      <c r="H125">
        <v>77.959999999999994</v>
      </c>
    </row>
    <row r="126" spans="1:8" x14ac:dyDescent="0.25">
      <c r="A126" s="63">
        <f t="shared" si="1"/>
        <v>43955</v>
      </c>
      <c r="B126">
        <v>756.81999999999994</v>
      </c>
      <c r="C126">
        <v>107.15</v>
      </c>
      <c r="D126">
        <v>261.52</v>
      </c>
      <c r="E126">
        <v>179.67</v>
      </c>
      <c r="F126">
        <v>58.91</v>
      </c>
      <c r="G126">
        <v>73.75</v>
      </c>
      <c r="H126">
        <v>75.819999999999993</v>
      </c>
    </row>
    <row r="127" spans="1:8" x14ac:dyDescent="0.25">
      <c r="A127" s="63">
        <f t="shared" si="1"/>
        <v>43956</v>
      </c>
      <c r="B127">
        <v>717.13999999999987</v>
      </c>
      <c r="C127">
        <v>81.27</v>
      </c>
      <c r="D127">
        <v>258.8</v>
      </c>
      <c r="E127">
        <v>184</v>
      </c>
      <c r="F127">
        <v>66.319999999999993</v>
      </c>
      <c r="G127">
        <v>79.87</v>
      </c>
      <c r="H127">
        <v>46.88</v>
      </c>
    </row>
    <row r="128" spans="1:8" x14ac:dyDescent="0.25">
      <c r="A128" s="63">
        <f t="shared" si="1"/>
        <v>43957</v>
      </c>
      <c r="B128">
        <v>800.94999999999993</v>
      </c>
      <c r="C128">
        <v>99.07</v>
      </c>
      <c r="D128">
        <v>302.64999999999998</v>
      </c>
      <c r="E128">
        <v>177.29</v>
      </c>
      <c r="F128">
        <v>65.91</v>
      </c>
      <c r="G128">
        <v>88.15</v>
      </c>
      <c r="H128">
        <v>67.88</v>
      </c>
    </row>
    <row r="129" spans="1:8" x14ac:dyDescent="0.25">
      <c r="A129" s="63">
        <f t="shared" si="1"/>
        <v>43958</v>
      </c>
      <c r="B129">
        <v>772.58999999999992</v>
      </c>
      <c r="C129">
        <v>83.73</v>
      </c>
      <c r="D129">
        <v>281.06</v>
      </c>
      <c r="E129">
        <v>188.76</v>
      </c>
      <c r="F129">
        <v>62.49</v>
      </c>
      <c r="G129">
        <v>83.42</v>
      </c>
      <c r="H129">
        <v>73.13</v>
      </c>
    </row>
    <row r="130" spans="1:8" x14ac:dyDescent="0.25">
      <c r="A130" s="63">
        <f t="shared" si="1"/>
        <v>43959</v>
      </c>
      <c r="B130">
        <v>748.56000000000006</v>
      </c>
      <c r="C130">
        <v>59.61</v>
      </c>
      <c r="D130">
        <v>252.63</v>
      </c>
      <c r="E130">
        <v>194.92</v>
      </c>
      <c r="F130">
        <v>82.33</v>
      </c>
      <c r="G130">
        <v>81.239999999999995</v>
      </c>
      <c r="H130">
        <v>77.83</v>
      </c>
    </row>
    <row r="131" spans="1:8" x14ac:dyDescent="0.25">
      <c r="A131" s="63">
        <f t="shared" si="1"/>
        <v>43960</v>
      </c>
      <c r="B131">
        <v>0</v>
      </c>
    </row>
    <row r="132" spans="1:8" x14ac:dyDescent="0.25">
      <c r="A132" s="63">
        <f t="shared" ref="A132:A195" si="2">A131+1</f>
        <v>43961</v>
      </c>
      <c r="B132">
        <v>773.09999999999991</v>
      </c>
      <c r="C132">
        <v>60.02</v>
      </c>
      <c r="D132">
        <v>270.07</v>
      </c>
      <c r="E132">
        <v>196.34</v>
      </c>
      <c r="F132">
        <v>79.540000000000006</v>
      </c>
      <c r="G132">
        <v>89.32</v>
      </c>
      <c r="H132">
        <v>77.81</v>
      </c>
    </row>
    <row r="133" spans="1:8" x14ac:dyDescent="0.25">
      <c r="A133" s="63">
        <f t="shared" si="2"/>
        <v>43962</v>
      </c>
      <c r="B133">
        <v>781.18</v>
      </c>
      <c r="C133">
        <v>57.07</v>
      </c>
      <c r="D133">
        <v>276.18</v>
      </c>
      <c r="E133">
        <v>201.54</v>
      </c>
      <c r="F133">
        <v>74.03</v>
      </c>
      <c r="G133">
        <v>95.37</v>
      </c>
      <c r="H133">
        <v>76.989999999999995</v>
      </c>
    </row>
    <row r="134" spans="1:8" x14ac:dyDescent="0.25">
      <c r="A134" s="63">
        <f t="shared" si="2"/>
        <v>43963</v>
      </c>
      <c r="B134">
        <v>843.06</v>
      </c>
      <c r="C134">
        <v>81.42</v>
      </c>
      <c r="D134">
        <v>318.72000000000003</v>
      </c>
      <c r="E134">
        <v>198.84</v>
      </c>
      <c r="F134">
        <v>81.5</v>
      </c>
      <c r="G134">
        <v>87.76</v>
      </c>
      <c r="H134">
        <v>74.819999999999993</v>
      </c>
    </row>
    <row r="135" spans="1:8" x14ac:dyDescent="0.25">
      <c r="A135" s="63">
        <f t="shared" si="2"/>
        <v>43964</v>
      </c>
      <c r="B135">
        <v>821.72</v>
      </c>
      <c r="C135">
        <v>89.27</v>
      </c>
      <c r="D135">
        <v>318.45999999999998</v>
      </c>
      <c r="E135">
        <v>208.09</v>
      </c>
      <c r="F135">
        <v>74.09</v>
      </c>
      <c r="G135">
        <v>83.61</v>
      </c>
      <c r="H135">
        <v>48.2</v>
      </c>
    </row>
    <row r="136" spans="1:8" x14ac:dyDescent="0.25">
      <c r="A136" s="63">
        <f t="shared" si="2"/>
        <v>43965</v>
      </c>
      <c r="B136">
        <v>832.79</v>
      </c>
      <c r="C136">
        <v>103.65</v>
      </c>
      <c r="D136">
        <v>310.43</v>
      </c>
      <c r="E136">
        <v>208.99</v>
      </c>
      <c r="F136">
        <v>73.91</v>
      </c>
      <c r="G136">
        <v>86.67</v>
      </c>
      <c r="H136">
        <v>49.14</v>
      </c>
    </row>
    <row r="137" spans="1:8" x14ac:dyDescent="0.25">
      <c r="A137" s="63">
        <f t="shared" si="2"/>
        <v>43966</v>
      </c>
      <c r="B137">
        <v>843.6</v>
      </c>
      <c r="C137">
        <v>92.29</v>
      </c>
      <c r="D137">
        <v>339.25</v>
      </c>
      <c r="E137">
        <v>216.63</v>
      </c>
      <c r="F137">
        <v>69.42</v>
      </c>
      <c r="G137">
        <v>73.11</v>
      </c>
      <c r="H137">
        <v>52.9</v>
      </c>
    </row>
    <row r="138" spans="1:8" x14ac:dyDescent="0.25">
      <c r="A138" s="63">
        <f t="shared" si="2"/>
        <v>43967</v>
      </c>
      <c r="B138">
        <v>845.71000000000015</v>
      </c>
      <c r="C138">
        <v>108.53</v>
      </c>
      <c r="D138">
        <v>318.62</v>
      </c>
      <c r="E138">
        <v>196.3</v>
      </c>
      <c r="F138">
        <v>86.5</v>
      </c>
      <c r="G138">
        <v>83.69</v>
      </c>
      <c r="H138">
        <v>52.07</v>
      </c>
    </row>
    <row r="139" spans="1:8" x14ac:dyDescent="0.25">
      <c r="A139" s="63">
        <f t="shared" si="2"/>
        <v>43968</v>
      </c>
      <c r="B139">
        <v>491.05009999999993</v>
      </c>
      <c r="C139">
        <v>82.42</v>
      </c>
      <c r="D139">
        <v>1E-4</v>
      </c>
      <c r="E139">
        <v>197.88</v>
      </c>
      <c r="F139">
        <v>78.39</v>
      </c>
      <c r="G139">
        <v>85.09</v>
      </c>
      <c r="H139">
        <v>47.27</v>
      </c>
    </row>
    <row r="140" spans="1:8" x14ac:dyDescent="0.25">
      <c r="A140" s="63">
        <f t="shared" si="2"/>
        <v>43969</v>
      </c>
      <c r="B140">
        <v>905.81</v>
      </c>
      <c r="C140">
        <v>86.41</v>
      </c>
      <c r="D140">
        <v>373.68</v>
      </c>
      <c r="E140">
        <v>214.18</v>
      </c>
      <c r="F140">
        <v>75.63</v>
      </c>
      <c r="G140">
        <v>104.43</v>
      </c>
      <c r="H140">
        <v>51.48</v>
      </c>
    </row>
    <row r="141" spans="1:8" x14ac:dyDescent="0.25">
      <c r="A141" s="63">
        <f t="shared" si="2"/>
        <v>43970</v>
      </c>
      <c r="B141">
        <v>895.77000000000021</v>
      </c>
      <c r="C141">
        <v>87.16</v>
      </c>
      <c r="D141">
        <v>401.69</v>
      </c>
      <c r="E141">
        <v>197.3</v>
      </c>
      <c r="F141">
        <v>70.58</v>
      </c>
      <c r="G141">
        <v>88.84</v>
      </c>
      <c r="H141">
        <v>50.2</v>
      </c>
    </row>
    <row r="142" spans="1:8" x14ac:dyDescent="0.25">
      <c r="A142" s="63">
        <f t="shared" si="2"/>
        <v>43971</v>
      </c>
      <c r="B142">
        <v>891.84999999999991</v>
      </c>
      <c r="C142">
        <v>106.38</v>
      </c>
      <c r="D142">
        <v>384.5</v>
      </c>
      <c r="E142">
        <v>198.68</v>
      </c>
      <c r="F142">
        <v>65.77</v>
      </c>
      <c r="G142">
        <v>87.3</v>
      </c>
      <c r="H142">
        <v>49.22</v>
      </c>
    </row>
    <row r="143" spans="1:8" x14ac:dyDescent="0.25">
      <c r="A143" s="63">
        <f t="shared" si="2"/>
        <v>43972</v>
      </c>
      <c r="B143">
        <v>869.70999999999992</v>
      </c>
      <c r="C143">
        <v>87.08</v>
      </c>
      <c r="D143">
        <v>390.99</v>
      </c>
      <c r="E143">
        <v>182.48</v>
      </c>
      <c r="F143">
        <v>67.599999999999994</v>
      </c>
      <c r="G143">
        <v>89.02</v>
      </c>
      <c r="H143">
        <v>52.54</v>
      </c>
    </row>
    <row r="144" spans="1:8" x14ac:dyDescent="0.25">
      <c r="A144" s="63">
        <f t="shared" si="2"/>
        <v>43973</v>
      </c>
      <c r="B144">
        <v>852.42000000000007</v>
      </c>
      <c r="C144">
        <v>89.94</v>
      </c>
      <c r="D144">
        <v>346.35</v>
      </c>
      <c r="E144">
        <v>201.22</v>
      </c>
      <c r="F144">
        <v>83.13</v>
      </c>
      <c r="G144">
        <v>81.59</v>
      </c>
      <c r="H144">
        <v>50.19</v>
      </c>
    </row>
    <row r="145" spans="1:8" x14ac:dyDescent="0.25">
      <c r="A145" s="63">
        <f t="shared" si="2"/>
        <v>43974</v>
      </c>
      <c r="B145">
        <v>906.70999999999992</v>
      </c>
      <c r="C145">
        <v>90.94</v>
      </c>
      <c r="D145">
        <v>402.36</v>
      </c>
      <c r="E145">
        <v>202.72</v>
      </c>
      <c r="F145">
        <v>84.16</v>
      </c>
      <c r="G145">
        <v>78.37</v>
      </c>
      <c r="H145">
        <v>48.16</v>
      </c>
    </row>
    <row r="146" spans="1:8" x14ac:dyDescent="0.25">
      <c r="A146" s="63">
        <f t="shared" si="2"/>
        <v>43975</v>
      </c>
      <c r="B146">
        <v>484.11009999999999</v>
      </c>
      <c r="C146">
        <v>115.96</v>
      </c>
      <c r="D146">
        <v>1E-4</v>
      </c>
      <c r="E146">
        <v>200.96</v>
      </c>
      <c r="F146">
        <v>63.45</v>
      </c>
      <c r="G146">
        <v>55.34</v>
      </c>
      <c r="H146">
        <v>48.4</v>
      </c>
    </row>
    <row r="147" spans="1:8" x14ac:dyDescent="0.25">
      <c r="A147" s="63">
        <f t="shared" si="2"/>
        <v>43976</v>
      </c>
      <c r="B147">
        <v>812.33000000000015</v>
      </c>
      <c r="C147">
        <v>73.23</v>
      </c>
      <c r="D147">
        <v>360.16</v>
      </c>
      <c r="E147">
        <v>199.49</v>
      </c>
      <c r="F147">
        <v>61.36</v>
      </c>
      <c r="G147">
        <v>71.52</v>
      </c>
      <c r="H147">
        <v>46.57</v>
      </c>
    </row>
    <row r="148" spans="1:8" x14ac:dyDescent="0.25">
      <c r="A148" s="63">
        <f t="shared" si="2"/>
        <v>43977</v>
      </c>
      <c r="B148">
        <v>842.39</v>
      </c>
      <c r="C148">
        <v>82.23</v>
      </c>
      <c r="D148">
        <v>359.71</v>
      </c>
      <c r="E148">
        <v>192.9</v>
      </c>
      <c r="F148">
        <v>70.3</v>
      </c>
      <c r="G148">
        <v>85.99</v>
      </c>
      <c r="H148">
        <v>51.26</v>
      </c>
    </row>
    <row r="149" spans="1:8" x14ac:dyDescent="0.25">
      <c r="A149" s="63">
        <f t="shared" si="2"/>
        <v>43978</v>
      </c>
      <c r="B149">
        <v>921.78000000000009</v>
      </c>
      <c r="C149">
        <v>97.89</v>
      </c>
      <c r="D149">
        <v>428.09</v>
      </c>
      <c r="E149">
        <v>199.58</v>
      </c>
      <c r="F149">
        <v>60.06</v>
      </c>
      <c r="G149">
        <v>88.82</v>
      </c>
      <c r="H149">
        <v>47.34</v>
      </c>
    </row>
    <row r="150" spans="1:8" x14ac:dyDescent="0.25">
      <c r="A150" s="63">
        <f t="shared" si="2"/>
        <v>43979</v>
      </c>
      <c r="B150">
        <v>812.4</v>
      </c>
      <c r="C150">
        <v>58.34</v>
      </c>
      <c r="D150">
        <v>372.41</v>
      </c>
      <c r="E150">
        <v>195.8</v>
      </c>
      <c r="F150">
        <v>50.6</v>
      </c>
      <c r="G150">
        <v>88.64</v>
      </c>
      <c r="H150">
        <v>46.61</v>
      </c>
    </row>
    <row r="151" spans="1:8" x14ac:dyDescent="0.25">
      <c r="A151" s="63">
        <f t="shared" si="2"/>
        <v>43980</v>
      </c>
      <c r="B151">
        <v>776.9799999999999</v>
      </c>
      <c r="C151">
        <v>57.02</v>
      </c>
      <c r="D151">
        <v>361.96</v>
      </c>
      <c r="E151">
        <v>141.43</v>
      </c>
      <c r="F151">
        <v>72.98</v>
      </c>
      <c r="G151">
        <v>99.55</v>
      </c>
      <c r="H151">
        <v>44.04</v>
      </c>
    </row>
    <row r="152" spans="1:8" x14ac:dyDescent="0.25">
      <c r="A152" s="63">
        <f t="shared" si="2"/>
        <v>43981</v>
      </c>
      <c r="B152">
        <v>798.39</v>
      </c>
      <c r="C152">
        <v>98.2</v>
      </c>
      <c r="D152">
        <v>286.19</v>
      </c>
      <c r="E152">
        <v>210.52</v>
      </c>
      <c r="F152">
        <v>73.819999999999993</v>
      </c>
      <c r="G152">
        <v>82.04</v>
      </c>
      <c r="H152">
        <v>47.62</v>
      </c>
    </row>
    <row r="153" spans="1:8" x14ac:dyDescent="0.25">
      <c r="A153" s="63">
        <f t="shared" si="2"/>
        <v>43982</v>
      </c>
      <c r="B153">
        <v>459.14019999999999</v>
      </c>
      <c r="C153">
        <v>103.39</v>
      </c>
      <c r="D153">
        <v>1E-4</v>
      </c>
      <c r="E153">
        <v>207.31</v>
      </c>
      <c r="F153">
        <v>67.709999999999994</v>
      </c>
      <c r="G153">
        <v>80.73</v>
      </c>
      <c r="H153">
        <v>1E-4</v>
      </c>
    </row>
    <row r="154" spans="1:8" x14ac:dyDescent="0.25">
      <c r="A154" s="63">
        <f t="shared" si="2"/>
        <v>43983</v>
      </c>
      <c r="B154">
        <v>844.57</v>
      </c>
      <c r="C154">
        <v>84.22</v>
      </c>
      <c r="D154">
        <v>362.16</v>
      </c>
      <c r="E154">
        <v>197.15</v>
      </c>
      <c r="F154">
        <v>57.19</v>
      </c>
      <c r="G154">
        <v>94.15</v>
      </c>
      <c r="H154">
        <v>49.7</v>
      </c>
    </row>
    <row r="155" spans="1:8" x14ac:dyDescent="0.25">
      <c r="A155" s="63">
        <f t="shared" si="2"/>
        <v>43984</v>
      </c>
      <c r="B155">
        <v>843.31000000000006</v>
      </c>
      <c r="C155">
        <v>63.8</v>
      </c>
      <c r="D155">
        <v>373.63</v>
      </c>
      <c r="E155">
        <v>202.01</v>
      </c>
      <c r="F155">
        <v>59.73</v>
      </c>
      <c r="G155">
        <v>93.36</v>
      </c>
      <c r="H155">
        <v>50.78</v>
      </c>
    </row>
    <row r="156" spans="1:8" x14ac:dyDescent="0.25">
      <c r="A156" s="63">
        <f t="shared" si="2"/>
        <v>43985</v>
      </c>
      <c r="B156">
        <v>881.14</v>
      </c>
      <c r="C156">
        <v>101.56</v>
      </c>
      <c r="D156">
        <v>378.16</v>
      </c>
      <c r="E156">
        <v>198.72</v>
      </c>
      <c r="F156">
        <v>59.68</v>
      </c>
      <c r="G156">
        <v>88.27</v>
      </c>
      <c r="H156">
        <v>54.75</v>
      </c>
    </row>
    <row r="157" spans="1:8" x14ac:dyDescent="0.25">
      <c r="A157" s="63">
        <f t="shared" si="2"/>
        <v>43986</v>
      </c>
      <c r="B157">
        <v>887.05</v>
      </c>
      <c r="C157">
        <v>79.55</v>
      </c>
      <c r="D157">
        <v>404.31</v>
      </c>
      <c r="E157">
        <v>201</v>
      </c>
      <c r="F157">
        <v>64.13</v>
      </c>
      <c r="G157">
        <v>84.67</v>
      </c>
      <c r="H157">
        <v>53.39</v>
      </c>
    </row>
    <row r="158" spans="1:8" x14ac:dyDescent="0.25">
      <c r="A158" s="63">
        <f t="shared" si="2"/>
        <v>43987</v>
      </c>
      <c r="B158">
        <v>832.92</v>
      </c>
      <c r="C158">
        <v>72.39</v>
      </c>
      <c r="D158">
        <v>336.54</v>
      </c>
      <c r="E158">
        <v>207.62</v>
      </c>
      <c r="F158">
        <v>69.63</v>
      </c>
      <c r="G158">
        <v>84.32</v>
      </c>
      <c r="H158">
        <v>62.42</v>
      </c>
    </row>
    <row r="159" spans="1:8" x14ac:dyDescent="0.25">
      <c r="A159" s="63">
        <f t="shared" si="2"/>
        <v>43988</v>
      </c>
      <c r="B159">
        <v>444.17009999999999</v>
      </c>
      <c r="C159">
        <v>62.59</v>
      </c>
      <c r="D159">
        <v>1E-4</v>
      </c>
      <c r="E159">
        <v>207.48</v>
      </c>
      <c r="F159">
        <v>81.819999999999993</v>
      </c>
      <c r="G159">
        <v>31.64</v>
      </c>
      <c r="H159">
        <v>60.64</v>
      </c>
    </row>
    <row r="160" spans="1:8" x14ac:dyDescent="0.25">
      <c r="A160" s="63">
        <f t="shared" si="2"/>
        <v>43989</v>
      </c>
      <c r="B160">
        <v>898.54</v>
      </c>
      <c r="C160">
        <v>105</v>
      </c>
      <c r="D160">
        <v>367.67</v>
      </c>
      <c r="E160">
        <v>151.36000000000001</v>
      </c>
      <c r="F160">
        <v>104.66</v>
      </c>
      <c r="G160">
        <v>106.03</v>
      </c>
      <c r="H160">
        <v>63.82</v>
      </c>
    </row>
    <row r="161" spans="1:8" x14ac:dyDescent="0.25">
      <c r="A161" s="63">
        <f t="shared" si="2"/>
        <v>43990</v>
      </c>
      <c r="B161">
        <v>938.45999999999992</v>
      </c>
      <c r="C161">
        <v>107.41</v>
      </c>
      <c r="D161">
        <v>380.37</v>
      </c>
      <c r="E161">
        <v>172.28</v>
      </c>
      <c r="F161">
        <v>107.83</v>
      </c>
      <c r="G161">
        <v>106.93</v>
      </c>
      <c r="H161">
        <v>63.64</v>
      </c>
    </row>
    <row r="162" spans="1:8" x14ac:dyDescent="0.25">
      <c r="A162" s="63">
        <f t="shared" si="2"/>
        <v>43991</v>
      </c>
      <c r="B162">
        <v>1017.0799999999999</v>
      </c>
      <c r="C162">
        <v>113.38</v>
      </c>
      <c r="D162">
        <v>408.58</v>
      </c>
      <c r="E162">
        <v>226.65</v>
      </c>
      <c r="F162">
        <v>102.87</v>
      </c>
      <c r="G162">
        <v>99.06</v>
      </c>
      <c r="H162">
        <v>66.540000000000006</v>
      </c>
    </row>
    <row r="163" spans="1:8" x14ac:dyDescent="0.25">
      <c r="A163" s="63">
        <f t="shared" si="2"/>
        <v>43992</v>
      </c>
      <c r="B163">
        <v>950.51</v>
      </c>
      <c r="C163">
        <v>73.2</v>
      </c>
      <c r="D163">
        <v>403.64</v>
      </c>
      <c r="E163">
        <v>209.63</v>
      </c>
      <c r="F163">
        <v>98</v>
      </c>
      <c r="G163">
        <v>101.56</v>
      </c>
      <c r="H163">
        <v>64.48</v>
      </c>
    </row>
    <row r="164" spans="1:8" x14ac:dyDescent="0.25">
      <c r="A164" s="63">
        <f t="shared" si="2"/>
        <v>43993</v>
      </c>
      <c r="B164">
        <v>977.14</v>
      </c>
      <c r="C164">
        <v>86.72</v>
      </c>
      <c r="D164">
        <v>408.32</v>
      </c>
      <c r="E164">
        <v>208.6</v>
      </c>
      <c r="F164">
        <v>100.9</v>
      </c>
      <c r="G164">
        <v>113.84</v>
      </c>
      <c r="H164">
        <v>58.76</v>
      </c>
    </row>
    <row r="165" spans="1:8" x14ac:dyDescent="0.25">
      <c r="A165" s="63">
        <f t="shared" si="2"/>
        <v>43994</v>
      </c>
      <c r="B165">
        <v>990.91000000000008</v>
      </c>
      <c r="C165">
        <v>81.13</v>
      </c>
      <c r="D165">
        <v>396.15</v>
      </c>
      <c r="E165">
        <v>257.89999999999998</v>
      </c>
      <c r="F165">
        <v>92.7</v>
      </c>
      <c r="G165">
        <v>96.22</v>
      </c>
      <c r="H165">
        <v>66.81</v>
      </c>
    </row>
    <row r="166" spans="1:8" x14ac:dyDescent="0.25">
      <c r="A166" s="63">
        <f t="shared" si="2"/>
        <v>43995</v>
      </c>
      <c r="B166">
        <v>959.70999999999992</v>
      </c>
      <c r="C166">
        <v>105.82</v>
      </c>
      <c r="D166">
        <v>360.63</v>
      </c>
      <c r="E166">
        <v>243.53</v>
      </c>
      <c r="F166">
        <v>99.57</v>
      </c>
      <c r="G166">
        <v>87.99</v>
      </c>
      <c r="H166">
        <v>62.17</v>
      </c>
    </row>
    <row r="167" spans="1:8" x14ac:dyDescent="0.25">
      <c r="A167" s="63">
        <f t="shared" si="2"/>
        <v>43996</v>
      </c>
      <c r="B167">
        <v>587.40010000000007</v>
      </c>
      <c r="C167">
        <v>98.9</v>
      </c>
      <c r="D167">
        <v>1E-4</v>
      </c>
      <c r="E167">
        <v>246.96</v>
      </c>
      <c r="F167">
        <v>95.74</v>
      </c>
      <c r="G167">
        <v>84.56</v>
      </c>
      <c r="H167">
        <v>61.24</v>
      </c>
    </row>
    <row r="168" spans="1:8" x14ac:dyDescent="0.25">
      <c r="A168" s="63">
        <f t="shared" si="2"/>
        <v>43997</v>
      </c>
      <c r="B168">
        <v>1064.1099999999999</v>
      </c>
      <c r="C168">
        <v>114.91</v>
      </c>
      <c r="D168">
        <v>433.16</v>
      </c>
      <c r="E168">
        <v>258.11</v>
      </c>
      <c r="F168">
        <v>94.82</v>
      </c>
      <c r="G168">
        <v>101.51</v>
      </c>
      <c r="H168">
        <v>61.6</v>
      </c>
    </row>
    <row r="169" spans="1:8" x14ac:dyDescent="0.25">
      <c r="A169" s="63">
        <f t="shared" si="2"/>
        <v>43998</v>
      </c>
      <c r="B169">
        <v>1065.9099999999999</v>
      </c>
      <c r="C169">
        <v>88.82</v>
      </c>
      <c r="D169">
        <v>453.42</v>
      </c>
      <c r="E169">
        <v>256.27</v>
      </c>
      <c r="F169">
        <v>101.39</v>
      </c>
      <c r="G169">
        <v>98.54</v>
      </c>
      <c r="H169">
        <v>67.47</v>
      </c>
    </row>
    <row r="170" spans="1:8" x14ac:dyDescent="0.25">
      <c r="A170" s="63">
        <f t="shared" si="2"/>
        <v>43999</v>
      </c>
      <c r="B170">
        <v>1026.2299999999998</v>
      </c>
      <c r="C170">
        <v>109.58</v>
      </c>
      <c r="D170">
        <v>409.7</v>
      </c>
      <c r="E170">
        <v>256.33</v>
      </c>
      <c r="F170">
        <v>90.15</v>
      </c>
      <c r="G170">
        <v>92.75</v>
      </c>
      <c r="H170">
        <v>67.72</v>
      </c>
    </row>
    <row r="171" spans="1:8" x14ac:dyDescent="0.25">
      <c r="A171" s="63">
        <f t="shared" si="2"/>
        <v>44000</v>
      </c>
      <c r="B171">
        <v>1013.7700000000001</v>
      </c>
      <c r="C171">
        <v>103.72</v>
      </c>
      <c r="D171">
        <v>402.79</v>
      </c>
      <c r="E171">
        <v>250.7</v>
      </c>
      <c r="F171">
        <v>100.11</v>
      </c>
      <c r="G171">
        <v>90.71</v>
      </c>
      <c r="H171">
        <v>65.739999999999995</v>
      </c>
    </row>
    <row r="172" spans="1:8" x14ac:dyDescent="0.25">
      <c r="A172" s="63">
        <f t="shared" si="2"/>
        <v>44001</v>
      </c>
      <c r="B172">
        <v>1034.6599999999999</v>
      </c>
      <c r="C172">
        <v>88.27</v>
      </c>
      <c r="D172">
        <v>437.04</v>
      </c>
      <c r="E172">
        <v>258.95999999999998</v>
      </c>
      <c r="F172">
        <v>87.17</v>
      </c>
      <c r="G172">
        <v>95.53</v>
      </c>
      <c r="H172">
        <v>67.69</v>
      </c>
    </row>
    <row r="173" spans="1:8" x14ac:dyDescent="0.25">
      <c r="A173" s="63">
        <f t="shared" si="2"/>
        <v>44002</v>
      </c>
      <c r="B173">
        <v>1036.1399999999999</v>
      </c>
      <c r="C173">
        <v>103.98</v>
      </c>
      <c r="D173">
        <v>399</v>
      </c>
      <c r="E173">
        <v>264.06</v>
      </c>
      <c r="F173">
        <v>108.49</v>
      </c>
      <c r="G173">
        <v>93.06</v>
      </c>
      <c r="H173">
        <v>67.55</v>
      </c>
    </row>
    <row r="174" spans="1:8" x14ac:dyDescent="0.25">
      <c r="A174" s="63">
        <f t="shared" si="2"/>
        <v>44003</v>
      </c>
      <c r="B174">
        <v>734.93</v>
      </c>
      <c r="C174">
        <v>67.260000000000005</v>
      </c>
      <c r="D174">
        <v>147.69999999999999</v>
      </c>
      <c r="E174">
        <v>257.45999999999998</v>
      </c>
      <c r="F174">
        <v>97.5</v>
      </c>
      <c r="G174">
        <v>97.78</v>
      </c>
      <c r="H174">
        <v>67.23</v>
      </c>
    </row>
    <row r="175" spans="1:8" x14ac:dyDescent="0.25">
      <c r="A175" s="63">
        <f t="shared" si="2"/>
        <v>44004</v>
      </c>
      <c r="B175">
        <v>926.33999999999992</v>
      </c>
      <c r="C175">
        <v>69.42</v>
      </c>
      <c r="D175">
        <v>365.13</v>
      </c>
      <c r="E175">
        <v>207.31</v>
      </c>
      <c r="F175">
        <v>110.52</v>
      </c>
      <c r="G175">
        <v>99.9</v>
      </c>
      <c r="H175">
        <v>74.06</v>
      </c>
    </row>
    <row r="176" spans="1:8" x14ac:dyDescent="0.25">
      <c r="A176" s="63">
        <f t="shared" si="2"/>
        <v>44005</v>
      </c>
      <c r="B176">
        <v>990.53</v>
      </c>
      <c r="C176">
        <v>119.54</v>
      </c>
      <c r="D176">
        <v>397.2</v>
      </c>
      <c r="E176">
        <v>213.76</v>
      </c>
      <c r="F176">
        <v>99.5</v>
      </c>
      <c r="G176">
        <v>92.66</v>
      </c>
      <c r="H176">
        <v>67.87</v>
      </c>
    </row>
    <row r="177" spans="1:8" x14ac:dyDescent="0.25">
      <c r="A177" s="63">
        <f t="shared" si="2"/>
        <v>44006</v>
      </c>
      <c r="B177">
        <v>1011.2</v>
      </c>
      <c r="C177">
        <v>101.86</v>
      </c>
      <c r="D177">
        <v>410.37</v>
      </c>
      <c r="E177">
        <v>233.54</v>
      </c>
      <c r="F177">
        <v>106.34</v>
      </c>
      <c r="G177">
        <v>93.74</v>
      </c>
      <c r="H177">
        <v>65.349999999999994</v>
      </c>
    </row>
    <row r="178" spans="1:8" x14ac:dyDescent="0.25">
      <c r="A178" s="63">
        <f t="shared" si="2"/>
        <v>44007</v>
      </c>
      <c r="B178">
        <v>910.08999999999992</v>
      </c>
      <c r="C178">
        <v>78.680000000000007</v>
      </c>
      <c r="D178">
        <v>387.12</v>
      </c>
      <c r="E178">
        <v>203.67</v>
      </c>
      <c r="F178">
        <v>92.06</v>
      </c>
      <c r="G178">
        <v>83.74</v>
      </c>
      <c r="H178">
        <v>64.819999999999993</v>
      </c>
    </row>
    <row r="179" spans="1:8" x14ac:dyDescent="0.25">
      <c r="A179" s="63">
        <f t="shared" si="2"/>
        <v>44008</v>
      </c>
      <c r="B179">
        <v>862.78</v>
      </c>
      <c r="C179">
        <v>76.42</v>
      </c>
      <c r="D179">
        <v>380.92</v>
      </c>
      <c r="E179">
        <v>155.47999999999999</v>
      </c>
      <c r="F179">
        <v>109.72</v>
      </c>
      <c r="G179">
        <v>75.3</v>
      </c>
      <c r="H179">
        <v>64.94</v>
      </c>
    </row>
    <row r="180" spans="1:8" x14ac:dyDescent="0.25">
      <c r="A180" s="63">
        <f t="shared" si="2"/>
        <v>44009</v>
      </c>
      <c r="B180">
        <v>647.04000000000008</v>
      </c>
      <c r="C180">
        <v>39.85</v>
      </c>
      <c r="D180">
        <v>219.49</v>
      </c>
      <c r="E180">
        <v>150.66999999999999</v>
      </c>
      <c r="F180">
        <v>96.69</v>
      </c>
      <c r="G180">
        <v>71.5</v>
      </c>
      <c r="H180">
        <v>68.84</v>
      </c>
    </row>
    <row r="181" spans="1:8" x14ac:dyDescent="0.25">
      <c r="A181" s="63">
        <f t="shared" si="2"/>
        <v>44010</v>
      </c>
      <c r="B181">
        <v>295.02020000000005</v>
      </c>
      <c r="C181">
        <v>70.61</v>
      </c>
      <c r="D181">
        <v>1E-4</v>
      </c>
      <c r="E181">
        <v>1E-4</v>
      </c>
      <c r="F181">
        <v>101.93</v>
      </c>
      <c r="G181">
        <v>56.25</v>
      </c>
      <c r="H181">
        <v>66.23</v>
      </c>
    </row>
    <row r="182" spans="1:8" x14ac:dyDescent="0.25">
      <c r="A182" s="63">
        <f t="shared" si="2"/>
        <v>44011</v>
      </c>
      <c r="B182">
        <v>772.87999999999988</v>
      </c>
      <c r="C182">
        <v>87.02</v>
      </c>
      <c r="D182">
        <v>317.44</v>
      </c>
      <c r="E182">
        <v>150.13</v>
      </c>
      <c r="F182">
        <v>78.319999999999993</v>
      </c>
      <c r="G182">
        <v>74.459999999999994</v>
      </c>
      <c r="H182">
        <v>65.510000000000005</v>
      </c>
    </row>
    <row r="183" spans="1:8" x14ac:dyDescent="0.25">
      <c r="A183" s="63">
        <f t="shared" si="2"/>
        <v>44012</v>
      </c>
      <c r="B183">
        <v>781.01</v>
      </c>
      <c r="C183">
        <v>75.14</v>
      </c>
      <c r="D183">
        <v>344.91</v>
      </c>
      <c r="E183">
        <v>136.55000000000001</v>
      </c>
      <c r="F183">
        <v>76.87</v>
      </c>
      <c r="G183">
        <v>84.91</v>
      </c>
      <c r="H183">
        <v>62.63</v>
      </c>
    </row>
    <row r="184" spans="1:8" x14ac:dyDescent="0.25">
      <c r="A184" s="63">
        <f t="shared" si="2"/>
        <v>44013</v>
      </c>
      <c r="B184">
        <v>784.91000000000008</v>
      </c>
      <c r="C184">
        <v>78.37</v>
      </c>
      <c r="D184">
        <v>354.37</v>
      </c>
      <c r="E184">
        <v>133.81</v>
      </c>
      <c r="F184">
        <v>70.45</v>
      </c>
      <c r="G184">
        <v>86.96</v>
      </c>
      <c r="H184">
        <v>60.95</v>
      </c>
    </row>
    <row r="185" spans="1:8" x14ac:dyDescent="0.25">
      <c r="A185" s="63">
        <f t="shared" si="2"/>
        <v>44014</v>
      </c>
      <c r="B185">
        <v>831.29</v>
      </c>
      <c r="C185">
        <v>82.15</v>
      </c>
      <c r="D185">
        <v>385.78</v>
      </c>
      <c r="E185">
        <v>123.58</v>
      </c>
      <c r="F185">
        <v>87.41</v>
      </c>
      <c r="G185">
        <v>91.2</v>
      </c>
      <c r="H185">
        <v>61.17</v>
      </c>
    </row>
    <row r="186" spans="1:8" x14ac:dyDescent="0.25">
      <c r="A186" s="63">
        <f t="shared" si="2"/>
        <v>44015</v>
      </c>
      <c r="B186">
        <v>714.59999999999991</v>
      </c>
      <c r="C186">
        <v>67.89</v>
      </c>
      <c r="D186">
        <v>339.5</v>
      </c>
      <c r="E186">
        <v>101.64</v>
      </c>
      <c r="F186">
        <v>64.569999999999993</v>
      </c>
      <c r="G186">
        <v>79.47</v>
      </c>
      <c r="H186">
        <v>61.53</v>
      </c>
    </row>
    <row r="187" spans="1:8" x14ac:dyDescent="0.25">
      <c r="A187" s="63">
        <f t="shared" si="2"/>
        <v>44016</v>
      </c>
      <c r="B187">
        <v>407.2201</v>
      </c>
      <c r="C187">
        <v>63.25</v>
      </c>
      <c r="D187">
        <v>143.55000000000001</v>
      </c>
      <c r="E187">
        <v>1E-4</v>
      </c>
      <c r="F187">
        <v>91.68</v>
      </c>
      <c r="G187">
        <v>48.58</v>
      </c>
      <c r="H187">
        <v>60.16</v>
      </c>
    </row>
    <row r="188" spans="1:8" x14ac:dyDescent="0.25">
      <c r="A188" s="63">
        <f t="shared" si="2"/>
        <v>44017</v>
      </c>
      <c r="B188">
        <v>304.97019999999998</v>
      </c>
      <c r="C188">
        <v>97.35</v>
      </c>
      <c r="D188">
        <v>1E-4</v>
      </c>
      <c r="E188">
        <v>1E-4</v>
      </c>
      <c r="F188">
        <v>83.66</v>
      </c>
      <c r="G188">
        <v>62.58</v>
      </c>
      <c r="H188">
        <v>61.38</v>
      </c>
    </row>
    <row r="189" spans="1:8" x14ac:dyDescent="0.25">
      <c r="A189" s="63">
        <f t="shared" si="2"/>
        <v>44018</v>
      </c>
      <c r="B189">
        <v>966.6</v>
      </c>
      <c r="C189">
        <v>118.03</v>
      </c>
      <c r="D189">
        <v>379.37</v>
      </c>
      <c r="E189">
        <v>235.49</v>
      </c>
      <c r="F189">
        <v>91.58</v>
      </c>
      <c r="G189">
        <v>77.260000000000005</v>
      </c>
      <c r="H189">
        <v>64.87</v>
      </c>
    </row>
    <row r="190" spans="1:8" x14ac:dyDescent="0.25">
      <c r="A190" s="63">
        <f t="shared" si="2"/>
        <v>44019</v>
      </c>
      <c r="B190">
        <v>941.75999999999988</v>
      </c>
      <c r="C190">
        <v>72.64</v>
      </c>
      <c r="D190">
        <v>378.71</v>
      </c>
      <c r="E190">
        <v>252.8</v>
      </c>
      <c r="F190">
        <v>92.44</v>
      </c>
      <c r="G190">
        <v>81.739999999999995</v>
      </c>
      <c r="H190">
        <v>63.43</v>
      </c>
    </row>
    <row r="191" spans="1:8" x14ac:dyDescent="0.25">
      <c r="A191" s="63">
        <f t="shared" si="2"/>
        <v>44020</v>
      </c>
      <c r="B191">
        <v>974.58999999999992</v>
      </c>
      <c r="C191">
        <v>109.15</v>
      </c>
      <c r="D191">
        <v>397.9</v>
      </c>
      <c r="E191">
        <v>237.07</v>
      </c>
      <c r="F191">
        <v>89.05</v>
      </c>
      <c r="G191">
        <v>84.69</v>
      </c>
      <c r="H191">
        <v>56.73</v>
      </c>
    </row>
    <row r="192" spans="1:8" x14ac:dyDescent="0.25">
      <c r="A192" s="63">
        <f t="shared" si="2"/>
        <v>44021</v>
      </c>
      <c r="B192">
        <v>938.93000000000006</v>
      </c>
      <c r="C192">
        <v>103.47</v>
      </c>
      <c r="D192">
        <v>361.75</v>
      </c>
      <c r="E192">
        <v>241.52</v>
      </c>
      <c r="F192">
        <v>86.47</v>
      </c>
      <c r="G192">
        <v>81.12</v>
      </c>
      <c r="H192">
        <v>64.599999999999994</v>
      </c>
    </row>
    <row r="193" spans="1:8" x14ac:dyDescent="0.25">
      <c r="A193" s="63">
        <f t="shared" si="2"/>
        <v>44022</v>
      </c>
      <c r="B193">
        <v>944.09999999999991</v>
      </c>
      <c r="C193">
        <v>80.13</v>
      </c>
      <c r="D193">
        <v>394.3</v>
      </c>
      <c r="E193">
        <v>237.91</v>
      </c>
      <c r="F193">
        <v>95.65</v>
      </c>
      <c r="G193">
        <v>71.319999999999993</v>
      </c>
      <c r="H193">
        <v>64.790000000000006</v>
      </c>
    </row>
    <row r="194" spans="1:8" x14ac:dyDescent="0.25">
      <c r="A194" s="63">
        <f t="shared" si="2"/>
        <v>44023</v>
      </c>
      <c r="B194">
        <v>681.01</v>
      </c>
      <c r="C194">
        <v>77.260000000000005</v>
      </c>
      <c r="D194">
        <v>141.15</v>
      </c>
      <c r="E194">
        <v>223.92</v>
      </c>
      <c r="F194">
        <v>109.34</v>
      </c>
      <c r="G194">
        <v>68.92</v>
      </c>
      <c r="H194">
        <v>60.42</v>
      </c>
    </row>
    <row r="195" spans="1:8" x14ac:dyDescent="0.25">
      <c r="A195" s="63">
        <f t="shared" si="2"/>
        <v>44024</v>
      </c>
      <c r="B195">
        <v>562.64009999999996</v>
      </c>
      <c r="C195">
        <v>99.82</v>
      </c>
      <c r="D195">
        <v>1E-4</v>
      </c>
      <c r="E195">
        <v>205.41</v>
      </c>
      <c r="F195">
        <v>106.27</v>
      </c>
      <c r="G195">
        <v>89.87</v>
      </c>
      <c r="H195">
        <v>61.27</v>
      </c>
    </row>
    <row r="196" spans="1:8" x14ac:dyDescent="0.25">
      <c r="A196" s="63">
        <f t="shared" ref="A196:A259" si="3">A195+1</f>
        <v>44025</v>
      </c>
      <c r="B196">
        <v>993.67000000000007</v>
      </c>
      <c r="C196">
        <v>85.96</v>
      </c>
      <c r="D196">
        <v>420.93</v>
      </c>
      <c r="E196">
        <v>220.84</v>
      </c>
      <c r="F196">
        <v>103.27</v>
      </c>
      <c r="G196">
        <v>97.93</v>
      </c>
      <c r="H196">
        <v>64.739999999999995</v>
      </c>
    </row>
    <row r="197" spans="1:8" x14ac:dyDescent="0.25">
      <c r="A197" s="63">
        <f t="shared" si="3"/>
        <v>44026</v>
      </c>
      <c r="B197">
        <v>891.99</v>
      </c>
      <c r="C197">
        <v>69.75</v>
      </c>
      <c r="D197">
        <v>372.41</v>
      </c>
      <c r="E197">
        <v>203.35</v>
      </c>
      <c r="F197">
        <v>106.76</v>
      </c>
      <c r="G197">
        <v>77.709999999999994</v>
      </c>
      <c r="H197">
        <v>62.01</v>
      </c>
    </row>
    <row r="198" spans="1:8" x14ac:dyDescent="0.25">
      <c r="A198" s="63">
        <f t="shared" si="3"/>
        <v>44027</v>
      </c>
      <c r="B198">
        <v>912.98</v>
      </c>
      <c r="C198">
        <v>98.5</v>
      </c>
      <c r="D198">
        <v>368.21</v>
      </c>
      <c r="E198">
        <v>191.57</v>
      </c>
      <c r="F198">
        <v>107.62</v>
      </c>
      <c r="G198">
        <v>92.86</v>
      </c>
      <c r="H198">
        <v>54.22</v>
      </c>
    </row>
    <row r="199" spans="1:8" x14ac:dyDescent="0.25">
      <c r="A199" s="63">
        <f t="shared" si="3"/>
        <v>44028</v>
      </c>
      <c r="B199">
        <v>872.70999999999992</v>
      </c>
      <c r="C199">
        <v>84.91</v>
      </c>
      <c r="D199">
        <v>351.52</v>
      </c>
      <c r="E199">
        <v>174.11</v>
      </c>
      <c r="F199">
        <v>104.31</v>
      </c>
      <c r="G199">
        <v>95.44</v>
      </c>
      <c r="H199">
        <v>62.42</v>
      </c>
    </row>
    <row r="200" spans="1:8" x14ac:dyDescent="0.25">
      <c r="A200" s="63">
        <f t="shared" si="3"/>
        <v>44029</v>
      </c>
      <c r="B200">
        <v>895.49</v>
      </c>
      <c r="C200">
        <v>90.45</v>
      </c>
      <c r="D200">
        <v>364.34</v>
      </c>
      <c r="E200">
        <v>199.36</v>
      </c>
      <c r="F200">
        <v>93.97</v>
      </c>
      <c r="G200">
        <v>87.42</v>
      </c>
      <c r="H200">
        <v>59.95</v>
      </c>
    </row>
    <row r="201" spans="1:8" x14ac:dyDescent="0.25">
      <c r="A201" s="63">
        <f t="shared" si="3"/>
        <v>44030</v>
      </c>
      <c r="B201">
        <v>698.25</v>
      </c>
      <c r="C201">
        <v>76.33</v>
      </c>
      <c r="D201">
        <v>165.47</v>
      </c>
      <c r="E201">
        <v>226.44</v>
      </c>
      <c r="F201">
        <v>87.1</v>
      </c>
      <c r="G201">
        <v>81.47</v>
      </c>
      <c r="H201">
        <v>61.44</v>
      </c>
    </row>
    <row r="202" spans="1:8" x14ac:dyDescent="0.25">
      <c r="A202" s="63">
        <f t="shared" si="3"/>
        <v>44031</v>
      </c>
      <c r="B202">
        <v>561.82000000000005</v>
      </c>
      <c r="C202">
        <v>96.2</v>
      </c>
      <c r="E202">
        <v>249.32</v>
      </c>
      <c r="F202">
        <v>83.48</v>
      </c>
      <c r="G202">
        <v>78.81</v>
      </c>
      <c r="H202">
        <v>54.01</v>
      </c>
    </row>
    <row r="203" spans="1:8" x14ac:dyDescent="0.25">
      <c r="A203" s="63">
        <f t="shared" si="3"/>
        <v>44032</v>
      </c>
      <c r="B203">
        <v>916.7700000000001</v>
      </c>
      <c r="C203">
        <v>119.81</v>
      </c>
      <c r="D203">
        <v>346.54</v>
      </c>
      <c r="E203">
        <v>211.11</v>
      </c>
      <c r="F203">
        <v>93.6</v>
      </c>
      <c r="G203">
        <v>90.36</v>
      </c>
      <c r="H203">
        <v>55.35</v>
      </c>
    </row>
    <row r="204" spans="1:8" x14ac:dyDescent="0.25">
      <c r="A204" s="63">
        <f t="shared" si="3"/>
        <v>44033</v>
      </c>
      <c r="B204">
        <v>979.63</v>
      </c>
      <c r="C204">
        <v>92.14</v>
      </c>
      <c r="D204">
        <v>414.24</v>
      </c>
      <c r="E204">
        <v>252.53</v>
      </c>
      <c r="F204">
        <v>73.650000000000006</v>
      </c>
      <c r="G204">
        <v>89.21</v>
      </c>
      <c r="H204">
        <v>57.86</v>
      </c>
    </row>
    <row r="205" spans="1:8" x14ac:dyDescent="0.25">
      <c r="A205" s="63">
        <f t="shared" si="3"/>
        <v>44034</v>
      </c>
      <c r="B205">
        <v>990.72</v>
      </c>
      <c r="C205">
        <v>103.59</v>
      </c>
      <c r="D205">
        <v>441.07</v>
      </c>
      <c r="E205">
        <v>239.88</v>
      </c>
      <c r="F205">
        <v>67.95</v>
      </c>
      <c r="G205">
        <v>80.489999999999995</v>
      </c>
      <c r="H205">
        <v>57.74</v>
      </c>
    </row>
    <row r="206" spans="1:8" x14ac:dyDescent="0.25">
      <c r="A206" s="63">
        <f t="shared" si="3"/>
        <v>44035</v>
      </c>
      <c r="B206">
        <v>940.39000000000021</v>
      </c>
      <c r="C206">
        <v>75.7</v>
      </c>
      <c r="D206">
        <v>465.85</v>
      </c>
      <c r="E206">
        <v>207.3</v>
      </c>
      <c r="F206">
        <v>62.19</v>
      </c>
      <c r="G206">
        <v>72.25</v>
      </c>
      <c r="H206">
        <v>57.1</v>
      </c>
    </row>
    <row r="207" spans="1:8" x14ac:dyDescent="0.25">
      <c r="A207" s="63">
        <f t="shared" si="3"/>
        <v>44036</v>
      </c>
      <c r="B207">
        <v>959.79000000000008</v>
      </c>
      <c r="C207">
        <v>93.49</v>
      </c>
      <c r="D207">
        <v>363.5</v>
      </c>
      <c r="E207">
        <v>262.18</v>
      </c>
      <c r="F207">
        <v>87.75</v>
      </c>
      <c r="G207">
        <v>92.61</v>
      </c>
      <c r="H207">
        <v>60.26</v>
      </c>
    </row>
    <row r="208" spans="1:8" x14ac:dyDescent="0.25">
      <c r="A208" s="63">
        <f t="shared" si="3"/>
        <v>44037</v>
      </c>
      <c r="B208">
        <v>889.2</v>
      </c>
      <c r="C208">
        <v>104.91</v>
      </c>
      <c r="D208">
        <v>294.43</v>
      </c>
      <c r="E208">
        <v>257.97000000000003</v>
      </c>
      <c r="F208">
        <v>86.69</v>
      </c>
      <c r="G208">
        <v>85.22</v>
      </c>
      <c r="H208">
        <v>59.98</v>
      </c>
    </row>
    <row r="209" spans="1:8" x14ac:dyDescent="0.25">
      <c r="A209" s="63">
        <f t="shared" si="3"/>
        <v>44038</v>
      </c>
      <c r="B209">
        <v>897.36</v>
      </c>
      <c r="C209">
        <v>111.53</v>
      </c>
      <c r="D209">
        <v>287.72000000000003</v>
      </c>
      <c r="E209">
        <v>250.41</v>
      </c>
      <c r="F209">
        <v>95.57</v>
      </c>
      <c r="G209">
        <v>93.88</v>
      </c>
      <c r="H209">
        <v>58.25</v>
      </c>
    </row>
    <row r="210" spans="1:8" x14ac:dyDescent="0.25">
      <c r="A210" s="63">
        <f t="shared" si="3"/>
        <v>44039</v>
      </c>
      <c r="B210">
        <v>935.09999999999991</v>
      </c>
      <c r="C210">
        <v>104.89</v>
      </c>
      <c r="D210">
        <v>347.9</v>
      </c>
      <c r="E210">
        <v>238.48</v>
      </c>
      <c r="F210">
        <v>92.66</v>
      </c>
      <c r="G210">
        <v>92.39</v>
      </c>
      <c r="H210">
        <v>58.78</v>
      </c>
    </row>
    <row r="211" spans="1:8" x14ac:dyDescent="0.25">
      <c r="A211" s="63">
        <f t="shared" si="3"/>
        <v>44040</v>
      </c>
      <c r="B211">
        <v>1001.1799999999998</v>
      </c>
      <c r="C211">
        <v>94.14</v>
      </c>
      <c r="D211">
        <v>448.78</v>
      </c>
      <c r="E211">
        <v>209.94</v>
      </c>
      <c r="F211">
        <v>79.13</v>
      </c>
      <c r="G211">
        <v>112.53</v>
      </c>
      <c r="H211">
        <v>56.66</v>
      </c>
    </row>
    <row r="212" spans="1:8" x14ac:dyDescent="0.25">
      <c r="A212" s="63">
        <f t="shared" si="3"/>
        <v>44041</v>
      </c>
      <c r="B212">
        <v>1021.72</v>
      </c>
      <c r="C212">
        <v>73.37</v>
      </c>
      <c r="D212">
        <v>440.89</v>
      </c>
      <c r="E212">
        <v>251.51</v>
      </c>
      <c r="F212">
        <v>84.58</v>
      </c>
      <c r="G212">
        <v>115.12</v>
      </c>
      <c r="H212">
        <v>56.25</v>
      </c>
    </row>
    <row r="213" spans="1:8" x14ac:dyDescent="0.25">
      <c r="A213" s="63">
        <f t="shared" si="3"/>
        <v>44042</v>
      </c>
      <c r="B213">
        <v>1049.6599999999999</v>
      </c>
      <c r="C213">
        <v>103.71</v>
      </c>
      <c r="D213">
        <v>423.69</v>
      </c>
      <c r="E213">
        <v>266.27999999999997</v>
      </c>
      <c r="F213">
        <v>84.87</v>
      </c>
      <c r="G213">
        <v>111.17</v>
      </c>
      <c r="H213">
        <v>59.94</v>
      </c>
    </row>
    <row r="214" spans="1:8" x14ac:dyDescent="0.25">
      <c r="A214" s="63">
        <f t="shared" si="3"/>
        <v>44043</v>
      </c>
      <c r="B214">
        <v>1029.3399999999999</v>
      </c>
      <c r="C214">
        <v>81.72</v>
      </c>
      <c r="D214">
        <v>398.27</v>
      </c>
      <c r="E214">
        <v>282.06</v>
      </c>
      <c r="F214">
        <v>93.14</v>
      </c>
      <c r="G214">
        <v>111.15</v>
      </c>
      <c r="H214">
        <v>63</v>
      </c>
    </row>
    <row r="215" spans="1:8" x14ac:dyDescent="0.25">
      <c r="A215" s="63">
        <f t="shared" si="3"/>
        <v>44044</v>
      </c>
      <c r="B215">
        <v>1054.6600000000001</v>
      </c>
      <c r="C215">
        <v>83.21</v>
      </c>
      <c r="D215">
        <v>410.98</v>
      </c>
      <c r="E215">
        <v>288.01</v>
      </c>
      <c r="F215">
        <v>107.35</v>
      </c>
      <c r="G215">
        <v>104.72</v>
      </c>
      <c r="H215">
        <v>60.39</v>
      </c>
    </row>
    <row r="216" spans="1:8" x14ac:dyDescent="0.25">
      <c r="A216" s="63">
        <f t="shared" si="3"/>
        <v>44045</v>
      </c>
      <c r="B216">
        <v>973.53</v>
      </c>
      <c r="C216">
        <v>97.68</v>
      </c>
      <c r="D216">
        <v>381.97</v>
      </c>
      <c r="E216">
        <v>231.25</v>
      </c>
      <c r="F216">
        <v>93.9</v>
      </c>
      <c r="G216">
        <v>108.04</v>
      </c>
      <c r="H216">
        <v>60.69</v>
      </c>
    </row>
    <row r="217" spans="1:8" x14ac:dyDescent="0.25">
      <c r="A217" s="63">
        <f t="shared" si="3"/>
        <v>44046</v>
      </c>
      <c r="B217">
        <v>1058.26</v>
      </c>
      <c r="C217">
        <v>100.91</v>
      </c>
      <c r="D217">
        <v>399.71</v>
      </c>
      <c r="E217">
        <v>285.89999999999998</v>
      </c>
      <c r="F217">
        <v>102.88</v>
      </c>
      <c r="G217">
        <v>103.17</v>
      </c>
      <c r="H217">
        <v>65.69</v>
      </c>
    </row>
    <row r="218" spans="1:8" x14ac:dyDescent="0.25">
      <c r="A218" s="63">
        <f t="shared" si="3"/>
        <v>44047</v>
      </c>
      <c r="B218">
        <v>1088.7200000000003</v>
      </c>
      <c r="C218">
        <v>90.46</v>
      </c>
      <c r="D218">
        <v>432</v>
      </c>
      <c r="E218">
        <v>289.23</v>
      </c>
      <c r="F218">
        <v>105.95</v>
      </c>
      <c r="G218">
        <v>105.71</v>
      </c>
      <c r="H218">
        <v>65.37</v>
      </c>
    </row>
    <row r="219" spans="1:8" x14ac:dyDescent="0.25">
      <c r="A219" s="63">
        <f t="shared" si="3"/>
        <v>44048</v>
      </c>
      <c r="B219">
        <v>1013.19</v>
      </c>
      <c r="C219">
        <v>102.74</v>
      </c>
      <c r="D219">
        <v>371.62</v>
      </c>
      <c r="E219">
        <v>259.74</v>
      </c>
      <c r="F219">
        <v>105.7</v>
      </c>
      <c r="G219">
        <v>108.38</v>
      </c>
      <c r="H219">
        <v>65.010000000000005</v>
      </c>
    </row>
    <row r="220" spans="1:8" x14ac:dyDescent="0.25">
      <c r="A220" s="63">
        <f t="shared" si="3"/>
        <v>44049</v>
      </c>
      <c r="B220">
        <v>1077.6499999999999</v>
      </c>
      <c r="C220">
        <v>82.73</v>
      </c>
      <c r="D220">
        <v>435.03</v>
      </c>
      <c r="E220">
        <v>274.79000000000002</v>
      </c>
      <c r="F220">
        <v>100.67</v>
      </c>
      <c r="G220">
        <v>118.47</v>
      </c>
      <c r="H220">
        <v>65.959999999999994</v>
      </c>
    </row>
    <row r="221" spans="1:8" x14ac:dyDescent="0.25">
      <c r="A221" s="63">
        <f t="shared" si="3"/>
        <v>44050</v>
      </c>
      <c r="B221">
        <v>1068.06</v>
      </c>
      <c r="C221">
        <v>78.55</v>
      </c>
      <c r="D221">
        <v>440.75</v>
      </c>
      <c r="E221">
        <v>275.14999999999998</v>
      </c>
      <c r="F221">
        <v>106.31</v>
      </c>
      <c r="G221">
        <v>106.45</v>
      </c>
      <c r="H221">
        <v>60.85</v>
      </c>
    </row>
    <row r="222" spans="1:8" x14ac:dyDescent="0.25">
      <c r="A222" s="63">
        <f t="shared" si="3"/>
        <v>44051</v>
      </c>
      <c r="B222">
        <v>971.96</v>
      </c>
      <c r="C222">
        <v>78.72</v>
      </c>
      <c r="D222">
        <v>404</v>
      </c>
      <c r="E222">
        <v>209.82</v>
      </c>
      <c r="F222">
        <v>110.43</v>
      </c>
      <c r="G222">
        <v>113.34</v>
      </c>
      <c r="H222">
        <v>55.65</v>
      </c>
    </row>
    <row r="223" spans="1:8" x14ac:dyDescent="0.25">
      <c r="A223" s="63">
        <f t="shared" si="3"/>
        <v>44052</v>
      </c>
      <c r="B223">
        <v>919.24</v>
      </c>
      <c r="C223">
        <v>101.39</v>
      </c>
      <c r="D223">
        <v>349.43</v>
      </c>
      <c r="E223">
        <v>216.77</v>
      </c>
      <c r="F223">
        <v>101.61</v>
      </c>
      <c r="G223">
        <v>94.62</v>
      </c>
      <c r="H223">
        <v>55.42</v>
      </c>
    </row>
    <row r="224" spans="1:8" x14ac:dyDescent="0.25">
      <c r="A224" s="63">
        <f t="shared" si="3"/>
        <v>44053</v>
      </c>
      <c r="B224">
        <v>1047.3400000000001</v>
      </c>
      <c r="C224">
        <v>98.52</v>
      </c>
      <c r="D224">
        <v>411.11</v>
      </c>
      <c r="E224">
        <v>250.79</v>
      </c>
      <c r="F224">
        <v>94.84</v>
      </c>
      <c r="G224">
        <v>134.33000000000001</v>
      </c>
      <c r="H224">
        <v>57.75</v>
      </c>
    </row>
    <row r="225" spans="1:8" x14ac:dyDescent="0.25">
      <c r="A225" s="63">
        <f t="shared" si="3"/>
        <v>44054</v>
      </c>
      <c r="B225">
        <v>1052.6600000000001</v>
      </c>
      <c r="C225">
        <v>92.91</v>
      </c>
      <c r="D225">
        <v>465.35</v>
      </c>
      <c r="E225">
        <v>248.4</v>
      </c>
      <c r="F225">
        <v>103.89</v>
      </c>
      <c r="G225">
        <v>89.08</v>
      </c>
      <c r="H225">
        <v>53.03</v>
      </c>
    </row>
    <row r="226" spans="1:8" x14ac:dyDescent="0.25">
      <c r="A226" s="63">
        <f t="shared" si="3"/>
        <v>44055</v>
      </c>
      <c r="B226">
        <v>1020.1099999999999</v>
      </c>
      <c r="C226">
        <v>110.7</v>
      </c>
      <c r="D226">
        <v>407.03</v>
      </c>
      <c r="E226">
        <v>240.38</v>
      </c>
      <c r="F226">
        <v>100.05</v>
      </c>
      <c r="G226">
        <v>108.4</v>
      </c>
      <c r="H226">
        <v>53.55</v>
      </c>
    </row>
    <row r="227" spans="1:8" x14ac:dyDescent="0.25">
      <c r="A227" s="63">
        <f t="shared" si="3"/>
        <v>44056</v>
      </c>
      <c r="B227">
        <v>1084.9299999999998</v>
      </c>
      <c r="C227">
        <v>110.71</v>
      </c>
      <c r="D227">
        <v>424.65</v>
      </c>
      <c r="E227">
        <v>290.31</v>
      </c>
      <c r="F227">
        <v>101.66</v>
      </c>
      <c r="G227">
        <v>102.49</v>
      </c>
      <c r="H227">
        <v>55.11</v>
      </c>
    </row>
    <row r="228" spans="1:8" x14ac:dyDescent="0.25">
      <c r="A228" s="63">
        <f t="shared" si="3"/>
        <v>44057</v>
      </c>
      <c r="B228">
        <v>1032.53</v>
      </c>
      <c r="C228">
        <v>74.95</v>
      </c>
      <c r="D228">
        <v>419.12</v>
      </c>
      <c r="E228">
        <v>277.10000000000002</v>
      </c>
      <c r="F228">
        <v>102.54</v>
      </c>
      <c r="G228">
        <v>102.16</v>
      </c>
      <c r="H228">
        <v>56.66</v>
      </c>
    </row>
    <row r="229" spans="1:8" x14ac:dyDescent="0.25">
      <c r="A229" s="63">
        <f t="shared" si="3"/>
        <v>44058</v>
      </c>
      <c r="B229">
        <v>840.11</v>
      </c>
      <c r="C229">
        <v>91.09</v>
      </c>
      <c r="D229">
        <v>291.25</v>
      </c>
      <c r="E229">
        <v>267.42</v>
      </c>
      <c r="F229">
        <v>79.38</v>
      </c>
      <c r="G229">
        <v>54.6</v>
      </c>
      <c r="H229">
        <v>56.37</v>
      </c>
    </row>
    <row r="230" spans="1:8" x14ac:dyDescent="0.25">
      <c r="A230" s="63">
        <f t="shared" si="3"/>
        <v>44059</v>
      </c>
      <c r="B230">
        <v>973.1400000000001</v>
      </c>
      <c r="C230">
        <v>96.98</v>
      </c>
      <c r="D230">
        <v>349.2</v>
      </c>
      <c r="E230">
        <v>254.06</v>
      </c>
      <c r="F230">
        <v>102.83</v>
      </c>
      <c r="G230">
        <v>114.72</v>
      </c>
      <c r="H230">
        <v>55.35</v>
      </c>
    </row>
    <row r="231" spans="1:8" x14ac:dyDescent="0.25">
      <c r="A231" s="63">
        <f t="shared" si="3"/>
        <v>44060</v>
      </c>
      <c r="B231">
        <v>1141.1500000000003</v>
      </c>
      <c r="C231">
        <v>124.69</v>
      </c>
      <c r="D231">
        <v>453.02</v>
      </c>
      <c r="E231">
        <v>292.95</v>
      </c>
      <c r="F231">
        <v>93.19</v>
      </c>
      <c r="G231">
        <v>121.16</v>
      </c>
      <c r="H231">
        <v>56.14</v>
      </c>
    </row>
    <row r="232" spans="1:8" x14ac:dyDescent="0.25">
      <c r="A232" s="63">
        <f t="shared" si="3"/>
        <v>44061</v>
      </c>
      <c r="B232">
        <v>1055.92</v>
      </c>
      <c r="C232">
        <v>93.41</v>
      </c>
      <c r="D232">
        <v>387.86</v>
      </c>
      <c r="E232">
        <v>284.35000000000002</v>
      </c>
      <c r="F232">
        <v>97.83</v>
      </c>
      <c r="G232">
        <v>131.69</v>
      </c>
      <c r="H232">
        <v>60.78</v>
      </c>
    </row>
    <row r="233" spans="1:8" x14ac:dyDescent="0.25">
      <c r="A233" s="63">
        <f t="shared" si="3"/>
        <v>44062</v>
      </c>
      <c r="B233">
        <v>1076.68</v>
      </c>
      <c r="C233">
        <v>94.95</v>
      </c>
      <c r="D233">
        <v>440.28</v>
      </c>
      <c r="E233">
        <v>272.45999999999998</v>
      </c>
      <c r="F233">
        <v>85.62</v>
      </c>
      <c r="G233">
        <v>122.61</v>
      </c>
      <c r="H233">
        <v>60.76</v>
      </c>
    </row>
    <row r="234" spans="1:8" x14ac:dyDescent="0.25">
      <c r="A234" s="63">
        <f t="shared" si="3"/>
        <v>44063</v>
      </c>
      <c r="B234">
        <v>1156.1099999999999</v>
      </c>
      <c r="C234">
        <v>119.11</v>
      </c>
      <c r="D234">
        <v>462.5</v>
      </c>
      <c r="E234">
        <v>293.89</v>
      </c>
      <c r="F234">
        <v>96.88</v>
      </c>
      <c r="G234">
        <v>125.69</v>
      </c>
      <c r="H234">
        <v>58.04</v>
      </c>
    </row>
    <row r="235" spans="1:8" x14ac:dyDescent="0.25">
      <c r="A235" s="63">
        <f t="shared" si="3"/>
        <v>44064</v>
      </c>
      <c r="B235">
        <v>1082.44</v>
      </c>
      <c r="C235">
        <v>117.23</v>
      </c>
      <c r="D235">
        <v>411.14</v>
      </c>
      <c r="E235">
        <v>272.75</v>
      </c>
      <c r="F235">
        <v>98.41</v>
      </c>
      <c r="G235">
        <v>124.26</v>
      </c>
      <c r="H235">
        <v>58.65</v>
      </c>
    </row>
    <row r="236" spans="1:8" x14ac:dyDescent="0.25">
      <c r="A236" s="63">
        <f t="shared" si="3"/>
        <v>44065</v>
      </c>
      <c r="B236">
        <v>1064.3800000000001</v>
      </c>
      <c r="C236">
        <v>97.2</v>
      </c>
      <c r="D236">
        <v>431.62</v>
      </c>
      <c r="E236">
        <v>257.73</v>
      </c>
      <c r="F236">
        <v>101.96</v>
      </c>
      <c r="G236">
        <v>114.13</v>
      </c>
      <c r="H236">
        <v>61.74</v>
      </c>
    </row>
    <row r="237" spans="1:8" x14ac:dyDescent="0.25">
      <c r="A237" s="63">
        <f t="shared" si="3"/>
        <v>44066</v>
      </c>
      <c r="B237">
        <v>963.29000000000008</v>
      </c>
      <c r="C237">
        <v>115.31</v>
      </c>
      <c r="D237">
        <v>317.93</v>
      </c>
      <c r="E237">
        <v>245.61</v>
      </c>
      <c r="F237">
        <v>109.71</v>
      </c>
      <c r="G237">
        <v>115.01</v>
      </c>
      <c r="H237">
        <v>59.72</v>
      </c>
    </row>
    <row r="238" spans="1:8" x14ac:dyDescent="0.25">
      <c r="A238" s="63">
        <f t="shared" si="3"/>
        <v>44067</v>
      </c>
      <c r="B238">
        <v>976.65</v>
      </c>
      <c r="C238">
        <v>87.8</v>
      </c>
      <c r="D238">
        <v>381.83</v>
      </c>
      <c r="E238">
        <v>238.79</v>
      </c>
      <c r="F238">
        <v>103.47</v>
      </c>
      <c r="G238">
        <v>98.25</v>
      </c>
      <c r="H238">
        <v>66.510000000000005</v>
      </c>
    </row>
    <row r="239" spans="1:8" x14ac:dyDescent="0.25">
      <c r="A239" s="63">
        <f t="shared" si="3"/>
        <v>44068</v>
      </c>
      <c r="B239">
        <v>1108.1599999999999</v>
      </c>
      <c r="C239">
        <v>99.87</v>
      </c>
      <c r="D239">
        <v>431.65</v>
      </c>
      <c r="E239">
        <v>290.75</v>
      </c>
      <c r="F239">
        <v>103.74</v>
      </c>
      <c r="G239">
        <v>115.55</v>
      </c>
      <c r="H239">
        <v>66.599999999999994</v>
      </c>
    </row>
    <row r="240" spans="1:8" x14ac:dyDescent="0.25">
      <c r="A240" s="63">
        <f t="shared" si="3"/>
        <v>44069</v>
      </c>
      <c r="B240">
        <v>1088.44</v>
      </c>
      <c r="C240">
        <v>116.16</v>
      </c>
      <c r="D240">
        <v>407.86</v>
      </c>
      <c r="E240">
        <v>285.43</v>
      </c>
      <c r="F240">
        <v>98.89</v>
      </c>
      <c r="G240">
        <v>113.62</v>
      </c>
      <c r="H240">
        <v>66.48</v>
      </c>
    </row>
    <row r="241" spans="1:8" x14ac:dyDescent="0.25">
      <c r="A241" s="63">
        <f t="shared" si="3"/>
        <v>44070</v>
      </c>
      <c r="B241">
        <v>1048.49</v>
      </c>
      <c r="C241">
        <v>94.65</v>
      </c>
      <c r="D241">
        <v>400.65</v>
      </c>
      <c r="E241">
        <v>286.72000000000003</v>
      </c>
      <c r="F241">
        <v>100.75</v>
      </c>
      <c r="G241">
        <v>99.28</v>
      </c>
      <c r="H241">
        <v>66.44</v>
      </c>
    </row>
    <row r="242" spans="1:8" x14ac:dyDescent="0.25">
      <c r="A242" s="63">
        <f t="shared" si="3"/>
        <v>44071</v>
      </c>
      <c r="B242">
        <v>1073.48</v>
      </c>
      <c r="C242">
        <v>100.94</v>
      </c>
      <c r="D242">
        <v>414.81</v>
      </c>
      <c r="E242">
        <v>289.81</v>
      </c>
      <c r="F242">
        <v>105.02</v>
      </c>
      <c r="G242">
        <v>97.12</v>
      </c>
      <c r="H242">
        <v>65.78</v>
      </c>
    </row>
    <row r="243" spans="1:8" x14ac:dyDescent="0.25">
      <c r="A243" s="63">
        <f t="shared" si="3"/>
        <v>44072</v>
      </c>
      <c r="B243">
        <v>1076.17</v>
      </c>
      <c r="C243">
        <v>107.54</v>
      </c>
      <c r="D243">
        <v>413.39</v>
      </c>
      <c r="E243">
        <v>291.64</v>
      </c>
      <c r="F243">
        <v>98.09</v>
      </c>
      <c r="G243">
        <v>97.97</v>
      </c>
      <c r="H243">
        <v>67.540000000000006</v>
      </c>
    </row>
    <row r="244" spans="1:8" x14ac:dyDescent="0.25">
      <c r="A244" s="63">
        <f t="shared" si="3"/>
        <v>44073</v>
      </c>
      <c r="B244">
        <v>1049.05</v>
      </c>
      <c r="C244">
        <v>119.96</v>
      </c>
      <c r="D244">
        <v>379.33</v>
      </c>
      <c r="E244">
        <v>287.61</v>
      </c>
      <c r="F244">
        <v>93.91</v>
      </c>
      <c r="G244">
        <v>102.25</v>
      </c>
      <c r="H244">
        <v>65.989999999999995</v>
      </c>
    </row>
    <row r="245" spans="1:8" x14ac:dyDescent="0.25">
      <c r="A245" s="63">
        <f t="shared" si="3"/>
        <v>44074</v>
      </c>
      <c r="B245">
        <v>1045.17</v>
      </c>
      <c r="C245">
        <v>127.69</v>
      </c>
      <c r="D245">
        <v>366.74</v>
      </c>
      <c r="E245">
        <v>283.43</v>
      </c>
      <c r="F245">
        <v>96.02</v>
      </c>
      <c r="G245">
        <v>103.24</v>
      </c>
      <c r="H245">
        <v>68.05</v>
      </c>
    </row>
    <row r="246" spans="1:8" x14ac:dyDescent="0.25">
      <c r="A246" s="63">
        <f t="shared" si="3"/>
        <v>44075</v>
      </c>
      <c r="B246">
        <v>982.56000000000006</v>
      </c>
      <c r="C246">
        <v>94.69</v>
      </c>
      <c r="D246">
        <v>365.56</v>
      </c>
      <c r="E246">
        <v>265.76</v>
      </c>
      <c r="F246">
        <v>90.47</v>
      </c>
      <c r="G246">
        <v>103.85</v>
      </c>
      <c r="H246">
        <v>62.23</v>
      </c>
    </row>
    <row r="247" spans="1:8" x14ac:dyDescent="0.25">
      <c r="A247" s="63">
        <f t="shared" si="3"/>
        <v>44076</v>
      </c>
      <c r="B247">
        <v>1007.9399999999999</v>
      </c>
      <c r="C247">
        <v>111.47</v>
      </c>
      <c r="D247">
        <v>395.5</v>
      </c>
      <c r="E247">
        <v>259.61</v>
      </c>
      <c r="F247">
        <v>86</v>
      </c>
      <c r="G247">
        <v>92.44</v>
      </c>
      <c r="H247">
        <v>62.92</v>
      </c>
    </row>
    <row r="248" spans="1:8" x14ac:dyDescent="0.25">
      <c r="A248" s="63">
        <f t="shared" si="3"/>
        <v>44077</v>
      </c>
      <c r="B248">
        <v>1029.55</v>
      </c>
      <c r="C248">
        <v>75.75</v>
      </c>
      <c r="D248">
        <v>439.45</v>
      </c>
      <c r="E248">
        <v>254.48</v>
      </c>
      <c r="F248">
        <v>82.5</v>
      </c>
      <c r="G248">
        <v>114.8</v>
      </c>
      <c r="H248">
        <v>62.57</v>
      </c>
    </row>
    <row r="249" spans="1:8" x14ac:dyDescent="0.25">
      <c r="A249" s="63">
        <f t="shared" si="3"/>
        <v>44078</v>
      </c>
      <c r="B249">
        <v>969.67</v>
      </c>
      <c r="C249">
        <v>69.19</v>
      </c>
      <c r="D249">
        <v>402.89</v>
      </c>
      <c r="E249">
        <v>247.3</v>
      </c>
      <c r="F249">
        <v>81.790000000000006</v>
      </c>
      <c r="G249">
        <v>109.3</v>
      </c>
      <c r="H249">
        <v>59.2</v>
      </c>
    </row>
    <row r="250" spans="1:8" x14ac:dyDescent="0.25">
      <c r="A250" s="63">
        <f t="shared" si="3"/>
        <v>44079</v>
      </c>
      <c r="B250">
        <v>932.86</v>
      </c>
      <c r="C250">
        <v>67.56</v>
      </c>
      <c r="D250">
        <v>361.29</v>
      </c>
      <c r="E250">
        <v>262.39</v>
      </c>
      <c r="F250">
        <v>84.17</v>
      </c>
      <c r="G250">
        <v>92.56</v>
      </c>
      <c r="H250">
        <v>64.89</v>
      </c>
    </row>
    <row r="251" spans="1:8" x14ac:dyDescent="0.25">
      <c r="A251" s="63">
        <f t="shared" si="3"/>
        <v>44080</v>
      </c>
      <c r="B251">
        <v>845.52</v>
      </c>
      <c r="C251">
        <v>78.02</v>
      </c>
      <c r="D251">
        <v>263.31</v>
      </c>
      <c r="E251">
        <v>260.57</v>
      </c>
      <c r="F251">
        <v>89.63</v>
      </c>
      <c r="G251">
        <v>91.43</v>
      </c>
      <c r="H251">
        <v>62.56</v>
      </c>
    </row>
    <row r="252" spans="1:8" x14ac:dyDescent="0.25">
      <c r="A252" s="63">
        <f t="shared" si="3"/>
        <v>44081</v>
      </c>
      <c r="B252">
        <v>947.1099999999999</v>
      </c>
      <c r="C252">
        <v>107.71</v>
      </c>
      <c r="D252">
        <v>310.98</v>
      </c>
      <c r="E252">
        <v>269.83999999999997</v>
      </c>
      <c r="F252">
        <v>84.47</v>
      </c>
      <c r="G252">
        <v>108.54</v>
      </c>
      <c r="H252">
        <v>65.569999999999993</v>
      </c>
    </row>
    <row r="253" spans="1:8" x14ac:dyDescent="0.25">
      <c r="A253" s="63">
        <f t="shared" si="3"/>
        <v>44082</v>
      </c>
      <c r="B253">
        <v>1026.9599999999998</v>
      </c>
      <c r="C253">
        <v>101.07</v>
      </c>
      <c r="D253">
        <v>393.57</v>
      </c>
      <c r="E253">
        <v>268.70999999999998</v>
      </c>
      <c r="F253">
        <v>82.76</v>
      </c>
      <c r="G253">
        <v>115.06</v>
      </c>
      <c r="H253">
        <v>65.790000000000006</v>
      </c>
    </row>
    <row r="254" spans="1:8" x14ac:dyDescent="0.25">
      <c r="A254" s="63">
        <f t="shared" si="3"/>
        <v>44083</v>
      </c>
      <c r="B254">
        <v>984.75</v>
      </c>
      <c r="C254">
        <v>82.89</v>
      </c>
      <c r="D254">
        <v>371.63</v>
      </c>
      <c r="E254">
        <v>263.73</v>
      </c>
      <c r="F254">
        <v>91.26</v>
      </c>
      <c r="G254">
        <v>111.12</v>
      </c>
      <c r="H254">
        <v>64.12</v>
      </c>
    </row>
    <row r="255" spans="1:8" x14ac:dyDescent="0.25">
      <c r="A255" s="63">
        <f t="shared" si="3"/>
        <v>44084</v>
      </c>
      <c r="B255">
        <v>997.26999999999987</v>
      </c>
      <c r="C255">
        <v>61.24</v>
      </c>
      <c r="D255">
        <v>405.52</v>
      </c>
      <c r="E255">
        <v>264.06</v>
      </c>
      <c r="F255">
        <v>91.04</v>
      </c>
      <c r="G255">
        <v>109.57</v>
      </c>
      <c r="H255">
        <v>65.84</v>
      </c>
    </row>
    <row r="256" spans="1:8" x14ac:dyDescent="0.25">
      <c r="A256" s="63">
        <f t="shared" si="3"/>
        <v>44085</v>
      </c>
      <c r="B256">
        <v>954.92</v>
      </c>
      <c r="C256">
        <v>45.34</v>
      </c>
      <c r="D256">
        <v>386.62</v>
      </c>
      <c r="E256">
        <v>239.31</v>
      </c>
      <c r="F256">
        <v>105.85</v>
      </c>
      <c r="G256">
        <v>110.53</v>
      </c>
      <c r="H256">
        <v>67.27</v>
      </c>
    </row>
    <row r="257" spans="1:8" x14ac:dyDescent="0.25">
      <c r="A257" s="63">
        <f t="shared" si="3"/>
        <v>44086</v>
      </c>
      <c r="B257">
        <v>694.12009999999998</v>
      </c>
      <c r="C257">
        <v>63.81</v>
      </c>
      <c r="D257">
        <v>350.27</v>
      </c>
      <c r="E257">
        <v>1E-4</v>
      </c>
      <c r="F257">
        <v>106.78</v>
      </c>
      <c r="G257">
        <v>107.73</v>
      </c>
      <c r="H257">
        <v>65.53</v>
      </c>
    </row>
    <row r="258" spans="1:8" x14ac:dyDescent="0.25">
      <c r="A258" s="63">
        <f t="shared" si="3"/>
        <v>44087</v>
      </c>
      <c r="B258">
        <v>806.26</v>
      </c>
      <c r="C258">
        <v>92.25</v>
      </c>
      <c r="D258">
        <v>320.83999999999997</v>
      </c>
      <c r="E258">
        <v>120.49</v>
      </c>
      <c r="F258">
        <v>111.18</v>
      </c>
      <c r="G258">
        <v>96.36</v>
      </c>
      <c r="H258">
        <v>65.14</v>
      </c>
    </row>
    <row r="259" spans="1:8" x14ac:dyDescent="0.25">
      <c r="A259" s="63">
        <f t="shared" si="3"/>
        <v>44088</v>
      </c>
      <c r="B259">
        <v>1015.28</v>
      </c>
      <c r="C259">
        <v>90.91</v>
      </c>
      <c r="D259">
        <v>373.45</v>
      </c>
      <c r="E259">
        <v>275.67</v>
      </c>
      <c r="F259">
        <v>109.71</v>
      </c>
      <c r="G259">
        <v>99.77</v>
      </c>
      <c r="H259">
        <v>65.77</v>
      </c>
    </row>
    <row r="260" spans="1:8" x14ac:dyDescent="0.25">
      <c r="A260" s="63">
        <f t="shared" ref="A260:A323" si="4">A259+1</f>
        <v>44089</v>
      </c>
      <c r="B260">
        <v>934.3599999999999</v>
      </c>
      <c r="C260">
        <v>84.79</v>
      </c>
      <c r="D260">
        <v>374.46</v>
      </c>
      <c r="E260">
        <v>222.15</v>
      </c>
      <c r="F260">
        <v>100.42</v>
      </c>
      <c r="G260">
        <v>86.73</v>
      </c>
      <c r="H260">
        <v>65.81</v>
      </c>
    </row>
    <row r="261" spans="1:8" x14ac:dyDescent="0.25">
      <c r="A261" s="63">
        <f t="shared" si="4"/>
        <v>44090</v>
      </c>
      <c r="B261">
        <v>916.61</v>
      </c>
      <c r="C261">
        <v>66.37</v>
      </c>
      <c r="D261">
        <v>373.96</v>
      </c>
      <c r="E261">
        <v>247.57</v>
      </c>
      <c r="F261">
        <v>86.38</v>
      </c>
      <c r="G261">
        <v>78.37</v>
      </c>
      <c r="H261">
        <v>63.96</v>
      </c>
    </row>
    <row r="262" spans="1:8" x14ac:dyDescent="0.25">
      <c r="A262" s="63">
        <f t="shared" si="4"/>
        <v>44091</v>
      </c>
      <c r="B262">
        <v>875.35</v>
      </c>
      <c r="C262">
        <v>72.28</v>
      </c>
      <c r="D262">
        <v>338.06</v>
      </c>
      <c r="E262">
        <v>243.34</v>
      </c>
      <c r="F262">
        <v>96.41</v>
      </c>
      <c r="G262">
        <v>61.21</v>
      </c>
      <c r="H262">
        <v>64.05</v>
      </c>
    </row>
    <row r="263" spans="1:8" x14ac:dyDescent="0.25">
      <c r="A263" s="63">
        <f t="shared" si="4"/>
        <v>44092</v>
      </c>
      <c r="B263">
        <v>804.5</v>
      </c>
      <c r="C263">
        <v>68.62</v>
      </c>
      <c r="D263">
        <v>292.83999999999997</v>
      </c>
      <c r="E263">
        <v>218.6</v>
      </c>
      <c r="F263">
        <v>94.38</v>
      </c>
      <c r="G263">
        <v>66.08</v>
      </c>
      <c r="H263">
        <v>63.98</v>
      </c>
    </row>
    <row r="264" spans="1:8" x14ac:dyDescent="0.25">
      <c r="A264" s="63">
        <f t="shared" si="4"/>
        <v>44093</v>
      </c>
      <c r="B264">
        <v>453.5401</v>
      </c>
      <c r="C264">
        <v>52.19</v>
      </c>
      <c r="D264">
        <v>133.47</v>
      </c>
      <c r="E264">
        <v>1E-4</v>
      </c>
      <c r="F264">
        <v>98.71</v>
      </c>
      <c r="G264">
        <v>103.74</v>
      </c>
      <c r="H264">
        <v>65.430000000000007</v>
      </c>
    </row>
    <row r="265" spans="1:8" x14ac:dyDescent="0.25">
      <c r="A265" s="63">
        <f t="shared" si="4"/>
        <v>44094</v>
      </c>
      <c r="B265">
        <v>202.24040000000002</v>
      </c>
      <c r="C265">
        <v>1E-4</v>
      </c>
      <c r="D265">
        <v>1E-4</v>
      </c>
      <c r="E265">
        <v>104.8</v>
      </c>
      <c r="F265">
        <v>97.44</v>
      </c>
      <c r="G265">
        <v>1E-4</v>
      </c>
      <c r="H265">
        <v>1E-4</v>
      </c>
    </row>
    <row r="266" spans="1:8" x14ac:dyDescent="0.25">
      <c r="A266" s="63">
        <f t="shared" si="4"/>
        <v>44095</v>
      </c>
      <c r="B266">
        <v>976.65</v>
      </c>
      <c r="C266">
        <v>74.45</v>
      </c>
      <c r="D266">
        <v>377.98</v>
      </c>
      <c r="E266">
        <v>244.29</v>
      </c>
      <c r="F266">
        <v>102.16</v>
      </c>
      <c r="G266">
        <v>111.61</v>
      </c>
      <c r="H266">
        <v>66.16</v>
      </c>
    </row>
    <row r="267" spans="1:8" x14ac:dyDescent="0.25">
      <c r="A267" s="63">
        <f t="shared" si="4"/>
        <v>44096</v>
      </c>
      <c r="B267">
        <v>949.4799999999999</v>
      </c>
      <c r="C267">
        <v>85.15</v>
      </c>
      <c r="D267">
        <v>370.89</v>
      </c>
      <c r="E267">
        <v>257.83999999999997</v>
      </c>
      <c r="F267">
        <v>83.73</v>
      </c>
      <c r="G267">
        <v>89.67</v>
      </c>
      <c r="H267">
        <v>62.2</v>
      </c>
    </row>
    <row r="268" spans="1:8" x14ac:dyDescent="0.25">
      <c r="A268" s="63">
        <f t="shared" si="4"/>
        <v>44097</v>
      </c>
      <c r="B268">
        <v>977.4</v>
      </c>
      <c r="C268">
        <v>97.7</v>
      </c>
      <c r="D268">
        <v>398.2</v>
      </c>
      <c r="E268">
        <v>253.93</v>
      </c>
      <c r="F268">
        <v>86.96</v>
      </c>
      <c r="G268">
        <v>80.040000000000006</v>
      </c>
      <c r="H268">
        <v>60.57</v>
      </c>
    </row>
    <row r="269" spans="1:8" x14ac:dyDescent="0.25">
      <c r="A269" s="63">
        <f t="shared" si="4"/>
        <v>44098</v>
      </c>
      <c r="B269">
        <v>870.55</v>
      </c>
      <c r="C269">
        <v>98.57</v>
      </c>
      <c r="D269">
        <v>335.54</v>
      </c>
      <c r="E269">
        <v>221.1</v>
      </c>
      <c r="F269">
        <v>78.03</v>
      </c>
      <c r="G269">
        <v>75.66</v>
      </c>
      <c r="H269">
        <v>61.65</v>
      </c>
    </row>
    <row r="270" spans="1:8" x14ac:dyDescent="0.25">
      <c r="A270" s="63">
        <f t="shared" si="4"/>
        <v>44099</v>
      </c>
      <c r="B270">
        <v>884.69</v>
      </c>
      <c r="C270">
        <v>77.569999999999993</v>
      </c>
      <c r="D270">
        <v>315.93</v>
      </c>
      <c r="E270">
        <v>253.98</v>
      </c>
      <c r="F270">
        <v>86.46</v>
      </c>
      <c r="G270">
        <v>90.06</v>
      </c>
      <c r="H270">
        <v>60.69</v>
      </c>
    </row>
    <row r="271" spans="1:8" x14ac:dyDescent="0.25">
      <c r="A271" s="63">
        <f t="shared" si="4"/>
        <v>44100</v>
      </c>
      <c r="B271">
        <v>709.27</v>
      </c>
      <c r="C271">
        <v>87.12</v>
      </c>
      <c r="D271">
        <v>173.46</v>
      </c>
      <c r="E271">
        <v>240.36</v>
      </c>
      <c r="F271">
        <v>86.49</v>
      </c>
      <c r="G271">
        <v>72.8</v>
      </c>
      <c r="H271">
        <v>49.04</v>
      </c>
    </row>
    <row r="272" spans="1:8" x14ac:dyDescent="0.25">
      <c r="A272" s="63">
        <f t="shared" si="4"/>
        <v>44101</v>
      </c>
      <c r="B272">
        <v>6.0000000000000006E-4</v>
      </c>
      <c r="C272">
        <v>1E-4</v>
      </c>
      <c r="D272">
        <v>1E-4</v>
      </c>
      <c r="E272">
        <v>1E-4</v>
      </c>
      <c r="F272">
        <v>1E-4</v>
      </c>
      <c r="G272">
        <v>1E-4</v>
      </c>
      <c r="H272">
        <v>1E-4</v>
      </c>
    </row>
    <row r="273" spans="1:8" x14ac:dyDescent="0.25">
      <c r="A273" s="63">
        <f t="shared" si="4"/>
        <v>44102</v>
      </c>
      <c r="B273">
        <v>958.60999999999979</v>
      </c>
      <c r="C273">
        <v>108.97</v>
      </c>
      <c r="D273">
        <v>352.33</v>
      </c>
      <c r="E273">
        <v>252.92</v>
      </c>
      <c r="F273">
        <v>80.41</v>
      </c>
      <c r="G273">
        <v>114.06</v>
      </c>
      <c r="H273">
        <v>49.92</v>
      </c>
    </row>
    <row r="274" spans="1:8" x14ac:dyDescent="0.25">
      <c r="A274" s="63">
        <f t="shared" si="4"/>
        <v>44103</v>
      </c>
      <c r="B274">
        <v>926.65000000000009</v>
      </c>
      <c r="C274">
        <v>82.54</v>
      </c>
      <c r="D274">
        <v>355.43</v>
      </c>
      <c r="E274">
        <v>228.48</v>
      </c>
      <c r="F274">
        <v>90.77</v>
      </c>
      <c r="G274">
        <v>117.58</v>
      </c>
      <c r="H274">
        <v>51.85</v>
      </c>
    </row>
    <row r="275" spans="1:8" x14ac:dyDescent="0.25">
      <c r="A275" s="63">
        <f t="shared" si="4"/>
        <v>44104</v>
      </c>
      <c r="B275">
        <v>905.83</v>
      </c>
      <c r="C275">
        <v>79.17</v>
      </c>
      <c r="D275">
        <v>367.56</v>
      </c>
      <c r="E275">
        <v>216.36</v>
      </c>
      <c r="F275">
        <v>88.07</v>
      </c>
      <c r="G275">
        <v>113.89</v>
      </c>
      <c r="H275">
        <v>40.78</v>
      </c>
    </row>
    <row r="276" spans="1:8" x14ac:dyDescent="0.25">
      <c r="A276" s="63">
        <f t="shared" si="4"/>
        <v>44105</v>
      </c>
      <c r="B276">
        <v>892.12000000000012</v>
      </c>
      <c r="C276">
        <v>79.89</v>
      </c>
      <c r="D276">
        <v>357.72</v>
      </c>
      <c r="E276">
        <v>227.38</v>
      </c>
      <c r="F276">
        <v>84.23</v>
      </c>
      <c r="G276">
        <v>102.71</v>
      </c>
      <c r="H276">
        <v>40.19</v>
      </c>
    </row>
    <row r="277" spans="1:8" x14ac:dyDescent="0.25">
      <c r="A277" s="63">
        <f t="shared" si="4"/>
        <v>44106</v>
      </c>
      <c r="B277">
        <v>874.13000000000011</v>
      </c>
      <c r="C277">
        <v>63.78</v>
      </c>
      <c r="D277">
        <v>335.04</v>
      </c>
      <c r="E277">
        <v>235.8</v>
      </c>
      <c r="F277">
        <v>94.13</v>
      </c>
      <c r="G277">
        <v>93.15</v>
      </c>
      <c r="H277">
        <v>52.23</v>
      </c>
    </row>
    <row r="278" spans="1:8" x14ac:dyDescent="0.25">
      <c r="A278" s="63">
        <f t="shared" si="4"/>
        <v>44107</v>
      </c>
      <c r="B278">
        <v>426.99001000000004</v>
      </c>
      <c r="C278">
        <v>86.44</v>
      </c>
      <c r="D278">
        <v>80.540000000000006</v>
      </c>
      <c r="E278">
        <v>109.34</v>
      </c>
      <c r="F278">
        <v>87.75</v>
      </c>
      <c r="G278">
        <v>62.92</v>
      </c>
      <c r="H278">
        <v>1.0000000000000001E-5</v>
      </c>
    </row>
    <row r="279" spans="1:8" x14ac:dyDescent="0.25">
      <c r="A279" s="63">
        <f t="shared" si="4"/>
        <v>44108</v>
      </c>
      <c r="B279">
        <v>6.0000000000000006E-4</v>
      </c>
      <c r="C279">
        <v>1E-4</v>
      </c>
      <c r="D279">
        <v>1E-4</v>
      </c>
      <c r="E279">
        <v>1E-4</v>
      </c>
      <c r="F279">
        <v>1E-4</v>
      </c>
      <c r="G279">
        <v>1E-4</v>
      </c>
      <c r="H279">
        <v>1E-4</v>
      </c>
    </row>
    <row r="280" spans="1:8" x14ac:dyDescent="0.25">
      <c r="A280" s="63">
        <f t="shared" si="4"/>
        <v>44109</v>
      </c>
      <c r="B280">
        <v>1015.2099999999999</v>
      </c>
      <c r="C280">
        <v>120.96</v>
      </c>
      <c r="D280">
        <v>412.2</v>
      </c>
      <c r="E280">
        <v>247.18</v>
      </c>
      <c r="F280">
        <v>87.42</v>
      </c>
      <c r="G280">
        <v>98.21</v>
      </c>
      <c r="H280">
        <v>49.24</v>
      </c>
    </row>
    <row r="281" spans="1:8" x14ac:dyDescent="0.25">
      <c r="A281" s="63">
        <f t="shared" si="4"/>
        <v>44110</v>
      </c>
      <c r="B281">
        <v>882.43999999999994</v>
      </c>
      <c r="C281">
        <v>98.32</v>
      </c>
      <c r="D281">
        <v>348.53</v>
      </c>
      <c r="E281">
        <v>200.08</v>
      </c>
      <c r="F281">
        <v>88.26</v>
      </c>
      <c r="G281">
        <v>97.41</v>
      </c>
      <c r="H281">
        <v>49.84</v>
      </c>
    </row>
    <row r="282" spans="1:8" x14ac:dyDescent="0.25">
      <c r="A282" s="63">
        <f t="shared" si="4"/>
        <v>44111</v>
      </c>
      <c r="B282">
        <v>834.51</v>
      </c>
      <c r="C282">
        <v>78.59</v>
      </c>
      <c r="D282">
        <v>303</v>
      </c>
      <c r="E282">
        <v>225.23</v>
      </c>
      <c r="F282">
        <v>83.28</v>
      </c>
      <c r="G282">
        <v>94.8</v>
      </c>
      <c r="H282">
        <v>49.61</v>
      </c>
    </row>
    <row r="283" spans="1:8" x14ac:dyDescent="0.25">
      <c r="A283" s="63">
        <f t="shared" si="4"/>
        <v>44112</v>
      </c>
      <c r="B283">
        <v>949.08000000000015</v>
      </c>
      <c r="C283">
        <v>86.69</v>
      </c>
      <c r="D283">
        <v>363.78</v>
      </c>
      <c r="E283">
        <v>259.97000000000003</v>
      </c>
      <c r="F283">
        <v>83.73</v>
      </c>
      <c r="G283">
        <v>104.43</v>
      </c>
      <c r="H283">
        <v>50.48</v>
      </c>
    </row>
    <row r="284" spans="1:8" x14ac:dyDescent="0.25">
      <c r="A284" s="63">
        <f t="shared" si="4"/>
        <v>44113</v>
      </c>
      <c r="B284">
        <v>849.16000000000008</v>
      </c>
      <c r="C284">
        <v>67.53</v>
      </c>
      <c r="D284">
        <v>339.21</v>
      </c>
      <c r="E284">
        <v>242.75</v>
      </c>
      <c r="F284">
        <v>73.86</v>
      </c>
      <c r="G284">
        <v>76.06</v>
      </c>
      <c r="H284">
        <v>49.75</v>
      </c>
    </row>
    <row r="285" spans="1:8" x14ac:dyDescent="0.25">
      <c r="A285" s="63">
        <f t="shared" si="4"/>
        <v>44114</v>
      </c>
      <c r="B285">
        <v>468.63000999999991</v>
      </c>
      <c r="C285">
        <v>89.44</v>
      </c>
      <c r="D285">
        <v>123.21</v>
      </c>
      <c r="E285">
        <v>100.01</v>
      </c>
      <c r="F285">
        <v>74.900000000000006</v>
      </c>
      <c r="G285">
        <v>81.069999999999993</v>
      </c>
      <c r="H285">
        <v>1.0000000000000001E-5</v>
      </c>
    </row>
    <row r="286" spans="1:8" x14ac:dyDescent="0.25">
      <c r="A286" s="63">
        <f t="shared" si="4"/>
        <v>44115</v>
      </c>
      <c r="B286">
        <v>6.0000000000000006E-4</v>
      </c>
      <c r="C286">
        <v>1E-4</v>
      </c>
      <c r="D286">
        <v>1E-4</v>
      </c>
      <c r="E286">
        <v>1E-4</v>
      </c>
      <c r="F286">
        <v>1E-4</v>
      </c>
      <c r="G286">
        <v>1E-4</v>
      </c>
      <c r="H286">
        <v>1E-4</v>
      </c>
    </row>
    <row r="287" spans="1:8" x14ac:dyDescent="0.25">
      <c r="A287" s="63">
        <f t="shared" si="4"/>
        <v>44116</v>
      </c>
      <c r="B287">
        <v>801.80000000000007</v>
      </c>
      <c r="C287">
        <v>107.66</v>
      </c>
      <c r="D287">
        <v>246.35</v>
      </c>
      <c r="E287">
        <v>228.18</v>
      </c>
      <c r="F287">
        <v>78.55</v>
      </c>
      <c r="G287">
        <v>91.24</v>
      </c>
      <c r="H287">
        <v>49.82</v>
      </c>
    </row>
    <row r="288" spans="1:8" x14ac:dyDescent="0.25">
      <c r="A288" s="63">
        <f t="shared" si="4"/>
        <v>44117</v>
      </c>
      <c r="B288">
        <v>706.96000000000015</v>
      </c>
      <c r="C288">
        <v>76.5</v>
      </c>
      <c r="D288">
        <v>201.85</v>
      </c>
      <c r="E288">
        <v>211.8</v>
      </c>
      <c r="F288">
        <v>61.88</v>
      </c>
      <c r="G288">
        <v>103.6</v>
      </c>
      <c r="H288">
        <v>51.33</v>
      </c>
    </row>
    <row r="289" spans="1:8" x14ac:dyDescent="0.25">
      <c r="A289" s="63">
        <f t="shared" si="4"/>
        <v>44118</v>
      </c>
      <c r="B289">
        <v>679.25</v>
      </c>
      <c r="C289">
        <v>70.17</v>
      </c>
      <c r="D289">
        <v>186.94</v>
      </c>
      <c r="E289">
        <v>206.94</v>
      </c>
      <c r="F289">
        <v>62.85</v>
      </c>
      <c r="G289">
        <v>102.85</v>
      </c>
      <c r="H289">
        <v>49.5</v>
      </c>
    </row>
    <row r="290" spans="1:8" x14ac:dyDescent="0.25">
      <c r="A290" s="63">
        <f t="shared" si="4"/>
        <v>44119</v>
      </c>
      <c r="B290">
        <v>802.21000000000015</v>
      </c>
      <c r="C290">
        <v>58.93</v>
      </c>
      <c r="D290">
        <v>307.5</v>
      </c>
      <c r="E290">
        <v>221.54</v>
      </c>
      <c r="F290">
        <v>62.97</v>
      </c>
      <c r="G290">
        <v>98.94</v>
      </c>
      <c r="H290">
        <v>52.33</v>
      </c>
    </row>
    <row r="291" spans="1:8" x14ac:dyDescent="0.25">
      <c r="A291" s="63">
        <f t="shared" si="4"/>
        <v>44120</v>
      </c>
      <c r="B291">
        <v>532.58000000000004</v>
      </c>
      <c r="C291">
        <v>72.349999999999994</v>
      </c>
      <c r="D291">
        <v>122.76</v>
      </c>
      <c r="E291">
        <v>104.87</v>
      </c>
      <c r="F291">
        <v>91.15</v>
      </c>
      <c r="G291">
        <v>91.09</v>
      </c>
      <c r="H291">
        <v>50.36</v>
      </c>
    </row>
    <row r="292" spans="1:8" x14ac:dyDescent="0.25">
      <c r="A292" s="63">
        <f t="shared" si="4"/>
        <v>44121</v>
      </c>
      <c r="B292">
        <v>6.0000000000000006E-4</v>
      </c>
      <c r="C292">
        <v>1E-4</v>
      </c>
      <c r="D292">
        <v>1E-4</v>
      </c>
      <c r="E292">
        <v>1E-4</v>
      </c>
      <c r="F292">
        <v>1E-4</v>
      </c>
      <c r="G292">
        <v>1E-4</v>
      </c>
      <c r="H292">
        <v>1E-4</v>
      </c>
    </row>
    <row r="293" spans="1:8" x14ac:dyDescent="0.25">
      <c r="A293" s="63">
        <f t="shared" si="4"/>
        <v>44122</v>
      </c>
      <c r="B293">
        <v>6.0000000000000006E-4</v>
      </c>
      <c r="C293">
        <v>1E-4</v>
      </c>
      <c r="D293">
        <v>1E-4</v>
      </c>
      <c r="E293">
        <v>1E-4</v>
      </c>
      <c r="F293">
        <v>1E-4</v>
      </c>
      <c r="G293">
        <v>1E-4</v>
      </c>
      <c r="H293">
        <v>1E-4</v>
      </c>
    </row>
    <row r="294" spans="1:8" x14ac:dyDescent="0.25">
      <c r="A294" s="63">
        <f t="shared" si="4"/>
        <v>44123</v>
      </c>
      <c r="B294">
        <v>948.88</v>
      </c>
      <c r="C294">
        <v>95.52</v>
      </c>
      <c r="D294">
        <v>369.03</v>
      </c>
      <c r="E294">
        <v>239.18</v>
      </c>
      <c r="F294">
        <v>84.76</v>
      </c>
      <c r="G294">
        <v>110.06</v>
      </c>
      <c r="H294">
        <v>50.33</v>
      </c>
    </row>
    <row r="295" spans="1:8" x14ac:dyDescent="0.25">
      <c r="A295" s="63">
        <f t="shared" si="4"/>
        <v>44124</v>
      </c>
      <c r="B295">
        <v>979.06</v>
      </c>
      <c r="C295">
        <v>105.37</v>
      </c>
      <c r="D295">
        <v>390.38</v>
      </c>
      <c r="E295">
        <v>241.55</v>
      </c>
      <c r="F295">
        <v>89.52</v>
      </c>
      <c r="G295">
        <v>107.22</v>
      </c>
      <c r="H295">
        <v>45.02</v>
      </c>
    </row>
    <row r="296" spans="1:8" x14ac:dyDescent="0.25">
      <c r="A296" s="63">
        <f t="shared" si="4"/>
        <v>44125</v>
      </c>
      <c r="B296">
        <v>935.6</v>
      </c>
      <c r="C296">
        <v>74.28</v>
      </c>
      <c r="D296">
        <v>382.74</v>
      </c>
      <c r="E296">
        <v>240.88</v>
      </c>
      <c r="F296">
        <v>86.25</v>
      </c>
      <c r="G296">
        <v>105.71</v>
      </c>
      <c r="H296">
        <v>45.74</v>
      </c>
    </row>
    <row r="297" spans="1:8" x14ac:dyDescent="0.25">
      <c r="A297" s="63">
        <f t="shared" si="4"/>
        <v>44126</v>
      </c>
      <c r="B297">
        <v>893.28</v>
      </c>
      <c r="C297">
        <v>75.010000000000005</v>
      </c>
      <c r="D297">
        <v>340.06</v>
      </c>
      <c r="E297">
        <v>249.08</v>
      </c>
      <c r="F297">
        <v>82.65</v>
      </c>
      <c r="G297">
        <v>97.53</v>
      </c>
      <c r="H297">
        <v>48.95</v>
      </c>
    </row>
    <row r="298" spans="1:8" x14ac:dyDescent="0.25">
      <c r="A298" s="63">
        <f t="shared" si="4"/>
        <v>44127</v>
      </c>
      <c r="B298">
        <v>816.6400000000001</v>
      </c>
      <c r="C298">
        <v>76.77</v>
      </c>
      <c r="D298">
        <v>298.17</v>
      </c>
      <c r="E298">
        <v>200.4</v>
      </c>
      <c r="F298">
        <v>93.24</v>
      </c>
      <c r="G298">
        <v>97.5</v>
      </c>
      <c r="H298">
        <v>50.56</v>
      </c>
    </row>
    <row r="299" spans="1:8" x14ac:dyDescent="0.25">
      <c r="A299" s="63">
        <f t="shared" si="4"/>
        <v>44128</v>
      </c>
      <c r="B299">
        <v>139.21002000000001</v>
      </c>
      <c r="C299">
        <v>41.07</v>
      </c>
      <c r="D299">
        <v>1.0000000000000001E-5</v>
      </c>
      <c r="E299">
        <v>2.04</v>
      </c>
      <c r="F299">
        <v>55.64</v>
      </c>
      <c r="G299">
        <v>40.46</v>
      </c>
      <c r="H299">
        <v>1.0000000000000001E-5</v>
      </c>
    </row>
    <row r="300" spans="1:8" x14ac:dyDescent="0.25">
      <c r="A300" s="63">
        <f t="shared" si="4"/>
        <v>44129</v>
      </c>
      <c r="B300">
        <v>6.0000000000000006E-4</v>
      </c>
      <c r="C300">
        <v>1E-4</v>
      </c>
      <c r="D300">
        <v>1E-4</v>
      </c>
      <c r="E300">
        <v>1E-4</v>
      </c>
      <c r="F300">
        <v>1E-4</v>
      </c>
      <c r="G300">
        <v>1E-4</v>
      </c>
      <c r="H300">
        <v>1E-4</v>
      </c>
    </row>
    <row r="301" spans="1:8" x14ac:dyDescent="0.25">
      <c r="A301" s="63">
        <f t="shared" si="4"/>
        <v>44130</v>
      </c>
      <c r="B301">
        <v>836.21</v>
      </c>
      <c r="C301">
        <v>89.63</v>
      </c>
      <c r="D301">
        <v>279.33999999999997</v>
      </c>
      <c r="E301">
        <v>234.75</v>
      </c>
      <c r="F301">
        <v>79.86</v>
      </c>
      <c r="G301">
        <v>104.99</v>
      </c>
      <c r="H301">
        <v>47.64</v>
      </c>
    </row>
    <row r="302" spans="1:8" x14ac:dyDescent="0.25">
      <c r="A302" s="63">
        <f t="shared" si="4"/>
        <v>44131</v>
      </c>
      <c r="B302">
        <v>515.1</v>
      </c>
      <c r="C302">
        <v>60.86</v>
      </c>
      <c r="D302">
        <v>184.28</v>
      </c>
      <c r="E302">
        <v>125.86</v>
      </c>
      <c r="F302">
        <v>50.06</v>
      </c>
      <c r="G302">
        <v>45.97</v>
      </c>
      <c r="H302">
        <v>48.07</v>
      </c>
    </row>
    <row r="303" spans="1:8" x14ac:dyDescent="0.25">
      <c r="A303" s="63">
        <f t="shared" si="4"/>
        <v>44132</v>
      </c>
      <c r="B303">
        <v>373.62</v>
      </c>
      <c r="C303">
        <v>39.39</v>
      </c>
      <c r="D303">
        <v>77.86</v>
      </c>
      <c r="E303">
        <v>133.62</v>
      </c>
      <c r="F303">
        <v>39.19</v>
      </c>
      <c r="G303">
        <v>49.83</v>
      </c>
      <c r="H303">
        <v>33.729999999999997</v>
      </c>
    </row>
    <row r="304" spans="1:8" x14ac:dyDescent="0.25">
      <c r="A304" s="63">
        <f t="shared" si="4"/>
        <v>44133</v>
      </c>
      <c r="B304">
        <v>583.61000999999999</v>
      </c>
      <c r="C304">
        <v>47.53</v>
      </c>
      <c r="D304">
        <v>264.98</v>
      </c>
      <c r="E304">
        <v>196.31</v>
      </c>
      <c r="F304">
        <v>28.76</v>
      </c>
      <c r="G304">
        <v>46.03</v>
      </c>
      <c r="H304">
        <v>1.0000000000000001E-5</v>
      </c>
    </row>
    <row r="305" spans="1:8" x14ac:dyDescent="0.25">
      <c r="A305" s="63">
        <f t="shared" si="4"/>
        <v>44134</v>
      </c>
      <c r="B305">
        <v>240.76</v>
      </c>
      <c r="C305">
        <v>52.83</v>
      </c>
      <c r="D305">
        <v>9.5399999999999991</v>
      </c>
      <c r="E305">
        <v>1.36</v>
      </c>
      <c r="F305">
        <v>73.38</v>
      </c>
      <c r="G305">
        <v>51.06</v>
      </c>
      <c r="H305">
        <v>52.59</v>
      </c>
    </row>
    <row r="306" spans="1:8" x14ac:dyDescent="0.25">
      <c r="A306" s="63">
        <f t="shared" si="4"/>
        <v>44135</v>
      </c>
      <c r="B306">
        <v>6.0000000000000006E-4</v>
      </c>
      <c r="C306">
        <v>1E-4</v>
      </c>
      <c r="D306">
        <v>1E-4</v>
      </c>
      <c r="E306">
        <v>1E-4</v>
      </c>
      <c r="F306">
        <v>1E-4</v>
      </c>
      <c r="G306">
        <v>1E-4</v>
      </c>
      <c r="H306">
        <v>1E-4</v>
      </c>
    </row>
    <row r="307" spans="1:8" x14ac:dyDescent="0.25">
      <c r="A307" s="63">
        <f t="shared" si="4"/>
        <v>44136</v>
      </c>
      <c r="B307">
        <v>6.0000000000000002E-5</v>
      </c>
      <c r="C307">
        <v>1.0000000000000001E-5</v>
      </c>
      <c r="D307">
        <v>1.0000000000000001E-5</v>
      </c>
      <c r="E307">
        <v>1.0000000000000001E-5</v>
      </c>
      <c r="F307">
        <v>1.0000000000000001E-5</v>
      </c>
      <c r="G307">
        <v>1.0000000000000001E-5</v>
      </c>
      <c r="H307">
        <v>1.0000000000000001E-5</v>
      </c>
    </row>
    <row r="308" spans="1:8" x14ac:dyDescent="0.25">
      <c r="A308" s="63">
        <f t="shared" si="4"/>
        <v>44137</v>
      </c>
      <c r="B308">
        <v>604.01</v>
      </c>
      <c r="C308">
        <v>50.74</v>
      </c>
      <c r="D308">
        <v>254.52</v>
      </c>
      <c r="E308">
        <v>91.02</v>
      </c>
      <c r="F308">
        <v>76.099999999999994</v>
      </c>
      <c r="G308">
        <v>77.95</v>
      </c>
      <c r="H308">
        <v>53.68</v>
      </c>
    </row>
    <row r="309" spans="1:8" x14ac:dyDescent="0.25">
      <c r="A309" s="63">
        <f t="shared" si="4"/>
        <v>44138</v>
      </c>
      <c r="B309">
        <v>450.3</v>
      </c>
      <c r="C309">
        <v>69.61</v>
      </c>
      <c r="D309">
        <v>136.63999999999999</v>
      </c>
      <c r="E309">
        <v>87.04</v>
      </c>
      <c r="F309">
        <v>49.93</v>
      </c>
      <c r="G309">
        <v>62.5</v>
      </c>
      <c r="H309">
        <v>44.58</v>
      </c>
    </row>
    <row r="310" spans="1:8" x14ac:dyDescent="0.25">
      <c r="A310" s="63">
        <f t="shared" si="4"/>
        <v>44139</v>
      </c>
      <c r="B310">
        <v>6.0000000000000002E-5</v>
      </c>
      <c r="C310">
        <v>1.0000000000000001E-5</v>
      </c>
      <c r="D310">
        <v>1.0000000000000001E-5</v>
      </c>
      <c r="E310">
        <v>1.0000000000000001E-5</v>
      </c>
      <c r="F310">
        <v>1.0000000000000001E-5</v>
      </c>
      <c r="G310">
        <v>1.0000000000000001E-5</v>
      </c>
      <c r="H310">
        <v>1.0000000000000001E-5</v>
      </c>
    </row>
    <row r="311" spans="1:8" x14ac:dyDescent="0.25">
      <c r="A311" s="63">
        <f t="shared" si="4"/>
        <v>44140</v>
      </c>
      <c r="B311">
        <v>598.64</v>
      </c>
      <c r="C311">
        <v>42.02</v>
      </c>
      <c r="D311">
        <v>316.27999999999997</v>
      </c>
      <c r="E311">
        <v>81.16</v>
      </c>
      <c r="F311">
        <v>49.35</v>
      </c>
      <c r="G311">
        <v>64.849999999999994</v>
      </c>
      <c r="H311">
        <v>44.98</v>
      </c>
    </row>
    <row r="312" spans="1:8" x14ac:dyDescent="0.25">
      <c r="A312" s="63">
        <f t="shared" si="4"/>
        <v>44141</v>
      </c>
      <c r="B312">
        <v>460.14</v>
      </c>
      <c r="C312">
        <v>70.23</v>
      </c>
      <c r="D312">
        <v>129.07</v>
      </c>
      <c r="E312">
        <v>75.37</v>
      </c>
      <c r="F312">
        <v>63.75</v>
      </c>
      <c r="G312">
        <v>67.75</v>
      </c>
      <c r="H312">
        <v>53.97</v>
      </c>
    </row>
    <row r="313" spans="1:8" x14ac:dyDescent="0.25">
      <c r="A313" s="63">
        <f t="shared" si="4"/>
        <v>44142</v>
      </c>
      <c r="B313">
        <v>6.0000000000000002E-5</v>
      </c>
      <c r="C313">
        <v>1.0000000000000001E-5</v>
      </c>
      <c r="D313">
        <v>1.0000000000000001E-5</v>
      </c>
      <c r="E313">
        <v>1.0000000000000001E-5</v>
      </c>
      <c r="F313">
        <v>1.0000000000000001E-5</v>
      </c>
      <c r="G313">
        <v>1.0000000000000001E-5</v>
      </c>
      <c r="H313">
        <v>1.0000000000000001E-5</v>
      </c>
    </row>
    <row r="314" spans="1:8" x14ac:dyDescent="0.25">
      <c r="A314" s="63">
        <f t="shared" si="4"/>
        <v>44143</v>
      </c>
      <c r="B314">
        <v>6.0000000000000002E-5</v>
      </c>
      <c r="C314">
        <v>1.0000000000000001E-5</v>
      </c>
      <c r="D314">
        <v>1.0000000000000001E-5</v>
      </c>
      <c r="E314">
        <v>1.0000000000000001E-5</v>
      </c>
      <c r="F314">
        <v>1.0000000000000001E-5</v>
      </c>
      <c r="G314">
        <v>1.0000000000000001E-5</v>
      </c>
      <c r="H314">
        <v>1.0000000000000001E-5</v>
      </c>
    </row>
    <row r="315" spans="1:8" x14ac:dyDescent="0.25">
      <c r="A315" s="63">
        <f t="shared" si="4"/>
        <v>44144</v>
      </c>
      <c r="B315">
        <v>810.45999999999992</v>
      </c>
      <c r="C315">
        <v>83.84</v>
      </c>
      <c r="D315">
        <v>345.61</v>
      </c>
      <c r="E315">
        <v>163.52000000000001</v>
      </c>
      <c r="F315">
        <v>63.16</v>
      </c>
      <c r="G315">
        <v>97.78</v>
      </c>
      <c r="H315">
        <v>56.55</v>
      </c>
    </row>
    <row r="316" spans="1:8" x14ac:dyDescent="0.25">
      <c r="A316" s="63">
        <f t="shared" si="4"/>
        <v>44145</v>
      </c>
      <c r="B316">
        <v>694.61999999999989</v>
      </c>
      <c r="C316">
        <v>57.22</v>
      </c>
      <c r="D316">
        <v>272.08999999999997</v>
      </c>
      <c r="E316">
        <v>158.01</v>
      </c>
      <c r="F316">
        <v>65.790000000000006</v>
      </c>
      <c r="G316">
        <v>81.92</v>
      </c>
      <c r="H316">
        <v>59.59</v>
      </c>
    </row>
    <row r="317" spans="1:8" x14ac:dyDescent="0.25">
      <c r="A317" s="63">
        <f t="shared" si="4"/>
        <v>44146</v>
      </c>
      <c r="B317">
        <v>710.1</v>
      </c>
      <c r="C317">
        <v>53.38</v>
      </c>
      <c r="D317">
        <v>277.73</v>
      </c>
      <c r="E317">
        <v>185.61</v>
      </c>
      <c r="F317">
        <v>63.83</v>
      </c>
      <c r="G317">
        <v>72.290000000000006</v>
      </c>
      <c r="H317">
        <v>57.26</v>
      </c>
    </row>
    <row r="318" spans="1:8" x14ac:dyDescent="0.25">
      <c r="A318" s="63">
        <f t="shared" si="4"/>
        <v>44147</v>
      </c>
      <c r="B318">
        <v>709.14</v>
      </c>
      <c r="C318">
        <v>43.57</v>
      </c>
      <c r="D318">
        <v>286.22000000000003</v>
      </c>
      <c r="E318">
        <v>175.76</v>
      </c>
      <c r="F318">
        <v>82.88</v>
      </c>
      <c r="G318">
        <v>60.79</v>
      </c>
      <c r="H318">
        <v>59.92</v>
      </c>
    </row>
    <row r="319" spans="1:8" x14ac:dyDescent="0.25">
      <c r="A319" s="63">
        <f t="shared" si="4"/>
        <v>44148</v>
      </c>
      <c r="B319">
        <v>635.30999999999995</v>
      </c>
      <c r="C319">
        <v>68.22</v>
      </c>
      <c r="D319">
        <v>267.73</v>
      </c>
      <c r="E319">
        <v>101.75</v>
      </c>
      <c r="F319">
        <v>99.55</v>
      </c>
      <c r="G319">
        <v>38.909999999999997</v>
      </c>
      <c r="H319">
        <v>59.15</v>
      </c>
    </row>
    <row r="320" spans="1:8" x14ac:dyDescent="0.25">
      <c r="A320" s="63">
        <f t="shared" si="4"/>
        <v>44149</v>
      </c>
      <c r="B320">
        <v>6.0000000000000006E-4</v>
      </c>
      <c r="C320">
        <v>1E-4</v>
      </c>
      <c r="D320">
        <v>1E-4</v>
      </c>
      <c r="E320">
        <v>1E-4</v>
      </c>
      <c r="F320">
        <v>1E-4</v>
      </c>
      <c r="G320">
        <v>1E-4</v>
      </c>
      <c r="H320">
        <v>1E-4</v>
      </c>
    </row>
    <row r="321" spans="1:8" x14ac:dyDescent="0.25">
      <c r="A321" s="63">
        <f t="shared" si="4"/>
        <v>44150</v>
      </c>
      <c r="B321">
        <v>320.04199999999997</v>
      </c>
      <c r="C321">
        <v>1E-3</v>
      </c>
      <c r="D321">
        <v>1E-3</v>
      </c>
      <c r="E321">
        <v>93.01</v>
      </c>
      <c r="F321">
        <v>111.83</v>
      </c>
      <c r="G321">
        <v>56.18</v>
      </c>
      <c r="H321">
        <v>59.02</v>
      </c>
    </row>
    <row r="322" spans="1:8" x14ac:dyDescent="0.25">
      <c r="A322" s="63">
        <f t="shared" si="4"/>
        <v>44151</v>
      </c>
      <c r="B322">
        <v>779.14</v>
      </c>
      <c r="C322">
        <v>87.16</v>
      </c>
      <c r="D322">
        <v>278.99</v>
      </c>
      <c r="E322">
        <v>167.39</v>
      </c>
      <c r="F322">
        <v>110.74</v>
      </c>
      <c r="G322">
        <v>70.52</v>
      </c>
      <c r="H322">
        <v>64.34</v>
      </c>
    </row>
    <row r="323" spans="1:8" x14ac:dyDescent="0.25">
      <c r="A323" s="63">
        <f t="shared" si="4"/>
        <v>44152</v>
      </c>
      <c r="B323">
        <v>440.97</v>
      </c>
      <c r="C323">
        <v>49</v>
      </c>
      <c r="D323">
        <v>71.989999999999995</v>
      </c>
      <c r="E323">
        <v>106.92</v>
      </c>
      <c r="F323">
        <v>95.68</v>
      </c>
      <c r="G323">
        <v>56.91</v>
      </c>
      <c r="H323">
        <v>60.47</v>
      </c>
    </row>
    <row r="324" spans="1:8" x14ac:dyDescent="0.25">
      <c r="A324" s="63">
        <f t="shared" ref="A324:A367" si="5">A323+1</f>
        <v>44153</v>
      </c>
      <c r="B324">
        <v>447.69000000000005</v>
      </c>
      <c r="C324">
        <v>31.36</v>
      </c>
      <c r="D324">
        <v>97.57</v>
      </c>
      <c r="E324">
        <v>103.19</v>
      </c>
      <c r="F324">
        <v>101.8</v>
      </c>
      <c r="G324">
        <v>47.66</v>
      </c>
      <c r="H324">
        <v>66.11</v>
      </c>
    </row>
    <row r="325" spans="1:8" x14ac:dyDescent="0.25">
      <c r="A325" s="63">
        <f t="shared" si="5"/>
        <v>44154</v>
      </c>
      <c r="B325">
        <v>324.14000000000004</v>
      </c>
      <c r="C325">
        <v>15.33</v>
      </c>
      <c r="D325">
        <v>74.59</v>
      </c>
      <c r="E325">
        <v>38.26</v>
      </c>
      <c r="F325">
        <v>85.03</v>
      </c>
      <c r="G325">
        <v>46.38</v>
      </c>
      <c r="H325">
        <v>64.55</v>
      </c>
    </row>
    <row r="326" spans="1:8" x14ac:dyDescent="0.25">
      <c r="A326" s="63">
        <f t="shared" si="5"/>
        <v>44155</v>
      </c>
      <c r="B326">
        <v>303.57001000000002</v>
      </c>
      <c r="C326">
        <v>20.93</v>
      </c>
      <c r="D326">
        <v>1.0000000000000001E-5</v>
      </c>
      <c r="E326">
        <v>66.38</v>
      </c>
      <c r="F326">
        <v>98.83</v>
      </c>
      <c r="G326">
        <v>48.46</v>
      </c>
      <c r="H326">
        <v>68.97</v>
      </c>
    </row>
    <row r="327" spans="1:8" x14ac:dyDescent="0.25">
      <c r="A327" s="63">
        <f t="shared" si="5"/>
        <v>44156</v>
      </c>
      <c r="B327">
        <v>6.0000000000000002E-5</v>
      </c>
      <c r="C327">
        <v>1.0000000000000001E-5</v>
      </c>
      <c r="D327">
        <v>1.0000000000000001E-5</v>
      </c>
      <c r="E327">
        <v>1.0000000000000001E-5</v>
      </c>
      <c r="F327">
        <v>1.0000000000000001E-5</v>
      </c>
      <c r="G327">
        <v>1.0000000000000001E-5</v>
      </c>
      <c r="H327">
        <v>1.0000000000000001E-5</v>
      </c>
    </row>
    <row r="328" spans="1:8" x14ac:dyDescent="0.25">
      <c r="A328" s="63">
        <f t="shared" si="5"/>
        <v>44157</v>
      </c>
      <c r="B328">
        <v>240.41002999999998</v>
      </c>
      <c r="C328">
        <v>1.0000000000000001E-5</v>
      </c>
      <c r="D328">
        <v>1.0000000000000001E-5</v>
      </c>
      <c r="E328">
        <v>1.0000000000000001E-5</v>
      </c>
      <c r="F328">
        <v>103.27</v>
      </c>
      <c r="G328">
        <v>68.790000000000006</v>
      </c>
      <c r="H328">
        <v>68.349999999999994</v>
      </c>
    </row>
    <row r="329" spans="1:8" x14ac:dyDescent="0.25">
      <c r="A329" s="63">
        <f t="shared" si="5"/>
        <v>44158</v>
      </c>
      <c r="B329">
        <v>825.62</v>
      </c>
      <c r="C329">
        <v>60.05</v>
      </c>
      <c r="D329">
        <v>348.32</v>
      </c>
      <c r="E329">
        <v>151.47999999999999</v>
      </c>
      <c r="F329">
        <v>103.74</v>
      </c>
      <c r="G329">
        <v>94.38</v>
      </c>
      <c r="H329">
        <v>67.650000000000006</v>
      </c>
    </row>
    <row r="330" spans="1:8" x14ac:dyDescent="0.25">
      <c r="A330" s="63">
        <f t="shared" si="5"/>
        <v>44159</v>
      </c>
      <c r="B330">
        <v>808.6099999999999</v>
      </c>
      <c r="C330">
        <v>76.33</v>
      </c>
      <c r="D330">
        <v>318.75</v>
      </c>
      <c r="E330">
        <v>170.54</v>
      </c>
      <c r="F330">
        <v>102.68</v>
      </c>
      <c r="G330">
        <v>79.55</v>
      </c>
      <c r="H330">
        <v>60.76</v>
      </c>
    </row>
    <row r="331" spans="1:8" x14ac:dyDescent="0.25">
      <c r="A331" s="63">
        <f t="shared" si="5"/>
        <v>44160</v>
      </c>
      <c r="B331">
        <v>830.19</v>
      </c>
      <c r="C331">
        <v>63.27</v>
      </c>
      <c r="D331">
        <v>345.27</v>
      </c>
      <c r="E331">
        <v>190.44</v>
      </c>
      <c r="F331">
        <v>102.5</v>
      </c>
      <c r="G331">
        <v>66.89</v>
      </c>
      <c r="H331">
        <v>61.82</v>
      </c>
    </row>
    <row r="332" spans="1:8" x14ac:dyDescent="0.25">
      <c r="A332" s="63">
        <f t="shared" si="5"/>
        <v>44161</v>
      </c>
      <c r="B332">
        <v>705.92000000000007</v>
      </c>
      <c r="C332">
        <v>53.06</v>
      </c>
      <c r="D332">
        <v>285.95</v>
      </c>
      <c r="E332">
        <v>163.71</v>
      </c>
      <c r="F332">
        <v>91.98</v>
      </c>
      <c r="G332">
        <v>52.94</v>
      </c>
      <c r="H332">
        <v>58.28</v>
      </c>
    </row>
    <row r="333" spans="1:8" x14ac:dyDescent="0.25">
      <c r="A333" s="63">
        <f t="shared" si="5"/>
        <v>44162</v>
      </c>
      <c r="B333">
        <v>858.71</v>
      </c>
      <c r="C333">
        <v>99.51</v>
      </c>
      <c r="D333">
        <v>333.95</v>
      </c>
      <c r="E333">
        <v>159.52000000000001</v>
      </c>
      <c r="F333">
        <v>101.52</v>
      </c>
      <c r="G333">
        <v>103.47</v>
      </c>
      <c r="H333">
        <v>60.74</v>
      </c>
    </row>
    <row r="334" spans="1:8" x14ac:dyDescent="0.25">
      <c r="A334" s="63">
        <f t="shared" si="5"/>
        <v>44163</v>
      </c>
      <c r="B334">
        <v>958.29</v>
      </c>
      <c r="C334">
        <v>84.54</v>
      </c>
      <c r="D334">
        <v>390.27</v>
      </c>
      <c r="E334">
        <v>199.78</v>
      </c>
      <c r="F334">
        <v>124.62</v>
      </c>
      <c r="G334">
        <v>98.15</v>
      </c>
      <c r="H334">
        <v>60.93</v>
      </c>
    </row>
    <row r="335" spans="1:8" x14ac:dyDescent="0.25">
      <c r="A335" s="63">
        <f t="shared" si="5"/>
        <v>44164</v>
      </c>
      <c r="B335">
        <v>772.84999999999991</v>
      </c>
      <c r="C335">
        <v>79.260000000000005</v>
      </c>
      <c r="D335">
        <v>243.12</v>
      </c>
      <c r="E335">
        <v>181.92</v>
      </c>
      <c r="F335">
        <v>120.39</v>
      </c>
      <c r="G335">
        <v>87.6</v>
      </c>
      <c r="H335">
        <v>60.56</v>
      </c>
    </row>
    <row r="336" spans="1:8" x14ac:dyDescent="0.25">
      <c r="A336" s="63">
        <f t="shared" si="5"/>
        <v>44165</v>
      </c>
      <c r="B336">
        <v>783.71000000000015</v>
      </c>
      <c r="C336">
        <v>62.22</v>
      </c>
      <c r="D336">
        <v>310.97000000000003</v>
      </c>
      <c r="E336">
        <v>181.12</v>
      </c>
      <c r="F336">
        <v>96.85</v>
      </c>
      <c r="G336">
        <v>68.69</v>
      </c>
      <c r="H336">
        <v>63.86</v>
      </c>
    </row>
    <row r="337" spans="1:8" x14ac:dyDescent="0.25">
      <c r="A337" s="63">
        <f t="shared" si="5"/>
        <v>44166</v>
      </c>
      <c r="B337">
        <v>679.52</v>
      </c>
      <c r="C337">
        <v>37.869999999999997</v>
      </c>
      <c r="D337">
        <v>312.43</v>
      </c>
      <c r="E337">
        <v>100.36</v>
      </c>
      <c r="F337">
        <v>104.44</v>
      </c>
      <c r="G337">
        <v>64.14</v>
      </c>
      <c r="H337">
        <v>60.28</v>
      </c>
    </row>
    <row r="338" spans="1:8" x14ac:dyDescent="0.25">
      <c r="A338" s="63">
        <f t="shared" si="5"/>
        <v>44167</v>
      </c>
      <c r="B338">
        <v>540.76</v>
      </c>
      <c r="C338">
        <v>5.96</v>
      </c>
      <c r="D338">
        <v>242.37</v>
      </c>
      <c r="E338">
        <v>90.78</v>
      </c>
      <c r="F338">
        <v>98.76</v>
      </c>
      <c r="G338">
        <v>38.53</v>
      </c>
      <c r="H338">
        <v>64.36</v>
      </c>
    </row>
    <row r="339" spans="1:8" x14ac:dyDescent="0.25">
      <c r="A339" s="63">
        <f t="shared" si="5"/>
        <v>44168</v>
      </c>
      <c r="B339">
        <v>452.06000000000006</v>
      </c>
      <c r="C339">
        <v>1.2</v>
      </c>
      <c r="D339">
        <v>191.11</v>
      </c>
      <c r="E339">
        <v>85</v>
      </c>
      <c r="F339">
        <v>80.3</v>
      </c>
      <c r="G339">
        <v>33.340000000000003</v>
      </c>
      <c r="H339">
        <v>61.11</v>
      </c>
    </row>
    <row r="340" spans="1:8" x14ac:dyDescent="0.25">
      <c r="A340" s="63">
        <f t="shared" si="5"/>
        <v>44169</v>
      </c>
      <c r="B340">
        <v>646.57000000000016</v>
      </c>
      <c r="C340">
        <v>25.31</v>
      </c>
      <c r="D340">
        <v>342.23</v>
      </c>
      <c r="E340">
        <v>62.99</v>
      </c>
      <c r="F340">
        <v>110.37</v>
      </c>
      <c r="G340">
        <v>44.6</v>
      </c>
      <c r="H340">
        <v>61.07</v>
      </c>
    </row>
    <row r="341" spans="1:8" x14ac:dyDescent="0.25">
      <c r="A341" s="63">
        <f t="shared" si="5"/>
        <v>44170</v>
      </c>
      <c r="B341">
        <v>191.66003000000001</v>
      </c>
      <c r="C341">
        <v>1.0000000000000001E-5</v>
      </c>
      <c r="D341">
        <v>1.0000000000000001E-5</v>
      </c>
      <c r="E341">
        <v>1.0000000000000001E-5</v>
      </c>
      <c r="F341">
        <v>106.2</v>
      </c>
      <c r="G341">
        <v>25.96</v>
      </c>
      <c r="H341">
        <v>59.5</v>
      </c>
    </row>
    <row r="342" spans="1:8" x14ac:dyDescent="0.25">
      <c r="A342" s="63">
        <f t="shared" si="5"/>
        <v>44171</v>
      </c>
      <c r="B342">
        <v>155.67004</v>
      </c>
      <c r="C342">
        <v>1.0000000000000001E-5</v>
      </c>
      <c r="D342">
        <v>1.0000000000000001E-5</v>
      </c>
      <c r="E342">
        <v>1.0000000000000001E-5</v>
      </c>
      <c r="F342">
        <v>96.45</v>
      </c>
      <c r="G342">
        <v>1.0000000000000001E-5</v>
      </c>
      <c r="H342">
        <v>59.22</v>
      </c>
    </row>
    <row r="343" spans="1:8" x14ac:dyDescent="0.25">
      <c r="A343" s="63">
        <f t="shared" si="5"/>
        <v>44172</v>
      </c>
      <c r="B343">
        <v>801.2600000000001</v>
      </c>
      <c r="C343">
        <v>90.37</v>
      </c>
      <c r="D343">
        <v>350.2</v>
      </c>
      <c r="E343">
        <v>150.38999999999999</v>
      </c>
      <c r="F343">
        <v>81.97</v>
      </c>
      <c r="G343">
        <v>66.59</v>
      </c>
      <c r="H343">
        <v>61.74</v>
      </c>
    </row>
    <row r="344" spans="1:8" x14ac:dyDescent="0.25">
      <c r="A344" s="63">
        <f t="shared" si="5"/>
        <v>44173</v>
      </c>
      <c r="B344">
        <v>850.07999999999993</v>
      </c>
      <c r="C344">
        <v>83.26</v>
      </c>
      <c r="D344">
        <v>328.79</v>
      </c>
      <c r="E344">
        <v>166.74</v>
      </c>
      <c r="F344">
        <v>121.22</v>
      </c>
      <c r="G344">
        <v>89.16</v>
      </c>
      <c r="H344">
        <v>60.91</v>
      </c>
    </row>
    <row r="345" spans="1:8" x14ac:dyDescent="0.25">
      <c r="A345" s="63">
        <f t="shared" si="5"/>
        <v>44174</v>
      </c>
      <c r="B345">
        <v>752.95000000000016</v>
      </c>
      <c r="C345">
        <v>64.680000000000007</v>
      </c>
      <c r="D345">
        <v>295.16000000000003</v>
      </c>
      <c r="E345">
        <v>164.87</v>
      </c>
      <c r="F345">
        <v>86.48</v>
      </c>
      <c r="G345">
        <v>80.94</v>
      </c>
      <c r="H345">
        <v>60.82</v>
      </c>
    </row>
    <row r="346" spans="1:8" x14ac:dyDescent="0.25">
      <c r="A346" s="63">
        <f t="shared" si="5"/>
        <v>44175</v>
      </c>
      <c r="B346">
        <v>764.92</v>
      </c>
      <c r="C346">
        <v>52.45</v>
      </c>
      <c r="D346">
        <v>330.34</v>
      </c>
      <c r="E346">
        <v>153.86000000000001</v>
      </c>
      <c r="F346">
        <v>101.11</v>
      </c>
      <c r="G346">
        <v>64.61</v>
      </c>
      <c r="H346">
        <v>62.55</v>
      </c>
    </row>
    <row r="347" spans="1:8" x14ac:dyDescent="0.25">
      <c r="A347" s="63">
        <f t="shared" si="5"/>
        <v>44176</v>
      </c>
      <c r="B347">
        <v>687.25</v>
      </c>
      <c r="C347">
        <v>71.400000000000006</v>
      </c>
      <c r="D347">
        <v>265.45999999999998</v>
      </c>
      <c r="E347">
        <v>118.71</v>
      </c>
      <c r="F347">
        <v>101.19</v>
      </c>
      <c r="G347">
        <v>66.77</v>
      </c>
      <c r="H347">
        <v>63.72</v>
      </c>
    </row>
    <row r="348" spans="1:8" x14ac:dyDescent="0.25">
      <c r="A348" s="63">
        <f t="shared" si="5"/>
        <v>44177</v>
      </c>
      <c r="B348">
        <v>445.52010000000001</v>
      </c>
      <c r="C348">
        <v>81.84</v>
      </c>
      <c r="D348">
        <v>1E-4</v>
      </c>
      <c r="E348">
        <v>132.02000000000001</v>
      </c>
      <c r="F348">
        <v>100.68</v>
      </c>
      <c r="G348">
        <v>67.83</v>
      </c>
      <c r="H348">
        <v>63.15</v>
      </c>
    </row>
    <row r="349" spans="1:8" x14ac:dyDescent="0.25">
      <c r="A349" s="63">
        <f t="shared" si="5"/>
        <v>44178</v>
      </c>
      <c r="B349">
        <v>512.08010000000002</v>
      </c>
      <c r="C349">
        <v>104.24</v>
      </c>
      <c r="D349">
        <v>1E-4</v>
      </c>
      <c r="E349">
        <v>171.74</v>
      </c>
      <c r="F349">
        <v>103.78</v>
      </c>
      <c r="G349">
        <v>72.540000000000006</v>
      </c>
      <c r="H349">
        <v>59.78</v>
      </c>
    </row>
    <row r="350" spans="1:8" x14ac:dyDescent="0.25">
      <c r="A350" s="63">
        <f t="shared" si="5"/>
        <v>44179</v>
      </c>
      <c r="B350">
        <v>874.6</v>
      </c>
      <c r="C350">
        <v>94.94</v>
      </c>
      <c r="D350">
        <v>384.69</v>
      </c>
      <c r="E350">
        <v>159.99</v>
      </c>
      <c r="F350">
        <v>85.36</v>
      </c>
      <c r="G350">
        <v>84.46</v>
      </c>
      <c r="H350">
        <v>65.16</v>
      </c>
    </row>
    <row r="351" spans="1:8" x14ac:dyDescent="0.25">
      <c r="A351" s="63">
        <f t="shared" si="5"/>
        <v>44180</v>
      </c>
      <c r="B351">
        <v>810.15</v>
      </c>
      <c r="C351">
        <v>60.01</v>
      </c>
      <c r="D351">
        <v>357.57</v>
      </c>
      <c r="E351">
        <v>143.79</v>
      </c>
      <c r="F351">
        <v>100.22</v>
      </c>
      <c r="G351">
        <v>80.91</v>
      </c>
      <c r="H351">
        <v>67.650000000000006</v>
      </c>
    </row>
    <row r="352" spans="1:8" x14ac:dyDescent="0.25">
      <c r="A352" s="63">
        <f t="shared" si="5"/>
        <v>44181</v>
      </c>
      <c r="B352">
        <v>793.18000000000006</v>
      </c>
      <c r="C352">
        <v>47.62</v>
      </c>
      <c r="D352">
        <v>370.34</v>
      </c>
      <c r="E352">
        <v>135.71</v>
      </c>
      <c r="F352">
        <v>92.81</v>
      </c>
      <c r="G352">
        <v>79.86</v>
      </c>
      <c r="H352">
        <v>66.84</v>
      </c>
    </row>
    <row r="353" spans="1:8" x14ac:dyDescent="0.25">
      <c r="A353" s="63">
        <f t="shared" si="5"/>
        <v>44182</v>
      </c>
      <c r="B353">
        <v>807.32</v>
      </c>
      <c r="C353">
        <v>32.799999999999997</v>
      </c>
      <c r="D353">
        <v>411.5</v>
      </c>
      <c r="E353">
        <v>149.19999999999999</v>
      </c>
      <c r="F353">
        <v>87.45</v>
      </c>
      <c r="G353">
        <v>57.58</v>
      </c>
      <c r="H353">
        <v>68.790000000000006</v>
      </c>
    </row>
    <row r="354" spans="1:8" x14ac:dyDescent="0.25">
      <c r="A354" s="63">
        <f t="shared" si="5"/>
        <v>44183</v>
      </c>
      <c r="B354">
        <v>827.68000000000006</v>
      </c>
      <c r="C354">
        <v>83.56</v>
      </c>
      <c r="D354">
        <v>274.11</v>
      </c>
      <c r="E354">
        <v>217.54</v>
      </c>
      <c r="F354">
        <v>106.53</v>
      </c>
      <c r="G354">
        <v>76.45</v>
      </c>
      <c r="H354">
        <v>69.489999999999995</v>
      </c>
    </row>
    <row r="355" spans="1:8" x14ac:dyDescent="0.25">
      <c r="A355" s="63">
        <f t="shared" si="5"/>
        <v>44184</v>
      </c>
      <c r="B355">
        <v>880.20999999999981</v>
      </c>
      <c r="C355">
        <v>74.22</v>
      </c>
      <c r="D355">
        <v>365.96</v>
      </c>
      <c r="E355">
        <v>201.45</v>
      </c>
      <c r="F355">
        <v>105.29</v>
      </c>
      <c r="G355">
        <v>68.77</v>
      </c>
      <c r="H355">
        <v>64.52</v>
      </c>
    </row>
    <row r="356" spans="1:8" x14ac:dyDescent="0.25">
      <c r="A356" s="63">
        <f t="shared" si="5"/>
        <v>44185</v>
      </c>
      <c r="B356">
        <v>558.44009999999992</v>
      </c>
      <c r="C356">
        <v>81.87</v>
      </c>
      <c r="D356">
        <v>1E-4</v>
      </c>
      <c r="E356">
        <v>205.63</v>
      </c>
      <c r="F356">
        <v>124.65</v>
      </c>
      <c r="G356">
        <v>93.05</v>
      </c>
      <c r="H356">
        <v>53.24</v>
      </c>
    </row>
    <row r="357" spans="1:8" x14ac:dyDescent="0.25">
      <c r="A357" s="63">
        <f t="shared" si="5"/>
        <v>44186</v>
      </c>
      <c r="B357">
        <v>910.40999999999985</v>
      </c>
      <c r="C357">
        <v>74.02</v>
      </c>
      <c r="D357">
        <v>322.7</v>
      </c>
      <c r="E357">
        <v>223.98</v>
      </c>
      <c r="F357">
        <v>120.19</v>
      </c>
      <c r="G357">
        <v>102.36</v>
      </c>
      <c r="H357">
        <v>67.16</v>
      </c>
    </row>
    <row r="358" spans="1:8" x14ac:dyDescent="0.25">
      <c r="A358" s="63">
        <f t="shared" si="5"/>
        <v>44187</v>
      </c>
      <c r="B358">
        <v>1051.7</v>
      </c>
      <c r="C358">
        <v>102.16</v>
      </c>
      <c r="D358">
        <v>409.69</v>
      </c>
      <c r="E358">
        <v>262.55</v>
      </c>
      <c r="F358">
        <v>105.57</v>
      </c>
      <c r="G358">
        <v>106.34</v>
      </c>
      <c r="H358">
        <v>65.39</v>
      </c>
    </row>
    <row r="359" spans="1:8" x14ac:dyDescent="0.25">
      <c r="A359" s="63">
        <f t="shared" si="5"/>
        <v>44188</v>
      </c>
      <c r="B359">
        <v>1071.9000000000001</v>
      </c>
      <c r="C359">
        <v>101.06</v>
      </c>
      <c r="D359">
        <v>415.85</v>
      </c>
      <c r="E359">
        <v>272.63</v>
      </c>
      <c r="F359">
        <v>106.42</v>
      </c>
      <c r="G359">
        <v>114.12</v>
      </c>
      <c r="H359">
        <v>61.82</v>
      </c>
    </row>
    <row r="360" spans="1:8" x14ac:dyDescent="0.25">
      <c r="A360" s="63">
        <f t="shared" si="5"/>
        <v>44189</v>
      </c>
      <c r="B360">
        <v>1058.5899999999999</v>
      </c>
      <c r="C360">
        <v>98.86</v>
      </c>
      <c r="D360">
        <v>424.94</v>
      </c>
      <c r="E360">
        <v>283.79000000000002</v>
      </c>
      <c r="F360">
        <v>93.27</v>
      </c>
      <c r="G360">
        <v>94.23</v>
      </c>
      <c r="H360">
        <v>63.5</v>
      </c>
    </row>
    <row r="361" spans="1:8" x14ac:dyDescent="0.25">
      <c r="A361" s="63">
        <f t="shared" si="5"/>
        <v>44190</v>
      </c>
      <c r="B361">
        <v>1072.4000000000001</v>
      </c>
      <c r="C361">
        <v>112.98</v>
      </c>
      <c r="D361">
        <v>402.91</v>
      </c>
      <c r="E361">
        <v>282.3</v>
      </c>
      <c r="F361">
        <v>115.5</v>
      </c>
      <c r="G361">
        <v>93.03</v>
      </c>
      <c r="H361">
        <v>65.680000000000007</v>
      </c>
    </row>
    <row r="362" spans="1:8" x14ac:dyDescent="0.25">
      <c r="A362" s="63">
        <f t="shared" si="5"/>
        <v>44191</v>
      </c>
      <c r="B362">
        <v>1093.7900000000002</v>
      </c>
      <c r="C362">
        <v>132.81</v>
      </c>
      <c r="D362">
        <v>420.67</v>
      </c>
      <c r="E362">
        <v>289.75</v>
      </c>
      <c r="F362">
        <v>109.97</v>
      </c>
      <c r="G362">
        <v>76.64</v>
      </c>
      <c r="H362">
        <v>63.95</v>
      </c>
    </row>
    <row r="363" spans="1:8" x14ac:dyDescent="0.25">
      <c r="A363" s="63">
        <f t="shared" si="5"/>
        <v>44192</v>
      </c>
      <c r="B363">
        <v>967.11999999999989</v>
      </c>
      <c r="C363">
        <v>55.04</v>
      </c>
      <c r="D363">
        <v>463.38</v>
      </c>
      <c r="E363">
        <v>181.51</v>
      </c>
      <c r="F363">
        <v>105.07</v>
      </c>
      <c r="G363">
        <v>98.05</v>
      </c>
      <c r="H363">
        <v>64.069999999999993</v>
      </c>
    </row>
    <row r="364" spans="1:8" x14ac:dyDescent="0.25">
      <c r="A364" s="63">
        <f t="shared" si="5"/>
        <v>44193</v>
      </c>
      <c r="B364">
        <v>838.64</v>
      </c>
      <c r="C364">
        <v>61.12</v>
      </c>
      <c r="D364">
        <v>423.89</v>
      </c>
      <c r="E364">
        <v>76.27</v>
      </c>
      <c r="F364">
        <v>99.24</v>
      </c>
      <c r="G364">
        <v>112.14</v>
      </c>
      <c r="H364">
        <v>65.98</v>
      </c>
    </row>
    <row r="365" spans="1:8" x14ac:dyDescent="0.25">
      <c r="A365" s="63">
        <f t="shared" si="5"/>
        <v>44194</v>
      </c>
      <c r="B365">
        <v>715.69</v>
      </c>
      <c r="C365">
        <v>52.68</v>
      </c>
      <c r="D365">
        <v>393.44</v>
      </c>
      <c r="E365">
        <v>63.88</v>
      </c>
      <c r="F365">
        <v>82.7</v>
      </c>
      <c r="G365">
        <v>61.08</v>
      </c>
      <c r="H365">
        <v>61.91</v>
      </c>
    </row>
    <row r="366" spans="1:8" x14ac:dyDescent="0.25">
      <c r="A366" s="63">
        <f t="shared" si="5"/>
        <v>44195</v>
      </c>
      <c r="B366">
        <v>3.5200300000000002</v>
      </c>
      <c r="C366">
        <v>0.54</v>
      </c>
      <c r="D366">
        <v>1.0000000000000001E-5</v>
      </c>
      <c r="E366">
        <v>1.36</v>
      </c>
      <c r="F366">
        <v>1.62</v>
      </c>
      <c r="G366">
        <v>1.0000000000000001E-5</v>
      </c>
      <c r="H366">
        <v>1.0000000000000001E-5</v>
      </c>
    </row>
    <row r="367" spans="1:8" x14ac:dyDescent="0.25">
      <c r="A367" s="63">
        <f t="shared" si="5"/>
        <v>44196</v>
      </c>
      <c r="B367">
        <v>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7"/>
  <sheetViews>
    <sheetView topLeftCell="A331" workbookViewId="0">
      <selection activeCell="L368" sqref="L368"/>
    </sheetView>
  </sheetViews>
  <sheetFormatPr defaultRowHeight="15" x14ac:dyDescent="0.25"/>
  <cols>
    <col min="1" max="1" width="10.140625" bestFit="1" customWidth="1"/>
  </cols>
  <sheetData>
    <row r="1" spans="1:8" x14ac:dyDescent="0.25">
      <c r="A1" t="s">
        <v>42</v>
      </c>
      <c r="B1" t="s">
        <v>41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</row>
    <row r="2" spans="1:8" x14ac:dyDescent="0.25">
      <c r="A2" s="63">
        <v>44197</v>
      </c>
      <c r="B2">
        <v>0</v>
      </c>
    </row>
    <row r="3" spans="1:8" x14ac:dyDescent="0.25">
      <c r="A3" s="63">
        <f>A2+1</f>
        <v>44198</v>
      </c>
      <c r="B3">
        <v>0</v>
      </c>
    </row>
    <row r="4" spans="1:8" x14ac:dyDescent="0.25">
      <c r="A4" s="63">
        <f t="shared" ref="A4:A67" si="0">A3+1</f>
        <v>44199</v>
      </c>
      <c r="B4">
        <v>0</v>
      </c>
    </row>
    <row r="5" spans="1:8" x14ac:dyDescent="0.25">
      <c r="A5" s="63">
        <f t="shared" si="0"/>
        <v>44200</v>
      </c>
      <c r="B5">
        <v>0</v>
      </c>
    </row>
    <row r="6" spans="1:8" x14ac:dyDescent="0.25">
      <c r="A6" s="63">
        <f t="shared" si="0"/>
        <v>44201</v>
      </c>
      <c r="B6">
        <v>0</v>
      </c>
    </row>
    <row r="7" spans="1:8" x14ac:dyDescent="0.25">
      <c r="A7" s="63">
        <f t="shared" si="0"/>
        <v>44202</v>
      </c>
      <c r="B7">
        <v>0</v>
      </c>
    </row>
    <row r="8" spans="1:8" x14ac:dyDescent="0.25">
      <c r="A8" s="63">
        <f t="shared" si="0"/>
        <v>44203</v>
      </c>
      <c r="B8">
        <v>0</v>
      </c>
    </row>
    <row r="9" spans="1:8" x14ac:dyDescent="0.25">
      <c r="A9" s="63">
        <f t="shared" si="0"/>
        <v>44204</v>
      </c>
      <c r="B9">
        <v>0</v>
      </c>
    </row>
    <row r="10" spans="1:8" x14ac:dyDescent="0.25">
      <c r="A10" s="63">
        <f t="shared" si="0"/>
        <v>44205</v>
      </c>
      <c r="B10">
        <v>969.18000000000006</v>
      </c>
      <c r="C10">
        <v>70.16</v>
      </c>
      <c r="D10">
        <v>417.71</v>
      </c>
      <c r="E10">
        <v>259.05</v>
      </c>
      <c r="F10">
        <v>84.94</v>
      </c>
      <c r="G10">
        <v>78.650000000000006</v>
      </c>
      <c r="H10">
        <v>58.67</v>
      </c>
    </row>
    <row r="11" spans="1:8" x14ac:dyDescent="0.25">
      <c r="A11" s="63">
        <f t="shared" si="0"/>
        <v>44206</v>
      </c>
      <c r="B11">
        <v>951.77</v>
      </c>
      <c r="C11">
        <v>65.39</v>
      </c>
      <c r="D11">
        <v>366.77</v>
      </c>
      <c r="E11">
        <v>285.75</v>
      </c>
      <c r="F11">
        <v>81.31</v>
      </c>
      <c r="G11">
        <v>86.51</v>
      </c>
      <c r="H11">
        <v>66.040000000000006</v>
      </c>
    </row>
    <row r="12" spans="1:8" x14ac:dyDescent="0.25">
      <c r="A12" s="63">
        <f t="shared" si="0"/>
        <v>44207</v>
      </c>
      <c r="B12">
        <v>979.73</v>
      </c>
      <c r="C12">
        <v>84.74</v>
      </c>
      <c r="D12">
        <v>345.91</v>
      </c>
      <c r="E12">
        <v>289.25</v>
      </c>
      <c r="F12">
        <v>90.27</v>
      </c>
      <c r="G12">
        <v>109.03</v>
      </c>
      <c r="H12">
        <v>60.53</v>
      </c>
    </row>
    <row r="13" spans="1:8" x14ac:dyDescent="0.25">
      <c r="A13" s="63">
        <f t="shared" si="0"/>
        <v>44208</v>
      </c>
      <c r="B13">
        <v>1010.4199999999998</v>
      </c>
      <c r="C13">
        <v>83.7</v>
      </c>
      <c r="D13">
        <v>379.19</v>
      </c>
      <c r="E13">
        <v>281.70999999999998</v>
      </c>
      <c r="F13">
        <v>90.82</v>
      </c>
      <c r="G13">
        <v>119.46</v>
      </c>
      <c r="H13">
        <v>55.54</v>
      </c>
    </row>
    <row r="14" spans="1:8" x14ac:dyDescent="0.25">
      <c r="A14" s="63">
        <f t="shared" si="0"/>
        <v>44209</v>
      </c>
      <c r="B14">
        <v>967.57999999999993</v>
      </c>
      <c r="C14">
        <v>92.09</v>
      </c>
      <c r="D14">
        <v>350.46</v>
      </c>
      <c r="E14">
        <v>260.63</v>
      </c>
      <c r="F14">
        <v>91.86</v>
      </c>
      <c r="G14">
        <v>111.62</v>
      </c>
      <c r="H14">
        <v>60.92</v>
      </c>
    </row>
    <row r="15" spans="1:8" x14ac:dyDescent="0.25">
      <c r="A15" s="63">
        <f t="shared" si="0"/>
        <v>44210</v>
      </c>
      <c r="B15">
        <v>954.16</v>
      </c>
      <c r="C15">
        <v>117.85</v>
      </c>
      <c r="D15">
        <v>355.36</v>
      </c>
      <c r="E15">
        <v>233.16</v>
      </c>
      <c r="F15">
        <v>92.6</v>
      </c>
      <c r="G15">
        <v>90.17</v>
      </c>
      <c r="H15">
        <v>65.02</v>
      </c>
    </row>
    <row r="16" spans="1:8" x14ac:dyDescent="0.25">
      <c r="A16" s="63">
        <f t="shared" si="0"/>
        <v>44211</v>
      </c>
      <c r="B16">
        <v>1051.04</v>
      </c>
      <c r="C16">
        <v>100.1</v>
      </c>
      <c r="D16">
        <v>430.11</v>
      </c>
      <c r="E16">
        <v>240.33</v>
      </c>
      <c r="F16">
        <v>90.67</v>
      </c>
      <c r="G16">
        <v>133.87</v>
      </c>
      <c r="H16">
        <v>55.96</v>
      </c>
    </row>
    <row r="17" spans="1:8" x14ac:dyDescent="0.25">
      <c r="A17" s="63">
        <f t="shared" si="0"/>
        <v>44212</v>
      </c>
      <c r="B17">
        <v>1118.51</v>
      </c>
      <c r="C17">
        <v>95.95</v>
      </c>
      <c r="D17">
        <v>445.84</v>
      </c>
      <c r="E17">
        <v>288.44</v>
      </c>
      <c r="F17">
        <v>117.85</v>
      </c>
      <c r="G17">
        <v>108.1</v>
      </c>
      <c r="H17">
        <v>62.33</v>
      </c>
    </row>
    <row r="18" spans="1:8" x14ac:dyDescent="0.25">
      <c r="A18" s="63">
        <f t="shared" si="0"/>
        <v>44213</v>
      </c>
      <c r="B18">
        <v>1158.6099999999999</v>
      </c>
      <c r="C18">
        <v>146.63999999999999</v>
      </c>
      <c r="D18">
        <v>443.42</v>
      </c>
      <c r="E18">
        <v>289.69</v>
      </c>
      <c r="F18">
        <v>107.29</v>
      </c>
      <c r="G18">
        <v>109.28</v>
      </c>
      <c r="H18">
        <v>62.29</v>
      </c>
    </row>
    <row r="19" spans="1:8" x14ac:dyDescent="0.25">
      <c r="A19" s="63">
        <f t="shared" si="0"/>
        <v>44214</v>
      </c>
      <c r="B19">
        <v>1082.21</v>
      </c>
      <c r="C19">
        <v>139.13</v>
      </c>
      <c r="D19">
        <v>407.25</v>
      </c>
      <c r="E19">
        <v>253.48</v>
      </c>
      <c r="F19">
        <v>113.66</v>
      </c>
      <c r="G19">
        <v>107.75</v>
      </c>
      <c r="H19">
        <v>60.94</v>
      </c>
    </row>
    <row r="20" spans="1:8" x14ac:dyDescent="0.25">
      <c r="A20" s="63">
        <f t="shared" si="0"/>
        <v>44215</v>
      </c>
      <c r="B20">
        <v>1113.53</v>
      </c>
      <c r="C20">
        <v>132.05000000000001</v>
      </c>
      <c r="D20">
        <v>420.37</v>
      </c>
      <c r="E20">
        <v>282.77999999999997</v>
      </c>
      <c r="F20">
        <v>98.92</v>
      </c>
      <c r="G20">
        <v>115.33</v>
      </c>
      <c r="H20">
        <v>64.08</v>
      </c>
    </row>
    <row r="21" spans="1:8" x14ac:dyDescent="0.25">
      <c r="A21" s="63">
        <f t="shared" si="0"/>
        <v>44216</v>
      </c>
      <c r="B21">
        <v>1115.8400000000001</v>
      </c>
      <c r="C21">
        <v>111.64</v>
      </c>
      <c r="D21">
        <v>431.57</v>
      </c>
      <c r="E21">
        <v>290.91000000000003</v>
      </c>
      <c r="F21">
        <v>108.86</v>
      </c>
      <c r="G21">
        <v>107.05</v>
      </c>
      <c r="H21">
        <v>65.81</v>
      </c>
    </row>
    <row r="22" spans="1:8" x14ac:dyDescent="0.25">
      <c r="A22" s="63">
        <f t="shared" si="0"/>
        <v>44217</v>
      </c>
      <c r="B22">
        <v>1109.7099999999998</v>
      </c>
      <c r="C22">
        <v>103.95</v>
      </c>
      <c r="D22">
        <v>439.54</v>
      </c>
      <c r="E22">
        <v>290.55</v>
      </c>
      <c r="F22">
        <v>103.99</v>
      </c>
      <c r="G22">
        <v>107.32</v>
      </c>
      <c r="H22">
        <v>64.36</v>
      </c>
    </row>
    <row r="23" spans="1:8" x14ac:dyDescent="0.25">
      <c r="A23" s="63">
        <f t="shared" si="0"/>
        <v>44218</v>
      </c>
      <c r="B23">
        <v>1128.8900000000001</v>
      </c>
      <c r="C23">
        <v>114.49</v>
      </c>
      <c r="D23">
        <v>437.64</v>
      </c>
      <c r="E23">
        <v>303.39</v>
      </c>
      <c r="F23">
        <v>108.5</v>
      </c>
      <c r="G23">
        <v>100.67</v>
      </c>
      <c r="H23">
        <v>64.2</v>
      </c>
    </row>
    <row r="24" spans="1:8" x14ac:dyDescent="0.25">
      <c r="A24" s="63">
        <f t="shared" si="0"/>
        <v>44219</v>
      </c>
      <c r="B24">
        <v>1055.46</v>
      </c>
      <c r="C24">
        <v>83.65</v>
      </c>
      <c r="D24">
        <v>406.98</v>
      </c>
      <c r="E24">
        <v>305.04000000000002</v>
      </c>
      <c r="F24">
        <v>107.73</v>
      </c>
      <c r="G24">
        <v>87.13</v>
      </c>
      <c r="H24">
        <v>64.930000000000007</v>
      </c>
    </row>
    <row r="25" spans="1:8" x14ac:dyDescent="0.25">
      <c r="A25" s="63">
        <f t="shared" si="0"/>
        <v>44220</v>
      </c>
      <c r="B25">
        <v>984.10000000000014</v>
      </c>
      <c r="C25">
        <v>126.81</v>
      </c>
      <c r="D25">
        <v>329.49</v>
      </c>
      <c r="E25">
        <v>280.16000000000003</v>
      </c>
      <c r="F25">
        <v>106.85</v>
      </c>
      <c r="G25">
        <v>77.349999999999994</v>
      </c>
      <c r="H25">
        <v>63.44</v>
      </c>
    </row>
    <row r="26" spans="1:8" x14ac:dyDescent="0.25">
      <c r="A26" s="63">
        <f t="shared" si="0"/>
        <v>44221</v>
      </c>
      <c r="B26">
        <v>1150.49</v>
      </c>
      <c r="C26">
        <v>124.51</v>
      </c>
      <c r="D26">
        <v>469.97</v>
      </c>
      <c r="E26">
        <v>296.32</v>
      </c>
      <c r="F26">
        <v>97.96</v>
      </c>
      <c r="G26">
        <v>93.92</v>
      </c>
      <c r="H26">
        <v>67.81</v>
      </c>
    </row>
    <row r="27" spans="1:8" x14ac:dyDescent="0.25">
      <c r="A27" s="63">
        <f t="shared" si="0"/>
        <v>44222</v>
      </c>
      <c r="B27">
        <v>1085.17</v>
      </c>
      <c r="C27">
        <v>108.05</v>
      </c>
      <c r="D27">
        <v>412.67</v>
      </c>
      <c r="E27">
        <v>301.92</v>
      </c>
      <c r="F27">
        <v>100.19</v>
      </c>
      <c r="G27">
        <v>99.61</v>
      </c>
      <c r="H27">
        <v>62.73</v>
      </c>
    </row>
    <row r="28" spans="1:8" x14ac:dyDescent="0.25">
      <c r="A28" s="63">
        <f t="shared" si="0"/>
        <v>44223</v>
      </c>
      <c r="B28">
        <v>1120.29</v>
      </c>
      <c r="C28">
        <v>108.65</v>
      </c>
      <c r="D28">
        <v>455.11</v>
      </c>
      <c r="E28">
        <v>275.55</v>
      </c>
      <c r="F28">
        <v>115.02</v>
      </c>
      <c r="G28">
        <v>102.73</v>
      </c>
      <c r="H28">
        <v>63.23</v>
      </c>
    </row>
    <row r="29" spans="1:8" x14ac:dyDescent="0.25">
      <c r="A29" s="63">
        <f t="shared" si="0"/>
        <v>44224</v>
      </c>
      <c r="B29">
        <v>1121.17</v>
      </c>
      <c r="C29">
        <v>146.85</v>
      </c>
      <c r="D29">
        <v>413.42</v>
      </c>
      <c r="E29">
        <v>278.2</v>
      </c>
      <c r="F29">
        <v>112.27</v>
      </c>
      <c r="G29">
        <v>105.73</v>
      </c>
      <c r="H29">
        <v>64.7</v>
      </c>
    </row>
    <row r="30" spans="1:8" x14ac:dyDescent="0.25">
      <c r="A30" s="63">
        <f t="shared" si="0"/>
        <v>44225</v>
      </c>
      <c r="B30">
        <v>1123.94</v>
      </c>
      <c r="C30">
        <v>128.13</v>
      </c>
      <c r="D30">
        <v>423.41</v>
      </c>
      <c r="E30">
        <v>297.97000000000003</v>
      </c>
      <c r="F30">
        <v>110.4</v>
      </c>
      <c r="G30">
        <v>100.27</v>
      </c>
      <c r="H30">
        <v>63.76</v>
      </c>
    </row>
    <row r="31" spans="1:8" x14ac:dyDescent="0.25">
      <c r="A31" s="63">
        <f t="shared" si="0"/>
        <v>44226</v>
      </c>
      <c r="B31">
        <v>1119.8400000000001</v>
      </c>
      <c r="C31">
        <v>122.9</v>
      </c>
      <c r="D31">
        <v>422.06</v>
      </c>
      <c r="E31">
        <v>280.93</v>
      </c>
      <c r="F31">
        <v>116.16</v>
      </c>
      <c r="G31">
        <v>114.3</v>
      </c>
      <c r="H31">
        <v>63.49</v>
      </c>
    </row>
    <row r="32" spans="1:8" x14ac:dyDescent="0.25">
      <c r="A32" s="63">
        <f t="shared" si="0"/>
        <v>44227</v>
      </c>
      <c r="B32">
        <v>1117.8999999999999</v>
      </c>
      <c r="C32">
        <v>119.28</v>
      </c>
      <c r="D32">
        <v>425.26</v>
      </c>
      <c r="E32">
        <v>275.49</v>
      </c>
      <c r="F32">
        <v>113.07</v>
      </c>
      <c r="G32">
        <v>118.94</v>
      </c>
      <c r="H32">
        <v>65.86</v>
      </c>
    </row>
    <row r="33" spans="1:8" x14ac:dyDescent="0.25">
      <c r="A33" s="63">
        <f t="shared" si="0"/>
        <v>44228</v>
      </c>
      <c r="B33">
        <v>1130.2800000000002</v>
      </c>
      <c r="C33">
        <v>123.96</v>
      </c>
      <c r="D33">
        <v>410.3</v>
      </c>
      <c r="E33">
        <v>296.45999999999998</v>
      </c>
      <c r="F33">
        <v>114.21</v>
      </c>
      <c r="G33">
        <v>120.71</v>
      </c>
      <c r="H33">
        <v>64.64</v>
      </c>
    </row>
    <row r="34" spans="1:8" x14ac:dyDescent="0.25">
      <c r="A34" s="63">
        <f t="shared" si="0"/>
        <v>44229</v>
      </c>
      <c r="B34">
        <v>1194.67</v>
      </c>
      <c r="C34">
        <v>132.96</v>
      </c>
      <c r="D34">
        <v>472.7</v>
      </c>
      <c r="E34">
        <v>288.75</v>
      </c>
      <c r="F34">
        <v>113.7</v>
      </c>
      <c r="G34">
        <v>123.8</v>
      </c>
      <c r="H34">
        <v>62.76</v>
      </c>
    </row>
    <row r="35" spans="1:8" x14ac:dyDescent="0.25">
      <c r="A35" s="63">
        <f t="shared" si="0"/>
        <v>44230</v>
      </c>
      <c r="B35">
        <v>1114.1300000000001</v>
      </c>
      <c r="C35">
        <v>110.38</v>
      </c>
      <c r="D35">
        <v>434.59</v>
      </c>
      <c r="E35">
        <v>281.98</v>
      </c>
      <c r="F35">
        <v>109.35</v>
      </c>
      <c r="G35">
        <v>113.06</v>
      </c>
      <c r="H35">
        <v>64.77</v>
      </c>
    </row>
    <row r="36" spans="1:8" x14ac:dyDescent="0.25">
      <c r="A36" s="63">
        <f t="shared" si="0"/>
        <v>44231</v>
      </c>
      <c r="B36">
        <v>1098.8799999999997</v>
      </c>
      <c r="C36">
        <v>123.69</v>
      </c>
      <c r="D36">
        <v>405.13</v>
      </c>
      <c r="E36">
        <v>273.83999999999997</v>
      </c>
      <c r="F36">
        <v>107.39</v>
      </c>
      <c r="G36">
        <v>124.24</v>
      </c>
      <c r="H36">
        <v>64.59</v>
      </c>
    </row>
    <row r="37" spans="1:8" x14ac:dyDescent="0.25">
      <c r="A37" s="63">
        <f t="shared" si="0"/>
        <v>44232</v>
      </c>
      <c r="B37">
        <v>1119.55</v>
      </c>
      <c r="C37">
        <v>113.3</v>
      </c>
      <c r="D37">
        <v>435.37</v>
      </c>
      <c r="E37">
        <v>273</v>
      </c>
      <c r="F37">
        <v>107.47</v>
      </c>
      <c r="G37">
        <v>121.71</v>
      </c>
      <c r="H37">
        <v>68.7</v>
      </c>
    </row>
    <row r="38" spans="1:8" x14ac:dyDescent="0.25">
      <c r="A38" s="63">
        <f t="shared" si="0"/>
        <v>44233</v>
      </c>
      <c r="B38">
        <v>1145.7199999999998</v>
      </c>
      <c r="C38">
        <v>95.13</v>
      </c>
      <c r="D38">
        <v>481.18</v>
      </c>
      <c r="E38">
        <v>290.63</v>
      </c>
      <c r="F38">
        <v>108.04</v>
      </c>
      <c r="G38">
        <v>105.38</v>
      </c>
      <c r="H38">
        <v>65.36</v>
      </c>
    </row>
    <row r="39" spans="1:8" x14ac:dyDescent="0.25">
      <c r="A39" s="63">
        <f t="shared" si="0"/>
        <v>44234</v>
      </c>
      <c r="B39">
        <v>1138.6099999999999</v>
      </c>
      <c r="C39">
        <v>132.79</v>
      </c>
      <c r="D39">
        <v>424.05</v>
      </c>
      <c r="E39">
        <v>295.20999999999998</v>
      </c>
      <c r="F39">
        <v>109.54</v>
      </c>
      <c r="G39">
        <v>110.96</v>
      </c>
      <c r="H39">
        <v>66.06</v>
      </c>
    </row>
    <row r="40" spans="1:8" x14ac:dyDescent="0.25">
      <c r="A40" s="63">
        <f t="shared" si="0"/>
        <v>44235</v>
      </c>
      <c r="B40">
        <v>1115.8400000000001</v>
      </c>
      <c r="C40">
        <v>116.06</v>
      </c>
      <c r="D40">
        <v>432.89</v>
      </c>
      <c r="E40">
        <v>283.64999999999998</v>
      </c>
      <c r="F40">
        <v>107.58</v>
      </c>
      <c r="G40">
        <v>109.54</v>
      </c>
      <c r="H40">
        <v>66.12</v>
      </c>
    </row>
    <row r="41" spans="1:8" x14ac:dyDescent="0.25">
      <c r="A41" s="63">
        <f t="shared" si="0"/>
        <v>44236</v>
      </c>
      <c r="B41">
        <v>1106.6200000000001</v>
      </c>
      <c r="C41">
        <v>107.9</v>
      </c>
      <c r="D41">
        <v>448.58</v>
      </c>
      <c r="E41">
        <v>268.87</v>
      </c>
      <c r="F41">
        <v>101.09</v>
      </c>
      <c r="G41">
        <v>112.04</v>
      </c>
      <c r="H41">
        <v>68.14</v>
      </c>
    </row>
    <row r="42" spans="1:8" x14ac:dyDescent="0.25">
      <c r="A42" s="63">
        <f t="shared" si="0"/>
        <v>44237</v>
      </c>
      <c r="B42">
        <v>1130.08</v>
      </c>
      <c r="C42">
        <v>121.96</v>
      </c>
      <c r="D42">
        <v>470.28</v>
      </c>
      <c r="E42">
        <v>264.69</v>
      </c>
      <c r="F42">
        <v>92.42</v>
      </c>
      <c r="G42">
        <v>112.42</v>
      </c>
      <c r="H42">
        <v>68.31</v>
      </c>
    </row>
    <row r="43" spans="1:8" x14ac:dyDescent="0.25">
      <c r="A43" s="63">
        <f t="shared" si="0"/>
        <v>44238</v>
      </c>
      <c r="B43">
        <v>1120.6600000000001</v>
      </c>
      <c r="C43">
        <v>134.75</v>
      </c>
      <c r="D43">
        <v>444.15</v>
      </c>
      <c r="E43">
        <v>263.29000000000002</v>
      </c>
      <c r="F43">
        <v>92.29</v>
      </c>
      <c r="G43">
        <v>118.14</v>
      </c>
      <c r="H43">
        <v>68.040000000000006</v>
      </c>
    </row>
    <row r="44" spans="1:8" x14ac:dyDescent="0.25">
      <c r="A44" s="63">
        <f t="shared" si="0"/>
        <v>44239</v>
      </c>
      <c r="B44">
        <v>1055.69</v>
      </c>
      <c r="C44">
        <v>111.38</v>
      </c>
      <c r="D44">
        <v>416.93</v>
      </c>
      <c r="E44">
        <v>241.26</v>
      </c>
      <c r="F44">
        <v>102.33</v>
      </c>
      <c r="G44">
        <v>114.36</v>
      </c>
      <c r="H44">
        <v>69.430000000000007</v>
      </c>
    </row>
    <row r="45" spans="1:8" x14ac:dyDescent="0.25">
      <c r="A45" s="63">
        <f t="shared" si="0"/>
        <v>44240</v>
      </c>
      <c r="B45">
        <v>1077.31</v>
      </c>
      <c r="C45">
        <v>120.12</v>
      </c>
      <c r="D45">
        <v>434.66</v>
      </c>
      <c r="E45">
        <v>252.44</v>
      </c>
      <c r="F45">
        <v>110.5</v>
      </c>
      <c r="G45">
        <v>92.74</v>
      </c>
      <c r="H45">
        <v>66.849999999999994</v>
      </c>
    </row>
    <row r="46" spans="1:8" x14ac:dyDescent="0.25">
      <c r="A46" s="63">
        <f t="shared" si="0"/>
        <v>44241</v>
      </c>
      <c r="B46">
        <v>1095.9099999999999</v>
      </c>
      <c r="C46">
        <v>133.34</v>
      </c>
      <c r="D46">
        <v>393.53</v>
      </c>
      <c r="E46">
        <v>258.12</v>
      </c>
      <c r="F46">
        <v>108.91</v>
      </c>
      <c r="G46">
        <v>134.44</v>
      </c>
      <c r="H46">
        <v>67.569999999999993</v>
      </c>
    </row>
    <row r="47" spans="1:8" x14ac:dyDescent="0.25">
      <c r="A47" s="63">
        <f t="shared" si="0"/>
        <v>44242</v>
      </c>
      <c r="B47">
        <v>1084.96</v>
      </c>
      <c r="C47">
        <v>120.25</v>
      </c>
      <c r="D47">
        <v>407.35</v>
      </c>
      <c r="E47">
        <v>281.38</v>
      </c>
      <c r="F47">
        <v>105.75</v>
      </c>
      <c r="G47">
        <v>99.91</v>
      </c>
      <c r="H47">
        <v>70.319999999999993</v>
      </c>
    </row>
    <row r="48" spans="1:8" x14ac:dyDescent="0.25">
      <c r="A48" s="63">
        <f t="shared" si="0"/>
        <v>44243</v>
      </c>
      <c r="B48">
        <v>1109.7700000000002</v>
      </c>
      <c r="C48">
        <v>111.14</v>
      </c>
      <c r="D48">
        <v>433.93</v>
      </c>
      <c r="E48">
        <v>281.3</v>
      </c>
      <c r="F48">
        <v>102.54</v>
      </c>
      <c r="G48">
        <v>113.44</v>
      </c>
      <c r="H48">
        <v>67.42</v>
      </c>
    </row>
    <row r="49" spans="1:8" x14ac:dyDescent="0.25">
      <c r="A49" s="63">
        <f t="shared" si="0"/>
        <v>44244</v>
      </c>
      <c r="B49">
        <v>1079.9799999999998</v>
      </c>
      <c r="C49">
        <v>112.53</v>
      </c>
      <c r="D49">
        <v>425.09</v>
      </c>
      <c r="E49">
        <v>283.95</v>
      </c>
      <c r="F49">
        <v>94.8</v>
      </c>
      <c r="G49">
        <v>96.31</v>
      </c>
      <c r="H49">
        <v>67.3</v>
      </c>
    </row>
    <row r="50" spans="1:8" x14ac:dyDescent="0.25">
      <c r="A50" s="63">
        <f t="shared" si="0"/>
        <v>44245</v>
      </c>
      <c r="B50">
        <v>1066.95</v>
      </c>
      <c r="C50">
        <v>137.69</v>
      </c>
      <c r="D50">
        <v>395.9</v>
      </c>
      <c r="E50">
        <v>272.89</v>
      </c>
      <c r="F50">
        <v>92.35</v>
      </c>
      <c r="G50">
        <v>102.58</v>
      </c>
      <c r="H50">
        <v>65.540000000000006</v>
      </c>
    </row>
    <row r="51" spans="1:8" x14ac:dyDescent="0.25">
      <c r="A51" s="63">
        <f t="shared" si="0"/>
        <v>44246</v>
      </c>
      <c r="B51">
        <v>1104.98</v>
      </c>
      <c r="C51">
        <v>101.21</v>
      </c>
      <c r="D51">
        <v>442.19</v>
      </c>
      <c r="E51">
        <v>291.48</v>
      </c>
      <c r="F51">
        <v>96.46</v>
      </c>
      <c r="G51">
        <v>107.79</v>
      </c>
      <c r="H51">
        <v>65.849999999999994</v>
      </c>
    </row>
    <row r="52" spans="1:8" x14ac:dyDescent="0.25">
      <c r="A52" s="63">
        <f t="shared" si="0"/>
        <v>44247</v>
      </c>
      <c r="B52">
        <v>1044.6199999999999</v>
      </c>
      <c r="C52">
        <v>108.84</v>
      </c>
      <c r="D52">
        <v>382.69</v>
      </c>
      <c r="E52">
        <v>287.99</v>
      </c>
      <c r="F52">
        <v>99.41</v>
      </c>
      <c r="G52">
        <v>98.73</v>
      </c>
      <c r="H52">
        <v>66.959999999999994</v>
      </c>
    </row>
    <row r="53" spans="1:8" x14ac:dyDescent="0.25">
      <c r="A53" s="63">
        <f t="shared" si="0"/>
        <v>44248</v>
      </c>
      <c r="B53">
        <v>988.33000000000015</v>
      </c>
      <c r="C53">
        <v>98.38</v>
      </c>
      <c r="D53">
        <v>340.11</v>
      </c>
      <c r="E53">
        <v>269.7</v>
      </c>
      <c r="F53">
        <v>108.43</v>
      </c>
      <c r="G53">
        <v>105.61</v>
      </c>
      <c r="H53">
        <v>66.099999999999994</v>
      </c>
    </row>
    <row r="54" spans="1:8" x14ac:dyDescent="0.25">
      <c r="A54" s="63">
        <f t="shared" si="0"/>
        <v>44249</v>
      </c>
      <c r="B54">
        <v>1126.6600000000001</v>
      </c>
      <c r="C54">
        <v>133.41</v>
      </c>
      <c r="D54">
        <v>453.55</v>
      </c>
      <c r="E54">
        <v>265.20999999999998</v>
      </c>
      <c r="F54">
        <v>99.36</v>
      </c>
      <c r="G54">
        <v>113.77</v>
      </c>
      <c r="H54">
        <v>61.36</v>
      </c>
    </row>
    <row r="55" spans="1:8" x14ac:dyDescent="0.25">
      <c r="A55" s="63">
        <f t="shared" si="0"/>
        <v>44250</v>
      </c>
      <c r="B55">
        <v>948.56</v>
      </c>
      <c r="C55">
        <v>107.63</v>
      </c>
      <c r="D55">
        <v>333.72</v>
      </c>
      <c r="E55">
        <v>253.84</v>
      </c>
      <c r="F55">
        <v>91.31</v>
      </c>
      <c r="G55">
        <v>105.78</v>
      </c>
      <c r="H55">
        <v>56.28</v>
      </c>
    </row>
    <row r="56" spans="1:8" x14ac:dyDescent="0.25">
      <c r="A56" s="63">
        <f t="shared" si="0"/>
        <v>44251</v>
      </c>
      <c r="B56">
        <v>849.80000000000007</v>
      </c>
      <c r="C56">
        <v>69.89</v>
      </c>
      <c r="D56">
        <v>359.99</v>
      </c>
      <c r="E56">
        <v>222.56</v>
      </c>
      <c r="F56">
        <v>83.46</v>
      </c>
      <c r="G56">
        <v>53.5</v>
      </c>
      <c r="H56">
        <v>60.4</v>
      </c>
    </row>
    <row r="57" spans="1:8" x14ac:dyDescent="0.25">
      <c r="A57" s="63">
        <f t="shared" si="0"/>
        <v>44252</v>
      </c>
      <c r="B57">
        <v>638.6</v>
      </c>
      <c r="C57">
        <v>61.04</v>
      </c>
      <c r="D57">
        <v>329.64</v>
      </c>
      <c r="E57">
        <v>127.32</v>
      </c>
      <c r="F57">
        <v>40.020000000000003</v>
      </c>
      <c r="G57">
        <v>38.6</v>
      </c>
      <c r="H57">
        <v>41.98</v>
      </c>
    </row>
    <row r="58" spans="1:8" x14ac:dyDescent="0.25">
      <c r="A58" s="63">
        <f t="shared" si="0"/>
        <v>44253</v>
      </c>
      <c r="B58">
        <v>833.80999999999983</v>
      </c>
      <c r="C58">
        <v>68.739999999999995</v>
      </c>
      <c r="D58">
        <v>329.3</v>
      </c>
      <c r="E58">
        <v>257</v>
      </c>
      <c r="F58">
        <v>56.17</v>
      </c>
      <c r="G58">
        <v>75.8</v>
      </c>
      <c r="H58">
        <v>46.8</v>
      </c>
    </row>
    <row r="59" spans="1:8" x14ac:dyDescent="0.25">
      <c r="A59" s="63">
        <f t="shared" si="0"/>
        <v>44254</v>
      </c>
      <c r="B59">
        <v>607.04000999999994</v>
      </c>
      <c r="C59">
        <v>82.3</v>
      </c>
      <c r="D59">
        <v>241.17</v>
      </c>
      <c r="E59">
        <v>139.16</v>
      </c>
      <c r="F59">
        <v>61.44</v>
      </c>
      <c r="G59">
        <v>82.97</v>
      </c>
      <c r="H59">
        <v>1.0000000000000001E-5</v>
      </c>
    </row>
    <row r="60" spans="1:8" x14ac:dyDescent="0.25">
      <c r="A60" s="63">
        <f t="shared" si="0"/>
        <v>44255</v>
      </c>
      <c r="B60">
        <v>343.22001999999998</v>
      </c>
      <c r="C60">
        <v>74.2</v>
      </c>
      <c r="D60">
        <v>1.0000000000000001E-5</v>
      </c>
      <c r="E60">
        <v>128.5</v>
      </c>
      <c r="F60">
        <v>67.08</v>
      </c>
      <c r="G60">
        <v>73.44</v>
      </c>
      <c r="H60">
        <v>1.0000000000000001E-5</v>
      </c>
    </row>
    <row r="61" spans="1:8" x14ac:dyDescent="0.25">
      <c r="A61" s="63">
        <f t="shared" si="0"/>
        <v>44256</v>
      </c>
      <c r="B61">
        <v>911.35</v>
      </c>
      <c r="C61">
        <v>94.97</v>
      </c>
      <c r="D61">
        <v>348.54</v>
      </c>
      <c r="E61">
        <v>250.7</v>
      </c>
      <c r="F61">
        <v>62.31</v>
      </c>
      <c r="G61">
        <v>90.09</v>
      </c>
      <c r="H61">
        <v>64.739999999999995</v>
      </c>
    </row>
    <row r="62" spans="1:8" x14ac:dyDescent="0.25">
      <c r="A62" s="63">
        <f t="shared" si="0"/>
        <v>44257</v>
      </c>
      <c r="B62">
        <v>1045.99</v>
      </c>
      <c r="C62">
        <v>110.1</v>
      </c>
      <c r="D62">
        <v>413.55</v>
      </c>
      <c r="E62">
        <v>261.87</v>
      </c>
      <c r="F62">
        <v>82.48</v>
      </c>
      <c r="G62">
        <v>111.21</v>
      </c>
      <c r="H62">
        <v>66.78</v>
      </c>
    </row>
    <row r="63" spans="1:8" x14ac:dyDescent="0.25">
      <c r="A63" s="63">
        <f t="shared" si="0"/>
        <v>44258</v>
      </c>
      <c r="B63">
        <v>1039.57</v>
      </c>
      <c r="C63">
        <v>101.79</v>
      </c>
      <c r="D63">
        <v>407.78</v>
      </c>
      <c r="E63">
        <v>262.61</v>
      </c>
      <c r="F63">
        <v>93.82</v>
      </c>
      <c r="G63">
        <v>106.05</v>
      </c>
      <c r="H63">
        <v>67.52</v>
      </c>
    </row>
    <row r="64" spans="1:8" x14ac:dyDescent="0.25">
      <c r="A64" s="63">
        <f t="shared" si="0"/>
        <v>44259</v>
      </c>
      <c r="B64">
        <v>1025.8400000000001</v>
      </c>
      <c r="C64">
        <v>107.3</v>
      </c>
      <c r="D64">
        <v>384.42</v>
      </c>
      <c r="E64">
        <v>243.6</v>
      </c>
      <c r="F64">
        <v>111.34</v>
      </c>
      <c r="G64">
        <v>108.44</v>
      </c>
      <c r="H64">
        <v>70.739999999999995</v>
      </c>
    </row>
    <row r="65" spans="1:8" x14ac:dyDescent="0.25">
      <c r="A65" s="63">
        <f t="shared" si="0"/>
        <v>44260</v>
      </c>
      <c r="B65">
        <v>970.80000000000007</v>
      </c>
      <c r="C65">
        <v>100.96</v>
      </c>
      <c r="D65">
        <v>355.89</v>
      </c>
      <c r="E65">
        <v>224.38</v>
      </c>
      <c r="F65">
        <v>116.23</v>
      </c>
      <c r="G65">
        <v>103.59</v>
      </c>
      <c r="H65">
        <v>69.75</v>
      </c>
    </row>
    <row r="66" spans="1:8" x14ac:dyDescent="0.25">
      <c r="A66" s="63">
        <f t="shared" si="0"/>
        <v>44261</v>
      </c>
      <c r="B66">
        <v>896.37000000000012</v>
      </c>
      <c r="C66">
        <v>108.42</v>
      </c>
      <c r="D66">
        <v>261.94</v>
      </c>
      <c r="E66">
        <v>246.26</v>
      </c>
      <c r="F66">
        <v>121.81</v>
      </c>
      <c r="G66">
        <v>89.2</v>
      </c>
      <c r="H66">
        <v>68.739999999999995</v>
      </c>
    </row>
    <row r="67" spans="1:8" x14ac:dyDescent="0.25">
      <c r="A67" s="63">
        <f t="shared" si="0"/>
        <v>44262</v>
      </c>
      <c r="B67">
        <v>909.20999999999992</v>
      </c>
      <c r="C67">
        <v>106.18</v>
      </c>
      <c r="D67">
        <v>271.27</v>
      </c>
      <c r="E67">
        <v>244.64</v>
      </c>
      <c r="F67">
        <v>124.92</v>
      </c>
      <c r="G67">
        <v>92.97</v>
      </c>
      <c r="H67">
        <v>69.23</v>
      </c>
    </row>
    <row r="68" spans="1:8" x14ac:dyDescent="0.25">
      <c r="A68" s="63">
        <f t="shared" ref="A68:A131" si="1">A67+1</f>
        <v>44263</v>
      </c>
      <c r="B68">
        <v>1007.9899999999999</v>
      </c>
      <c r="C68">
        <v>115.11</v>
      </c>
      <c r="D68">
        <v>357.83</v>
      </c>
      <c r="E68">
        <v>246.81</v>
      </c>
      <c r="F68">
        <v>118.3</v>
      </c>
      <c r="G68">
        <v>107.4</v>
      </c>
      <c r="H68">
        <v>62.54</v>
      </c>
    </row>
    <row r="69" spans="1:8" x14ac:dyDescent="0.25">
      <c r="A69" s="63">
        <f t="shared" si="1"/>
        <v>44264</v>
      </c>
      <c r="B69">
        <v>983.95999999999992</v>
      </c>
      <c r="C69">
        <v>77.709999999999994</v>
      </c>
      <c r="D69">
        <v>365.81</v>
      </c>
      <c r="E69">
        <v>253.26</v>
      </c>
      <c r="F69">
        <v>111.89</v>
      </c>
      <c r="G69">
        <v>104.74</v>
      </c>
      <c r="H69">
        <v>70.55</v>
      </c>
    </row>
    <row r="70" spans="1:8" x14ac:dyDescent="0.25">
      <c r="A70" s="63">
        <f t="shared" si="1"/>
        <v>44265</v>
      </c>
      <c r="B70">
        <v>949.86</v>
      </c>
      <c r="C70">
        <v>110.26</v>
      </c>
      <c r="D70">
        <v>376.24</v>
      </c>
      <c r="E70">
        <v>184.62</v>
      </c>
      <c r="F70">
        <v>105.89</v>
      </c>
      <c r="G70">
        <v>106.24</v>
      </c>
      <c r="H70">
        <v>66.61</v>
      </c>
    </row>
    <row r="71" spans="1:8" x14ac:dyDescent="0.25">
      <c r="A71" s="63">
        <f t="shared" si="1"/>
        <v>44266</v>
      </c>
      <c r="B71">
        <v>935.62999999999988</v>
      </c>
      <c r="C71">
        <v>71.709999999999994</v>
      </c>
      <c r="D71">
        <v>423.69</v>
      </c>
      <c r="E71">
        <v>172.37</v>
      </c>
      <c r="F71">
        <v>97.26</v>
      </c>
      <c r="G71">
        <v>103.82</v>
      </c>
      <c r="H71">
        <v>66.78</v>
      </c>
    </row>
    <row r="72" spans="1:8" x14ac:dyDescent="0.25">
      <c r="A72" s="63">
        <f t="shared" si="1"/>
        <v>44267</v>
      </c>
      <c r="B72">
        <v>918.53999999999985</v>
      </c>
      <c r="C72">
        <v>88.25</v>
      </c>
      <c r="D72">
        <v>360.89</v>
      </c>
      <c r="E72">
        <v>186.76</v>
      </c>
      <c r="F72">
        <v>110.44</v>
      </c>
      <c r="G72">
        <v>105.82</v>
      </c>
      <c r="H72">
        <v>66.38</v>
      </c>
    </row>
    <row r="73" spans="1:8" x14ac:dyDescent="0.25">
      <c r="A73" s="63">
        <f t="shared" si="1"/>
        <v>44268</v>
      </c>
      <c r="B73">
        <v>921.29</v>
      </c>
      <c r="C73">
        <v>99.1</v>
      </c>
      <c r="D73">
        <v>366.55</v>
      </c>
      <c r="E73">
        <v>188.81</v>
      </c>
      <c r="F73">
        <v>114.79</v>
      </c>
      <c r="G73">
        <v>90.55</v>
      </c>
      <c r="H73">
        <v>61.49</v>
      </c>
    </row>
    <row r="74" spans="1:8" x14ac:dyDescent="0.25">
      <c r="A74" s="63">
        <f t="shared" si="1"/>
        <v>44269</v>
      </c>
      <c r="B74">
        <v>944.31999999999994</v>
      </c>
      <c r="C74">
        <v>97.77</v>
      </c>
      <c r="D74">
        <v>362.31</v>
      </c>
      <c r="E74">
        <v>222.82</v>
      </c>
      <c r="F74">
        <v>108.05</v>
      </c>
      <c r="G74">
        <v>93.22</v>
      </c>
      <c r="H74">
        <v>60.15</v>
      </c>
    </row>
    <row r="75" spans="1:8" x14ac:dyDescent="0.25">
      <c r="A75" s="63">
        <f t="shared" si="1"/>
        <v>44270</v>
      </c>
      <c r="B75">
        <v>1002.0899999999998</v>
      </c>
      <c r="C75">
        <v>116.27</v>
      </c>
      <c r="D75">
        <v>389.77</v>
      </c>
      <c r="E75">
        <v>228.06</v>
      </c>
      <c r="F75">
        <v>101.9</v>
      </c>
      <c r="G75">
        <v>99.79</v>
      </c>
      <c r="H75">
        <v>66.3</v>
      </c>
    </row>
    <row r="76" spans="1:8" x14ac:dyDescent="0.25">
      <c r="A76" s="63">
        <f t="shared" si="1"/>
        <v>44271</v>
      </c>
      <c r="B76">
        <v>1010.4899999999999</v>
      </c>
      <c r="C76">
        <v>87.39</v>
      </c>
      <c r="D76">
        <v>416.16</v>
      </c>
      <c r="E76">
        <v>237.46</v>
      </c>
      <c r="F76">
        <v>105.02</v>
      </c>
      <c r="G76">
        <v>101.05</v>
      </c>
      <c r="H76">
        <v>63.41</v>
      </c>
    </row>
    <row r="77" spans="1:8" x14ac:dyDescent="0.25">
      <c r="A77" s="63">
        <f t="shared" si="1"/>
        <v>44272</v>
      </c>
      <c r="B77">
        <v>1009.8599999999999</v>
      </c>
      <c r="C77">
        <v>94.07</v>
      </c>
      <c r="D77">
        <v>409.63</v>
      </c>
      <c r="E77">
        <v>232.44</v>
      </c>
      <c r="F77">
        <v>108.29</v>
      </c>
      <c r="G77">
        <v>105.17</v>
      </c>
      <c r="H77">
        <v>60.26</v>
      </c>
    </row>
    <row r="78" spans="1:8" x14ac:dyDescent="0.25">
      <c r="A78" s="63">
        <f t="shared" si="1"/>
        <v>44273</v>
      </c>
      <c r="B78">
        <v>1068.76</v>
      </c>
      <c r="C78">
        <v>118.08</v>
      </c>
      <c r="D78">
        <v>423.23</v>
      </c>
      <c r="E78">
        <v>264.47000000000003</v>
      </c>
      <c r="F78">
        <v>98.18</v>
      </c>
      <c r="G78">
        <v>99.91</v>
      </c>
      <c r="H78">
        <v>64.89</v>
      </c>
    </row>
    <row r="79" spans="1:8" x14ac:dyDescent="0.25">
      <c r="A79" s="63">
        <f t="shared" si="1"/>
        <v>44274</v>
      </c>
      <c r="B79">
        <v>1080.4000000000001</v>
      </c>
      <c r="C79">
        <v>111.05</v>
      </c>
      <c r="D79">
        <v>402.7</v>
      </c>
      <c r="E79">
        <v>273.97000000000003</v>
      </c>
      <c r="F79">
        <v>123.49</v>
      </c>
      <c r="G79">
        <v>102.52</v>
      </c>
      <c r="H79">
        <v>66.67</v>
      </c>
    </row>
    <row r="80" spans="1:8" x14ac:dyDescent="0.25">
      <c r="A80" s="63">
        <f t="shared" si="1"/>
        <v>44275</v>
      </c>
      <c r="B80">
        <v>1009.6600000000001</v>
      </c>
      <c r="C80">
        <v>108.32</v>
      </c>
      <c r="D80">
        <v>362.29</v>
      </c>
      <c r="E80">
        <v>262.89</v>
      </c>
      <c r="F80">
        <v>106.44</v>
      </c>
      <c r="G80">
        <v>106.28</v>
      </c>
      <c r="H80">
        <v>63.44</v>
      </c>
    </row>
    <row r="81" spans="1:8" x14ac:dyDescent="0.25">
      <c r="A81" s="63">
        <f t="shared" si="1"/>
        <v>44276</v>
      </c>
      <c r="B81">
        <v>1059.06</v>
      </c>
      <c r="C81">
        <v>116.73</v>
      </c>
      <c r="D81">
        <v>383.73</v>
      </c>
      <c r="E81">
        <v>283.08999999999997</v>
      </c>
      <c r="F81">
        <v>116.35</v>
      </c>
      <c r="G81">
        <v>96.13</v>
      </c>
      <c r="H81">
        <v>63.03</v>
      </c>
    </row>
    <row r="82" spans="1:8" x14ac:dyDescent="0.25">
      <c r="A82" s="63">
        <f t="shared" si="1"/>
        <v>44277</v>
      </c>
      <c r="B82">
        <v>1115.0999999999999</v>
      </c>
      <c r="C82">
        <v>109.69</v>
      </c>
      <c r="D82">
        <v>429.09</v>
      </c>
      <c r="E82">
        <v>272.66000000000003</v>
      </c>
      <c r="F82">
        <v>108.41</v>
      </c>
      <c r="G82">
        <v>124.9</v>
      </c>
      <c r="H82">
        <v>70.349999999999994</v>
      </c>
    </row>
    <row r="83" spans="1:8" x14ac:dyDescent="0.25">
      <c r="A83" s="63">
        <f t="shared" si="1"/>
        <v>44278</v>
      </c>
      <c r="B83">
        <v>1074.5999999999999</v>
      </c>
      <c r="C83">
        <v>100.29</v>
      </c>
      <c r="D83">
        <v>392.02</v>
      </c>
      <c r="E83">
        <v>294.68</v>
      </c>
      <c r="F83">
        <v>111.13</v>
      </c>
      <c r="G83">
        <v>107.28</v>
      </c>
      <c r="H83">
        <v>69.2</v>
      </c>
    </row>
    <row r="84" spans="1:8" x14ac:dyDescent="0.25">
      <c r="A84" s="63">
        <f t="shared" si="1"/>
        <v>44279</v>
      </c>
      <c r="B84">
        <v>1079.6100000000001</v>
      </c>
      <c r="C84">
        <v>111.64</v>
      </c>
      <c r="D84">
        <v>403.62</v>
      </c>
      <c r="E84">
        <v>276.7</v>
      </c>
      <c r="F84">
        <v>108.01</v>
      </c>
      <c r="G84">
        <v>113.13</v>
      </c>
      <c r="H84">
        <v>66.510000000000005</v>
      </c>
    </row>
    <row r="85" spans="1:8" x14ac:dyDescent="0.25">
      <c r="A85" s="63">
        <f t="shared" si="1"/>
        <v>44280</v>
      </c>
      <c r="B85">
        <v>1119.8000000000002</v>
      </c>
      <c r="C85">
        <v>108.97</v>
      </c>
      <c r="D85">
        <v>434.48</v>
      </c>
      <c r="E85">
        <v>289.73</v>
      </c>
      <c r="F85">
        <v>104.39</v>
      </c>
      <c r="G85">
        <v>112.78</v>
      </c>
      <c r="H85">
        <v>69.45</v>
      </c>
    </row>
    <row r="86" spans="1:8" x14ac:dyDescent="0.25">
      <c r="A86" s="63">
        <f t="shared" si="1"/>
        <v>44281</v>
      </c>
      <c r="B86">
        <v>1081.6100000000001</v>
      </c>
      <c r="C86">
        <v>105.45</v>
      </c>
      <c r="D86">
        <v>423.78</v>
      </c>
      <c r="E86">
        <v>275.23</v>
      </c>
      <c r="F86">
        <v>103.6</v>
      </c>
      <c r="G86">
        <v>106.26</v>
      </c>
      <c r="H86">
        <v>67.290000000000006</v>
      </c>
    </row>
    <row r="87" spans="1:8" x14ac:dyDescent="0.25">
      <c r="A87" s="63">
        <f t="shared" si="1"/>
        <v>44282</v>
      </c>
      <c r="B87">
        <v>1113.51</v>
      </c>
      <c r="C87">
        <v>101.62</v>
      </c>
      <c r="D87">
        <v>455.57</v>
      </c>
      <c r="E87">
        <v>290.14999999999998</v>
      </c>
      <c r="F87">
        <v>98.05</v>
      </c>
      <c r="G87">
        <v>100.39</v>
      </c>
      <c r="H87">
        <v>67.73</v>
      </c>
    </row>
    <row r="88" spans="1:8" x14ac:dyDescent="0.25">
      <c r="A88" s="63">
        <f t="shared" si="1"/>
        <v>44283</v>
      </c>
      <c r="B88">
        <v>1052.24</v>
      </c>
      <c r="C88">
        <v>113.99</v>
      </c>
      <c r="D88">
        <v>372.61</v>
      </c>
      <c r="E88">
        <v>289.45999999999998</v>
      </c>
      <c r="F88">
        <v>101.81</v>
      </c>
      <c r="G88">
        <v>103.22</v>
      </c>
      <c r="H88">
        <v>71.150000000000006</v>
      </c>
    </row>
    <row r="89" spans="1:8" x14ac:dyDescent="0.25">
      <c r="A89" s="63">
        <f t="shared" si="1"/>
        <v>44284</v>
      </c>
      <c r="B89">
        <v>1023.62</v>
      </c>
      <c r="C89">
        <v>98.04</v>
      </c>
      <c r="D89">
        <v>394.46</v>
      </c>
      <c r="E89">
        <v>260.73</v>
      </c>
      <c r="F89">
        <v>99.01</v>
      </c>
      <c r="G89">
        <v>100.23</v>
      </c>
      <c r="H89">
        <v>71.150000000000006</v>
      </c>
    </row>
    <row r="90" spans="1:8" x14ac:dyDescent="0.25">
      <c r="A90" s="63">
        <f t="shared" si="1"/>
        <v>44285</v>
      </c>
      <c r="B90">
        <v>1066.6500000000001</v>
      </c>
      <c r="C90">
        <v>118.11</v>
      </c>
      <c r="D90">
        <v>422.38</v>
      </c>
      <c r="E90">
        <v>253.1</v>
      </c>
      <c r="F90">
        <v>101.73</v>
      </c>
      <c r="G90">
        <v>101.9</v>
      </c>
      <c r="H90">
        <v>69.430000000000007</v>
      </c>
    </row>
    <row r="91" spans="1:8" x14ac:dyDescent="0.25">
      <c r="A91" s="63">
        <f t="shared" si="1"/>
        <v>44286</v>
      </c>
      <c r="B91">
        <v>1011.4899999999999</v>
      </c>
      <c r="C91">
        <v>125.52</v>
      </c>
      <c r="D91">
        <v>365.08</v>
      </c>
      <c r="E91">
        <v>238.29</v>
      </c>
      <c r="F91">
        <v>109.44</v>
      </c>
      <c r="G91">
        <v>104.52</v>
      </c>
      <c r="H91">
        <v>68.64</v>
      </c>
    </row>
    <row r="92" spans="1:8" x14ac:dyDescent="0.25">
      <c r="A92" s="63">
        <f t="shared" si="1"/>
        <v>44287</v>
      </c>
      <c r="B92">
        <v>1048.99</v>
      </c>
      <c r="C92">
        <v>112.12</v>
      </c>
      <c r="D92">
        <v>421.15</v>
      </c>
      <c r="E92">
        <v>237.78</v>
      </c>
      <c r="F92">
        <v>102.84</v>
      </c>
      <c r="G92">
        <v>104.61</v>
      </c>
      <c r="H92">
        <v>70.489999999999995</v>
      </c>
    </row>
    <row r="93" spans="1:8" x14ac:dyDescent="0.25">
      <c r="A93" s="63">
        <f t="shared" si="1"/>
        <v>44288</v>
      </c>
      <c r="B93">
        <v>987.14</v>
      </c>
      <c r="C93">
        <v>105.88</v>
      </c>
      <c r="D93">
        <v>398.83</v>
      </c>
      <c r="E93">
        <v>202.48</v>
      </c>
      <c r="F93">
        <v>110.96</v>
      </c>
      <c r="G93">
        <v>100.45</v>
      </c>
      <c r="H93">
        <v>68.540000000000006</v>
      </c>
    </row>
    <row r="94" spans="1:8" x14ac:dyDescent="0.25">
      <c r="A94" s="63">
        <f t="shared" si="1"/>
        <v>44289</v>
      </c>
      <c r="B94">
        <v>1049.81</v>
      </c>
      <c r="C94">
        <v>111.72</v>
      </c>
      <c r="D94">
        <v>432.79</v>
      </c>
      <c r="E94">
        <v>219.95</v>
      </c>
      <c r="F94">
        <v>114.87</v>
      </c>
      <c r="G94">
        <v>101.54</v>
      </c>
      <c r="H94">
        <v>68.94</v>
      </c>
    </row>
    <row r="95" spans="1:8" x14ac:dyDescent="0.25">
      <c r="A95" s="63">
        <f t="shared" si="1"/>
        <v>44290</v>
      </c>
      <c r="B95">
        <v>1026.4100000000001</v>
      </c>
      <c r="C95">
        <v>109.69</v>
      </c>
      <c r="D95">
        <v>393.37</v>
      </c>
      <c r="E95">
        <v>239.36</v>
      </c>
      <c r="F95">
        <v>109.08</v>
      </c>
      <c r="G95">
        <v>105.88</v>
      </c>
      <c r="H95">
        <v>69.03</v>
      </c>
    </row>
    <row r="96" spans="1:8" x14ac:dyDescent="0.25">
      <c r="A96" s="63">
        <f t="shared" si="1"/>
        <v>44291</v>
      </c>
      <c r="B96">
        <v>900.21</v>
      </c>
      <c r="C96">
        <v>96.99</v>
      </c>
      <c r="D96">
        <v>317.3</v>
      </c>
      <c r="E96">
        <v>201.94</v>
      </c>
      <c r="F96">
        <v>108.42</v>
      </c>
      <c r="G96">
        <v>103.73</v>
      </c>
      <c r="H96">
        <v>71.83</v>
      </c>
    </row>
    <row r="97" spans="1:8" x14ac:dyDescent="0.25">
      <c r="A97" s="63">
        <f t="shared" si="1"/>
        <v>44292</v>
      </c>
      <c r="B97">
        <v>1066.94</v>
      </c>
      <c r="C97">
        <v>114.12</v>
      </c>
      <c r="D97">
        <v>388.01</v>
      </c>
      <c r="E97">
        <v>263.5</v>
      </c>
      <c r="F97">
        <v>119.42</v>
      </c>
      <c r="G97">
        <v>112.76</v>
      </c>
      <c r="H97">
        <v>69.13</v>
      </c>
    </row>
    <row r="98" spans="1:8" x14ac:dyDescent="0.25">
      <c r="A98" s="63">
        <f t="shared" si="1"/>
        <v>44293</v>
      </c>
      <c r="B98">
        <v>1071.3800000000001</v>
      </c>
      <c r="C98">
        <v>103.41</v>
      </c>
      <c r="D98">
        <v>412.1</v>
      </c>
      <c r="E98">
        <v>259.51</v>
      </c>
      <c r="F98">
        <v>108.96</v>
      </c>
      <c r="G98">
        <v>118.4</v>
      </c>
      <c r="H98">
        <v>69</v>
      </c>
    </row>
    <row r="99" spans="1:8" x14ac:dyDescent="0.25">
      <c r="A99" s="63">
        <f t="shared" si="1"/>
        <v>44294</v>
      </c>
      <c r="B99">
        <v>1049.7</v>
      </c>
      <c r="C99">
        <v>92.56</v>
      </c>
      <c r="D99">
        <v>420.52</v>
      </c>
      <c r="E99">
        <v>235.76</v>
      </c>
      <c r="F99">
        <v>113.2</v>
      </c>
      <c r="G99">
        <v>118.49</v>
      </c>
      <c r="H99">
        <v>69.17</v>
      </c>
    </row>
    <row r="100" spans="1:8" x14ac:dyDescent="0.25">
      <c r="A100" s="63">
        <f t="shared" si="1"/>
        <v>44295</v>
      </c>
      <c r="B100">
        <v>1100.69</v>
      </c>
      <c r="C100">
        <v>95.33</v>
      </c>
      <c r="D100">
        <v>441.72</v>
      </c>
      <c r="E100">
        <v>270.74</v>
      </c>
      <c r="F100">
        <v>109.74</v>
      </c>
      <c r="G100">
        <v>113.7</v>
      </c>
      <c r="H100">
        <v>69.459999999999994</v>
      </c>
    </row>
    <row r="101" spans="1:8" x14ac:dyDescent="0.25">
      <c r="A101" s="63">
        <f t="shared" si="1"/>
        <v>44296</v>
      </c>
      <c r="B101">
        <v>1014.94</v>
      </c>
      <c r="C101">
        <v>90.52</v>
      </c>
      <c r="D101">
        <v>416.11</v>
      </c>
      <c r="E101">
        <v>214.08</v>
      </c>
      <c r="F101">
        <v>122.36</v>
      </c>
      <c r="G101">
        <v>102.78</v>
      </c>
      <c r="H101">
        <v>69.09</v>
      </c>
    </row>
    <row r="102" spans="1:8" x14ac:dyDescent="0.25">
      <c r="A102" s="63">
        <f t="shared" si="1"/>
        <v>44297</v>
      </c>
      <c r="B102">
        <v>1016.77</v>
      </c>
      <c r="C102">
        <v>118.83</v>
      </c>
      <c r="D102">
        <v>326.93</v>
      </c>
      <c r="E102">
        <v>276.76</v>
      </c>
      <c r="F102">
        <v>116.92</v>
      </c>
      <c r="G102">
        <v>107.74</v>
      </c>
      <c r="H102">
        <v>69.59</v>
      </c>
    </row>
    <row r="103" spans="1:8" x14ac:dyDescent="0.25">
      <c r="A103" s="63">
        <f t="shared" si="1"/>
        <v>44298</v>
      </c>
      <c r="B103">
        <v>1052.8599999999999</v>
      </c>
      <c r="C103">
        <v>95.52</v>
      </c>
      <c r="D103">
        <v>380.24</v>
      </c>
      <c r="E103">
        <v>272</v>
      </c>
      <c r="F103">
        <v>116.13</v>
      </c>
      <c r="G103">
        <v>118.23</v>
      </c>
      <c r="H103">
        <v>70.739999999999995</v>
      </c>
    </row>
    <row r="104" spans="1:8" x14ac:dyDescent="0.25">
      <c r="A104" s="63">
        <f t="shared" si="1"/>
        <v>44299</v>
      </c>
      <c r="B104">
        <v>1073.3599999999999</v>
      </c>
      <c r="C104">
        <v>104.91</v>
      </c>
      <c r="D104">
        <v>417.92</v>
      </c>
      <c r="E104">
        <v>254.44</v>
      </c>
      <c r="F104">
        <v>110.82</v>
      </c>
      <c r="G104">
        <v>115.96</v>
      </c>
      <c r="H104">
        <v>69.31</v>
      </c>
    </row>
    <row r="105" spans="1:8" x14ac:dyDescent="0.25">
      <c r="A105" s="63">
        <f t="shared" si="1"/>
        <v>44300</v>
      </c>
      <c r="B105">
        <v>1021.72</v>
      </c>
      <c r="C105">
        <v>91.12</v>
      </c>
      <c r="D105">
        <v>376.8</v>
      </c>
      <c r="E105">
        <v>266.16000000000003</v>
      </c>
      <c r="F105">
        <v>109.91</v>
      </c>
      <c r="G105">
        <v>109</v>
      </c>
      <c r="H105">
        <v>68.73</v>
      </c>
    </row>
    <row r="106" spans="1:8" x14ac:dyDescent="0.25">
      <c r="A106" s="63">
        <f t="shared" si="1"/>
        <v>44301</v>
      </c>
      <c r="B106">
        <v>1105.5899999999999</v>
      </c>
      <c r="C106">
        <v>90.24</v>
      </c>
      <c r="D106">
        <v>460.84</v>
      </c>
      <c r="E106">
        <v>269.48</v>
      </c>
      <c r="F106">
        <v>107.87</v>
      </c>
      <c r="G106">
        <v>107.47</v>
      </c>
      <c r="H106">
        <v>69.69</v>
      </c>
    </row>
    <row r="107" spans="1:8" x14ac:dyDescent="0.25">
      <c r="A107" s="63">
        <f t="shared" si="1"/>
        <v>44302</v>
      </c>
      <c r="B107">
        <v>1069</v>
      </c>
      <c r="C107">
        <v>77.14</v>
      </c>
      <c r="D107">
        <v>414.86</v>
      </c>
      <c r="E107">
        <v>275.88</v>
      </c>
      <c r="F107">
        <v>114.17</v>
      </c>
      <c r="G107">
        <v>117.88</v>
      </c>
      <c r="H107">
        <v>69.069999999999993</v>
      </c>
    </row>
    <row r="108" spans="1:8" x14ac:dyDescent="0.25">
      <c r="A108" s="63">
        <f t="shared" si="1"/>
        <v>44303</v>
      </c>
      <c r="B108">
        <v>1055.8700000000001</v>
      </c>
      <c r="C108">
        <v>86.61</v>
      </c>
      <c r="D108">
        <v>429.5</v>
      </c>
      <c r="E108">
        <v>254.89</v>
      </c>
      <c r="F108">
        <v>109.45</v>
      </c>
      <c r="G108">
        <v>106.93</v>
      </c>
      <c r="H108">
        <v>68.489999999999995</v>
      </c>
    </row>
    <row r="109" spans="1:8" x14ac:dyDescent="0.25">
      <c r="A109" s="63">
        <f t="shared" si="1"/>
        <v>44304</v>
      </c>
      <c r="B109">
        <v>1054.69</v>
      </c>
      <c r="C109">
        <v>116.22</v>
      </c>
      <c r="D109">
        <v>386.54</v>
      </c>
      <c r="E109">
        <v>266.93</v>
      </c>
      <c r="F109">
        <v>112.03</v>
      </c>
      <c r="G109">
        <v>106.88</v>
      </c>
      <c r="H109">
        <v>66.09</v>
      </c>
    </row>
    <row r="110" spans="1:8" x14ac:dyDescent="0.25">
      <c r="A110" s="63">
        <f t="shared" si="1"/>
        <v>44305</v>
      </c>
      <c r="B110">
        <v>1073.5700000000002</v>
      </c>
      <c r="C110">
        <v>94.34</v>
      </c>
      <c r="D110">
        <v>406.51</v>
      </c>
      <c r="E110">
        <v>276.58</v>
      </c>
      <c r="F110">
        <v>113.28</v>
      </c>
      <c r="G110">
        <v>113.94</v>
      </c>
      <c r="H110">
        <v>68.92</v>
      </c>
    </row>
    <row r="111" spans="1:8" x14ac:dyDescent="0.25">
      <c r="A111" s="63">
        <f t="shared" si="1"/>
        <v>44306</v>
      </c>
      <c r="B111">
        <v>1129.6099999999999</v>
      </c>
      <c r="C111">
        <v>101.94</v>
      </c>
      <c r="D111">
        <v>458.96999999999997</v>
      </c>
      <c r="E111">
        <v>291.46000000000004</v>
      </c>
      <c r="F111">
        <v>116.85</v>
      </c>
      <c r="G111">
        <v>87.79</v>
      </c>
      <c r="H111">
        <v>72.600000000000009</v>
      </c>
    </row>
    <row r="112" spans="1:8" x14ac:dyDescent="0.25">
      <c r="A112" s="63">
        <f t="shared" si="1"/>
        <v>44307</v>
      </c>
      <c r="B112">
        <v>1101.8699999999999</v>
      </c>
      <c r="C112">
        <v>104.4</v>
      </c>
      <c r="D112">
        <v>406.55</v>
      </c>
      <c r="E112">
        <v>280.54000000000002</v>
      </c>
      <c r="F112">
        <v>116.53</v>
      </c>
      <c r="G112">
        <v>121.09</v>
      </c>
      <c r="H112">
        <v>72.760000000000005</v>
      </c>
    </row>
    <row r="113" spans="1:8" x14ac:dyDescent="0.25">
      <c r="A113" s="63">
        <f t="shared" si="1"/>
        <v>44308</v>
      </c>
      <c r="B113">
        <v>1067.6200000000001</v>
      </c>
      <c r="C113">
        <v>122.53</v>
      </c>
      <c r="D113">
        <v>395.34</v>
      </c>
      <c r="E113">
        <v>282.10000000000002</v>
      </c>
      <c r="F113">
        <v>112.84</v>
      </c>
      <c r="G113">
        <v>85.79</v>
      </c>
      <c r="H113">
        <v>69.02</v>
      </c>
    </row>
    <row r="114" spans="1:8" x14ac:dyDescent="0.25">
      <c r="A114" s="63">
        <f t="shared" si="1"/>
        <v>44309</v>
      </c>
      <c r="B114">
        <v>1098.1799999999998</v>
      </c>
      <c r="C114">
        <v>103.96</v>
      </c>
      <c r="D114">
        <v>439.67</v>
      </c>
      <c r="E114">
        <v>267.89999999999998</v>
      </c>
      <c r="F114">
        <v>117.66</v>
      </c>
      <c r="G114">
        <v>99.9</v>
      </c>
      <c r="H114">
        <v>69.09</v>
      </c>
    </row>
    <row r="115" spans="1:8" x14ac:dyDescent="0.25">
      <c r="A115" s="63">
        <f t="shared" si="1"/>
        <v>44310</v>
      </c>
      <c r="B115">
        <v>1107.0900000000001</v>
      </c>
      <c r="C115">
        <v>109.49</v>
      </c>
      <c r="D115">
        <v>414.22</v>
      </c>
      <c r="E115">
        <v>286.77</v>
      </c>
      <c r="F115">
        <v>118.22</v>
      </c>
      <c r="G115">
        <v>108.22</v>
      </c>
      <c r="H115">
        <v>70.17</v>
      </c>
    </row>
    <row r="116" spans="1:8" x14ac:dyDescent="0.25">
      <c r="A116" s="63">
        <f t="shared" si="1"/>
        <v>44311</v>
      </c>
      <c r="B116">
        <v>1088.96</v>
      </c>
      <c r="C116">
        <v>113.65</v>
      </c>
      <c r="D116">
        <v>394.36</v>
      </c>
      <c r="E116">
        <v>296.39999999999998</v>
      </c>
      <c r="F116">
        <v>111.13</v>
      </c>
      <c r="G116">
        <v>104.15</v>
      </c>
      <c r="H116">
        <v>69.27</v>
      </c>
    </row>
    <row r="117" spans="1:8" x14ac:dyDescent="0.25">
      <c r="A117" s="63">
        <f t="shared" si="1"/>
        <v>44312</v>
      </c>
      <c r="B117">
        <v>1139.0400000000002</v>
      </c>
      <c r="C117">
        <v>114.41</v>
      </c>
      <c r="D117">
        <v>459.42</v>
      </c>
      <c r="E117">
        <v>271.77999999999997</v>
      </c>
      <c r="F117">
        <v>111.73</v>
      </c>
      <c r="G117">
        <v>108.31</v>
      </c>
      <c r="H117">
        <v>73.39</v>
      </c>
    </row>
    <row r="118" spans="1:8" x14ac:dyDescent="0.25">
      <c r="A118" s="63">
        <f t="shared" si="1"/>
        <v>44313</v>
      </c>
      <c r="B118">
        <v>1128.69</v>
      </c>
      <c r="C118">
        <v>105.86</v>
      </c>
      <c r="D118">
        <v>425.51</v>
      </c>
      <c r="E118">
        <v>296.83999999999997</v>
      </c>
      <c r="F118">
        <v>118.93</v>
      </c>
      <c r="G118">
        <v>111.68</v>
      </c>
      <c r="H118">
        <v>69.87</v>
      </c>
    </row>
    <row r="119" spans="1:8" x14ac:dyDescent="0.25">
      <c r="A119" s="63">
        <f t="shared" si="1"/>
        <v>44314</v>
      </c>
      <c r="B119">
        <v>1160.3800000000001</v>
      </c>
      <c r="C119">
        <v>109.92</v>
      </c>
      <c r="D119">
        <v>440.06</v>
      </c>
      <c r="E119">
        <v>296.24</v>
      </c>
      <c r="F119">
        <v>122.41</v>
      </c>
      <c r="G119">
        <v>119.77</v>
      </c>
      <c r="H119">
        <v>71.98</v>
      </c>
    </row>
    <row r="120" spans="1:8" x14ac:dyDescent="0.25">
      <c r="A120" s="63">
        <f t="shared" si="1"/>
        <v>44315</v>
      </c>
      <c r="B120">
        <v>1129.75</v>
      </c>
      <c r="C120">
        <v>129.01</v>
      </c>
      <c r="D120">
        <v>396.49</v>
      </c>
      <c r="E120">
        <v>304.55</v>
      </c>
      <c r="F120">
        <v>108.74000000000001</v>
      </c>
      <c r="G120">
        <v>120.14</v>
      </c>
      <c r="H120">
        <v>70.819999999999993</v>
      </c>
    </row>
    <row r="121" spans="1:8" x14ac:dyDescent="0.25">
      <c r="A121" s="63">
        <f t="shared" si="1"/>
        <v>44316</v>
      </c>
      <c r="B121">
        <v>1108.6300000000001</v>
      </c>
      <c r="C121">
        <v>120.98</v>
      </c>
      <c r="D121">
        <v>403.73</v>
      </c>
      <c r="E121">
        <v>286.44</v>
      </c>
      <c r="F121">
        <v>116.64</v>
      </c>
      <c r="G121">
        <v>112.13</v>
      </c>
      <c r="H121">
        <v>68.709999999999994</v>
      </c>
    </row>
    <row r="122" spans="1:8" x14ac:dyDescent="0.25">
      <c r="A122" s="63">
        <f t="shared" si="1"/>
        <v>44317</v>
      </c>
      <c r="B122">
        <v>1178.8300000000002</v>
      </c>
      <c r="C122">
        <v>136.86000000000001</v>
      </c>
      <c r="D122">
        <v>440.01</v>
      </c>
      <c r="E122">
        <v>300.05</v>
      </c>
      <c r="F122">
        <v>119.69</v>
      </c>
      <c r="G122">
        <v>111.91</v>
      </c>
      <c r="H122">
        <v>70.31</v>
      </c>
    </row>
    <row r="123" spans="1:8" x14ac:dyDescent="0.25">
      <c r="A123" s="63">
        <f t="shared" si="1"/>
        <v>44318</v>
      </c>
      <c r="B123">
        <v>1147.22</v>
      </c>
      <c r="C123">
        <v>113.69</v>
      </c>
      <c r="D123">
        <v>459.75</v>
      </c>
      <c r="E123">
        <v>276.62</v>
      </c>
      <c r="F123">
        <v>125.02</v>
      </c>
      <c r="G123">
        <v>102.74</v>
      </c>
      <c r="H123">
        <v>69.400000000000006</v>
      </c>
    </row>
    <row r="124" spans="1:8" x14ac:dyDescent="0.25">
      <c r="A124" s="63">
        <f t="shared" si="1"/>
        <v>44319</v>
      </c>
      <c r="B124">
        <v>1129.98</v>
      </c>
      <c r="C124">
        <v>122.12</v>
      </c>
      <c r="D124">
        <v>427.33</v>
      </c>
      <c r="E124">
        <v>293.83999999999997</v>
      </c>
      <c r="F124">
        <v>119.2</v>
      </c>
      <c r="G124">
        <v>96.47</v>
      </c>
      <c r="H124">
        <v>71.02</v>
      </c>
    </row>
    <row r="125" spans="1:8" x14ac:dyDescent="0.25">
      <c r="A125" s="63">
        <f t="shared" si="1"/>
        <v>44320</v>
      </c>
      <c r="B125">
        <v>1146.1500000000001</v>
      </c>
      <c r="C125">
        <v>134.36000000000001</v>
      </c>
      <c r="D125">
        <v>444.08</v>
      </c>
      <c r="E125">
        <v>259.60000000000002</v>
      </c>
      <c r="F125">
        <v>122.98</v>
      </c>
      <c r="G125">
        <v>112.31</v>
      </c>
      <c r="H125">
        <v>72.819999999999993</v>
      </c>
    </row>
    <row r="126" spans="1:8" x14ac:dyDescent="0.25">
      <c r="A126" s="63">
        <f t="shared" si="1"/>
        <v>44321</v>
      </c>
      <c r="B126">
        <v>1173.1199999999999</v>
      </c>
      <c r="C126">
        <v>109.62</v>
      </c>
      <c r="D126">
        <v>463.11</v>
      </c>
      <c r="E126">
        <v>290.08999999999997</v>
      </c>
      <c r="F126">
        <v>120.81</v>
      </c>
      <c r="G126">
        <v>118.52</v>
      </c>
      <c r="H126">
        <v>70.97</v>
      </c>
    </row>
    <row r="127" spans="1:8" x14ac:dyDescent="0.25">
      <c r="A127" s="63">
        <f t="shared" si="1"/>
        <v>44322</v>
      </c>
      <c r="B127">
        <v>1196.5999999999999</v>
      </c>
      <c r="C127">
        <v>129.19</v>
      </c>
      <c r="D127">
        <v>454.34</v>
      </c>
      <c r="E127">
        <v>303.74</v>
      </c>
      <c r="F127">
        <v>115.23</v>
      </c>
      <c r="G127">
        <v>122.49000000000001</v>
      </c>
      <c r="H127">
        <v>71.61</v>
      </c>
    </row>
    <row r="128" spans="1:8" x14ac:dyDescent="0.25">
      <c r="A128" s="63">
        <f t="shared" si="1"/>
        <v>44323</v>
      </c>
      <c r="B128">
        <v>1105.0600000000002</v>
      </c>
      <c r="C128">
        <v>114.94</v>
      </c>
      <c r="D128">
        <v>409.73</v>
      </c>
      <c r="E128">
        <v>262.66000000000003</v>
      </c>
      <c r="F128">
        <v>123.12</v>
      </c>
      <c r="G128">
        <v>122.01</v>
      </c>
      <c r="H128">
        <v>72.599999999999994</v>
      </c>
    </row>
    <row r="129" spans="1:8" x14ac:dyDescent="0.25">
      <c r="A129" s="63">
        <f t="shared" si="1"/>
        <v>44324</v>
      </c>
      <c r="B129">
        <v>1149.26</v>
      </c>
      <c r="C129">
        <v>107.02</v>
      </c>
      <c r="D129">
        <v>432.47</v>
      </c>
      <c r="E129">
        <v>303.01</v>
      </c>
      <c r="F129">
        <v>119.7</v>
      </c>
      <c r="G129">
        <v>113.13</v>
      </c>
      <c r="H129">
        <v>73.930000000000007</v>
      </c>
    </row>
    <row r="130" spans="1:8" x14ac:dyDescent="0.25">
      <c r="A130" s="63">
        <f t="shared" si="1"/>
        <v>44325</v>
      </c>
      <c r="B130">
        <v>1139.51</v>
      </c>
      <c r="C130">
        <v>89.32</v>
      </c>
      <c r="D130">
        <v>456.54</v>
      </c>
      <c r="E130">
        <v>302.07</v>
      </c>
      <c r="F130">
        <v>115.8</v>
      </c>
      <c r="G130">
        <v>104.28</v>
      </c>
      <c r="H130">
        <v>71.5</v>
      </c>
    </row>
    <row r="131" spans="1:8" x14ac:dyDescent="0.25">
      <c r="A131" s="63">
        <f t="shared" si="1"/>
        <v>44326</v>
      </c>
      <c r="B131">
        <v>1119.79</v>
      </c>
      <c r="C131">
        <v>86.7</v>
      </c>
      <c r="D131">
        <v>459.66</v>
      </c>
      <c r="E131">
        <v>266.08999999999997</v>
      </c>
      <c r="F131">
        <v>127.3</v>
      </c>
      <c r="G131">
        <v>110.93</v>
      </c>
      <c r="H131">
        <v>69.11</v>
      </c>
    </row>
    <row r="132" spans="1:8" x14ac:dyDescent="0.25">
      <c r="A132" s="63">
        <f t="shared" ref="A132:A195" si="2">A131+1</f>
        <v>44327</v>
      </c>
      <c r="B132">
        <v>1169.2</v>
      </c>
      <c r="C132">
        <v>111.6</v>
      </c>
      <c r="D132">
        <v>466.24</v>
      </c>
      <c r="E132">
        <v>288.38</v>
      </c>
      <c r="F132">
        <v>115.34</v>
      </c>
      <c r="G132">
        <v>111.13</v>
      </c>
      <c r="H132">
        <v>76.510000000000005</v>
      </c>
    </row>
    <row r="133" spans="1:8" x14ac:dyDescent="0.25">
      <c r="A133" s="63">
        <f t="shared" si="2"/>
        <v>44328</v>
      </c>
      <c r="B133">
        <v>1125.28</v>
      </c>
      <c r="C133">
        <v>123.49</v>
      </c>
      <c r="D133">
        <v>432.96</v>
      </c>
      <c r="E133">
        <v>251.27</v>
      </c>
      <c r="F133">
        <v>127.87</v>
      </c>
      <c r="G133">
        <v>115.94</v>
      </c>
      <c r="H133">
        <v>73.75</v>
      </c>
    </row>
    <row r="134" spans="1:8" x14ac:dyDescent="0.25">
      <c r="A134" s="63">
        <f t="shared" si="2"/>
        <v>44329</v>
      </c>
      <c r="B134">
        <v>1100</v>
      </c>
      <c r="C134">
        <v>114.16</v>
      </c>
      <c r="D134">
        <v>443.78</v>
      </c>
      <c r="E134">
        <v>236.4</v>
      </c>
      <c r="F134">
        <v>112.86</v>
      </c>
      <c r="G134">
        <v>116.77</v>
      </c>
      <c r="H134">
        <v>76.03</v>
      </c>
    </row>
    <row r="135" spans="1:8" x14ac:dyDescent="0.25">
      <c r="A135" s="63">
        <f t="shared" si="2"/>
        <v>44330</v>
      </c>
      <c r="B135">
        <v>1034.53</v>
      </c>
      <c r="C135">
        <v>92.61</v>
      </c>
      <c r="D135">
        <v>405.51</v>
      </c>
      <c r="E135">
        <v>257.99</v>
      </c>
      <c r="F135">
        <v>101.61</v>
      </c>
      <c r="G135">
        <v>103.76</v>
      </c>
      <c r="H135">
        <v>73.05</v>
      </c>
    </row>
    <row r="136" spans="1:8" x14ac:dyDescent="0.25">
      <c r="A136" s="63">
        <f t="shared" si="2"/>
        <v>44331</v>
      </c>
      <c r="B136">
        <v>1043.1600000000001</v>
      </c>
      <c r="C136">
        <v>90.35</v>
      </c>
      <c r="D136">
        <v>414.03</v>
      </c>
      <c r="E136">
        <v>255.72</v>
      </c>
      <c r="F136">
        <v>112.09</v>
      </c>
      <c r="G136">
        <v>100.26</v>
      </c>
      <c r="H136">
        <v>70.709999999999994</v>
      </c>
    </row>
    <row r="137" spans="1:8" x14ac:dyDescent="0.25">
      <c r="A137" s="63">
        <f t="shared" si="2"/>
        <v>44332</v>
      </c>
      <c r="B137">
        <v>1077.18</v>
      </c>
      <c r="C137">
        <v>94.45</v>
      </c>
      <c r="D137">
        <v>449.85</v>
      </c>
      <c r="E137">
        <v>262.68</v>
      </c>
      <c r="F137">
        <v>105.57</v>
      </c>
      <c r="G137">
        <v>94.2</v>
      </c>
      <c r="H137">
        <v>70.430000000000007</v>
      </c>
    </row>
    <row r="138" spans="1:8" x14ac:dyDescent="0.25">
      <c r="A138" s="63">
        <f t="shared" si="2"/>
        <v>44333</v>
      </c>
      <c r="B138">
        <v>1080.94</v>
      </c>
      <c r="C138">
        <v>99.06</v>
      </c>
      <c r="D138">
        <v>422.41</v>
      </c>
      <c r="E138">
        <v>267.52</v>
      </c>
      <c r="F138">
        <v>109.12</v>
      </c>
      <c r="G138">
        <v>112.38000000000001</v>
      </c>
      <c r="H138">
        <v>70.449999999999989</v>
      </c>
    </row>
    <row r="139" spans="1:8" x14ac:dyDescent="0.25">
      <c r="A139" s="63">
        <f t="shared" si="2"/>
        <v>44334</v>
      </c>
      <c r="B139">
        <v>1139.1000000000001</v>
      </c>
      <c r="C139">
        <v>119.15</v>
      </c>
      <c r="D139">
        <v>451.19</v>
      </c>
      <c r="E139">
        <v>265.57</v>
      </c>
      <c r="F139">
        <v>109.5</v>
      </c>
      <c r="G139">
        <v>118.65</v>
      </c>
      <c r="H139">
        <v>75.040000000000006</v>
      </c>
    </row>
    <row r="140" spans="1:8" x14ac:dyDescent="0.25">
      <c r="A140" s="63">
        <f t="shared" si="2"/>
        <v>44335</v>
      </c>
      <c r="B140">
        <v>1094.1099999999999</v>
      </c>
      <c r="C140">
        <v>109.52</v>
      </c>
      <c r="D140">
        <v>413.08</v>
      </c>
      <c r="E140">
        <v>268.11</v>
      </c>
      <c r="F140">
        <v>109.89</v>
      </c>
      <c r="G140">
        <v>120.3</v>
      </c>
      <c r="H140">
        <v>73.209999999999994</v>
      </c>
    </row>
    <row r="141" spans="1:8" x14ac:dyDescent="0.25">
      <c r="A141" s="63">
        <f t="shared" si="2"/>
        <v>44336</v>
      </c>
      <c r="B141">
        <v>1093.1500000000001</v>
      </c>
      <c r="C141">
        <v>97.75</v>
      </c>
      <c r="D141">
        <v>417.63</v>
      </c>
      <c r="E141">
        <v>282.73</v>
      </c>
      <c r="F141">
        <v>106.22</v>
      </c>
      <c r="G141">
        <v>114.4</v>
      </c>
      <c r="H141">
        <v>74.42</v>
      </c>
    </row>
    <row r="142" spans="1:8" x14ac:dyDescent="0.25">
      <c r="A142" s="63">
        <f t="shared" si="2"/>
        <v>44337</v>
      </c>
      <c r="B142">
        <v>1131.7</v>
      </c>
      <c r="C142">
        <v>125.06</v>
      </c>
      <c r="D142">
        <v>448.68</v>
      </c>
      <c r="E142">
        <v>281.52</v>
      </c>
      <c r="F142">
        <v>101.47</v>
      </c>
      <c r="G142">
        <v>99.95</v>
      </c>
      <c r="H142">
        <v>75.02</v>
      </c>
    </row>
    <row r="143" spans="1:8" x14ac:dyDescent="0.25">
      <c r="A143" s="63">
        <f t="shared" si="2"/>
        <v>44338</v>
      </c>
      <c r="B143">
        <v>1059.27</v>
      </c>
      <c r="C143">
        <v>94.27</v>
      </c>
      <c r="D143">
        <v>440.93</v>
      </c>
      <c r="E143">
        <v>241.49</v>
      </c>
      <c r="F143">
        <v>101.89</v>
      </c>
      <c r="G143">
        <v>107.71</v>
      </c>
      <c r="H143">
        <v>72.98</v>
      </c>
    </row>
    <row r="144" spans="1:8" x14ac:dyDescent="0.25">
      <c r="A144" s="63">
        <f t="shared" si="2"/>
        <v>44339</v>
      </c>
      <c r="B144">
        <v>1078.29</v>
      </c>
      <c r="C144">
        <v>108.44</v>
      </c>
      <c r="D144">
        <v>432.8</v>
      </c>
      <c r="E144">
        <v>250.43</v>
      </c>
      <c r="F144">
        <v>108.17</v>
      </c>
      <c r="G144">
        <v>104.61</v>
      </c>
      <c r="H144">
        <v>73.84</v>
      </c>
    </row>
    <row r="145" spans="1:8" x14ac:dyDescent="0.25">
      <c r="A145" s="63">
        <f t="shared" si="2"/>
        <v>44340</v>
      </c>
      <c r="B145">
        <v>1042.94</v>
      </c>
      <c r="C145">
        <v>103.62</v>
      </c>
      <c r="D145">
        <v>426.9</v>
      </c>
      <c r="E145">
        <v>215.18</v>
      </c>
      <c r="F145">
        <v>107.36</v>
      </c>
      <c r="G145">
        <v>114.42</v>
      </c>
      <c r="H145">
        <v>75.459999999999994</v>
      </c>
    </row>
    <row r="146" spans="1:8" x14ac:dyDescent="0.25">
      <c r="A146" s="63">
        <f t="shared" si="2"/>
        <v>44341</v>
      </c>
      <c r="B146">
        <v>1060.77</v>
      </c>
      <c r="C146">
        <v>101.72</v>
      </c>
      <c r="D146">
        <v>434.94</v>
      </c>
      <c r="E146">
        <v>228.62</v>
      </c>
      <c r="F146">
        <v>101.12</v>
      </c>
      <c r="G146">
        <v>116.57000000000001</v>
      </c>
      <c r="H146">
        <v>77.8</v>
      </c>
    </row>
    <row r="147" spans="1:8" x14ac:dyDescent="0.25">
      <c r="A147" s="63">
        <f t="shared" si="2"/>
        <v>44342</v>
      </c>
      <c r="B147">
        <v>1142.74</v>
      </c>
      <c r="C147">
        <v>119.83</v>
      </c>
      <c r="D147">
        <v>452.54</v>
      </c>
      <c r="E147">
        <v>276.32</v>
      </c>
      <c r="F147">
        <v>101.55999999999999</v>
      </c>
      <c r="G147">
        <v>116.01</v>
      </c>
      <c r="H147">
        <v>76.48</v>
      </c>
    </row>
    <row r="148" spans="1:8" x14ac:dyDescent="0.25">
      <c r="A148" s="63">
        <f t="shared" si="2"/>
        <v>44343</v>
      </c>
      <c r="B148">
        <v>1141.75</v>
      </c>
      <c r="C148">
        <v>113.77</v>
      </c>
      <c r="D148">
        <v>441.13</v>
      </c>
      <c r="E148">
        <v>277.01</v>
      </c>
      <c r="F148">
        <v>109.95</v>
      </c>
      <c r="G148">
        <v>123.02</v>
      </c>
      <c r="H148">
        <v>76.87</v>
      </c>
    </row>
    <row r="149" spans="1:8" x14ac:dyDescent="0.25">
      <c r="A149" s="63">
        <f t="shared" si="2"/>
        <v>44344</v>
      </c>
      <c r="B149">
        <v>1121.8699999999999</v>
      </c>
      <c r="C149">
        <v>111.25</v>
      </c>
      <c r="D149">
        <v>455.95</v>
      </c>
      <c r="E149">
        <v>257.24</v>
      </c>
      <c r="F149">
        <v>111.29</v>
      </c>
      <c r="G149">
        <v>110.36</v>
      </c>
      <c r="H149">
        <v>75.78</v>
      </c>
    </row>
    <row r="150" spans="1:8" x14ac:dyDescent="0.25">
      <c r="A150" s="63">
        <f t="shared" si="2"/>
        <v>44345</v>
      </c>
      <c r="B150">
        <v>1106.24</v>
      </c>
      <c r="C150">
        <v>104.45</v>
      </c>
      <c r="D150">
        <v>438.74</v>
      </c>
      <c r="E150">
        <v>273.91000000000003</v>
      </c>
      <c r="F150">
        <v>108.57</v>
      </c>
      <c r="G150">
        <v>104.86</v>
      </c>
      <c r="H150">
        <v>75.709999999999994</v>
      </c>
    </row>
    <row r="151" spans="1:8" x14ac:dyDescent="0.25">
      <c r="A151" s="63">
        <f t="shared" si="2"/>
        <v>44346</v>
      </c>
      <c r="B151">
        <v>1092.73</v>
      </c>
      <c r="C151">
        <v>111.93</v>
      </c>
      <c r="D151">
        <v>437.4</v>
      </c>
      <c r="E151">
        <v>262.25</v>
      </c>
      <c r="F151">
        <v>97.94</v>
      </c>
      <c r="G151">
        <v>106.06</v>
      </c>
      <c r="H151">
        <v>77.150000000000006</v>
      </c>
    </row>
    <row r="152" spans="1:8" x14ac:dyDescent="0.25">
      <c r="A152" s="63">
        <f t="shared" si="2"/>
        <v>44347</v>
      </c>
      <c r="B152">
        <v>931.32</v>
      </c>
      <c r="C152">
        <v>99.13</v>
      </c>
      <c r="D152">
        <v>444.6</v>
      </c>
      <c r="E152">
        <v>99.27</v>
      </c>
      <c r="F152">
        <v>96.21</v>
      </c>
      <c r="G152">
        <v>118.23</v>
      </c>
      <c r="H152">
        <v>73.88</v>
      </c>
    </row>
    <row r="153" spans="1:8" x14ac:dyDescent="0.25">
      <c r="A153" s="63">
        <f t="shared" si="2"/>
        <v>44348</v>
      </c>
      <c r="B153">
        <v>1120.1600000000001</v>
      </c>
      <c r="C153">
        <v>106.75</v>
      </c>
      <c r="D153">
        <v>429</v>
      </c>
      <c r="E153">
        <v>285.35000000000002</v>
      </c>
      <c r="F153">
        <v>106.18</v>
      </c>
      <c r="G153">
        <v>125.2</v>
      </c>
      <c r="H153">
        <v>67.680000000000007</v>
      </c>
    </row>
    <row r="154" spans="1:8" x14ac:dyDescent="0.25">
      <c r="A154" s="63">
        <f t="shared" si="2"/>
        <v>44349</v>
      </c>
      <c r="B154">
        <v>1132.07</v>
      </c>
      <c r="C154">
        <v>104.13</v>
      </c>
      <c r="D154">
        <v>461.88</v>
      </c>
      <c r="E154">
        <v>283.94</v>
      </c>
      <c r="F154">
        <v>101.2</v>
      </c>
      <c r="G154">
        <v>109.61</v>
      </c>
      <c r="H154">
        <v>71.31</v>
      </c>
    </row>
    <row r="155" spans="1:8" x14ac:dyDescent="0.25">
      <c r="A155" s="63">
        <f t="shared" si="2"/>
        <v>44350</v>
      </c>
      <c r="B155">
        <v>1119.5999999999999</v>
      </c>
      <c r="C155">
        <v>115.59</v>
      </c>
      <c r="D155">
        <v>466.14</v>
      </c>
      <c r="E155">
        <v>273.27999999999997</v>
      </c>
      <c r="F155">
        <v>82.2</v>
      </c>
      <c r="G155">
        <v>113.34</v>
      </c>
      <c r="H155">
        <v>69.05</v>
      </c>
    </row>
    <row r="156" spans="1:8" x14ac:dyDescent="0.25">
      <c r="A156" s="63">
        <f t="shared" si="2"/>
        <v>44351</v>
      </c>
      <c r="B156">
        <v>1091.0199999999998</v>
      </c>
      <c r="C156">
        <v>99.42</v>
      </c>
      <c r="D156">
        <v>445.49</v>
      </c>
      <c r="E156">
        <v>270.89999999999998</v>
      </c>
      <c r="F156">
        <v>87.29</v>
      </c>
      <c r="G156">
        <v>118.06</v>
      </c>
      <c r="H156">
        <v>69.86</v>
      </c>
    </row>
    <row r="157" spans="1:8" x14ac:dyDescent="0.25">
      <c r="A157" s="63">
        <f t="shared" si="2"/>
        <v>44352</v>
      </c>
      <c r="B157">
        <v>1094.8799999999999</v>
      </c>
      <c r="C157">
        <v>107.22</v>
      </c>
      <c r="D157">
        <v>426.13</v>
      </c>
      <c r="E157">
        <v>277.52999999999997</v>
      </c>
      <c r="F157">
        <v>99.9</v>
      </c>
      <c r="G157">
        <v>117.07</v>
      </c>
      <c r="H157">
        <v>67.03</v>
      </c>
    </row>
    <row r="158" spans="1:8" x14ac:dyDescent="0.25">
      <c r="A158" s="63">
        <f t="shared" si="2"/>
        <v>44353</v>
      </c>
      <c r="B158">
        <v>961.96</v>
      </c>
      <c r="C158">
        <v>97.7</v>
      </c>
      <c r="D158">
        <v>362.12</v>
      </c>
      <c r="E158">
        <v>229.56</v>
      </c>
      <c r="F158">
        <v>100.7</v>
      </c>
      <c r="G158">
        <v>104.95</v>
      </c>
      <c r="H158">
        <v>66.930000000000007</v>
      </c>
    </row>
    <row r="159" spans="1:8" x14ac:dyDescent="0.25">
      <c r="A159" s="63">
        <f t="shared" si="2"/>
        <v>44354</v>
      </c>
      <c r="B159">
        <v>1093.1599999999999</v>
      </c>
      <c r="C159">
        <v>119.22</v>
      </c>
      <c r="D159">
        <v>411.9</v>
      </c>
      <c r="E159">
        <v>273.12</v>
      </c>
      <c r="F159">
        <v>102.96</v>
      </c>
      <c r="G159">
        <v>122.63</v>
      </c>
      <c r="H159">
        <v>63.33</v>
      </c>
    </row>
    <row r="160" spans="1:8" x14ac:dyDescent="0.25">
      <c r="A160" s="63">
        <f t="shared" si="2"/>
        <v>44355</v>
      </c>
      <c r="B160">
        <v>1112.53</v>
      </c>
      <c r="C160">
        <v>116.68</v>
      </c>
      <c r="D160">
        <v>426.93</v>
      </c>
      <c r="E160">
        <v>276.38</v>
      </c>
      <c r="F160">
        <v>110.56</v>
      </c>
      <c r="G160">
        <v>110.79</v>
      </c>
      <c r="H160">
        <v>71.19</v>
      </c>
    </row>
    <row r="161" spans="1:8" x14ac:dyDescent="0.25">
      <c r="A161" s="63">
        <f t="shared" si="2"/>
        <v>44356</v>
      </c>
      <c r="B161">
        <v>1156.49</v>
      </c>
      <c r="C161">
        <v>114.03</v>
      </c>
      <c r="D161">
        <v>455.01</v>
      </c>
      <c r="E161">
        <v>289.25</v>
      </c>
      <c r="F161">
        <v>113.41</v>
      </c>
      <c r="G161">
        <v>116.3</v>
      </c>
      <c r="H161">
        <v>68.489999999999995</v>
      </c>
    </row>
    <row r="162" spans="1:8" x14ac:dyDescent="0.25">
      <c r="A162" s="63">
        <f t="shared" si="2"/>
        <v>44357</v>
      </c>
      <c r="B162">
        <v>1149.3400000000001</v>
      </c>
      <c r="C162">
        <v>126.94</v>
      </c>
      <c r="D162">
        <v>436.39</v>
      </c>
      <c r="E162">
        <v>298.18</v>
      </c>
      <c r="F162">
        <v>104.42</v>
      </c>
      <c r="G162">
        <v>114.02</v>
      </c>
      <c r="H162">
        <v>69.39</v>
      </c>
    </row>
    <row r="163" spans="1:8" x14ac:dyDescent="0.25">
      <c r="A163" s="63">
        <f t="shared" si="2"/>
        <v>44358</v>
      </c>
      <c r="B163">
        <v>1133.4599999999998</v>
      </c>
      <c r="C163">
        <v>98.58</v>
      </c>
      <c r="D163">
        <v>456.17</v>
      </c>
      <c r="E163">
        <v>294.82</v>
      </c>
      <c r="F163">
        <v>96.48</v>
      </c>
      <c r="G163">
        <v>118.08</v>
      </c>
      <c r="H163">
        <v>69.33</v>
      </c>
    </row>
    <row r="164" spans="1:8" x14ac:dyDescent="0.25">
      <c r="A164" s="63">
        <f t="shared" si="2"/>
        <v>44359</v>
      </c>
      <c r="B164">
        <v>1085.4199999999998</v>
      </c>
      <c r="C164">
        <v>119.76</v>
      </c>
      <c r="D164">
        <v>392.39</v>
      </c>
      <c r="E164">
        <v>300.41000000000003</v>
      </c>
      <c r="F164">
        <v>89.05</v>
      </c>
      <c r="G164">
        <v>115.45</v>
      </c>
      <c r="H164">
        <v>68.36</v>
      </c>
    </row>
    <row r="165" spans="1:8" x14ac:dyDescent="0.25">
      <c r="A165" s="63">
        <f t="shared" si="2"/>
        <v>44360</v>
      </c>
      <c r="B165">
        <v>984.75</v>
      </c>
      <c r="C165">
        <v>99.05</v>
      </c>
      <c r="D165">
        <v>353.83</v>
      </c>
      <c r="E165">
        <v>229.41</v>
      </c>
      <c r="F165">
        <v>110.23</v>
      </c>
      <c r="G165">
        <v>124.36</v>
      </c>
      <c r="H165">
        <v>67.87</v>
      </c>
    </row>
    <row r="166" spans="1:8" x14ac:dyDescent="0.25">
      <c r="A166" s="63">
        <f t="shared" si="2"/>
        <v>44361</v>
      </c>
      <c r="B166">
        <v>1092.48</v>
      </c>
      <c r="C166">
        <v>98.17</v>
      </c>
      <c r="D166">
        <v>409.69</v>
      </c>
      <c r="E166">
        <v>293.02999999999997</v>
      </c>
      <c r="F166">
        <v>105.16</v>
      </c>
      <c r="G166">
        <v>117.71</v>
      </c>
      <c r="H166">
        <v>68.72</v>
      </c>
    </row>
    <row r="167" spans="1:8" x14ac:dyDescent="0.25">
      <c r="A167" s="63">
        <f t="shared" si="2"/>
        <v>44362</v>
      </c>
      <c r="B167">
        <v>1063.9499999999998</v>
      </c>
      <c r="C167">
        <v>82.67</v>
      </c>
      <c r="D167">
        <v>401.86</v>
      </c>
      <c r="E167">
        <v>272.83</v>
      </c>
      <c r="F167">
        <v>108.54</v>
      </c>
      <c r="G167">
        <v>121.8</v>
      </c>
      <c r="H167">
        <v>76.25</v>
      </c>
    </row>
    <row r="168" spans="1:8" x14ac:dyDescent="0.25">
      <c r="A168" s="63">
        <f t="shared" si="2"/>
        <v>44363</v>
      </c>
      <c r="B168">
        <v>1080.6500000000001</v>
      </c>
      <c r="C168">
        <v>104.65</v>
      </c>
      <c r="D168">
        <v>434.56</v>
      </c>
      <c r="E168">
        <v>263.73</v>
      </c>
      <c r="F168">
        <v>99.89</v>
      </c>
      <c r="G168">
        <v>105.77</v>
      </c>
      <c r="H168">
        <v>72.05</v>
      </c>
    </row>
    <row r="169" spans="1:8" x14ac:dyDescent="0.25">
      <c r="A169" s="63">
        <f t="shared" si="2"/>
        <v>44364</v>
      </c>
      <c r="B169">
        <v>1121.81</v>
      </c>
      <c r="C169">
        <v>96.57</v>
      </c>
      <c r="D169">
        <v>441.31</v>
      </c>
      <c r="E169">
        <v>284.45</v>
      </c>
      <c r="F169">
        <v>112.44</v>
      </c>
      <c r="G169">
        <v>116.17</v>
      </c>
      <c r="H169">
        <v>70.87</v>
      </c>
    </row>
    <row r="170" spans="1:8" x14ac:dyDescent="0.25">
      <c r="A170" s="63">
        <f t="shared" si="2"/>
        <v>44365</v>
      </c>
      <c r="B170">
        <v>1148.48</v>
      </c>
      <c r="C170">
        <v>105.36</v>
      </c>
      <c r="D170">
        <v>444.14</v>
      </c>
      <c r="E170">
        <v>296.58</v>
      </c>
      <c r="F170">
        <v>112.02</v>
      </c>
      <c r="G170">
        <v>117.91</v>
      </c>
      <c r="H170">
        <v>72.47</v>
      </c>
    </row>
    <row r="171" spans="1:8" x14ac:dyDescent="0.25">
      <c r="A171" s="63">
        <f t="shared" si="2"/>
        <v>44366</v>
      </c>
      <c r="B171">
        <v>1170.3000000000002</v>
      </c>
      <c r="C171">
        <v>105.78</v>
      </c>
      <c r="D171">
        <v>470.18</v>
      </c>
      <c r="E171">
        <v>299.18</v>
      </c>
      <c r="F171">
        <v>116.09</v>
      </c>
      <c r="G171">
        <v>106.78</v>
      </c>
      <c r="H171">
        <v>72.290000000000006</v>
      </c>
    </row>
    <row r="172" spans="1:8" x14ac:dyDescent="0.25">
      <c r="A172" s="63">
        <f t="shared" si="2"/>
        <v>44367</v>
      </c>
      <c r="B172">
        <v>1118.2299999999998</v>
      </c>
      <c r="C172">
        <v>98.44</v>
      </c>
      <c r="D172">
        <v>427.8</v>
      </c>
      <c r="E172">
        <v>299.83</v>
      </c>
      <c r="F172">
        <v>115.74</v>
      </c>
      <c r="G172">
        <v>104.57</v>
      </c>
      <c r="H172">
        <v>71.849999999999994</v>
      </c>
    </row>
    <row r="173" spans="1:8" x14ac:dyDescent="0.25">
      <c r="A173" s="63">
        <f t="shared" si="2"/>
        <v>44368</v>
      </c>
      <c r="B173">
        <v>1004.99</v>
      </c>
      <c r="C173">
        <v>65.680000000000007</v>
      </c>
      <c r="D173">
        <v>385.47</v>
      </c>
      <c r="E173">
        <v>262.64999999999998</v>
      </c>
      <c r="F173">
        <v>117.63</v>
      </c>
      <c r="G173">
        <v>106.12</v>
      </c>
      <c r="H173">
        <v>67.44</v>
      </c>
    </row>
    <row r="174" spans="1:8" x14ac:dyDescent="0.25">
      <c r="A174" s="63">
        <f t="shared" si="2"/>
        <v>44369</v>
      </c>
      <c r="B174">
        <v>1095.8499999999999</v>
      </c>
      <c r="C174">
        <v>125.46</v>
      </c>
      <c r="D174">
        <v>448.81</v>
      </c>
      <c r="E174">
        <v>234.34</v>
      </c>
      <c r="F174">
        <v>117.65</v>
      </c>
      <c r="G174">
        <v>101.63</v>
      </c>
      <c r="H174">
        <v>67.959999999999994</v>
      </c>
    </row>
    <row r="175" spans="1:8" x14ac:dyDescent="0.25">
      <c r="A175" s="63">
        <f t="shared" si="2"/>
        <v>44370</v>
      </c>
      <c r="B175">
        <v>1044.5</v>
      </c>
      <c r="C175">
        <v>92.94</v>
      </c>
      <c r="D175">
        <v>418.83</v>
      </c>
      <c r="E175">
        <v>264.89</v>
      </c>
      <c r="F175">
        <v>110.54</v>
      </c>
      <c r="G175">
        <v>107.78</v>
      </c>
      <c r="H175">
        <v>49.52</v>
      </c>
    </row>
    <row r="176" spans="1:8" x14ac:dyDescent="0.25">
      <c r="A176" s="63">
        <f t="shared" si="2"/>
        <v>44371</v>
      </c>
      <c r="B176">
        <v>1075.8500000000001</v>
      </c>
      <c r="C176">
        <v>114.37</v>
      </c>
      <c r="D176">
        <v>462.06</v>
      </c>
      <c r="E176">
        <v>231.04</v>
      </c>
      <c r="F176">
        <v>110.15</v>
      </c>
      <c r="G176">
        <v>105.32</v>
      </c>
      <c r="H176">
        <v>52.91</v>
      </c>
    </row>
    <row r="177" spans="1:8" x14ac:dyDescent="0.25">
      <c r="A177" s="63">
        <f t="shared" si="2"/>
        <v>44372</v>
      </c>
      <c r="B177">
        <v>1047.21</v>
      </c>
      <c r="C177">
        <v>105.96</v>
      </c>
      <c r="D177">
        <v>364.26</v>
      </c>
      <c r="E177">
        <v>274.70999999999998</v>
      </c>
      <c r="F177">
        <v>119.26</v>
      </c>
      <c r="G177">
        <v>110.75</v>
      </c>
      <c r="H177">
        <v>72.27</v>
      </c>
    </row>
    <row r="178" spans="1:8" x14ac:dyDescent="0.25">
      <c r="A178" s="63">
        <f t="shared" si="2"/>
        <v>44373</v>
      </c>
      <c r="B178">
        <v>1076.4599999999998</v>
      </c>
      <c r="C178">
        <v>98.55</v>
      </c>
      <c r="D178">
        <v>440.78</v>
      </c>
      <c r="E178">
        <v>235.04</v>
      </c>
      <c r="F178">
        <v>112.76</v>
      </c>
      <c r="G178">
        <v>116.82</v>
      </c>
      <c r="H178">
        <v>72.510000000000005</v>
      </c>
    </row>
    <row r="179" spans="1:8" x14ac:dyDescent="0.25">
      <c r="A179" s="63">
        <f t="shared" si="2"/>
        <v>44374</v>
      </c>
      <c r="B179">
        <v>996.1</v>
      </c>
      <c r="C179">
        <v>80.33</v>
      </c>
      <c r="D179">
        <v>355.36</v>
      </c>
      <c r="E179">
        <v>271.56</v>
      </c>
      <c r="F179">
        <v>113.4</v>
      </c>
      <c r="G179">
        <v>102.58999999999999</v>
      </c>
      <c r="H179">
        <v>72.86</v>
      </c>
    </row>
    <row r="180" spans="1:8" x14ac:dyDescent="0.25">
      <c r="A180" s="63">
        <f t="shared" si="2"/>
        <v>44375</v>
      </c>
      <c r="B180">
        <v>1037.17</v>
      </c>
      <c r="C180">
        <v>94.48</v>
      </c>
      <c r="D180">
        <v>424.08</v>
      </c>
      <c r="E180">
        <v>213.9</v>
      </c>
      <c r="F180">
        <v>118.48</v>
      </c>
      <c r="G180">
        <v>111.32</v>
      </c>
      <c r="H180">
        <v>74.91</v>
      </c>
    </row>
    <row r="181" spans="1:8" x14ac:dyDescent="0.25">
      <c r="A181" s="63">
        <f t="shared" si="2"/>
        <v>44376</v>
      </c>
      <c r="B181">
        <v>995.07999999999993</v>
      </c>
      <c r="C181">
        <v>90.88</v>
      </c>
      <c r="D181">
        <v>419.36</v>
      </c>
      <c r="E181">
        <v>191.06</v>
      </c>
      <c r="F181">
        <v>113.94</v>
      </c>
      <c r="G181">
        <v>107.77</v>
      </c>
      <c r="H181">
        <v>72.069999999999993</v>
      </c>
    </row>
    <row r="182" spans="1:8" x14ac:dyDescent="0.25">
      <c r="A182" s="63">
        <f t="shared" si="2"/>
        <v>44377</v>
      </c>
      <c r="B182">
        <v>1096.49</v>
      </c>
      <c r="C182">
        <v>100.87</v>
      </c>
      <c r="D182">
        <v>436.43</v>
      </c>
      <c r="E182">
        <v>260.86</v>
      </c>
      <c r="F182">
        <v>110.62</v>
      </c>
      <c r="G182">
        <v>114.29</v>
      </c>
      <c r="H182">
        <v>73.42</v>
      </c>
    </row>
    <row r="183" spans="1:8" x14ac:dyDescent="0.25">
      <c r="A183" s="63">
        <f t="shared" si="2"/>
        <v>44378</v>
      </c>
      <c r="B183">
        <v>1072.3899999999999</v>
      </c>
      <c r="C183">
        <v>98.64</v>
      </c>
      <c r="D183">
        <v>441.02</v>
      </c>
      <c r="E183">
        <v>235.41</v>
      </c>
      <c r="F183">
        <v>113.23</v>
      </c>
      <c r="G183">
        <v>110.53</v>
      </c>
      <c r="H183">
        <v>73.56</v>
      </c>
    </row>
    <row r="184" spans="1:8" x14ac:dyDescent="0.25">
      <c r="A184" s="63">
        <f t="shared" si="2"/>
        <v>44379</v>
      </c>
      <c r="B184">
        <v>1057.48</v>
      </c>
      <c r="C184">
        <v>73.569999999999993</v>
      </c>
      <c r="D184">
        <v>410.53</v>
      </c>
      <c r="E184">
        <v>267.74</v>
      </c>
      <c r="F184">
        <v>117.32</v>
      </c>
      <c r="G184">
        <v>113.68</v>
      </c>
      <c r="H184">
        <v>74.64</v>
      </c>
    </row>
    <row r="185" spans="1:8" x14ac:dyDescent="0.25">
      <c r="A185" s="63">
        <f t="shared" si="2"/>
        <v>44380</v>
      </c>
      <c r="B185">
        <v>1063.3500000000001</v>
      </c>
      <c r="C185">
        <v>95.76</v>
      </c>
      <c r="D185">
        <v>472.73</v>
      </c>
      <c r="E185">
        <v>213.75</v>
      </c>
      <c r="F185">
        <v>116.25</v>
      </c>
      <c r="G185">
        <v>92.6</v>
      </c>
      <c r="H185">
        <v>72.260000000000005</v>
      </c>
    </row>
    <row r="186" spans="1:8" x14ac:dyDescent="0.25">
      <c r="A186" s="63">
        <f t="shared" si="2"/>
        <v>44381</v>
      </c>
      <c r="B186">
        <v>1068.1299999999999</v>
      </c>
      <c r="C186">
        <v>93.69</v>
      </c>
      <c r="D186">
        <v>420.96</v>
      </c>
      <c r="E186">
        <v>256.49</v>
      </c>
      <c r="F186">
        <v>116.05</v>
      </c>
      <c r="G186">
        <v>108.64999999999999</v>
      </c>
      <c r="H186">
        <v>72.290000000000006</v>
      </c>
    </row>
    <row r="187" spans="1:8" x14ac:dyDescent="0.25">
      <c r="A187" s="63">
        <f t="shared" si="2"/>
        <v>44382</v>
      </c>
      <c r="B187">
        <v>1089.31</v>
      </c>
      <c r="C187">
        <v>100.26</v>
      </c>
      <c r="D187">
        <v>422.74</v>
      </c>
      <c r="E187">
        <v>250.25</v>
      </c>
      <c r="F187">
        <v>124.52</v>
      </c>
      <c r="G187">
        <v>114.42</v>
      </c>
      <c r="H187">
        <v>77.12</v>
      </c>
    </row>
    <row r="188" spans="1:8" x14ac:dyDescent="0.25">
      <c r="A188" s="63">
        <f t="shared" si="2"/>
        <v>44383</v>
      </c>
      <c r="B188">
        <v>979.24000000000012</v>
      </c>
      <c r="C188">
        <v>99.42</v>
      </c>
      <c r="D188">
        <v>390.64</v>
      </c>
      <c r="E188">
        <v>210.61</v>
      </c>
      <c r="F188">
        <v>104.19</v>
      </c>
      <c r="G188">
        <v>98.5</v>
      </c>
      <c r="H188">
        <v>75.88</v>
      </c>
    </row>
    <row r="189" spans="1:8" x14ac:dyDescent="0.25">
      <c r="A189" s="63">
        <f t="shared" si="2"/>
        <v>44384</v>
      </c>
      <c r="B189">
        <v>959.53</v>
      </c>
      <c r="C189">
        <v>88</v>
      </c>
      <c r="D189">
        <v>363.46</v>
      </c>
      <c r="E189">
        <v>218.20999999999998</v>
      </c>
      <c r="F189">
        <v>117.07000000000001</v>
      </c>
      <c r="G189">
        <v>98.55</v>
      </c>
      <c r="H189">
        <v>74.240000000000009</v>
      </c>
    </row>
    <row r="190" spans="1:8" x14ac:dyDescent="0.25">
      <c r="A190" s="63">
        <f t="shared" si="2"/>
        <v>44385</v>
      </c>
      <c r="B190">
        <v>1072.74</v>
      </c>
      <c r="C190">
        <v>110.83</v>
      </c>
      <c r="D190">
        <v>421.2</v>
      </c>
      <c r="E190">
        <v>241.25</v>
      </c>
      <c r="F190">
        <v>119.18</v>
      </c>
      <c r="G190">
        <v>101.56</v>
      </c>
      <c r="H190">
        <v>78.72</v>
      </c>
    </row>
    <row r="191" spans="1:8" x14ac:dyDescent="0.25">
      <c r="A191" s="63">
        <f t="shared" si="2"/>
        <v>44386</v>
      </c>
      <c r="B191">
        <v>1024.3900000000001</v>
      </c>
      <c r="C191">
        <v>63.74</v>
      </c>
      <c r="D191">
        <v>429.97</v>
      </c>
      <c r="E191">
        <v>239.72</v>
      </c>
      <c r="F191">
        <v>114.82</v>
      </c>
      <c r="G191">
        <v>98.7</v>
      </c>
      <c r="H191">
        <v>77.44</v>
      </c>
    </row>
    <row r="192" spans="1:8" x14ac:dyDescent="0.25">
      <c r="A192" s="63">
        <f t="shared" si="2"/>
        <v>44387</v>
      </c>
      <c r="B192">
        <v>997.16000000000008</v>
      </c>
      <c r="C192">
        <v>94.04</v>
      </c>
      <c r="D192">
        <v>413</v>
      </c>
      <c r="E192">
        <v>206.36</v>
      </c>
      <c r="F192">
        <v>119.92</v>
      </c>
      <c r="G192">
        <v>87.14</v>
      </c>
      <c r="H192">
        <v>76.7</v>
      </c>
    </row>
    <row r="193" spans="1:8" x14ac:dyDescent="0.25">
      <c r="A193" s="63">
        <f t="shared" si="2"/>
        <v>44388</v>
      </c>
      <c r="B193">
        <v>968.91</v>
      </c>
      <c r="C193">
        <v>95.5</v>
      </c>
      <c r="D193">
        <v>395.66</v>
      </c>
      <c r="E193">
        <v>194.21</v>
      </c>
      <c r="F193">
        <v>109.19</v>
      </c>
      <c r="G193">
        <v>97.87</v>
      </c>
      <c r="H193">
        <v>76.48</v>
      </c>
    </row>
    <row r="194" spans="1:8" x14ac:dyDescent="0.25">
      <c r="A194" s="63">
        <f t="shared" si="2"/>
        <v>44389</v>
      </c>
      <c r="B194">
        <v>1029.7299999999998</v>
      </c>
      <c r="C194">
        <v>92.83</v>
      </c>
      <c r="D194">
        <v>364.66</v>
      </c>
      <c r="E194">
        <v>254.29</v>
      </c>
      <c r="F194">
        <v>126.57</v>
      </c>
      <c r="G194">
        <v>114.9</v>
      </c>
      <c r="H194">
        <v>76.48</v>
      </c>
    </row>
    <row r="195" spans="1:8" x14ac:dyDescent="0.25">
      <c r="A195" s="63">
        <f t="shared" si="2"/>
        <v>44390</v>
      </c>
      <c r="B195">
        <v>1019.6600000000001</v>
      </c>
      <c r="C195">
        <v>83.05</v>
      </c>
      <c r="D195">
        <v>372.49</v>
      </c>
      <c r="E195">
        <v>246.84</v>
      </c>
      <c r="F195">
        <v>120.23</v>
      </c>
      <c r="G195">
        <v>117.37</v>
      </c>
      <c r="H195">
        <v>79.680000000000007</v>
      </c>
    </row>
    <row r="196" spans="1:8" x14ac:dyDescent="0.25">
      <c r="A196" s="63">
        <f t="shared" ref="A196:A259" si="3">A195+1</f>
        <v>44391</v>
      </c>
      <c r="B196">
        <v>1023.2</v>
      </c>
      <c r="C196">
        <v>104.59</v>
      </c>
      <c r="D196">
        <v>402.37</v>
      </c>
      <c r="E196">
        <v>209.48</v>
      </c>
      <c r="F196">
        <v>119.09</v>
      </c>
      <c r="G196">
        <v>110.19</v>
      </c>
      <c r="H196">
        <v>77.48</v>
      </c>
    </row>
    <row r="197" spans="1:8" x14ac:dyDescent="0.25">
      <c r="A197" s="63">
        <f t="shared" si="3"/>
        <v>44392</v>
      </c>
      <c r="B197">
        <v>957.49999999999989</v>
      </c>
      <c r="C197">
        <v>84.48</v>
      </c>
      <c r="D197">
        <v>347.26</v>
      </c>
      <c r="E197">
        <v>224.56</v>
      </c>
      <c r="F197">
        <v>108.4</v>
      </c>
      <c r="G197">
        <v>117.92</v>
      </c>
      <c r="H197">
        <v>74.88</v>
      </c>
    </row>
    <row r="198" spans="1:8" x14ac:dyDescent="0.25">
      <c r="A198" s="63">
        <f t="shared" si="3"/>
        <v>44393</v>
      </c>
      <c r="B198">
        <v>965.34</v>
      </c>
      <c r="C198">
        <v>93.95</v>
      </c>
      <c r="D198">
        <v>347.66</v>
      </c>
      <c r="E198">
        <v>204.34</v>
      </c>
      <c r="F198">
        <v>133.35</v>
      </c>
      <c r="G198">
        <v>108.9</v>
      </c>
      <c r="H198">
        <v>77.14</v>
      </c>
    </row>
    <row r="199" spans="1:8" x14ac:dyDescent="0.25">
      <c r="A199" s="63">
        <f t="shared" si="3"/>
        <v>44394</v>
      </c>
      <c r="B199">
        <v>977.01999999999987</v>
      </c>
      <c r="C199">
        <v>77.930000000000007</v>
      </c>
      <c r="D199">
        <v>342.55</v>
      </c>
      <c r="E199">
        <v>259.64</v>
      </c>
      <c r="F199">
        <v>117.94</v>
      </c>
      <c r="G199">
        <v>102.31</v>
      </c>
      <c r="H199">
        <v>76.650000000000006</v>
      </c>
    </row>
    <row r="200" spans="1:8" x14ac:dyDescent="0.25">
      <c r="A200" s="63">
        <f t="shared" si="3"/>
        <v>44395</v>
      </c>
      <c r="B200">
        <v>985.13</v>
      </c>
      <c r="C200">
        <v>89.19</v>
      </c>
      <c r="D200">
        <v>351.97</v>
      </c>
      <c r="E200">
        <v>240.1</v>
      </c>
      <c r="F200">
        <v>126.38</v>
      </c>
      <c r="G200">
        <v>100.2</v>
      </c>
      <c r="H200">
        <v>77.290000000000006</v>
      </c>
    </row>
    <row r="201" spans="1:8" x14ac:dyDescent="0.25">
      <c r="A201" s="63">
        <f t="shared" si="3"/>
        <v>44396</v>
      </c>
      <c r="B201">
        <v>1026.56</v>
      </c>
      <c r="C201">
        <v>97.15</v>
      </c>
      <c r="D201">
        <v>392.21</v>
      </c>
      <c r="E201">
        <v>230.01</v>
      </c>
      <c r="F201">
        <v>117.22</v>
      </c>
      <c r="G201">
        <v>114.26</v>
      </c>
      <c r="H201">
        <v>75.709999999999994</v>
      </c>
    </row>
    <row r="202" spans="1:8" x14ac:dyDescent="0.25">
      <c r="A202" s="63">
        <f t="shared" si="3"/>
        <v>44397</v>
      </c>
      <c r="B202">
        <v>1056.4100000000001</v>
      </c>
      <c r="C202">
        <v>68.73</v>
      </c>
      <c r="D202">
        <v>409.76</v>
      </c>
      <c r="E202">
        <v>266.98</v>
      </c>
      <c r="F202">
        <v>129.91</v>
      </c>
      <c r="G202">
        <v>103.59</v>
      </c>
      <c r="H202">
        <v>77.44</v>
      </c>
    </row>
    <row r="203" spans="1:8" x14ac:dyDescent="0.25">
      <c r="A203" s="63">
        <f t="shared" si="3"/>
        <v>44398</v>
      </c>
      <c r="B203">
        <v>1085.3699999999999</v>
      </c>
      <c r="C203">
        <v>112.27</v>
      </c>
      <c r="D203">
        <v>429.38</v>
      </c>
      <c r="E203">
        <v>257.14</v>
      </c>
      <c r="F203">
        <v>106.3</v>
      </c>
      <c r="G203">
        <v>104.50999999999999</v>
      </c>
      <c r="H203">
        <v>75.77</v>
      </c>
    </row>
    <row r="204" spans="1:8" x14ac:dyDescent="0.25">
      <c r="A204" s="63">
        <f t="shared" si="3"/>
        <v>44399</v>
      </c>
      <c r="B204">
        <v>1079.31</v>
      </c>
      <c r="C204">
        <v>95.62</v>
      </c>
      <c r="D204">
        <v>416.69</v>
      </c>
      <c r="E204">
        <v>264.24</v>
      </c>
      <c r="F204">
        <v>120.23</v>
      </c>
      <c r="G204">
        <v>107.03</v>
      </c>
      <c r="H204">
        <v>75.5</v>
      </c>
    </row>
    <row r="205" spans="1:8" x14ac:dyDescent="0.25">
      <c r="A205" s="63">
        <f t="shared" si="3"/>
        <v>44400</v>
      </c>
      <c r="B205">
        <v>1061.68</v>
      </c>
      <c r="C205">
        <v>74.739999999999995</v>
      </c>
      <c r="D205">
        <v>422.12</v>
      </c>
      <c r="E205">
        <v>258.61</v>
      </c>
      <c r="F205">
        <v>114.78</v>
      </c>
      <c r="G205">
        <v>116.1</v>
      </c>
      <c r="H205">
        <v>75.33</v>
      </c>
    </row>
    <row r="206" spans="1:8" x14ac:dyDescent="0.25">
      <c r="A206" s="63">
        <f t="shared" si="3"/>
        <v>44401</v>
      </c>
      <c r="B206">
        <v>1045.8499999999999</v>
      </c>
      <c r="C206">
        <v>101.59</v>
      </c>
      <c r="D206">
        <v>366.91</v>
      </c>
      <c r="E206">
        <v>276.27999999999997</v>
      </c>
      <c r="F206">
        <v>128.65</v>
      </c>
      <c r="G206">
        <v>98.55</v>
      </c>
      <c r="H206">
        <v>73.87</v>
      </c>
    </row>
    <row r="207" spans="1:8" x14ac:dyDescent="0.25">
      <c r="A207" s="63">
        <f t="shared" si="3"/>
        <v>44402</v>
      </c>
      <c r="B207">
        <v>1005.0899999999999</v>
      </c>
      <c r="C207">
        <v>88.8</v>
      </c>
      <c r="D207">
        <v>357.58</v>
      </c>
      <c r="E207">
        <v>275.12</v>
      </c>
      <c r="F207">
        <v>115</v>
      </c>
      <c r="G207">
        <v>94.29</v>
      </c>
      <c r="H207">
        <v>74.3</v>
      </c>
    </row>
    <row r="208" spans="1:8" x14ac:dyDescent="0.25">
      <c r="A208" s="63">
        <f t="shared" si="3"/>
        <v>44403</v>
      </c>
      <c r="B208">
        <v>1021.98</v>
      </c>
      <c r="C208">
        <v>102.66</v>
      </c>
      <c r="D208">
        <v>361.98</v>
      </c>
      <c r="E208">
        <v>256.25</v>
      </c>
      <c r="F208">
        <v>115.47</v>
      </c>
      <c r="G208">
        <v>108.98</v>
      </c>
      <c r="H208">
        <v>76.64</v>
      </c>
    </row>
    <row r="209" spans="1:8" x14ac:dyDescent="0.25">
      <c r="A209" s="63">
        <f t="shared" si="3"/>
        <v>44404</v>
      </c>
      <c r="B209">
        <v>1107.6099999999999</v>
      </c>
      <c r="C209">
        <v>87.47</v>
      </c>
      <c r="D209">
        <v>440.46</v>
      </c>
      <c r="E209">
        <v>273.58</v>
      </c>
      <c r="F209">
        <v>130.99</v>
      </c>
      <c r="G209">
        <v>101.04</v>
      </c>
      <c r="H209">
        <v>74.069999999999993</v>
      </c>
    </row>
    <row r="210" spans="1:8" x14ac:dyDescent="0.25">
      <c r="A210" s="63">
        <f t="shared" si="3"/>
        <v>44405</v>
      </c>
      <c r="B210">
        <v>1077.81</v>
      </c>
      <c r="C210">
        <v>75.98</v>
      </c>
      <c r="D210">
        <v>436.63</v>
      </c>
      <c r="E210">
        <v>263.95999999999998</v>
      </c>
      <c r="F210">
        <v>116.05</v>
      </c>
      <c r="G210">
        <v>112.26</v>
      </c>
      <c r="H210">
        <v>72.930000000000007</v>
      </c>
    </row>
    <row r="211" spans="1:8" x14ac:dyDescent="0.25">
      <c r="A211" s="63">
        <f t="shared" si="3"/>
        <v>44406</v>
      </c>
      <c r="B211">
        <v>1026.2099999999998</v>
      </c>
      <c r="C211">
        <v>95.05</v>
      </c>
      <c r="D211">
        <v>388.82</v>
      </c>
      <c r="E211">
        <v>236.38</v>
      </c>
      <c r="F211">
        <v>118.29</v>
      </c>
      <c r="G211">
        <v>114.05999999999999</v>
      </c>
      <c r="H211">
        <v>73.61</v>
      </c>
    </row>
    <row r="212" spans="1:8" x14ac:dyDescent="0.25">
      <c r="A212" s="63">
        <f t="shared" si="3"/>
        <v>44407</v>
      </c>
      <c r="B212">
        <v>945.24</v>
      </c>
      <c r="C212">
        <v>90.95</v>
      </c>
      <c r="D212">
        <v>421.85</v>
      </c>
      <c r="E212">
        <v>128.72999999999999</v>
      </c>
      <c r="F212">
        <v>111.27</v>
      </c>
      <c r="G212">
        <v>116.4</v>
      </c>
      <c r="H212">
        <v>76.040000000000006</v>
      </c>
    </row>
    <row r="213" spans="1:8" x14ac:dyDescent="0.25">
      <c r="A213" s="63">
        <f t="shared" si="3"/>
        <v>44408</v>
      </c>
      <c r="B213">
        <v>1024.69</v>
      </c>
      <c r="C213">
        <v>84.79</v>
      </c>
      <c r="D213">
        <v>387.04</v>
      </c>
      <c r="E213">
        <v>237.15</v>
      </c>
      <c r="F213">
        <v>127.26</v>
      </c>
      <c r="G213">
        <v>113.64</v>
      </c>
      <c r="H213">
        <v>74.81</v>
      </c>
    </row>
    <row r="214" spans="1:8" x14ac:dyDescent="0.25">
      <c r="A214" s="63">
        <f t="shared" si="3"/>
        <v>44409</v>
      </c>
      <c r="B214">
        <v>1012.86</v>
      </c>
      <c r="C214">
        <v>86.75</v>
      </c>
      <c r="D214">
        <v>401.79</v>
      </c>
      <c r="E214">
        <v>239.04</v>
      </c>
      <c r="F214">
        <v>120.24</v>
      </c>
      <c r="G214">
        <v>91.92</v>
      </c>
      <c r="H214">
        <v>73.12</v>
      </c>
    </row>
    <row r="215" spans="1:8" x14ac:dyDescent="0.25">
      <c r="A215" s="63">
        <f t="shared" si="3"/>
        <v>44410</v>
      </c>
      <c r="B215">
        <v>1072.08</v>
      </c>
      <c r="C215">
        <v>81.99</v>
      </c>
      <c r="D215">
        <v>414.89</v>
      </c>
      <c r="E215">
        <v>247.27</v>
      </c>
      <c r="F215">
        <v>129.76</v>
      </c>
      <c r="G215">
        <v>121.99</v>
      </c>
      <c r="H215">
        <v>76.180000000000007</v>
      </c>
    </row>
    <row r="216" spans="1:8" x14ac:dyDescent="0.25">
      <c r="A216" s="63">
        <f t="shared" si="3"/>
        <v>44411</v>
      </c>
      <c r="B216">
        <v>1076.55</v>
      </c>
      <c r="C216">
        <v>102.28</v>
      </c>
      <c r="D216">
        <v>420.66</v>
      </c>
      <c r="E216">
        <v>249.49</v>
      </c>
      <c r="F216">
        <v>108.57</v>
      </c>
      <c r="G216">
        <v>123.24</v>
      </c>
      <c r="H216">
        <v>72.31</v>
      </c>
    </row>
    <row r="217" spans="1:8" x14ac:dyDescent="0.25">
      <c r="A217" s="63">
        <f t="shared" si="3"/>
        <v>44412</v>
      </c>
      <c r="B217">
        <v>1078.9099999999999</v>
      </c>
      <c r="C217">
        <v>98.55</v>
      </c>
      <c r="D217">
        <v>443.46</v>
      </c>
      <c r="E217">
        <v>225.04</v>
      </c>
      <c r="F217">
        <v>113.61</v>
      </c>
      <c r="G217">
        <v>124.28</v>
      </c>
      <c r="H217">
        <v>73.97</v>
      </c>
    </row>
    <row r="218" spans="1:8" x14ac:dyDescent="0.25">
      <c r="A218" s="63">
        <f t="shared" si="3"/>
        <v>44413</v>
      </c>
      <c r="B218">
        <v>1033.8399999999999</v>
      </c>
      <c r="C218">
        <v>72.62</v>
      </c>
      <c r="D218">
        <v>412.79</v>
      </c>
      <c r="E218">
        <v>247.7</v>
      </c>
      <c r="F218">
        <v>109.89</v>
      </c>
      <c r="G218">
        <v>119.73</v>
      </c>
      <c r="H218">
        <v>71.11</v>
      </c>
    </row>
    <row r="219" spans="1:8" x14ac:dyDescent="0.25">
      <c r="A219" s="63">
        <f t="shared" si="3"/>
        <v>44414</v>
      </c>
      <c r="B219">
        <v>1000.4500000000002</v>
      </c>
      <c r="C219">
        <v>62.54</v>
      </c>
      <c r="D219">
        <v>396.4</v>
      </c>
      <c r="E219">
        <v>234.25</v>
      </c>
      <c r="F219">
        <v>127.22</v>
      </c>
      <c r="G219">
        <v>104.7</v>
      </c>
      <c r="H219">
        <v>75.34</v>
      </c>
    </row>
    <row r="220" spans="1:8" x14ac:dyDescent="0.25">
      <c r="A220" s="63">
        <f t="shared" si="3"/>
        <v>44415</v>
      </c>
      <c r="B220">
        <v>1087.55</v>
      </c>
      <c r="C220">
        <v>110.24</v>
      </c>
      <c r="D220">
        <v>435.73</v>
      </c>
      <c r="E220">
        <v>242.88</v>
      </c>
      <c r="F220">
        <v>111.74</v>
      </c>
      <c r="G220">
        <v>111.75</v>
      </c>
      <c r="H220">
        <v>75.209999999999994</v>
      </c>
    </row>
    <row r="221" spans="1:8" x14ac:dyDescent="0.25">
      <c r="A221" s="63">
        <f t="shared" si="3"/>
        <v>44416</v>
      </c>
      <c r="B221">
        <v>1077.3900000000001</v>
      </c>
      <c r="C221">
        <v>95.24</v>
      </c>
      <c r="D221">
        <v>413.16</v>
      </c>
      <c r="E221">
        <v>254.6</v>
      </c>
      <c r="F221">
        <v>121.48</v>
      </c>
      <c r="G221">
        <v>117.02</v>
      </c>
      <c r="H221">
        <v>75.89</v>
      </c>
    </row>
    <row r="222" spans="1:8" x14ac:dyDescent="0.25">
      <c r="A222" s="63">
        <f t="shared" si="3"/>
        <v>44417</v>
      </c>
      <c r="B222">
        <v>1063.5100000000002</v>
      </c>
      <c r="C222">
        <v>90.49</v>
      </c>
      <c r="D222">
        <v>421.41</v>
      </c>
      <c r="E222">
        <v>267.24</v>
      </c>
      <c r="F222">
        <v>90.87</v>
      </c>
      <c r="G222">
        <v>116.36</v>
      </c>
      <c r="H222">
        <v>77.14</v>
      </c>
    </row>
    <row r="223" spans="1:8" x14ac:dyDescent="0.25">
      <c r="A223" s="63">
        <f t="shared" si="3"/>
        <v>44418</v>
      </c>
      <c r="B223">
        <v>1010.25</v>
      </c>
      <c r="C223">
        <v>71.31</v>
      </c>
      <c r="D223">
        <v>419.67</v>
      </c>
      <c r="E223">
        <v>243.11</v>
      </c>
      <c r="F223">
        <v>92.600000000000009</v>
      </c>
      <c r="G223">
        <v>107.55</v>
      </c>
      <c r="H223">
        <v>76.010000000000005</v>
      </c>
    </row>
    <row r="224" spans="1:8" x14ac:dyDescent="0.25">
      <c r="A224" s="63">
        <f t="shared" si="3"/>
        <v>44419</v>
      </c>
      <c r="B224">
        <v>991.3900000000001</v>
      </c>
      <c r="C224">
        <v>85.16</v>
      </c>
      <c r="D224">
        <v>390.91</v>
      </c>
      <c r="E224">
        <v>224.76999999999998</v>
      </c>
      <c r="F224">
        <v>106.75</v>
      </c>
      <c r="G224">
        <v>106.35000000000001</v>
      </c>
      <c r="H224">
        <v>77.45</v>
      </c>
    </row>
    <row r="225" spans="1:8" x14ac:dyDescent="0.25">
      <c r="A225" s="63">
        <f t="shared" si="3"/>
        <v>44420</v>
      </c>
      <c r="B225">
        <v>962.5100000000001</v>
      </c>
      <c r="C225">
        <v>71.040000000000006</v>
      </c>
      <c r="D225">
        <v>423.84</v>
      </c>
      <c r="E225">
        <v>188.55</v>
      </c>
      <c r="F225">
        <v>87.71</v>
      </c>
      <c r="G225">
        <v>114.75999999999999</v>
      </c>
      <c r="H225">
        <v>76.61</v>
      </c>
    </row>
    <row r="226" spans="1:8" x14ac:dyDescent="0.25">
      <c r="A226" s="63">
        <f t="shared" si="3"/>
        <v>44421</v>
      </c>
      <c r="B226">
        <v>1026.0999999999999</v>
      </c>
      <c r="C226">
        <v>72.42</v>
      </c>
      <c r="D226">
        <v>426.15</v>
      </c>
      <c r="E226">
        <v>232.94</v>
      </c>
      <c r="F226">
        <v>106.22</v>
      </c>
      <c r="G226">
        <v>107.75</v>
      </c>
      <c r="H226">
        <v>80.62</v>
      </c>
    </row>
    <row r="227" spans="1:8" x14ac:dyDescent="0.25">
      <c r="A227" s="63">
        <f t="shared" si="3"/>
        <v>44422</v>
      </c>
      <c r="B227">
        <v>1035.9399999999998</v>
      </c>
      <c r="C227">
        <v>80.14</v>
      </c>
      <c r="D227">
        <v>427.49</v>
      </c>
      <c r="E227">
        <v>246.18</v>
      </c>
      <c r="F227">
        <v>96.75</v>
      </c>
      <c r="G227">
        <v>109.54</v>
      </c>
      <c r="H227">
        <v>75.84</v>
      </c>
    </row>
    <row r="228" spans="1:8" x14ac:dyDescent="0.25">
      <c r="A228" s="63">
        <f t="shared" si="3"/>
        <v>44423</v>
      </c>
      <c r="B228">
        <v>941.18</v>
      </c>
      <c r="C228">
        <v>77.19</v>
      </c>
      <c r="D228">
        <v>344.77</v>
      </c>
      <c r="E228">
        <v>219.19</v>
      </c>
      <c r="F228">
        <v>111.02</v>
      </c>
      <c r="G228">
        <v>112.93</v>
      </c>
      <c r="H228">
        <v>76.08</v>
      </c>
    </row>
    <row r="229" spans="1:8" x14ac:dyDescent="0.25">
      <c r="A229" s="63">
        <f t="shared" si="3"/>
        <v>44424</v>
      </c>
      <c r="B229">
        <v>1049.44</v>
      </c>
      <c r="C229">
        <v>78.180000000000007</v>
      </c>
      <c r="D229">
        <v>418.11</v>
      </c>
      <c r="E229">
        <v>278.54000000000002</v>
      </c>
      <c r="F229">
        <v>92.6</v>
      </c>
      <c r="G229">
        <v>104.3</v>
      </c>
      <c r="H229">
        <v>77.709999999999994</v>
      </c>
    </row>
    <row r="230" spans="1:8" x14ac:dyDescent="0.25">
      <c r="A230" s="63">
        <f t="shared" si="3"/>
        <v>44425</v>
      </c>
      <c r="B230">
        <v>1048.44</v>
      </c>
      <c r="C230">
        <v>97.43</v>
      </c>
      <c r="D230">
        <v>403.96</v>
      </c>
      <c r="E230">
        <v>267.51</v>
      </c>
      <c r="F230">
        <v>88.68</v>
      </c>
      <c r="G230">
        <v>111.35</v>
      </c>
      <c r="H230">
        <v>79.510000000000005</v>
      </c>
    </row>
    <row r="231" spans="1:8" x14ac:dyDescent="0.25">
      <c r="A231" s="63">
        <f t="shared" si="3"/>
        <v>44426</v>
      </c>
      <c r="B231">
        <v>1049.78</v>
      </c>
      <c r="C231">
        <v>89.21</v>
      </c>
      <c r="D231">
        <v>423.71</v>
      </c>
      <c r="E231">
        <v>257.27999999999997</v>
      </c>
      <c r="F231">
        <v>99.88</v>
      </c>
      <c r="G231">
        <v>100.23</v>
      </c>
      <c r="H231">
        <v>79.47</v>
      </c>
    </row>
    <row r="232" spans="1:8" x14ac:dyDescent="0.25">
      <c r="A232" s="63">
        <f t="shared" si="3"/>
        <v>44427</v>
      </c>
      <c r="B232">
        <v>1026.21</v>
      </c>
      <c r="C232">
        <v>100.25</v>
      </c>
      <c r="D232">
        <v>383.97</v>
      </c>
      <c r="E232">
        <v>256.91000000000003</v>
      </c>
      <c r="F232">
        <v>94.77</v>
      </c>
      <c r="G232">
        <v>107.92</v>
      </c>
      <c r="H232">
        <v>82.39</v>
      </c>
    </row>
    <row r="233" spans="1:8" x14ac:dyDescent="0.25">
      <c r="A233" s="63">
        <f t="shared" si="3"/>
        <v>44428</v>
      </c>
      <c r="B233">
        <v>1013.5799999999999</v>
      </c>
      <c r="C233">
        <v>71.37</v>
      </c>
      <c r="D233">
        <v>404.62</v>
      </c>
      <c r="E233">
        <v>245.79</v>
      </c>
      <c r="F233">
        <v>114.8</v>
      </c>
      <c r="G233">
        <v>97.19</v>
      </c>
      <c r="H233">
        <v>79.81</v>
      </c>
    </row>
    <row r="234" spans="1:8" x14ac:dyDescent="0.25">
      <c r="A234" s="63">
        <f t="shared" si="3"/>
        <v>44429</v>
      </c>
      <c r="B234">
        <v>946.24</v>
      </c>
      <c r="C234">
        <v>87.85</v>
      </c>
      <c r="D234">
        <v>416.1</v>
      </c>
      <c r="E234">
        <v>165.24</v>
      </c>
      <c r="F234">
        <v>106.25</v>
      </c>
      <c r="G234">
        <v>92.06</v>
      </c>
      <c r="H234">
        <v>78.739999999999995</v>
      </c>
    </row>
    <row r="235" spans="1:8" x14ac:dyDescent="0.25">
      <c r="A235" s="63">
        <f t="shared" si="3"/>
        <v>44430</v>
      </c>
      <c r="B235">
        <v>897.73</v>
      </c>
      <c r="C235">
        <v>77.099999999999994</v>
      </c>
      <c r="D235">
        <v>327.97</v>
      </c>
      <c r="E235">
        <v>216.09</v>
      </c>
      <c r="F235">
        <v>114.41</v>
      </c>
      <c r="G235">
        <v>82.97</v>
      </c>
      <c r="H235">
        <v>79.19</v>
      </c>
    </row>
    <row r="236" spans="1:8" x14ac:dyDescent="0.25">
      <c r="A236" s="63">
        <f t="shared" si="3"/>
        <v>44431</v>
      </c>
      <c r="B236">
        <v>865.21000000000015</v>
      </c>
      <c r="C236">
        <v>79.98</v>
      </c>
      <c r="D236">
        <v>297.22000000000003</v>
      </c>
      <c r="E236">
        <v>240.44</v>
      </c>
      <c r="F236">
        <v>97.61</v>
      </c>
      <c r="G236">
        <v>68.2</v>
      </c>
      <c r="H236">
        <v>81.760000000000005</v>
      </c>
    </row>
    <row r="237" spans="1:8" x14ac:dyDescent="0.25">
      <c r="A237" s="63">
        <f t="shared" si="3"/>
        <v>44432</v>
      </c>
      <c r="B237">
        <v>951.19999999999993</v>
      </c>
      <c r="C237">
        <v>74</v>
      </c>
      <c r="D237">
        <v>336.12</v>
      </c>
      <c r="E237">
        <v>248.54</v>
      </c>
      <c r="F237">
        <v>110.25</v>
      </c>
      <c r="G237">
        <v>99.26</v>
      </c>
      <c r="H237">
        <v>83.03</v>
      </c>
    </row>
    <row r="238" spans="1:8" x14ac:dyDescent="0.25">
      <c r="A238" s="63">
        <f t="shared" si="3"/>
        <v>44433</v>
      </c>
      <c r="B238">
        <v>966.59000000000015</v>
      </c>
      <c r="C238">
        <v>83.5</v>
      </c>
      <c r="D238">
        <v>379.47</v>
      </c>
      <c r="E238">
        <v>248.36</v>
      </c>
      <c r="F238">
        <v>91.82</v>
      </c>
      <c r="G238">
        <v>86.69</v>
      </c>
      <c r="H238">
        <v>76.75</v>
      </c>
    </row>
    <row r="239" spans="1:8" x14ac:dyDescent="0.25">
      <c r="A239" s="63">
        <f t="shared" si="3"/>
        <v>44434</v>
      </c>
      <c r="B239">
        <v>925.11</v>
      </c>
      <c r="C239">
        <v>74.510000000000005</v>
      </c>
      <c r="D239">
        <v>338.38</v>
      </c>
      <c r="E239">
        <v>255.07</v>
      </c>
      <c r="F239">
        <v>101.30000000000001</v>
      </c>
      <c r="G239">
        <v>78.95</v>
      </c>
      <c r="H239">
        <v>76.900000000000006</v>
      </c>
    </row>
    <row r="240" spans="1:8" x14ac:dyDescent="0.25">
      <c r="A240" s="63">
        <f t="shared" si="3"/>
        <v>44435</v>
      </c>
      <c r="B240">
        <v>804.98</v>
      </c>
      <c r="C240">
        <v>82.23</v>
      </c>
      <c r="D240">
        <v>221.38</v>
      </c>
      <c r="E240">
        <v>240.22</v>
      </c>
      <c r="F240">
        <v>104.58</v>
      </c>
      <c r="G240">
        <v>77.650000000000006</v>
      </c>
      <c r="H240">
        <v>78.92</v>
      </c>
    </row>
    <row r="241" spans="1:8" x14ac:dyDescent="0.25">
      <c r="A241" s="63">
        <f t="shared" si="3"/>
        <v>44436</v>
      </c>
      <c r="B241">
        <v>863.35</v>
      </c>
      <c r="C241">
        <v>75.48</v>
      </c>
      <c r="D241">
        <v>283.26</v>
      </c>
      <c r="E241">
        <v>241.46</v>
      </c>
      <c r="F241">
        <v>107.17</v>
      </c>
      <c r="G241">
        <v>79.2</v>
      </c>
      <c r="H241">
        <v>76.78</v>
      </c>
    </row>
    <row r="242" spans="1:8" x14ac:dyDescent="0.25">
      <c r="A242" s="63">
        <f t="shared" si="3"/>
        <v>44437</v>
      </c>
      <c r="B242">
        <v>1047.3800000000001</v>
      </c>
      <c r="C242">
        <v>84.73</v>
      </c>
      <c r="D242">
        <v>429.85</v>
      </c>
      <c r="E242">
        <v>253.43</v>
      </c>
      <c r="F242">
        <v>106.69</v>
      </c>
      <c r="G242">
        <v>97.44</v>
      </c>
      <c r="H242">
        <v>75.239999999999995</v>
      </c>
    </row>
    <row r="243" spans="1:8" x14ac:dyDescent="0.25">
      <c r="A243" s="63">
        <f t="shared" si="3"/>
        <v>44438</v>
      </c>
      <c r="B243">
        <v>1025.4899999999998</v>
      </c>
      <c r="C243">
        <v>89.83</v>
      </c>
      <c r="D243">
        <v>373.08</v>
      </c>
      <c r="E243">
        <v>269.95</v>
      </c>
      <c r="F243">
        <v>108.67999999999999</v>
      </c>
      <c r="G243">
        <v>103.33</v>
      </c>
      <c r="H243">
        <v>80.62</v>
      </c>
    </row>
    <row r="244" spans="1:8" x14ac:dyDescent="0.25">
      <c r="A244" s="63">
        <f t="shared" si="3"/>
        <v>44439</v>
      </c>
      <c r="B244">
        <v>997.06</v>
      </c>
      <c r="C244">
        <v>78.430000000000007</v>
      </c>
      <c r="D244">
        <v>380.25</v>
      </c>
      <c r="E244">
        <v>252.87</v>
      </c>
      <c r="F244">
        <v>95.76</v>
      </c>
      <c r="G244">
        <v>111.48</v>
      </c>
      <c r="H244">
        <v>78.27</v>
      </c>
    </row>
    <row r="245" spans="1:8" x14ac:dyDescent="0.25">
      <c r="A245" s="63">
        <f t="shared" si="3"/>
        <v>44440</v>
      </c>
      <c r="B245">
        <v>1043</v>
      </c>
      <c r="C245">
        <v>81.819999999999993</v>
      </c>
      <c r="D245">
        <v>419.66</v>
      </c>
      <c r="E245">
        <v>270.45999999999998</v>
      </c>
      <c r="F245">
        <v>94.01</v>
      </c>
      <c r="G245">
        <v>98.3</v>
      </c>
      <c r="H245">
        <v>78.75</v>
      </c>
    </row>
    <row r="246" spans="1:8" x14ac:dyDescent="0.25">
      <c r="A246" s="63">
        <f t="shared" si="3"/>
        <v>44441</v>
      </c>
      <c r="B246">
        <v>1003.78</v>
      </c>
      <c r="C246">
        <v>81.739999999999995</v>
      </c>
      <c r="D246">
        <v>404.13</v>
      </c>
      <c r="E246">
        <v>263.45999999999998</v>
      </c>
      <c r="F246">
        <v>74.19</v>
      </c>
      <c r="G246">
        <v>103.7</v>
      </c>
      <c r="H246">
        <v>76.56</v>
      </c>
    </row>
    <row r="247" spans="1:8" x14ac:dyDescent="0.25">
      <c r="A247" s="63">
        <f t="shared" si="3"/>
        <v>44442</v>
      </c>
      <c r="B247">
        <v>1051.7099999999998</v>
      </c>
      <c r="C247">
        <v>85.62</v>
      </c>
      <c r="D247">
        <v>407.5</v>
      </c>
      <c r="E247">
        <v>287.52</v>
      </c>
      <c r="F247">
        <v>87.94</v>
      </c>
      <c r="G247">
        <v>105.27</v>
      </c>
      <c r="H247">
        <v>77.86</v>
      </c>
    </row>
    <row r="248" spans="1:8" x14ac:dyDescent="0.25">
      <c r="A248" s="63">
        <f t="shared" si="3"/>
        <v>44443</v>
      </c>
      <c r="B248">
        <v>1040.8</v>
      </c>
      <c r="C248">
        <v>88.94</v>
      </c>
      <c r="D248">
        <v>409.58</v>
      </c>
      <c r="E248">
        <v>259.49</v>
      </c>
      <c r="F248">
        <v>101.23</v>
      </c>
      <c r="G248">
        <v>102.85</v>
      </c>
      <c r="H248">
        <v>78.709999999999994</v>
      </c>
    </row>
    <row r="249" spans="1:8" x14ac:dyDescent="0.25">
      <c r="A249" s="63">
        <f t="shared" si="3"/>
        <v>44444</v>
      </c>
      <c r="B249">
        <v>1054.75</v>
      </c>
      <c r="C249">
        <v>95.8</v>
      </c>
      <c r="D249">
        <v>395.1</v>
      </c>
      <c r="E249">
        <v>278.39999999999998</v>
      </c>
      <c r="F249">
        <v>88</v>
      </c>
      <c r="G249">
        <v>118.46</v>
      </c>
      <c r="H249">
        <v>78.989999999999995</v>
      </c>
    </row>
    <row r="250" spans="1:8" x14ac:dyDescent="0.25">
      <c r="A250" s="63">
        <f t="shared" si="3"/>
        <v>44445</v>
      </c>
      <c r="B250">
        <v>1004.8300000000002</v>
      </c>
      <c r="C250">
        <v>79.67</v>
      </c>
      <c r="D250">
        <v>397.36</v>
      </c>
      <c r="E250">
        <v>256.11</v>
      </c>
      <c r="F250">
        <v>81.96</v>
      </c>
      <c r="G250">
        <v>110.49</v>
      </c>
      <c r="H250">
        <v>79.239999999999995</v>
      </c>
    </row>
    <row r="251" spans="1:8" x14ac:dyDescent="0.25">
      <c r="A251" s="63">
        <f t="shared" si="3"/>
        <v>44446</v>
      </c>
      <c r="B251">
        <v>1046.3399999999999</v>
      </c>
      <c r="C251">
        <v>83.39</v>
      </c>
      <c r="D251">
        <v>430.18</v>
      </c>
      <c r="E251">
        <v>268.41000000000003</v>
      </c>
      <c r="F251">
        <v>92.13</v>
      </c>
      <c r="G251">
        <v>93.38</v>
      </c>
      <c r="H251">
        <v>78.849999999999994</v>
      </c>
    </row>
    <row r="252" spans="1:8" x14ac:dyDescent="0.25">
      <c r="A252" s="63">
        <f t="shared" si="3"/>
        <v>44447</v>
      </c>
      <c r="B252">
        <v>969.2</v>
      </c>
      <c r="C252">
        <v>97.57</v>
      </c>
      <c r="D252">
        <v>363.22</v>
      </c>
      <c r="E252">
        <v>231.68</v>
      </c>
      <c r="F252">
        <v>94.839999999999989</v>
      </c>
      <c r="G252">
        <v>101.28</v>
      </c>
      <c r="H252">
        <v>80.61</v>
      </c>
    </row>
    <row r="253" spans="1:8" x14ac:dyDescent="0.25">
      <c r="A253" s="63">
        <f t="shared" si="3"/>
        <v>44448</v>
      </c>
      <c r="B253">
        <v>1044.8799999999999</v>
      </c>
      <c r="C253">
        <v>91.63</v>
      </c>
      <c r="D253">
        <v>408.56</v>
      </c>
      <c r="E253">
        <v>273.07</v>
      </c>
      <c r="F253">
        <v>89.51</v>
      </c>
      <c r="G253">
        <v>105.07</v>
      </c>
      <c r="H253">
        <v>77.040000000000006</v>
      </c>
    </row>
    <row r="254" spans="1:8" x14ac:dyDescent="0.25">
      <c r="A254" s="63">
        <f t="shared" si="3"/>
        <v>44449</v>
      </c>
      <c r="B254">
        <v>1002.5899999999999</v>
      </c>
      <c r="C254">
        <v>69.58</v>
      </c>
      <c r="D254">
        <v>424.05</v>
      </c>
      <c r="E254">
        <v>241.28</v>
      </c>
      <c r="F254">
        <v>90.05</v>
      </c>
      <c r="G254">
        <v>104.71</v>
      </c>
      <c r="H254">
        <v>72.92</v>
      </c>
    </row>
    <row r="255" spans="1:8" x14ac:dyDescent="0.25">
      <c r="A255" s="63">
        <f t="shared" si="3"/>
        <v>44450</v>
      </c>
      <c r="B255">
        <v>1101.92</v>
      </c>
      <c r="C255">
        <v>84.51</v>
      </c>
      <c r="D255">
        <v>441.06</v>
      </c>
      <c r="E255">
        <v>282.23</v>
      </c>
      <c r="F255">
        <v>104.78</v>
      </c>
      <c r="G255">
        <v>113.12</v>
      </c>
      <c r="H255">
        <v>76.22</v>
      </c>
    </row>
    <row r="256" spans="1:8" x14ac:dyDescent="0.25">
      <c r="A256" s="63">
        <f t="shared" si="3"/>
        <v>44451</v>
      </c>
      <c r="B256">
        <v>1014.7999999999998</v>
      </c>
      <c r="C256">
        <v>92.02</v>
      </c>
      <c r="D256">
        <v>356.54</v>
      </c>
      <c r="E256">
        <v>267.47000000000003</v>
      </c>
      <c r="F256">
        <v>110.66</v>
      </c>
      <c r="G256">
        <v>110.69</v>
      </c>
      <c r="H256">
        <v>77.42</v>
      </c>
    </row>
    <row r="257" spans="1:8" x14ac:dyDescent="0.25">
      <c r="A257" s="63">
        <f t="shared" si="3"/>
        <v>44452</v>
      </c>
      <c r="B257">
        <v>1060.81</v>
      </c>
      <c r="C257">
        <v>86.57</v>
      </c>
      <c r="D257">
        <v>416.64</v>
      </c>
      <c r="E257">
        <v>257.95999999999998</v>
      </c>
      <c r="F257">
        <v>102.53</v>
      </c>
      <c r="G257">
        <v>117.4</v>
      </c>
      <c r="H257">
        <v>79.709999999999994</v>
      </c>
    </row>
    <row r="258" spans="1:8" x14ac:dyDescent="0.25">
      <c r="A258" s="63">
        <f t="shared" si="3"/>
        <v>44453</v>
      </c>
      <c r="B258">
        <v>1010.39</v>
      </c>
      <c r="C258">
        <v>96.07</v>
      </c>
      <c r="D258">
        <v>385.45</v>
      </c>
      <c r="E258">
        <v>231.87</v>
      </c>
      <c r="F258">
        <v>105.6</v>
      </c>
      <c r="G258">
        <v>119.17999999999999</v>
      </c>
      <c r="H258">
        <v>72.22</v>
      </c>
    </row>
    <row r="259" spans="1:8" x14ac:dyDescent="0.25">
      <c r="A259" s="63">
        <f t="shared" si="3"/>
        <v>44454</v>
      </c>
      <c r="B259">
        <v>1010.68</v>
      </c>
      <c r="C259">
        <v>58.84</v>
      </c>
      <c r="D259">
        <v>418.8</v>
      </c>
      <c r="E259">
        <v>237.09</v>
      </c>
      <c r="F259">
        <v>107.03</v>
      </c>
      <c r="G259">
        <v>118.04</v>
      </c>
      <c r="H259">
        <v>70.88</v>
      </c>
    </row>
    <row r="260" spans="1:8" x14ac:dyDescent="0.25">
      <c r="A260" s="63">
        <f t="shared" ref="A260:A323" si="4">A259+1</f>
        <v>44455</v>
      </c>
      <c r="B260">
        <v>1004.5699999999999</v>
      </c>
      <c r="C260">
        <v>86.19</v>
      </c>
      <c r="D260">
        <v>391.16</v>
      </c>
      <c r="E260">
        <v>240.38</v>
      </c>
      <c r="F260">
        <v>104.79</v>
      </c>
      <c r="G260">
        <v>111.57</v>
      </c>
      <c r="H260">
        <v>70.48</v>
      </c>
    </row>
    <row r="261" spans="1:8" x14ac:dyDescent="0.25">
      <c r="A261" s="63">
        <f t="shared" si="4"/>
        <v>44456</v>
      </c>
      <c r="B261">
        <v>1013.87</v>
      </c>
      <c r="C261">
        <v>72.739999999999995</v>
      </c>
      <c r="D261">
        <v>431.84</v>
      </c>
      <c r="E261">
        <v>226.09</v>
      </c>
      <c r="F261">
        <v>99.22</v>
      </c>
      <c r="G261">
        <v>113.74</v>
      </c>
      <c r="H261">
        <v>70.239999999999995</v>
      </c>
    </row>
    <row r="262" spans="1:8" x14ac:dyDescent="0.25">
      <c r="A262" s="63">
        <f t="shared" si="4"/>
        <v>44457</v>
      </c>
      <c r="B262">
        <v>1078.94</v>
      </c>
      <c r="C262">
        <v>53.24</v>
      </c>
      <c r="D262">
        <v>487.92</v>
      </c>
      <c r="E262">
        <v>257.94</v>
      </c>
      <c r="F262">
        <v>107.51</v>
      </c>
      <c r="G262">
        <v>102.19</v>
      </c>
      <c r="H262">
        <v>70.14</v>
      </c>
    </row>
    <row r="263" spans="1:8" x14ac:dyDescent="0.25">
      <c r="A263" s="63">
        <f t="shared" si="4"/>
        <v>44458</v>
      </c>
      <c r="B263">
        <v>906.16000000000008</v>
      </c>
      <c r="C263">
        <v>66.63</v>
      </c>
      <c r="D263">
        <v>398.61</v>
      </c>
      <c r="E263">
        <v>165</v>
      </c>
      <c r="F263">
        <v>114.45</v>
      </c>
      <c r="G263">
        <v>91.01</v>
      </c>
      <c r="H263">
        <v>70.459999999999994</v>
      </c>
    </row>
    <row r="264" spans="1:8" x14ac:dyDescent="0.25">
      <c r="A264" s="63">
        <f t="shared" si="4"/>
        <v>44459</v>
      </c>
      <c r="B264">
        <v>944.13</v>
      </c>
      <c r="C264">
        <v>78.02</v>
      </c>
      <c r="D264">
        <v>405.94</v>
      </c>
      <c r="E264">
        <v>191.3</v>
      </c>
      <c r="F264">
        <v>96.99</v>
      </c>
      <c r="G264">
        <v>98.15</v>
      </c>
      <c r="H264">
        <v>73.73</v>
      </c>
    </row>
    <row r="265" spans="1:8" x14ac:dyDescent="0.25">
      <c r="A265" s="63">
        <f t="shared" si="4"/>
        <v>44460</v>
      </c>
      <c r="B265">
        <v>970.56</v>
      </c>
      <c r="C265">
        <v>98.83</v>
      </c>
      <c r="D265">
        <v>378.64</v>
      </c>
      <c r="E265">
        <v>215.88</v>
      </c>
      <c r="F265">
        <v>100.17</v>
      </c>
      <c r="G265">
        <v>106.96</v>
      </c>
      <c r="H265">
        <v>70.08</v>
      </c>
    </row>
    <row r="266" spans="1:8" x14ac:dyDescent="0.25">
      <c r="A266" s="63">
        <f t="shared" si="4"/>
        <v>44461</v>
      </c>
      <c r="B266">
        <v>1011.8599999999999</v>
      </c>
      <c r="C266">
        <v>94.57</v>
      </c>
      <c r="D266">
        <v>426.34</v>
      </c>
      <c r="E266">
        <v>203.47</v>
      </c>
      <c r="F266">
        <v>104.8</v>
      </c>
      <c r="G266">
        <v>109.94</v>
      </c>
      <c r="H266">
        <v>72.739999999999995</v>
      </c>
    </row>
    <row r="267" spans="1:8" x14ac:dyDescent="0.25">
      <c r="A267" s="63">
        <f t="shared" si="4"/>
        <v>44462</v>
      </c>
      <c r="B267">
        <v>1066.01</v>
      </c>
      <c r="C267">
        <v>104.77</v>
      </c>
      <c r="D267">
        <v>421.42</v>
      </c>
      <c r="E267">
        <v>262.42</v>
      </c>
      <c r="F267">
        <v>106.54</v>
      </c>
      <c r="G267">
        <v>96.13</v>
      </c>
      <c r="H267">
        <v>74.72999999999999</v>
      </c>
    </row>
    <row r="268" spans="1:8" x14ac:dyDescent="0.25">
      <c r="A268" s="63">
        <f t="shared" si="4"/>
        <v>44463</v>
      </c>
      <c r="B268">
        <v>1025.8999999999999</v>
      </c>
      <c r="C268">
        <v>80.16</v>
      </c>
      <c r="D268">
        <v>451.5</v>
      </c>
      <c r="E268">
        <v>220.15</v>
      </c>
      <c r="F268">
        <v>104.16</v>
      </c>
      <c r="G268">
        <v>99.9</v>
      </c>
      <c r="H268">
        <v>70.03</v>
      </c>
    </row>
    <row r="269" spans="1:8" x14ac:dyDescent="0.25">
      <c r="A269" s="63">
        <f t="shared" si="4"/>
        <v>44464</v>
      </c>
      <c r="B269">
        <v>999.4</v>
      </c>
      <c r="C269">
        <v>83.44</v>
      </c>
      <c r="D269">
        <v>403.24</v>
      </c>
      <c r="E269">
        <v>269.82</v>
      </c>
      <c r="F269">
        <v>87.89</v>
      </c>
      <c r="G269">
        <v>86.8</v>
      </c>
      <c r="H269">
        <v>68.209999999999994</v>
      </c>
    </row>
    <row r="270" spans="1:8" x14ac:dyDescent="0.25">
      <c r="A270" s="63">
        <f t="shared" si="4"/>
        <v>44465</v>
      </c>
      <c r="B270">
        <v>1088.44</v>
      </c>
      <c r="C270">
        <v>86.56</v>
      </c>
      <c r="D270">
        <v>464.01</v>
      </c>
      <c r="E270">
        <v>262.71000000000004</v>
      </c>
      <c r="F270">
        <v>108.48</v>
      </c>
      <c r="G270">
        <v>97.63</v>
      </c>
      <c r="H270">
        <v>69.05</v>
      </c>
    </row>
    <row r="271" spans="1:8" x14ac:dyDescent="0.25">
      <c r="A271" s="63">
        <f t="shared" si="4"/>
        <v>44466</v>
      </c>
      <c r="B271">
        <v>1037.9000000000001</v>
      </c>
      <c r="C271">
        <v>71.89</v>
      </c>
      <c r="D271">
        <v>406.66</v>
      </c>
      <c r="E271">
        <v>277.13</v>
      </c>
      <c r="F271">
        <v>111.21</v>
      </c>
      <c r="G271">
        <v>98.11</v>
      </c>
      <c r="H271">
        <v>72.900000000000006</v>
      </c>
    </row>
    <row r="272" spans="1:8" x14ac:dyDescent="0.25">
      <c r="A272" s="63">
        <f t="shared" si="4"/>
        <v>44467</v>
      </c>
      <c r="B272">
        <v>1096.3400000000001</v>
      </c>
      <c r="C272">
        <v>104.15</v>
      </c>
      <c r="D272">
        <v>430.71</v>
      </c>
      <c r="E272">
        <v>276.79000000000002</v>
      </c>
      <c r="F272">
        <v>104.78</v>
      </c>
      <c r="G272">
        <v>109.7</v>
      </c>
      <c r="H272">
        <v>70.209999999999994</v>
      </c>
    </row>
    <row r="273" spans="1:8" x14ac:dyDescent="0.25">
      <c r="A273" s="63">
        <f t="shared" si="4"/>
        <v>44468</v>
      </c>
      <c r="B273">
        <v>1076.46</v>
      </c>
      <c r="C273">
        <v>90.42</v>
      </c>
      <c r="D273">
        <v>424.79</v>
      </c>
      <c r="E273">
        <v>274.83</v>
      </c>
      <c r="F273">
        <v>96.52</v>
      </c>
      <c r="G273">
        <v>119.88000000000001</v>
      </c>
      <c r="H273">
        <v>70.02</v>
      </c>
    </row>
    <row r="274" spans="1:8" x14ac:dyDescent="0.25">
      <c r="A274" s="63">
        <f t="shared" si="4"/>
        <v>44469</v>
      </c>
      <c r="B274">
        <v>1091.9000000000001</v>
      </c>
      <c r="C274">
        <v>90.51</v>
      </c>
      <c r="D274">
        <v>424.4</v>
      </c>
      <c r="E274">
        <v>289.83</v>
      </c>
      <c r="F274">
        <v>102.55</v>
      </c>
      <c r="G274">
        <v>111.7</v>
      </c>
      <c r="H274">
        <v>72.91</v>
      </c>
    </row>
    <row r="275" spans="1:8" x14ac:dyDescent="0.25">
      <c r="A275" s="63">
        <f t="shared" si="4"/>
        <v>44470</v>
      </c>
      <c r="B275">
        <v>1123.2300000000002</v>
      </c>
      <c r="C275">
        <v>109.75</v>
      </c>
      <c r="D275">
        <v>430.66</v>
      </c>
      <c r="E275">
        <v>290.02</v>
      </c>
      <c r="F275">
        <v>109.45</v>
      </c>
      <c r="G275">
        <v>106.38</v>
      </c>
      <c r="H275">
        <v>76.97</v>
      </c>
    </row>
    <row r="276" spans="1:8" x14ac:dyDescent="0.25">
      <c r="A276" s="63">
        <f t="shared" si="4"/>
        <v>44471</v>
      </c>
      <c r="B276">
        <v>1125.93</v>
      </c>
      <c r="C276">
        <v>86.61</v>
      </c>
      <c r="D276">
        <v>477.85</v>
      </c>
      <c r="E276">
        <v>286.95</v>
      </c>
      <c r="F276">
        <v>105.46</v>
      </c>
      <c r="G276">
        <v>98.47</v>
      </c>
      <c r="H276">
        <v>70.59</v>
      </c>
    </row>
    <row r="277" spans="1:8" x14ac:dyDescent="0.25">
      <c r="A277" s="63">
        <f t="shared" si="4"/>
        <v>44472</v>
      </c>
      <c r="B277">
        <v>1061.3799999999999</v>
      </c>
      <c r="C277">
        <v>70.92</v>
      </c>
      <c r="D277">
        <v>426.59</v>
      </c>
      <c r="E277">
        <v>274.07</v>
      </c>
      <c r="F277">
        <v>109.11</v>
      </c>
      <c r="G277">
        <v>109.98</v>
      </c>
      <c r="H277">
        <v>70.709999999999994</v>
      </c>
    </row>
    <row r="278" spans="1:8" x14ac:dyDescent="0.25">
      <c r="A278" s="63">
        <f t="shared" si="4"/>
        <v>44473</v>
      </c>
      <c r="B278">
        <v>988.34999999999991</v>
      </c>
      <c r="C278">
        <v>76.5</v>
      </c>
      <c r="D278">
        <v>332.01</v>
      </c>
      <c r="E278">
        <v>280.54000000000002</v>
      </c>
      <c r="F278">
        <v>113.36</v>
      </c>
      <c r="G278">
        <v>112.79</v>
      </c>
      <c r="H278">
        <v>73.150000000000006</v>
      </c>
    </row>
    <row r="279" spans="1:8" x14ac:dyDescent="0.25">
      <c r="A279" s="63">
        <f t="shared" si="4"/>
        <v>44474</v>
      </c>
      <c r="B279">
        <v>1148.6600000000001</v>
      </c>
      <c r="C279">
        <v>101.53</v>
      </c>
      <c r="D279">
        <v>454.42</v>
      </c>
      <c r="E279">
        <v>296.72000000000003</v>
      </c>
      <c r="F279">
        <v>110.01</v>
      </c>
      <c r="G279">
        <v>115.42</v>
      </c>
      <c r="H279">
        <v>70.56</v>
      </c>
    </row>
    <row r="280" spans="1:8" x14ac:dyDescent="0.25">
      <c r="A280" s="63">
        <f t="shared" si="4"/>
        <v>44475</v>
      </c>
      <c r="B280">
        <v>1144.01</v>
      </c>
      <c r="C280">
        <v>98.31</v>
      </c>
      <c r="D280">
        <v>453.49</v>
      </c>
      <c r="E280">
        <v>287.95</v>
      </c>
      <c r="F280">
        <v>112.15</v>
      </c>
      <c r="G280">
        <v>120.38</v>
      </c>
      <c r="H280">
        <v>71.73</v>
      </c>
    </row>
    <row r="281" spans="1:8" x14ac:dyDescent="0.25">
      <c r="A281" s="63">
        <f t="shared" si="4"/>
        <v>44476</v>
      </c>
      <c r="B281">
        <v>1103.0700000000002</v>
      </c>
      <c r="C281">
        <v>91.02</v>
      </c>
      <c r="D281">
        <v>409.84</v>
      </c>
      <c r="E281">
        <v>298.63</v>
      </c>
      <c r="F281">
        <v>117.63</v>
      </c>
      <c r="G281">
        <v>115.05</v>
      </c>
      <c r="H281">
        <v>70.900000000000006</v>
      </c>
    </row>
    <row r="282" spans="1:8" x14ac:dyDescent="0.25">
      <c r="A282" s="63">
        <f t="shared" si="4"/>
        <v>44477</v>
      </c>
      <c r="B282">
        <v>1114.77</v>
      </c>
      <c r="C282">
        <v>111.88</v>
      </c>
      <c r="D282">
        <v>429.79</v>
      </c>
      <c r="E282">
        <v>296.42</v>
      </c>
      <c r="F282">
        <v>110.05</v>
      </c>
      <c r="G282">
        <v>95.61</v>
      </c>
      <c r="H282">
        <v>71.02</v>
      </c>
    </row>
    <row r="283" spans="1:8" x14ac:dyDescent="0.25">
      <c r="A283" s="63">
        <f t="shared" si="4"/>
        <v>44478</v>
      </c>
      <c r="B283">
        <v>1112.32</v>
      </c>
      <c r="C283">
        <v>92.13</v>
      </c>
      <c r="D283">
        <v>449.34</v>
      </c>
      <c r="E283">
        <v>302.58</v>
      </c>
      <c r="F283">
        <v>112.2</v>
      </c>
      <c r="G283">
        <v>85.07</v>
      </c>
      <c r="H283">
        <v>71</v>
      </c>
    </row>
    <row r="284" spans="1:8" x14ac:dyDescent="0.25">
      <c r="A284" s="63">
        <f t="shared" si="4"/>
        <v>44479</v>
      </c>
      <c r="B284">
        <v>1073.74</v>
      </c>
      <c r="C284">
        <v>83.59</v>
      </c>
      <c r="D284">
        <v>413.44</v>
      </c>
      <c r="E284">
        <v>300.99</v>
      </c>
      <c r="F284">
        <v>103.69</v>
      </c>
      <c r="G284">
        <v>101.45</v>
      </c>
      <c r="H284">
        <v>70.58</v>
      </c>
    </row>
    <row r="285" spans="1:8" x14ac:dyDescent="0.25">
      <c r="A285" s="63">
        <f t="shared" si="4"/>
        <v>44480</v>
      </c>
      <c r="B285">
        <v>977.95</v>
      </c>
      <c r="C285">
        <v>92.04</v>
      </c>
      <c r="D285">
        <v>362.3</v>
      </c>
      <c r="E285">
        <v>235.23</v>
      </c>
      <c r="F285">
        <v>102.8</v>
      </c>
      <c r="G285">
        <v>114.62</v>
      </c>
      <c r="H285">
        <v>70.959999999999994</v>
      </c>
    </row>
    <row r="286" spans="1:8" x14ac:dyDescent="0.25">
      <c r="A286" s="63">
        <f t="shared" si="4"/>
        <v>44481</v>
      </c>
      <c r="B286">
        <v>1109.28</v>
      </c>
      <c r="C286">
        <v>93.21</v>
      </c>
      <c r="D286">
        <v>448.55</v>
      </c>
      <c r="E286">
        <v>267.19</v>
      </c>
      <c r="F286">
        <v>113.63</v>
      </c>
      <c r="G286">
        <v>115.96000000000001</v>
      </c>
      <c r="H286">
        <v>70.739999999999995</v>
      </c>
    </row>
    <row r="287" spans="1:8" x14ac:dyDescent="0.25">
      <c r="A287" s="63">
        <f t="shared" si="4"/>
        <v>44482</v>
      </c>
      <c r="B287">
        <v>1053.72</v>
      </c>
      <c r="C287">
        <v>89.18</v>
      </c>
      <c r="D287">
        <v>472.61</v>
      </c>
      <c r="E287">
        <v>202.83</v>
      </c>
      <c r="F287">
        <v>108.89</v>
      </c>
      <c r="G287">
        <v>109.42</v>
      </c>
      <c r="H287">
        <v>70.790000000000006</v>
      </c>
    </row>
    <row r="288" spans="1:8" x14ac:dyDescent="0.25">
      <c r="A288" s="63">
        <f t="shared" si="4"/>
        <v>44483</v>
      </c>
      <c r="B288">
        <v>1151.8699999999999</v>
      </c>
      <c r="C288">
        <v>104.84</v>
      </c>
      <c r="D288">
        <v>467.44</v>
      </c>
      <c r="E288">
        <v>293.98</v>
      </c>
      <c r="F288">
        <v>107.99</v>
      </c>
      <c r="G288">
        <v>106.6</v>
      </c>
      <c r="H288">
        <v>71.02</v>
      </c>
    </row>
    <row r="289" spans="1:8" x14ac:dyDescent="0.25">
      <c r="A289" s="63">
        <f t="shared" si="4"/>
        <v>44484</v>
      </c>
      <c r="B289">
        <v>1145.74</v>
      </c>
      <c r="C289">
        <v>102.69</v>
      </c>
      <c r="D289">
        <v>457.25</v>
      </c>
      <c r="E289">
        <v>297.19</v>
      </c>
      <c r="F289">
        <v>106.6</v>
      </c>
      <c r="G289">
        <v>110.98</v>
      </c>
      <c r="H289">
        <v>71.03</v>
      </c>
    </row>
    <row r="290" spans="1:8" x14ac:dyDescent="0.25">
      <c r="A290" s="63">
        <f t="shared" si="4"/>
        <v>44485</v>
      </c>
      <c r="B290">
        <v>1058.8799999999999</v>
      </c>
      <c r="C290">
        <v>103.21</v>
      </c>
      <c r="D290">
        <v>399.46</v>
      </c>
      <c r="E290">
        <v>283.08999999999997</v>
      </c>
      <c r="F290">
        <v>106.42</v>
      </c>
      <c r="G290">
        <v>96.59</v>
      </c>
      <c r="H290">
        <v>70.11</v>
      </c>
    </row>
    <row r="291" spans="1:8" x14ac:dyDescent="0.25">
      <c r="A291" s="63">
        <f t="shared" si="4"/>
        <v>44486</v>
      </c>
      <c r="B291">
        <v>1048.4199999999998</v>
      </c>
      <c r="C291">
        <v>82.18</v>
      </c>
      <c r="D291">
        <v>423.59</v>
      </c>
      <c r="E291">
        <v>266.13</v>
      </c>
      <c r="F291">
        <v>108.89</v>
      </c>
      <c r="G291">
        <v>97.67</v>
      </c>
      <c r="H291">
        <v>69.959999999999994</v>
      </c>
    </row>
    <row r="292" spans="1:8" x14ac:dyDescent="0.25">
      <c r="A292" s="63">
        <f t="shared" si="4"/>
        <v>44487</v>
      </c>
      <c r="B292">
        <v>1099.6499999999999</v>
      </c>
      <c r="C292">
        <v>120.73</v>
      </c>
      <c r="D292">
        <v>420.83</v>
      </c>
      <c r="E292">
        <v>274.82</v>
      </c>
      <c r="F292">
        <v>102.03</v>
      </c>
      <c r="G292">
        <v>110.81</v>
      </c>
      <c r="H292">
        <v>70.430000000000007</v>
      </c>
    </row>
    <row r="293" spans="1:8" x14ac:dyDescent="0.25">
      <c r="A293" s="63">
        <f t="shared" si="4"/>
        <v>44488</v>
      </c>
      <c r="B293">
        <v>1127.98</v>
      </c>
      <c r="C293">
        <v>103.88</v>
      </c>
      <c r="D293">
        <v>452.06</v>
      </c>
      <c r="E293">
        <v>286.89</v>
      </c>
      <c r="F293">
        <v>111.92</v>
      </c>
      <c r="G293">
        <v>107.07000000000001</v>
      </c>
      <c r="H293">
        <v>66.16</v>
      </c>
    </row>
    <row r="294" spans="1:8" x14ac:dyDescent="0.25">
      <c r="A294" s="63">
        <f t="shared" si="4"/>
        <v>44489</v>
      </c>
      <c r="B294">
        <v>1111.6299999999999</v>
      </c>
      <c r="C294">
        <v>77.900000000000006</v>
      </c>
      <c r="D294">
        <v>450.84</v>
      </c>
      <c r="E294">
        <v>290.29000000000002</v>
      </c>
      <c r="F294">
        <v>118.32</v>
      </c>
      <c r="G294">
        <v>102.8</v>
      </c>
      <c r="H294">
        <v>71.48</v>
      </c>
    </row>
    <row r="295" spans="1:8" x14ac:dyDescent="0.25">
      <c r="A295" s="63">
        <f t="shared" si="4"/>
        <v>44490</v>
      </c>
      <c r="B295">
        <v>1114.3899999999999</v>
      </c>
      <c r="C295">
        <v>115.86</v>
      </c>
      <c r="D295">
        <v>466.98</v>
      </c>
      <c r="E295">
        <v>276.67</v>
      </c>
      <c r="F295">
        <v>102.5</v>
      </c>
      <c r="G295">
        <v>85.02000000000001</v>
      </c>
      <c r="H295">
        <v>67.36</v>
      </c>
    </row>
    <row r="296" spans="1:8" x14ac:dyDescent="0.25">
      <c r="A296" s="63">
        <f t="shared" si="4"/>
        <v>44491</v>
      </c>
      <c r="B296">
        <v>1116.0899999999999</v>
      </c>
      <c r="C296">
        <v>105.26</v>
      </c>
      <c r="D296">
        <v>454.93</v>
      </c>
      <c r="E296">
        <v>275.27</v>
      </c>
      <c r="F296">
        <v>116.55</v>
      </c>
      <c r="G296">
        <v>95.63</v>
      </c>
      <c r="H296">
        <v>68.45</v>
      </c>
    </row>
    <row r="297" spans="1:8" x14ac:dyDescent="0.25">
      <c r="A297" s="63">
        <f t="shared" si="4"/>
        <v>44492</v>
      </c>
      <c r="B297">
        <v>1148.3699999999999</v>
      </c>
      <c r="C297">
        <v>71.849999999999994</v>
      </c>
      <c r="D297">
        <v>487.95</v>
      </c>
      <c r="E297">
        <v>306.02</v>
      </c>
      <c r="F297">
        <v>108.11</v>
      </c>
      <c r="G297">
        <v>104.21</v>
      </c>
      <c r="H297">
        <v>70.23</v>
      </c>
    </row>
    <row r="298" spans="1:8" x14ac:dyDescent="0.25">
      <c r="A298" s="63">
        <f t="shared" si="4"/>
        <v>44493</v>
      </c>
      <c r="B298">
        <v>1013.9100000000001</v>
      </c>
      <c r="C298">
        <v>82.79</v>
      </c>
      <c r="D298">
        <v>354.35</v>
      </c>
      <c r="E298">
        <v>277.81</v>
      </c>
      <c r="F298">
        <v>121.58</v>
      </c>
      <c r="G298">
        <v>110.7</v>
      </c>
      <c r="H298">
        <v>66.680000000000007</v>
      </c>
    </row>
    <row r="299" spans="1:8" x14ac:dyDescent="0.25">
      <c r="A299" s="63">
        <f t="shared" si="4"/>
        <v>44494</v>
      </c>
      <c r="B299">
        <v>994.32999999999993</v>
      </c>
      <c r="C299">
        <v>92.82</v>
      </c>
      <c r="D299">
        <v>385.08</v>
      </c>
      <c r="E299">
        <v>232.79</v>
      </c>
      <c r="F299">
        <v>107.43</v>
      </c>
      <c r="G299">
        <v>109.64</v>
      </c>
      <c r="H299">
        <v>66.569999999999993</v>
      </c>
    </row>
    <row r="300" spans="1:8" x14ac:dyDescent="0.25">
      <c r="A300" s="63">
        <f t="shared" si="4"/>
        <v>44495</v>
      </c>
      <c r="B300">
        <v>1127.8600000000001</v>
      </c>
      <c r="C300">
        <v>90.75</v>
      </c>
      <c r="D300">
        <v>450.28</v>
      </c>
      <c r="E300">
        <v>311.17</v>
      </c>
      <c r="F300">
        <v>97.75</v>
      </c>
      <c r="G300">
        <v>113.71</v>
      </c>
      <c r="H300">
        <v>64.2</v>
      </c>
    </row>
    <row r="301" spans="1:8" x14ac:dyDescent="0.25">
      <c r="A301" s="63">
        <f t="shared" si="4"/>
        <v>44496</v>
      </c>
      <c r="B301">
        <v>1178.8699999999999</v>
      </c>
      <c r="C301">
        <v>110.77</v>
      </c>
      <c r="D301">
        <v>474.52</v>
      </c>
      <c r="E301">
        <v>320.85000000000002</v>
      </c>
      <c r="F301">
        <v>93.28</v>
      </c>
      <c r="G301">
        <v>114.64</v>
      </c>
      <c r="H301">
        <v>64.81</v>
      </c>
    </row>
    <row r="302" spans="1:8" x14ac:dyDescent="0.25">
      <c r="A302" s="63">
        <f t="shared" si="4"/>
        <v>44497</v>
      </c>
      <c r="B302">
        <v>1162.67</v>
      </c>
      <c r="C302">
        <v>125.44</v>
      </c>
      <c r="D302">
        <v>458.38</v>
      </c>
      <c r="E302">
        <v>311.94</v>
      </c>
      <c r="F302">
        <v>92.08</v>
      </c>
      <c r="G302">
        <v>107.55</v>
      </c>
      <c r="H302">
        <v>67.28</v>
      </c>
    </row>
    <row r="303" spans="1:8" x14ac:dyDescent="0.25">
      <c r="A303" s="63">
        <f t="shared" si="4"/>
        <v>44498</v>
      </c>
      <c r="B303">
        <v>1178.2199999999998</v>
      </c>
      <c r="C303">
        <v>109.65</v>
      </c>
      <c r="D303">
        <v>459.36</v>
      </c>
      <c r="E303">
        <v>315.58</v>
      </c>
      <c r="F303">
        <v>112.62</v>
      </c>
      <c r="G303">
        <v>106.97</v>
      </c>
      <c r="H303">
        <v>74.040000000000006</v>
      </c>
    </row>
    <row r="304" spans="1:8" x14ac:dyDescent="0.25">
      <c r="A304" s="63">
        <f t="shared" si="4"/>
        <v>44499</v>
      </c>
      <c r="B304">
        <v>1102.7499999999998</v>
      </c>
      <c r="C304">
        <v>107.26</v>
      </c>
      <c r="D304">
        <v>436.93</v>
      </c>
      <c r="E304">
        <v>283.33</v>
      </c>
      <c r="F304">
        <v>100.92</v>
      </c>
      <c r="G304">
        <v>109.2</v>
      </c>
      <c r="H304">
        <v>65.11</v>
      </c>
    </row>
    <row r="305" spans="1:8" x14ac:dyDescent="0.25">
      <c r="A305" s="63">
        <f t="shared" si="4"/>
        <v>44500</v>
      </c>
      <c r="B305">
        <v>970.81999999999994</v>
      </c>
      <c r="C305">
        <v>104.37</v>
      </c>
      <c r="D305">
        <v>443.92</v>
      </c>
      <c r="E305">
        <v>136.21</v>
      </c>
      <c r="F305">
        <v>115.99</v>
      </c>
      <c r="G305">
        <v>105.16</v>
      </c>
      <c r="H305">
        <v>65.17</v>
      </c>
    </row>
    <row r="306" spans="1:8" x14ac:dyDescent="0.25">
      <c r="A306" s="63">
        <f t="shared" si="4"/>
        <v>44501</v>
      </c>
      <c r="B306">
        <v>1062.3599999999999</v>
      </c>
      <c r="C306">
        <v>82.29</v>
      </c>
      <c r="D306">
        <v>408.45</v>
      </c>
      <c r="E306">
        <v>289.02999999999997</v>
      </c>
      <c r="F306">
        <v>102.66</v>
      </c>
      <c r="G306">
        <v>104.9</v>
      </c>
      <c r="H306">
        <v>75.03</v>
      </c>
    </row>
    <row r="307" spans="1:8" x14ac:dyDescent="0.25">
      <c r="A307" s="63">
        <f t="shared" si="4"/>
        <v>44502</v>
      </c>
      <c r="B307">
        <v>1145.7399999999998</v>
      </c>
      <c r="C307">
        <v>103.04</v>
      </c>
      <c r="D307">
        <v>460.37</v>
      </c>
      <c r="E307">
        <v>293.02</v>
      </c>
      <c r="F307">
        <v>101.79</v>
      </c>
      <c r="G307">
        <v>112.42</v>
      </c>
      <c r="H307">
        <v>75.099999999999994</v>
      </c>
    </row>
    <row r="308" spans="1:8" x14ac:dyDescent="0.25">
      <c r="A308" s="63">
        <f t="shared" si="4"/>
        <v>44503</v>
      </c>
      <c r="B308">
        <v>1154.2</v>
      </c>
      <c r="C308">
        <v>135.78</v>
      </c>
      <c r="D308">
        <v>426.77</v>
      </c>
      <c r="E308">
        <v>309.07</v>
      </c>
      <c r="F308">
        <v>113.85</v>
      </c>
      <c r="G308">
        <v>102.26</v>
      </c>
      <c r="H308">
        <v>66.47</v>
      </c>
    </row>
    <row r="309" spans="1:8" x14ac:dyDescent="0.25">
      <c r="A309" s="63">
        <f t="shared" si="4"/>
        <v>44504</v>
      </c>
      <c r="B309">
        <v>1140.8599999999999</v>
      </c>
      <c r="C309">
        <v>113.39</v>
      </c>
      <c r="D309">
        <v>438.87</v>
      </c>
      <c r="E309">
        <v>309.33</v>
      </c>
      <c r="F309">
        <v>103.49000000000001</v>
      </c>
      <c r="G309">
        <v>111.44</v>
      </c>
      <c r="H309">
        <v>64.34</v>
      </c>
    </row>
    <row r="310" spans="1:8" x14ac:dyDescent="0.25">
      <c r="A310" s="63">
        <f t="shared" si="4"/>
        <v>44505</v>
      </c>
      <c r="B310">
        <v>1224.9199999999998</v>
      </c>
      <c r="C310">
        <v>118.56</v>
      </c>
      <c r="D310">
        <v>495.68</v>
      </c>
      <c r="E310">
        <v>309.06</v>
      </c>
      <c r="F310">
        <v>115.61</v>
      </c>
      <c r="G310">
        <v>111.58</v>
      </c>
      <c r="H310">
        <v>74.430000000000007</v>
      </c>
    </row>
    <row r="311" spans="1:8" x14ac:dyDescent="0.25">
      <c r="A311" s="63">
        <f t="shared" si="4"/>
        <v>44506</v>
      </c>
      <c r="B311">
        <v>1194.44</v>
      </c>
      <c r="C311">
        <v>88.37</v>
      </c>
      <c r="D311">
        <v>462.36</v>
      </c>
      <c r="E311">
        <v>342.28</v>
      </c>
      <c r="F311">
        <v>122.95</v>
      </c>
      <c r="G311">
        <v>105.38</v>
      </c>
      <c r="H311">
        <v>73.099999999999994</v>
      </c>
    </row>
    <row r="312" spans="1:8" x14ac:dyDescent="0.25">
      <c r="A312" s="63">
        <f t="shared" si="4"/>
        <v>44507</v>
      </c>
      <c r="B312">
        <v>1091.52</v>
      </c>
      <c r="C312">
        <v>116.71</v>
      </c>
      <c r="D312">
        <v>386.19</v>
      </c>
      <c r="E312">
        <v>300.3</v>
      </c>
      <c r="F312">
        <v>117.14</v>
      </c>
      <c r="G312">
        <v>105.69</v>
      </c>
      <c r="H312">
        <v>65.489999999999995</v>
      </c>
    </row>
    <row r="313" spans="1:8" x14ac:dyDescent="0.25">
      <c r="A313" s="63">
        <f t="shared" si="4"/>
        <v>44508</v>
      </c>
      <c r="B313">
        <v>1066.8900000000001</v>
      </c>
      <c r="C313">
        <v>65.58</v>
      </c>
      <c r="D313">
        <v>452.42</v>
      </c>
      <c r="E313">
        <v>266.20999999999998</v>
      </c>
      <c r="F313">
        <v>105.77</v>
      </c>
      <c r="G313">
        <v>112</v>
      </c>
      <c r="H313">
        <v>64.91</v>
      </c>
    </row>
    <row r="314" spans="1:8" x14ac:dyDescent="0.25">
      <c r="A314" s="63">
        <f t="shared" si="4"/>
        <v>44509</v>
      </c>
      <c r="B314">
        <v>1136.82</v>
      </c>
      <c r="C314">
        <v>79.5</v>
      </c>
      <c r="D314">
        <v>462.37</v>
      </c>
      <c r="E314">
        <v>298.72000000000003</v>
      </c>
      <c r="F314">
        <v>111.53</v>
      </c>
      <c r="G314">
        <v>106.59</v>
      </c>
      <c r="H314">
        <v>78.11</v>
      </c>
    </row>
    <row r="315" spans="1:8" x14ac:dyDescent="0.25">
      <c r="A315" s="63">
        <f t="shared" si="4"/>
        <v>44510</v>
      </c>
      <c r="B315">
        <v>1146.3700000000001</v>
      </c>
      <c r="C315">
        <v>106.37</v>
      </c>
      <c r="D315">
        <v>437.09</v>
      </c>
      <c r="E315">
        <v>310.7</v>
      </c>
      <c r="F315">
        <v>109.73</v>
      </c>
      <c r="G315">
        <v>106.33</v>
      </c>
      <c r="H315">
        <v>76.150000000000006</v>
      </c>
    </row>
    <row r="316" spans="1:8" x14ac:dyDescent="0.25">
      <c r="A316" s="63">
        <f t="shared" si="4"/>
        <v>44511</v>
      </c>
      <c r="B316">
        <v>1153.21</v>
      </c>
      <c r="C316">
        <v>126.31</v>
      </c>
      <c r="D316">
        <v>438.81</v>
      </c>
      <c r="E316">
        <v>304.99</v>
      </c>
      <c r="F316">
        <v>112.72</v>
      </c>
      <c r="G316">
        <v>101.89</v>
      </c>
      <c r="H316">
        <v>68.489999999999995</v>
      </c>
    </row>
    <row r="317" spans="1:8" x14ac:dyDescent="0.25">
      <c r="A317" s="63">
        <f t="shared" si="4"/>
        <v>44512</v>
      </c>
      <c r="B317">
        <v>1129.72</v>
      </c>
      <c r="C317">
        <v>123.45</v>
      </c>
      <c r="D317">
        <v>416.71</v>
      </c>
      <c r="E317">
        <v>299.01</v>
      </c>
      <c r="F317">
        <v>110.82</v>
      </c>
      <c r="G317">
        <v>112.07</v>
      </c>
      <c r="H317">
        <v>67.66</v>
      </c>
    </row>
    <row r="318" spans="1:8" x14ac:dyDescent="0.25">
      <c r="A318" s="63">
        <f t="shared" si="4"/>
        <v>44513</v>
      </c>
      <c r="B318">
        <v>1174.0700000000002</v>
      </c>
      <c r="C318">
        <v>127.78</v>
      </c>
      <c r="D318">
        <v>426.8</v>
      </c>
      <c r="E318">
        <v>320.14999999999998</v>
      </c>
      <c r="F318">
        <v>116.22</v>
      </c>
      <c r="G318">
        <v>109.75</v>
      </c>
      <c r="H318">
        <v>73.37</v>
      </c>
    </row>
    <row r="319" spans="1:8" x14ac:dyDescent="0.25">
      <c r="A319" s="63">
        <f t="shared" si="4"/>
        <v>44514</v>
      </c>
      <c r="B319">
        <v>1050.3400000000001</v>
      </c>
      <c r="C319">
        <v>91.1</v>
      </c>
      <c r="D319">
        <v>416.36</v>
      </c>
      <c r="E319">
        <v>237.46</v>
      </c>
      <c r="F319">
        <v>116.21</v>
      </c>
      <c r="G319">
        <v>116.28</v>
      </c>
      <c r="H319">
        <v>72.930000000000007</v>
      </c>
    </row>
    <row r="320" spans="1:8" x14ac:dyDescent="0.25">
      <c r="A320" s="63">
        <f t="shared" si="4"/>
        <v>44515</v>
      </c>
      <c r="B320">
        <v>1068.01</v>
      </c>
      <c r="C320">
        <v>88.38</v>
      </c>
      <c r="D320">
        <v>466.47</v>
      </c>
      <c r="E320">
        <v>205.76</v>
      </c>
      <c r="F320">
        <v>127.58999999999999</v>
      </c>
      <c r="G320">
        <v>111.38</v>
      </c>
      <c r="H320">
        <v>68.430000000000007</v>
      </c>
    </row>
    <row r="321" spans="1:8" x14ac:dyDescent="0.25">
      <c r="A321" s="63">
        <f t="shared" si="4"/>
        <v>44516</v>
      </c>
      <c r="B321">
        <v>1156.46</v>
      </c>
      <c r="C321">
        <v>106.75</v>
      </c>
      <c r="D321">
        <v>466.05</v>
      </c>
      <c r="E321">
        <v>283.61</v>
      </c>
      <c r="F321">
        <v>114.7</v>
      </c>
      <c r="G321">
        <v>116.44</v>
      </c>
      <c r="H321">
        <v>68.91</v>
      </c>
    </row>
    <row r="322" spans="1:8" x14ac:dyDescent="0.25">
      <c r="A322" s="63">
        <f t="shared" si="4"/>
        <v>44517</v>
      </c>
      <c r="B322">
        <v>1114.9899999999998</v>
      </c>
      <c r="C322">
        <v>111.68</v>
      </c>
      <c r="D322">
        <v>420.88</v>
      </c>
      <c r="E322">
        <v>287.85000000000002</v>
      </c>
      <c r="F322">
        <v>114.54</v>
      </c>
      <c r="G322">
        <v>104.43</v>
      </c>
      <c r="H322">
        <v>75.61</v>
      </c>
    </row>
    <row r="323" spans="1:8" x14ac:dyDescent="0.25">
      <c r="A323" s="63">
        <f t="shared" si="4"/>
        <v>44518</v>
      </c>
      <c r="B323">
        <v>1095.08</v>
      </c>
      <c r="C323">
        <v>78.55</v>
      </c>
      <c r="D323">
        <v>437.76</v>
      </c>
      <c r="E323">
        <v>294.64</v>
      </c>
      <c r="F323">
        <v>111.76</v>
      </c>
      <c r="G323">
        <v>97.79</v>
      </c>
      <c r="H323">
        <v>74.58</v>
      </c>
    </row>
    <row r="324" spans="1:8" x14ac:dyDescent="0.25">
      <c r="A324" s="63">
        <f t="shared" ref="A324:A366" si="5">A323+1</f>
        <v>44519</v>
      </c>
      <c r="B324">
        <v>1089.76</v>
      </c>
      <c r="C324">
        <v>97.19</v>
      </c>
      <c r="D324">
        <v>438.49</v>
      </c>
      <c r="E324">
        <v>279.08999999999997</v>
      </c>
      <c r="F324">
        <v>111.04</v>
      </c>
      <c r="G324">
        <v>98.71</v>
      </c>
      <c r="H324">
        <v>65.239999999999995</v>
      </c>
    </row>
    <row r="325" spans="1:8" x14ac:dyDescent="0.25">
      <c r="A325" s="63">
        <f t="shared" si="5"/>
        <v>44520</v>
      </c>
      <c r="B325">
        <v>1095.6300000000001</v>
      </c>
      <c r="C325">
        <v>106.68</v>
      </c>
      <c r="D325">
        <v>412.98</v>
      </c>
      <c r="E325">
        <v>305.70999999999998</v>
      </c>
      <c r="F325">
        <v>118.76</v>
      </c>
      <c r="G325">
        <v>85.5</v>
      </c>
      <c r="H325">
        <v>66</v>
      </c>
    </row>
    <row r="326" spans="1:8" x14ac:dyDescent="0.25">
      <c r="A326" s="63">
        <f t="shared" si="5"/>
        <v>44521</v>
      </c>
      <c r="B326">
        <v>1146.7</v>
      </c>
      <c r="C326">
        <v>94.91</v>
      </c>
      <c r="D326">
        <v>448.27</v>
      </c>
      <c r="E326">
        <v>299.61</v>
      </c>
      <c r="F326">
        <v>116.7</v>
      </c>
      <c r="G326">
        <v>111.91</v>
      </c>
      <c r="H326">
        <v>75.3</v>
      </c>
    </row>
    <row r="327" spans="1:8" x14ac:dyDescent="0.25">
      <c r="A327" s="63">
        <f t="shared" si="5"/>
        <v>44522</v>
      </c>
      <c r="B327">
        <v>1120.5</v>
      </c>
      <c r="C327">
        <v>89.71</v>
      </c>
      <c r="D327">
        <v>432.62</v>
      </c>
      <c r="E327">
        <v>276.79000000000002</v>
      </c>
      <c r="F327">
        <v>121.72</v>
      </c>
      <c r="G327">
        <v>122.33</v>
      </c>
      <c r="H327">
        <v>77.33</v>
      </c>
    </row>
    <row r="328" spans="1:8" x14ac:dyDescent="0.25">
      <c r="A328" s="63">
        <f t="shared" si="5"/>
        <v>44523</v>
      </c>
      <c r="B328">
        <v>1152.5500000000002</v>
      </c>
      <c r="C328">
        <v>129.31</v>
      </c>
      <c r="D328">
        <v>426.41</v>
      </c>
      <c r="E328">
        <v>285.62</v>
      </c>
      <c r="F328">
        <v>124.54</v>
      </c>
      <c r="G328">
        <v>110.79</v>
      </c>
      <c r="H328">
        <v>75.88</v>
      </c>
    </row>
    <row r="329" spans="1:8" x14ac:dyDescent="0.25">
      <c r="A329" s="63">
        <f t="shared" si="5"/>
        <v>44524</v>
      </c>
      <c r="B329">
        <v>1072.1199999999999</v>
      </c>
      <c r="C329">
        <v>116.64</v>
      </c>
      <c r="D329">
        <v>423.25</v>
      </c>
      <c r="E329">
        <v>247.7</v>
      </c>
      <c r="F329">
        <v>111.97</v>
      </c>
      <c r="G329">
        <v>102.19</v>
      </c>
      <c r="H329">
        <v>70.37</v>
      </c>
    </row>
    <row r="330" spans="1:8" x14ac:dyDescent="0.25">
      <c r="A330" s="63">
        <f t="shared" si="5"/>
        <v>44525</v>
      </c>
      <c r="B330">
        <v>1136.7499999999998</v>
      </c>
      <c r="C330">
        <v>127.58</v>
      </c>
      <c r="D330">
        <v>451.3</v>
      </c>
      <c r="E330">
        <v>262.02</v>
      </c>
      <c r="F330">
        <v>113.77</v>
      </c>
      <c r="G330">
        <v>105.22</v>
      </c>
      <c r="H330">
        <v>76.86</v>
      </c>
    </row>
    <row r="331" spans="1:8" x14ac:dyDescent="0.25">
      <c r="A331" s="63">
        <f t="shared" si="5"/>
        <v>44526</v>
      </c>
      <c r="B331">
        <v>1039.1399999999999</v>
      </c>
      <c r="C331">
        <v>100.66</v>
      </c>
      <c r="D331">
        <v>445.25</v>
      </c>
      <c r="E331">
        <v>217.19</v>
      </c>
      <c r="F331">
        <v>102.41</v>
      </c>
      <c r="G331">
        <v>101.29</v>
      </c>
      <c r="H331">
        <v>72.34</v>
      </c>
    </row>
    <row r="332" spans="1:8" x14ac:dyDescent="0.25">
      <c r="A332" s="63">
        <f t="shared" si="5"/>
        <v>44527</v>
      </c>
      <c r="B332">
        <v>1144.48</v>
      </c>
      <c r="C332">
        <v>108.26</v>
      </c>
      <c r="D332">
        <v>470.21</v>
      </c>
      <c r="E332">
        <v>285.2</v>
      </c>
      <c r="F332">
        <v>112.21</v>
      </c>
      <c r="G332">
        <v>103.36</v>
      </c>
      <c r="H332">
        <v>65.239999999999995</v>
      </c>
    </row>
    <row r="333" spans="1:8" x14ac:dyDescent="0.25">
      <c r="A333" s="63">
        <f t="shared" si="5"/>
        <v>44528</v>
      </c>
      <c r="B333">
        <v>1094.3400000000001</v>
      </c>
      <c r="C333">
        <v>146.61000000000001</v>
      </c>
      <c r="D333">
        <v>401.26</v>
      </c>
      <c r="E333">
        <v>259.71000000000004</v>
      </c>
      <c r="F333">
        <v>111.57</v>
      </c>
      <c r="G333">
        <v>105.99</v>
      </c>
      <c r="H333">
        <v>69.199999999999989</v>
      </c>
    </row>
    <row r="334" spans="1:8" x14ac:dyDescent="0.25">
      <c r="A334" s="63">
        <f t="shared" si="5"/>
        <v>44529</v>
      </c>
      <c r="B334">
        <v>1089.32</v>
      </c>
      <c r="C334">
        <v>104.25</v>
      </c>
      <c r="D334">
        <v>449.16</v>
      </c>
      <c r="E334">
        <v>266.13</v>
      </c>
      <c r="F334">
        <v>99.62</v>
      </c>
      <c r="G334">
        <v>102.42</v>
      </c>
      <c r="H334">
        <v>67.739999999999995</v>
      </c>
    </row>
    <row r="335" spans="1:8" x14ac:dyDescent="0.25">
      <c r="A335" s="63">
        <f t="shared" si="5"/>
        <v>44530</v>
      </c>
      <c r="B335">
        <v>1137.55</v>
      </c>
      <c r="C335">
        <v>101.06</v>
      </c>
      <c r="D335">
        <v>451.73</v>
      </c>
      <c r="E335">
        <v>275.91000000000003</v>
      </c>
      <c r="F335">
        <v>113.75</v>
      </c>
      <c r="G335">
        <v>120.84</v>
      </c>
      <c r="H335">
        <v>74.260000000000005</v>
      </c>
    </row>
    <row r="336" spans="1:8" x14ac:dyDescent="0.25">
      <c r="A336" s="63">
        <f t="shared" si="5"/>
        <v>44531</v>
      </c>
      <c r="B336">
        <v>1172.43</v>
      </c>
      <c r="C336">
        <v>119.16000000000001</v>
      </c>
      <c r="D336">
        <v>472.07</v>
      </c>
      <c r="E336">
        <v>273.68</v>
      </c>
      <c r="F336">
        <v>116.26</v>
      </c>
      <c r="G336">
        <v>114.21</v>
      </c>
      <c r="H336">
        <v>77.05</v>
      </c>
    </row>
    <row r="337" spans="1:8" x14ac:dyDescent="0.25">
      <c r="A337" s="63">
        <f t="shared" si="5"/>
        <v>44532</v>
      </c>
      <c r="B337">
        <v>1134.52</v>
      </c>
      <c r="C337">
        <v>92.46</v>
      </c>
      <c r="D337">
        <v>462.72</v>
      </c>
      <c r="E337">
        <v>275.06</v>
      </c>
      <c r="F337">
        <v>115.25</v>
      </c>
      <c r="G337">
        <v>113.3</v>
      </c>
      <c r="H337">
        <v>75.73</v>
      </c>
    </row>
    <row r="338" spans="1:8" x14ac:dyDescent="0.25">
      <c r="A338" s="63">
        <f t="shared" si="5"/>
        <v>44533</v>
      </c>
      <c r="B338">
        <v>1087.02</v>
      </c>
      <c r="C338">
        <v>72.84</v>
      </c>
      <c r="D338">
        <v>428.74</v>
      </c>
      <c r="E338">
        <v>271.44</v>
      </c>
      <c r="F338">
        <v>120.07</v>
      </c>
      <c r="G338">
        <v>118.24</v>
      </c>
      <c r="H338">
        <v>75.69</v>
      </c>
    </row>
    <row r="339" spans="1:8" x14ac:dyDescent="0.25">
      <c r="A339" s="63">
        <f t="shared" si="5"/>
        <v>44534</v>
      </c>
      <c r="B339">
        <v>1070.76</v>
      </c>
      <c r="C339">
        <v>72.86</v>
      </c>
      <c r="D339">
        <v>443.71</v>
      </c>
      <c r="E339">
        <v>253.14</v>
      </c>
      <c r="F339">
        <v>117.22</v>
      </c>
      <c r="G339">
        <v>109.44</v>
      </c>
      <c r="H339">
        <v>74.39</v>
      </c>
    </row>
    <row r="340" spans="1:8" x14ac:dyDescent="0.25">
      <c r="A340" s="63">
        <f t="shared" si="5"/>
        <v>44535</v>
      </c>
      <c r="B340">
        <v>1019.7699999999999</v>
      </c>
      <c r="C340">
        <v>83.24</v>
      </c>
      <c r="D340">
        <v>407.65999999999997</v>
      </c>
      <c r="E340">
        <v>230.87</v>
      </c>
      <c r="F340">
        <v>115.29</v>
      </c>
      <c r="G340">
        <v>109.3</v>
      </c>
      <c r="H340">
        <v>73.41</v>
      </c>
    </row>
    <row r="341" spans="1:8" x14ac:dyDescent="0.25">
      <c r="A341" s="63">
        <f t="shared" si="5"/>
        <v>44536</v>
      </c>
      <c r="B341">
        <v>1069.3700000000001</v>
      </c>
      <c r="C341">
        <v>99.72</v>
      </c>
      <c r="D341">
        <v>433.03</v>
      </c>
      <c r="E341">
        <v>226.73</v>
      </c>
      <c r="F341">
        <v>117.21</v>
      </c>
      <c r="G341">
        <v>118.35</v>
      </c>
      <c r="H341">
        <v>74.33</v>
      </c>
    </row>
    <row r="342" spans="1:8" x14ac:dyDescent="0.25">
      <c r="A342" s="63">
        <f t="shared" si="5"/>
        <v>44537</v>
      </c>
      <c r="B342">
        <v>1056.0700000000002</v>
      </c>
      <c r="C342">
        <v>73.540000000000006</v>
      </c>
      <c r="D342">
        <v>418.26</v>
      </c>
      <c r="E342">
        <v>254.58</v>
      </c>
      <c r="F342">
        <v>126.62</v>
      </c>
      <c r="G342">
        <v>112.45</v>
      </c>
      <c r="H342">
        <v>70.62</v>
      </c>
    </row>
    <row r="343" spans="1:8" x14ac:dyDescent="0.25">
      <c r="A343" s="63">
        <f t="shared" si="5"/>
        <v>44538</v>
      </c>
      <c r="B343">
        <v>1029.68</v>
      </c>
      <c r="C343">
        <v>94.44</v>
      </c>
      <c r="D343">
        <v>416.92</v>
      </c>
      <c r="E343">
        <v>225.78</v>
      </c>
      <c r="F343">
        <v>111.93</v>
      </c>
      <c r="G343">
        <v>108.35</v>
      </c>
      <c r="H343">
        <v>72.260000000000005</v>
      </c>
    </row>
    <row r="344" spans="1:8" x14ac:dyDescent="0.25">
      <c r="A344" s="63">
        <f t="shared" si="5"/>
        <v>44539</v>
      </c>
      <c r="B344">
        <v>1081.29</v>
      </c>
      <c r="C344">
        <v>109.18</v>
      </c>
      <c r="D344">
        <v>438.54</v>
      </c>
      <c r="E344">
        <v>252.12</v>
      </c>
      <c r="F344">
        <v>108.26</v>
      </c>
      <c r="G344">
        <v>101.59</v>
      </c>
      <c r="H344">
        <v>71.599999999999994</v>
      </c>
    </row>
    <row r="345" spans="1:8" x14ac:dyDescent="0.25">
      <c r="A345" s="63">
        <f t="shared" si="5"/>
        <v>44540</v>
      </c>
      <c r="B345">
        <v>1159.73</v>
      </c>
      <c r="C345">
        <v>91.08</v>
      </c>
      <c r="D345">
        <v>468.57</v>
      </c>
      <c r="E345">
        <v>296.05</v>
      </c>
      <c r="F345">
        <v>121.28</v>
      </c>
      <c r="G345">
        <v>110.86</v>
      </c>
      <c r="H345">
        <v>71.89</v>
      </c>
    </row>
    <row r="346" spans="1:8" x14ac:dyDescent="0.25">
      <c r="A346" s="63">
        <f t="shared" si="5"/>
        <v>44541</v>
      </c>
      <c r="B346">
        <v>1134.0500000000002</v>
      </c>
      <c r="C346">
        <v>89.75</v>
      </c>
      <c r="D346">
        <v>444.18</v>
      </c>
      <c r="E346">
        <v>287.66000000000003</v>
      </c>
      <c r="F346">
        <v>120.76</v>
      </c>
      <c r="G346">
        <v>121.14</v>
      </c>
      <c r="H346">
        <v>70.56</v>
      </c>
    </row>
    <row r="347" spans="1:8" x14ac:dyDescent="0.25">
      <c r="A347" s="63">
        <f t="shared" si="5"/>
        <v>44542</v>
      </c>
      <c r="B347">
        <v>1081.3799999999999</v>
      </c>
      <c r="C347">
        <v>66.03</v>
      </c>
      <c r="D347">
        <v>433.39</v>
      </c>
      <c r="E347">
        <v>286.33999999999997</v>
      </c>
      <c r="F347">
        <v>109.16</v>
      </c>
      <c r="G347">
        <v>115.72</v>
      </c>
      <c r="H347">
        <v>70.739999999999995</v>
      </c>
    </row>
    <row r="348" spans="1:8" x14ac:dyDescent="0.25">
      <c r="A348" s="63">
        <f t="shared" si="5"/>
        <v>44543</v>
      </c>
      <c r="B348">
        <v>1063.98</v>
      </c>
      <c r="C348">
        <v>103.15</v>
      </c>
      <c r="D348">
        <v>431.05</v>
      </c>
      <c r="E348">
        <v>250.39</v>
      </c>
      <c r="F348">
        <v>97.63</v>
      </c>
      <c r="G348">
        <v>108.7</v>
      </c>
      <c r="H348">
        <v>73.06</v>
      </c>
    </row>
    <row r="349" spans="1:8" x14ac:dyDescent="0.25">
      <c r="A349" s="63">
        <f t="shared" si="5"/>
        <v>44544</v>
      </c>
      <c r="B349">
        <v>1096.48</v>
      </c>
      <c r="C349">
        <v>87.79</v>
      </c>
      <c r="D349">
        <v>451.61</v>
      </c>
      <c r="E349">
        <v>292.35000000000002</v>
      </c>
      <c r="F349">
        <v>107.76</v>
      </c>
      <c r="G349">
        <v>101.2</v>
      </c>
      <c r="H349">
        <v>55.77</v>
      </c>
    </row>
    <row r="350" spans="1:8" x14ac:dyDescent="0.25">
      <c r="A350" s="63">
        <f t="shared" si="5"/>
        <v>44545</v>
      </c>
      <c r="B350">
        <v>1131.1099999999999</v>
      </c>
      <c r="C350">
        <v>82.59</v>
      </c>
      <c r="D350">
        <v>468.49</v>
      </c>
      <c r="E350">
        <v>283.14999999999998</v>
      </c>
      <c r="F350">
        <v>110.26</v>
      </c>
      <c r="G350">
        <v>117.76</v>
      </c>
      <c r="H350">
        <v>68.86</v>
      </c>
    </row>
    <row r="351" spans="1:8" x14ac:dyDescent="0.25">
      <c r="A351" s="63">
        <f t="shared" si="5"/>
        <v>44546</v>
      </c>
      <c r="B351">
        <v>1100.29</v>
      </c>
      <c r="C351">
        <v>82.89</v>
      </c>
      <c r="D351">
        <v>456.41</v>
      </c>
      <c r="E351">
        <v>304.08</v>
      </c>
      <c r="F351">
        <v>97.3</v>
      </c>
      <c r="G351">
        <v>91.38</v>
      </c>
      <c r="H351">
        <v>68.23</v>
      </c>
    </row>
    <row r="352" spans="1:8" x14ac:dyDescent="0.25">
      <c r="A352" s="63">
        <f t="shared" si="5"/>
        <v>44547</v>
      </c>
      <c r="B352">
        <v>1078.3999999999999</v>
      </c>
      <c r="C352">
        <v>92.19</v>
      </c>
      <c r="D352">
        <v>399.1</v>
      </c>
      <c r="E352">
        <v>291.49</v>
      </c>
      <c r="F352">
        <v>113.16</v>
      </c>
      <c r="G352">
        <v>108.01</v>
      </c>
      <c r="H352">
        <v>74.45</v>
      </c>
    </row>
    <row r="353" spans="1:8" x14ac:dyDescent="0.25">
      <c r="A353" s="63">
        <f t="shared" si="5"/>
        <v>44548</v>
      </c>
      <c r="B353">
        <v>1085.1600000000001</v>
      </c>
      <c r="C353">
        <v>96.82</v>
      </c>
      <c r="D353">
        <v>411.51</v>
      </c>
      <c r="E353">
        <v>282.92</v>
      </c>
      <c r="F353">
        <v>108.98</v>
      </c>
      <c r="G353">
        <v>110.74</v>
      </c>
      <c r="H353">
        <v>74.19</v>
      </c>
    </row>
    <row r="354" spans="1:8" x14ac:dyDescent="0.25">
      <c r="A354" s="63">
        <f t="shared" si="5"/>
        <v>44549</v>
      </c>
      <c r="B354">
        <v>1122.0999999999999</v>
      </c>
      <c r="C354">
        <v>113.97</v>
      </c>
      <c r="D354">
        <v>451.09</v>
      </c>
      <c r="E354">
        <v>250.96</v>
      </c>
      <c r="F354">
        <v>117.66</v>
      </c>
      <c r="G354">
        <v>113.85</v>
      </c>
      <c r="H354">
        <v>74.569999999999993</v>
      </c>
    </row>
    <row r="355" spans="1:8" x14ac:dyDescent="0.25">
      <c r="A355" s="63">
        <f t="shared" si="5"/>
        <v>44550</v>
      </c>
      <c r="B355">
        <v>1013.98</v>
      </c>
      <c r="C355">
        <v>83.03</v>
      </c>
      <c r="D355">
        <v>394.13</v>
      </c>
      <c r="E355">
        <v>225.36</v>
      </c>
      <c r="F355">
        <v>113.72</v>
      </c>
      <c r="G355">
        <v>120.17</v>
      </c>
      <c r="H355">
        <v>77.569999999999993</v>
      </c>
    </row>
    <row r="356" spans="1:8" x14ac:dyDescent="0.25">
      <c r="A356" s="63">
        <f t="shared" si="5"/>
        <v>44551</v>
      </c>
      <c r="B356">
        <v>1076.19</v>
      </c>
      <c r="C356">
        <v>99.37</v>
      </c>
      <c r="D356">
        <v>417.93</v>
      </c>
      <c r="E356">
        <v>259</v>
      </c>
      <c r="F356">
        <v>106.45</v>
      </c>
      <c r="G356">
        <v>120.47</v>
      </c>
      <c r="H356">
        <v>72.97</v>
      </c>
    </row>
    <row r="357" spans="1:8" x14ac:dyDescent="0.25">
      <c r="A357" s="63">
        <f t="shared" si="5"/>
        <v>44552</v>
      </c>
      <c r="B357">
        <v>1082.8500000000001</v>
      </c>
      <c r="C357">
        <v>97.36</v>
      </c>
      <c r="D357">
        <v>439.35</v>
      </c>
      <c r="E357">
        <v>265.99</v>
      </c>
      <c r="F357">
        <v>104.3</v>
      </c>
      <c r="G357">
        <v>105.69</v>
      </c>
      <c r="H357">
        <v>70.16</v>
      </c>
    </row>
    <row r="358" spans="1:8" x14ac:dyDescent="0.25">
      <c r="A358" s="63">
        <f t="shared" si="5"/>
        <v>44553</v>
      </c>
      <c r="B358">
        <v>1058.21</v>
      </c>
      <c r="C358">
        <v>97.33</v>
      </c>
      <c r="D358">
        <v>405.98</v>
      </c>
      <c r="E358">
        <v>258.28000000000003</v>
      </c>
      <c r="F358">
        <v>102.92</v>
      </c>
      <c r="G358">
        <v>110.6</v>
      </c>
      <c r="H358">
        <v>83.1</v>
      </c>
    </row>
    <row r="359" spans="1:8" x14ac:dyDescent="0.25">
      <c r="A359" s="63">
        <f t="shared" si="5"/>
        <v>44554</v>
      </c>
      <c r="B359">
        <v>1094.96</v>
      </c>
      <c r="C359">
        <v>88.16</v>
      </c>
      <c r="D359">
        <v>451.94</v>
      </c>
      <c r="E359">
        <v>255.14</v>
      </c>
      <c r="F359">
        <v>116.1</v>
      </c>
      <c r="G359">
        <v>109.6</v>
      </c>
      <c r="H359">
        <v>74.02</v>
      </c>
    </row>
    <row r="360" spans="1:8" x14ac:dyDescent="0.25">
      <c r="A360" s="63">
        <f t="shared" si="5"/>
        <v>44555</v>
      </c>
      <c r="B360">
        <v>1023.6700000000001</v>
      </c>
      <c r="C360">
        <v>65.22</v>
      </c>
      <c r="D360">
        <v>414.19</v>
      </c>
      <c r="E360">
        <v>256.72000000000003</v>
      </c>
      <c r="F360">
        <v>107.46</v>
      </c>
      <c r="G360">
        <v>105.27</v>
      </c>
      <c r="H360">
        <v>74.81</v>
      </c>
    </row>
    <row r="361" spans="1:8" x14ac:dyDescent="0.25">
      <c r="A361" s="63">
        <f t="shared" si="5"/>
        <v>44556</v>
      </c>
      <c r="B361">
        <v>1036.47</v>
      </c>
      <c r="C361">
        <v>68.489999999999995</v>
      </c>
      <c r="D361">
        <v>428.61</v>
      </c>
      <c r="E361">
        <v>248.61</v>
      </c>
      <c r="F361">
        <v>111.44</v>
      </c>
      <c r="G361">
        <v>104.65</v>
      </c>
      <c r="H361">
        <v>74.67</v>
      </c>
    </row>
    <row r="362" spans="1:8" x14ac:dyDescent="0.25">
      <c r="A362" s="63">
        <f t="shared" si="5"/>
        <v>44557</v>
      </c>
      <c r="B362">
        <v>1032.75</v>
      </c>
      <c r="C362">
        <v>80.05</v>
      </c>
      <c r="D362">
        <v>433.4</v>
      </c>
      <c r="E362">
        <v>242.06</v>
      </c>
      <c r="F362">
        <v>98.44</v>
      </c>
      <c r="G362">
        <v>104.1</v>
      </c>
      <c r="H362">
        <v>74.7</v>
      </c>
    </row>
    <row r="363" spans="1:8" x14ac:dyDescent="0.25">
      <c r="A363" s="63">
        <f t="shared" si="5"/>
        <v>44558</v>
      </c>
      <c r="B363">
        <v>1007.42</v>
      </c>
      <c r="C363">
        <v>71.38</v>
      </c>
      <c r="D363">
        <v>427.61</v>
      </c>
      <c r="E363">
        <v>238.75</v>
      </c>
      <c r="F363">
        <v>90.15</v>
      </c>
      <c r="G363">
        <v>101.69</v>
      </c>
      <c r="H363">
        <v>77.84</v>
      </c>
    </row>
    <row r="364" spans="1:8" x14ac:dyDescent="0.25">
      <c r="A364" s="63">
        <f t="shared" si="5"/>
        <v>44559</v>
      </c>
      <c r="B364">
        <v>576.79999999999995</v>
      </c>
      <c r="C364">
        <v>74.33</v>
      </c>
      <c r="D364">
        <v>318.54000000000002</v>
      </c>
      <c r="F364">
        <v>55.85</v>
      </c>
      <c r="G364">
        <v>67.64</v>
      </c>
      <c r="H364">
        <v>60.44</v>
      </c>
    </row>
    <row r="365" spans="1:8" x14ac:dyDescent="0.25">
      <c r="A365" s="63">
        <f t="shared" si="5"/>
        <v>44560</v>
      </c>
      <c r="B365">
        <v>0</v>
      </c>
    </row>
    <row r="366" spans="1:8" x14ac:dyDescent="0.25">
      <c r="A366" s="63">
        <f t="shared" si="5"/>
        <v>44561</v>
      </c>
      <c r="B366">
        <v>0</v>
      </c>
    </row>
    <row r="367" spans="1:8" x14ac:dyDescent="0.25">
      <c r="A367" s="63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7"/>
  <sheetViews>
    <sheetView workbookViewId="0"/>
  </sheetViews>
  <sheetFormatPr defaultRowHeight="15" x14ac:dyDescent="0.25"/>
  <cols>
    <col min="1" max="1" width="10.140625" bestFit="1" customWidth="1"/>
  </cols>
  <sheetData>
    <row r="1" spans="1:8" x14ac:dyDescent="0.25">
      <c r="A1" t="s">
        <v>42</v>
      </c>
      <c r="B1" t="s">
        <v>41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</row>
    <row r="2" spans="1:8" x14ac:dyDescent="0.25">
      <c r="A2" s="63">
        <v>44562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s="63">
        <f>A2+1</f>
        <v>44563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s="63">
        <f t="shared" ref="A4:A67" si="0">A3+1</f>
        <v>44564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s="63">
        <f t="shared" si="0"/>
        <v>44565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s="63">
        <f t="shared" si="0"/>
        <v>44566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63">
        <f t="shared" si="0"/>
        <v>44567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s="63">
        <f t="shared" si="0"/>
        <v>44568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s="63">
        <f t="shared" si="0"/>
        <v>44569</v>
      </c>
      <c r="B9">
        <v>990.43000000000006</v>
      </c>
      <c r="C9">
        <v>85.16</v>
      </c>
      <c r="D9">
        <v>399.09</v>
      </c>
      <c r="E9">
        <v>213.48</v>
      </c>
      <c r="F9">
        <v>125.85</v>
      </c>
      <c r="G9">
        <v>105.35</v>
      </c>
      <c r="H9">
        <v>61.5</v>
      </c>
    </row>
    <row r="10" spans="1:8" x14ac:dyDescent="0.25">
      <c r="A10" s="63">
        <f t="shared" si="0"/>
        <v>44570</v>
      </c>
      <c r="B10">
        <v>935.65</v>
      </c>
      <c r="C10">
        <v>96.86</v>
      </c>
      <c r="D10">
        <v>271.7</v>
      </c>
      <c r="E10">
        <v>282.08999999999997</v>
      </c>
      <c r="F10">
        <v>115.82</v>
      </c>
      <c r="G10">
        <v>116.26</v>
      </c>
      <c r="H10">
        <v>52.92</v>
      </c>
    </row>
    <row r="11" spans="1:8" x14ac:dyDescent="0.25">
      <c r="A11" s="63">
        <f t="shared" si="0"/>
        <v>44571</v>
      </c>
      <c r="B11">
        <v>990.95999999999992</v>
      </c>
      <c r="C11">
        <v>95.48</v>
      </c>
      <c r="D11">
        <v>352.43</v>
      </c>
      <c r="E11">
        <v>239.88</v>
      </c>
      <c r="F11">
        <v>129.98999999999998</v>
      </c>
      <c r="G11">
        <v>94.79</v>
      </c>
      <c r="H11">
        <v>78.39</v>
      </c>
    </row>
    <row r="12" spans="1:8" x14ac:dyDescent="0.25">
      <c r="A12" s="63">
        <f t="shared" si="0"/>
        <v>44572</v>
      </c>
      <c r="B12">
        <v>1116.75</v>
      </c>
      <c r="C12">
        <v>97.46</v>
      </c>
      <c r="D12">
        <v>452.82</v>
      </c>
      <c r="E12">
        <v>260.81</v>
      </c>
      <c r="F12">
        <v>111.63000000000001</v>
      </c>
      <c r="G12">
        <v>118.53</v>
      </c>
      <c r="H12">
        <v>75.5</v>
      </c>
    </row>
    <row r="13" spans="1:8" x14ac:dyDescent="0.25">
      <c r="A13" s="63">
        <f t="shared" si="0"/>
        <v>44573</v>
      </c>
      <c r="B13">
        <v>1098.75</v>
      </c>
      <c r="C13">
        <v>71.17</v>
      </c>
      <c r="D13">
        <v>453.41</v>
      </c>
      <c r="E13">
        <v>257.01</v>
      </c>
      <c r="F13">
        <v>130.5</v>
      </c>
      <c r="G13">
        <v>110.84</v>
      </c>
      <c r="H13">
        <v>75.819999999999993</v>
      </c>
    </row>
    <row r="14" spans="1:8" x14ac:dyDescent="0.25">
      <c r="A14" s="63">
        <f t="shared" si="0"/>
        <v>44574</v>
      </c>
      <c r="B14">
        <v>1077.77</v>
      </c>
      <c r="C14">
        <v>90.98</v>
      </c>
      <c r="D14">
        <v>447.02</v>
      </c>
      <c r="E14">
        <v>255.76</v>
      </c>
      <c r="F14">
        <v>108.5</v>
      </c>
      <c r="G14">
        <v>100.16</v>
      </c>
      <c r="H14">
        <v>75.349999999999994</v>
      </c>
    </row>
    <row r="15" spans="1:8" x14ac:dyDescent="0.25">
      <c r="A15" s="63">
        <f t="shared" si="0"/>
        <v>44575</v>
      </c>
      <c r="B15">
        <v>1117.23</v>
      </c>
      <c r="C15">
        <v>86.67</v>
      </c>
      <c r="D15">
        <v>459.42</v>
      </c>
      <c r="E15">
        <v>253.85</v>
      </c>
      <c r="F15">
        <v>118.63</v>
      </c>
      <c r="G15">
        <v>122.53</v>
      </c>
      <c r="H15">
        <v>76.13</v>
      </c>
    </row>
    <row r="16" spans="1:8" x14ac:dyDescent="0.25">
      <c r="A16" s="63">
        <f t="shared" si="0"/>
        <v>44576</v>
      </c>
      <c r="B16">
        <v>1034.9100000000001</v>
      </c>
      <c r="C16">
        <v>82.67</v>
      </c>
      <c r="D16">
        <v>378.4</v>
      </c>
      <c r="E16">
        <v>254.38</v>
      </c>
      <c r="F16">
        <v>130.9</v>
      </c>
      <c r="G16">
        <v>112.04</v>
      </c>
      <c r="H16">
        <v>76.52</v>
      </c>
    </row>
    <row r="17" spans="1:8" x14ac:dyDescent="0.25">
      <c r="A17" s="63">
        <f t="shared" si="0"/>
        <v>44577</v>
      </c>
      <c r="B17">
        <v>1070.56</v>
      </c>
      <c r="C17">
        <v>69.87</v>
      </c>
      <c r="D17">
        <v>445.45</v>
      </c>
      <c r="E17">
        <v>250.56</v>
      </c>
      <c r="F17">
        <v>119.75</v>
      </c>
      <c r="G17">
        <v>108.75</v>
      </c>
      <c r="H17">
        <v>76.180000000000007</v>
      </c>
    </row>
    <row r="18" spans="1:8" x14ac:dyDescent="0.25">
      <c r="A18" s="63">
        <f t="shared" si="0"/>
        <v>44578</v>
      </c>
      <c r="B18">
        <v>1109.9699999999998</v>
      </c>
      <c r="C18">
        <v>109.23</v>
      </c>
      <c r="D18">
        <v>423.06</v>
      </c>
      <c r="E18">
        <v>260.5</v>
      </c>
      <c r="F18">
        <v>129.58000000000001</v>
      </c>
      <c r="G18">
        <v>110.99</v>
      </c>
      <c r="H18">
        <v>76.61</v>
      </c>
    </row>
    <row r="19" spans="1:8" x14ac:dyDescent="0.25">
      <c r="A19" s="63">
        <f t="shared" si="0"/>
        <v>44579</v>
      </c>
      <c r="B19">
        <v>1122.8</v>
      </c>
      <c r="C19">
        <v>101.45</v>
      </c>
      <c r="D19">
        <v>443.07</v>
      </c>
      <c r="E19">
        <v>261.64999999999998</v>
      </c>
      <c r="F19">
        <v>120.06</v>
      </c>
      <c r="G19">
        <v>119.04</v>
      </c>
      <c r="H19">
        <v>77.53</v>
      </c>
    </row>
    <row r="20" spans="1:8" x14ac:dyDescent="0.25">
      <c r="A20" s="63">
        <f t="shared" si="0"/>
        <v>44580</v>
      </c>
      <c r="B20">
        <v>1109.8699999999999</v>
      </c>
      <c r="C20">
        <v>95.72</v>
      </c>
      <c r="D20">
        <v>430.82</v>
      </c>
      <c r="E20">
        <v>255.75</v>
      </c>
      <c r="F20">
        <v>130.24</v>
      </c>
      <c r="G20">
        <v>118.24000000000001</v>
      </c>
      <c r="H20">
        <v>79.099999999999994</v>
      </c>
    </row>
    <row r="21" spans="1:8" x14ac:dyDescent="0.25">
      <c r="A21" s="63">
        <f t="shared" si="0"/>
        <v>44581</v>
      </c>
      <c r="B21">
        <v>1172.72</v>
      </c>
      <c r="C21">
        <v>100.97</v>
      </c>
      <c r="D21">
        <v>484.09</v>
      </c>
      <c r="E21">
        <v>285.81</v>
      </c>
      <c r="F21">
        <v>110.35</v>
      </c>
      <c r="G21">
        <v>114.02</v>
      </c>
      <c r="H21">
        <v>77.48</v>
      </c>
    </row>
    <row r="22" spans="1:8" x14ac:dyDescent="0.25">
      <c r="A22" s="63">
        <f t="shared" si="0"/>
        <v>44582</v>
      </c>
      <c r="B22">
        <v>1104.19</v>
      </c>
      <c r="C22">
        <v>68.48</v>
      </c>
      <c r="D22">
        <v>399.17</v>
      </c>
      <c r="E22">
        <v>307.43</v>
      </c>
      <c r="F22">
        <v>129.05000000000001</v>
      </c>
      <c r="G22">
        <v>121.06</v>
      </c>
      <c r="H22">
        <v>79</v>
      </c>
    </row>
    <row r="23" spans="1:8" x14ac:dyDescent="0.25">
      <c r="A23" s="63">
        <f t="shared" si="0"/>
        <v>44583</v>
      </c>
      <c r="B23">
        <v>1122.07</v>
      </c>
      <c r="C23">
        <v>84.37</v>
      </c>
      <c r="D23">
        <v>427.82</v>
      </c>
      <c r="E23">
        <v>301.01</v>
      </c>
      <c r="F23">
        <v>116.09</v>
      </c>
      <c r="G23">
        <v>115.49</v>
      </c>
      <c r="H23">
        <v>77.290000000000006</v>
      </c>
    </row>
    <row r="24" spans="1:8" x14ac:dyDescent="0.25">
      <c r="A24" s="63">
        <f t="shared" si="0"/>
        <v>44584</v>
      </c>
      <c r="B24">
        <v>1102.0300000000002</v>
      </c>
      <c r="C24">
        <v>117.52</v>
      </c>
      <c r="D24">
        <v>404.54</v>
      </c>
      <c r="E24">
        <v>263.24</v>
      </c>
      <c r="F24">
        <v>126.62</v>
      </c>
      <c r="G24">
        <v>112.63</v>
      </c>
      <c r="H24">
        <v>77.48</v>
      </c>
    </row>
    <row r="25" spans="1:8" x14ac:dyDescent="0.25">
      <c r="A25" s="63">
        <f t="shared" si="0"/>
        <v>44585</v>
      </c>
      <c r="B25">
        <v>1171.1499999999999</v>
      </c>
      <c r="C25">
        <v>110.26</v>
      </c>
      <c r="D25">
        <v>465.02</v>
      </c>
      <c r="E25">
        <v>279.74</v>
      </c>
      <c r="F25">
        <v>120</v>
      </c>
      <c r="G25">
        <v>118.60000000000001</v>
      </c>
      <c r="H25">
        <v>77.53</v>
      </c>
    </row>
    <row r="26" spans="1:8" x14ac:dyDescent="0.25">
      <c r="A26" s="63">
        <f t="shared" si="0"/>
        <v>44586</v>
      </c>
      <c r="B26">
        <v>1100.6199999999999</v>
      </c>
      <c r="C26">
        <v>110.49</v>
      </c>
      <c r="D26">
        <v>350.1</v>
      </c>
      <c r="E26">
        <v>311.95</v>
      </c>
      <c r="F26">
        <v>131.13</v>
      </c>
      <c r="G26">
        <v>120.1</v>
      </c>
      <c r="H26">
        <v>76.849999999999994</v>
      </c>
    </row>
    <row r="27" spans="1:8" x14ac:dyDescent="0.25">
      <c r="A27" s="63">
        <f t="shared" si="0"/>
        <v>44587</v>
      </c>
      <c r="B27">
        <v>1154.76</v>
      </c>
      <c r="C27">
        <v>94.14</v>
      </c>
      <c r="D27">
        <v>456.07</v>
      </c>
      <c r="E27">
        <v>281.3</v>
      </c>
      <c r="F27">
        <v>127.13000000000001</v>
      </c>
      <c r="G27">
        <v>119.45</v>
      </c>
      <c r="H27">
        <v>76.67</v>
      </c>
    </row>
    <row r="28" spans="1:8" x14ac:dyDescent="0.25">
      <c r="A28" s="63">
        <f t="shared" si="0"/>
        <v>44588</v>
      </c>
      <c r="B28">
        <v>1133.4000000000001</v>
      </c>
      <c r="C28">
        <v>79.430000000000007</v>
      </c>
      <c r="D28">
        <v>456.53</v>
      </c>
      <c r="E28">
        <v>298.25</v>
      </c>
      <c r="F28">
        <v>111.32</v>
      </c>
      <c r="G28">
        <v>116.45</v>
      </c>
      <c r="H28">
        <v>71.42</v>
      </c>
    </row>
    <row r="29" spans="1:8" x14ac:dyDescent="0.25">
      <c r="A29" s="63">
        <f t="shared" si="0"/>
        <v>44589</v>
      </c>
      <c r="B29">
        <v>1145.7</v>
      </c>
      <c r="C29">
        <v>96.54</v>
      </c>
      <c r="D29">
        <v>414.64</v>
      </c>
      <c r="E29">
        <v>297.29000000000002</v>
      </c>
      <c r="F29">
        <v>123.6</v>
      </c>
      <c r="G29">
        <v>134.88999999999999</v>
      </c>
      <c r="H29">
        <v>78.739999999999995</v>
      </c>
    </row>
    <row r="30" spans="1:8" x14ac:dyDescent="0.25">
      <c r="A30" s="63">
        <f t="shared" si="0"/>
        <v>44590</v>
      </c>
      <c r="B30">
        <v>1202.23</v>
      </c>
      <c r="C30">
        <v>106.11</v>
      </c>
      <c r="D30">
        <v>463.52</v>
      </c>
      <c r="E30">
        <v>300.35000000000002</v>
      </c>
      <c r="F30">
        <v>120.45</v>
      </c>
      <c r="G30">
        <v>135.07</v>
      </c>
      <c r="H30">
        <v>76.73</v>
      </c>
    </row>
    <row r="31" spans="1:8" x14ac:dyDescent="0.25">
      <c r="A31" s="63">
        <f t="shared" si="0"/>
        <v>44591</v>
      </c>
      <c r="B31">
        <v>1218.9900000000002</v>
      </c>
      <c r="C31">
        <v>99.03</v>
      </c>
      <c r="D31">
        <v>476.03</v>
      </c>
      <c r="E31">
        <v>317.43</v>
      </c>
      <c r="F31">
        <v>116.69999999999999</v>
      </c>
      <c r="G31">
        <v>133.16</v>
      </c>
      <c r="H31">
        <v>76.64</v>
      </c>
    </row>
    <row r="32" spans="1:8" x14ac:dyDescent="0.25">
      <c r="A32" s="63">
        <f t="shared" si="0"/>
        <v>44592</v>
      </c>
      <c r="B32">
        <v>1205.82</v>
      </c>
      <c r="C32">
        <v>117.16</v>
      </c>
      <c r="D32">
        <v>461.21</v>
      </c>
      <c r="E32">
        <v>305.64</v>
      </c>
      <c r="F32">
        <v>120.67</v>
      </c>
      <c r="G32">
        <v>125.28</v>
      </c>
      <c r="H32">
        <v>75.86</v>
      </c>
    </row>
    <row r="33" spans="1:8" x14ac:dyDescent="0.25">
      <c r="A33" s="63">
        <f t="shared" si="0"/>
        <v>44593</v>
      </c>
      <c r="B33">
        <v>1158.46</v>
      </c>
      <c r="C33">
        <v>110.04</v>
      </c>
      <c r="D33">
        <v>433.23</v>
      </c>
      <c r="E33">
        <v>289.57</v>
      </c>
      <c r="F33">
        <v>119.26</v>
      </c>
      <c r="G33">
        <v>128.86000000000001</v>
      </c>
      <c r="H33">
        <v>77.5</v>
      </c>
    </row>
    <row r="34" spans="1:8" x14ac:dyDescent="0.25">
      <c r="A34" s="63">
        <f t="shared" si="0"/>
        <v>44594</v>
      </c>
      <c r="B34">
        <v>1219.72</v>
      </c>
      <c r="C34">
        <v>127.42</v>
      </c>
      <c r="D34">
        <v>478.05</v>
      </c>
      <c r="E34">
        <v>303.48</v>
      </c>
      <c r="F34">
        <v>117.52</v>
      </c>
      <c r="G34">
        <v>116.39</v>
      </c>
      <c r="H34">
        <v>76.86</v>
      </c>
    </row>
    <row r="35" spans="1:8" x14ac:dyDescent="0.25">
      <c r="A35" s="63">
        <f t="shared" si="0"/>
        <v>44595</v>
      </c>
      <c r="B35">
        <v>1164.05</v>
      </c>
      <c r="C35">
        <v>100.94</v>
      </c>
      <c r="D35">
        <v>443.87</v>
      </c>
      <c r="E35">
        <v>301.62</v>
      </c>
      <c r="F35">
        <v>114.41000000000001</v>
      </c>
      <c r="G35">
        <v>126.16</v>
      </c>
      <c r="H35">
        <v>77.05</v>
      </c>
    </row>
    <row r="36" spans="1:8" x14ac:dyDescent="0.25">
      <c r="A36" s="63">
        <f t="shared" si="0"/>
        <v>44596</v>
      </c>
      <c r="B36">
        <v>1219.08</v>
      </c>
      <c r="C36">
        <v>118.78</v>
      </c>
      <c r="D36">
        <v>470.78</v>
      </c>
      <c r="E36">
        <v>310.33999999999997</v>
      </c>
      <c r="F36">
        <v>114.1</v>
      </c>
      <c r="G36">
        <v>126.08</v>
      </c>
      <c r="H36">
        <v>79</v>
      </c>
    </row>
    <row r="37" spans="1:8" x14ac:dyDescent="0.25">
      <c r="A37" s="63">
        <f t="shared" si="0"/>
        <v>44597</v>
      </c>
      <c r="B37">
        <v>1232.3300000000002</v>
      </c>
      <c r="C37">
        <v>127.12</v>
      </c>
      <c r="D37">
        <v>471.94</v>
      </c>
      <c r="E37">
        <v>308.17</v>
      </c>
      <c r="F37">
        <v>133.43</v>
      </c>
      <c r="G37">
        <v>114.98</v>
      </c>
      <c r="H37">
        <v>76.69</v>
      </c>
    </row>
    <row r="38" spans="1:8" x14ac:dyDescent="0.25">
      <c r="A38" s="63">
        <f t="shared" si="0"/>
        <v>44598</v>
      </c>
      <c r="B38">
        <v>1222.01</v>
      </c>
      <c r="C38">
        <v>132.08000000000001</v>
      </c>
      <c r="D38">
        <v>465.34</v>
      </c>
      <c r="E38">
        <v>311.33</v>
      </c>
      <c r="F38">
        <v>120.26</v>
      </c>
      <c r="G38">
        <v>116.25</v>
      </c>
      <c r="H38">
        <v>76.75</v>
      </c>
    </row>
    <row r="39" spans="1:8" x14ac:dyDescent="0.25">
      <c r="A39" s="63">
        <f t="shared" si="0"/>
        <v>44599</v>
      </c>
      <c r="B39">
        <v>1165.8699999999999</v>
      </c>
      <c r="C39">
        <v>101.98</v>
      </c>
      <c r="D39">
        <v>465.92</v>
      </c>
      <c r="E39">
        <v>305.43</v>
      </c>
      <c r="F39">
        <v>112.74000000000001</v>
      </c>
      <c r="G39">
        <v>102.69000000000001</v>
      </c>
      <c r="H39">
        <v>77.11</v>
      </c>
    </row>
    <row r="40" spans="1:8" x14ac:dyDescent="0.25">
      <c r="A40" s="63">
        <f t="shared" si="0"/>
        <v>44600</v>
      </c>
      <c r="B40">
        <v>1183.97</v>
      </c>
      <c r="C40">
        <v>110.67</v>
      </c>
      <c r="D40">
        <v>449.23</v>
      </c>
      <c r="E40">
        <v>304.49</v>
      </c>
      <c r="F40">
        <v>118.19</v>
      </c>
      <c r="G40">
        <v>125.19</v>
      </c>
      <c r="H40">
        <v>76.2</v>
      </c>
    </row>
    <row r="41" spans="1:8" x14ac:dyDescent="0.25">
      <c r="A41" s="63">
        <f t="shared" si="0"/>
        <v>44601</v>
      </c>
      <c r="B41">
        <v>1200.32</v>
      </c>
      <c r="C41">
        <v>119.32</v>
      </c>
      <c r="D41">
        <v>452.75</v>
      </c>
      <c r="E41">
        <v>297.13</v>
      </c>
      <c r="F41">
        <v>126.46</v>
      </c>
      <c r="G41">
        <v>126.91</v>
      </c>
      <c r="H41">
        <v>77.75</v>
      </c>
    </row>
    <row r="42" spans="1:8" x14ac:dyDescent="0.25">
      <c r="A42" s="63">
        <f t="shared" si="0"/>
        <v>44602</v>
      </c>
      <c r="B42">
        <v>1175.3900000000001</v>
      </c>
      <c r="C42">
        <v>96.14</v>
      </c>
      <c r="D42">
        <v>463.64</v>
      </c>
      <c r="E42">
        <v>310.35000000000002</v>
      </c>
      <c r="F42">
        <v>114.64</v>
      </c>
      <c r="G42">
        <v>114.67</v>
      </c>
      <c r="H42">
        <v>75.95</v>
      </c>
    </row>
    <row r="43" spans="1:8" x14ac:dyDescent="0.25">
      <c r="A43" s="63">
        <f t="shared" si="0"/>
        <v>44603</v>
      </c>
      <c r="B43">
        <v>1202.52</v>
      </c>
      <c r="C43">
        <v>77.7</v>
      </c>
      <c r="D43">
        <v>506.35</v>
      </c>
      <c r="E43">
        <v>304.92</v>
      </c>
      <c r="F43">
        <v>123</v>
      </c>
      <c r="G43">
        <v>114.25</v>
      </c>
      <c r="H43">
        <v>76.3</v>
      </c>
    </row>
    <row r="44" spans="1:8" x14ac:dyDescent="0.25">
      <c r="A44" s="63">
        <f t="shared" si="0"/>
        <v>44604</v>
      </c>
      <c r="B44">
        <v>1177.49</v>
      </c>
      <c r="C44">
        <v>74.209999999999994</v>
      </c>
      <c r="D44">
        <v>488.06</v>
      </c>
      <c r="E44">
        <v>306.52999999999997</v>
      </c>
      <c r="F44">
        <v>123.29</v>
      </c>
      <c r="G44">
        <v>109.37</v>
      </c>
      <c r="H44">
        <v>76.03</v>
      </c>
    </row>
    <row r="45" spans="1:8" x14ac:dyDescent="0.25">
      <c r="A45" s="63">
        <f t="shared" si="0"/>
        <v>44605</v>
      </c>
      <c r="B45">
        <v>1139.1800000000003</v>
      </c>
      <c r="C45">
        <v>96.15</v>
      </c>
      <c r="D45">
        <v>422.24</v>
      </c>
      <c r="E45">
        <v>303.58</v>
      </c>
      <c r="F45">
        <v>114.69</v>
      </c>
      <c r="G45">
        <v>126.39</v>
      </c>
      <c r="H45">
        <v>76.13</v>
      </c>
    </row>
    <row r="46" spans="1:8" x14ac:dyDescent="0.25">
      <c r="A46" s="63">
        <f t="shared" si="0"/>
        <v>44606</v>
      </c>
      <c r="B46">
        <v>1122.6300000000001</v>
      </c>
      <c r="C46">
        <v>98.4</v>
      </c>
      <c r="D46">
        <v>400.2</v>
      </c>
      <c r="E46">
        <v>298.52</v>
      </c>
      <c r="F46">
        <v>123.57</v>
      </c>
      <c r="G46">
        <v>129.94</v>
      </c>
      <c r="H46">
        <v>72</v>
      </c>
    </row>
    <row r="47" spans="1:8" x14ac:dyDescent="0.25">
      <c r="A47" s="63">
        <f t="shared" si="0"/>
        <v>44607</v>
      </c>
      <c r="B47">
        <v>1142.45</v>
      </c>
      <c r="C47">
        <v>98.1</v>
      </c>
      <c r="D47">
        <v>456.76</v>
      </c>
      <c r="E47">
        <v>278.89999999999998</v>
      </c>
      <c r="F47">
        <v>120.86</v>
      </c>
      <c r="G47">
        <v>109.28</v>
      </c>
      <c r="H47">
        <v>78.55</v>
      </c>
    </row>
    <row r="48" spans="1:8" x14ac:dyDescent="0.25">
      <c r="A48" s="63">
        <f t="shared" si="0"/>
        <v>44608</v>
      </c>
      <c r="B48">
        <v>1163.8699999999999</v>
      </c>
      <c r="C48">
        <v>87.04</v>
      </c>
      <c r="D48">
        <v>454.64</v>
      </c>
      <c r="E48">
        <v>297.13</v>
      </c>
      <c r="F48">
        <v>128.75</v>
      </c>
      <c r="G48">
        <v>120.02</v>
      </c>
      <c r="H48">
        <v>76.290000000000006</v>
      </c>
    </row>
    <row r="49" spans="1:8" x14ac:dyDescent="0.25">
      <c r="A49" s="63">
        <f t="shared" si="0"/>
        <v>44609</v>
      </c>
      <c r="B49">
        <v>1168.17</v>
      </c>
      <c r="C49">
        <v>117.99</v>
      </c>
      <c r="D49">
        <v>433.56</v>
      </c>
      <c r="E49">
        <v>303.67</v>
      </c>
      <c r="F49">
        <v>116.29</v>
      </c>
      <c r="G49">
        <v>120.43</v>
      </c>
      <c r="H49">
        <v>76.23</v>
      </c>
    </row>
    <row r="50" spans="1:8" x14ac:dyDescent="0.25">
      <c r="A50" s="63">
        <f t="shared" si="0"/>
        <v>44610</v>
      </c>
      <c r="B50">
        <v>1190.6600000000001</v>
      </c>
      <c r="C50">
        <v>88.98</v>
      </c>
      <c r="D50">
        <v>477.27</v>
      </c>
      <c r="E50">
        <v>302.57</v>
      </c>
      <c r="F50">
        <v>136.35</v>
      </c>
      <c r="G50">
        <v>108.81</v>
      </c>
      <c r="H50">
        <v>76.680000000000007</v>
      </c>
    </row>
    <row r="51" spans="1:8" x14ac:dyDescent="0.25">
      <c r="A51" s="63">
        <f t="shared" si="0"/>
        <v>44611</v>
      </c>
      <c r="B51">
        <v>1188.45</v>
      </c>
      <c r="C51">
        <v>91.09</v>
      </c>
      <c r="D51">
        <v>473</v>
      </c>
      <c r="E51">
        <v>303.5</v>
      </c>
      <c r="F51">
        <v>120.64</v>
      </c>
      <c r="G51">
        <v>122.26</v>
      </c>
      <c r="H51">
        <v>77.959999999999994</v>
      </c>
    </row>
    <row r="52" spans="1:8" x14ac:dyDescent="0.25">
      <c r="A52" s="63">
        <f t="shared" si="0"/>
        <v>44612</v>
      </c>
      <c r="B52">
        <v>1225.3800000000001</v>
      </c>
      <c r="C52">
        <v>121.87</v>
      </c>
      <c r="D52">
        <v>464.58</v>
      </c>
      <c r="E52">
        <v>312.89</v>
      </c>
      <c r="F52">
        <v>129.34</v>
      </c>
      <c r="G52">
        <v>119.71</v>
      </c>
      <c r="H52">
        <v>76.989999999999995</v>
      </c>
    </row>
    <row r="53" spans="1:8" x14ac:dyDescent="0.25">
      <c r="A53" s="63">
        <f t="shared" si="0"/>
        <v>44613</v>
      </c>
      <c r="B53">
        <v>1197.96</v>
      </c>
      <c r="C53">
        <v>103.72</v>
      </c>
      <c r="D53">
        <v>463.26</v>
      </c>
      <c r="E53">
        <v>304.2</v>
      </c>
      <c r="F53">
        <v>113.26</v>
      </c>
      <c r="G53">
        <v>135.38999999999999</v>
      </c>
      <c r="H53">
        <v>78.13000000000001</v>
      </c>
    </row>
    <row r="54" spans="1:8" x14ac:dyDescent="0.25">
      <c r="A54" s="63">
        <f t="shared" si="0"/>
        <v>44614</v>
      </c>
      <c r="B54">
        <v>1181.69</v>
      </c>
      <c r="C54">
        <v>105.49</v>
      </c>
      <c r="D54">
        <v>439.83</v>
      </c>
      <c r="E54">
        <v>308.45999999999998</v>
      </c>
      <c r="F54">
        <v>123.26</v>
      </c>
      <c r="G54">
        <v>130.47</v>
      </c>
      <c r="H54">
        <v>74.180000000000007</v>
      </c>
    </row>
    <row r="55" spans="1:8" x14ac:dyDescent="0.25">
      <c r="A55" s="63">
        <f t="shared" si="0"/>
        <v>44615</v>
      </c>
      <c r="B55">
        <v>1202.52</v>
      </c>
      <c r="C55">
        <v>104.2</v>
      </c>
      <c r="D55">
        <v>476.17</v>
      </c>
      <c r="E55">
        <v>310.07</v>
      </c>
      <c r="F55">
        <v>114.52</v>
      </c>
      <c r="G55">
        <v>121.97</v>
      </c>
      <c r="H55">
        <v>75.59</v>
      </c>
    </row>
    <row r="56" spans="1:8" x14ac:dyDescent="0.25">
      <c r="A56" s="63">
        <f t="shared" si="0"/>
        <v>44616</v>
      </c>
      <c r="B56">
        <v>1220.45</v>
      </c>
      <c r="C56">
        <v>129.29</v>
      </c>
      <c r="D56">
        <v>472.12</v>
      </c>
      <c r="E56">
        <v>304.3</v>
      </c>
      <c r="F56">
        <v>121.38</v>
      </c>
      <c r="G56">
        <v>116</v>
      </c>
      <c r="H56">
        <v>77.36</v>
      </c>
    </row>
    <row r="57" spans="1:8" x14ac:dyDescent="0.25">
      <c r="A57" s="63">
        <f t="shared" si="0"/>
        <v>44617</v>
      </c>
      <c r="B57">
        <v>1191.6399999999999</v>
      </c>
      <c r="C57">
        <v>90.5</v>
      </c>
      <c r="D57">
        <v>474.73</v>
      </c>
      <c r="E57">
        <v>308.54000000000002</v>
      </c>
      <c r="F57">
        <v>112.54</v>
      </c>
      <c r="G57">
        <v>127.31</v>
      </c>
      <c r="H57">
        <v>78.02</v>
      </c>
    </row>
    <row r="58" spans="1:8" x14ac:dyDescent="0.25">
      <c r="A58" s="63">
        <f t="shared" si="0"/>
        <v>44618</v>
      </c>
      <c r="B58">
        <v>1170.1799999999998</v>
      </c>
      <c r="C58">
        <v>93.15</v>
      </c>
      <c r="D58">
        <v>450.07</v>
      </c>
      <c r="E58">
        <v>304.58</v>
      </c>
      <c r="F58">
        <v>121.29</v>
      </c>
      <c r="G58">
        <v>124.96</v>
      </c>
      <c r="H58">
        <v>76.13</v>
      </c>
    </row>
    <row r="59" spans="1:8" x14ac:dyDescent="0.25">
      <c r="A59" s="63">
        <f t="shared" si="0"/>
        <v>44619</v>
      </c>
      <c r="B59">
        <v>1147.5</v>
      </c>
      <c r="C59">
        <v>84.52</v>
      </c>
      <c r="D59">
        <v>481.34000000000003</v>
      </c>
      <c r="E59">
        <v>278.81</v>
      </c>
      <c r="F59">
        <v>111.97</v>
      </c>
      <c r="G59">
        <v>114.53</v>
      </c>
      <c r="H59">
        <v>76.33</v>
      </c>
    </row>
    <row r="60" spans="1:8" x14ac:dyDescent="0.25">
      <c r="A60" s="63">
        <f t="shared" si="0"/>
        <v>44620</v>
      </c>
      <c r="B60">
        <v>1167.1600000000001</v>
      </c>
      <c r="C60">
        <v>98.7</v>
      </c>
      <c r="D60">
        <v>500.04</v>
      </c>
      <c r="E60">
        <v>280.11</v>
      </c>
      <c r="F60">
        <v>100.22</v>
      </c>
      <c r="G60">
        <v>109</v>
      </c>
      <c r="H60">
        <v>79.09</v>
      </c>
    </row>
    <row r="61" spans="1:8" x14ac:dyDescent="0.25">
      <c r="A61" s="63">
        <f t="shared" si="0"/>
        <v>44621</v>
      </c>
      <c r="B61">
        <v>1121.1299999999999</v>
      </c>
      <c r="C61">
        <v>84.93</v>
      </c>
      <c r="D61">
        <v>485.14</v>
      </c>
      <c r="E61">
        <v>265.64</v>
      </c>
      <c r="F61">
        <v>100.42</v>
      </c>
      <c r="G61">
        <v>111.83</v>
      </c>
      <c r="H61">
        <v>73.17</v>
      </c>
    </row>
    <row r="62" spans="1:8" x14ac:dyDescent="0.25">
      <c r="A62" s="63">
        <f t="shared" si="0"/>
        <v>44622</v>
      </c>
      <c r="B62">
        <v>1101.19</v>
      </c>
      <c r="C62">
        <v>92.7</v>
      </c>
      <c r="D62">
        <v>474.46</v>
      </c>
      <c r="E62">
        <v>255.86</v>
      </c>
      <c r="F62">
        <v>99.45</v>
      </c>
      <c r="G62">
        <v>104.93</v>
      </c>
      <c r="H62">
        <v>73.790000000000006</v>
      </c>
    </row>
    <row r="63" spans="1:8" x14ac:dyDescent="0.25">
      <c r="A63" s="63">
        <f t="shared" si="0"/>
        <v>44623</v>
      </c>
      <c r="B63">
        <v>1033.1300000000001</v>
      </c>
      <c r="C63">
        <v>82.76</v>
      </c>
      <c r="D63">
        <v>435.71</v>
      </c>
      <c r="E63">
        <v>249.25</v>
      </c>
      <c r="F63">
        <v>98.16</v>
      </c>
      <c r="G63">
        <v>93.82</v>
      </c>
      <c r="H63">
        <v>73.430000000000007</v>
      </c>
    </row>
    <row r="64" spans="1:8" x14ac:dyDescent="0.25">
      <c r="A64" s="63">
        <f t="shared" si="0"/>
        <v>44624</v>
      </c>
      <c r="B64">
        <v>1027.55</v>
      </c>
      <c r="C64">
        <v>83.86</v>
      </c>
      <c r="D64">
        <v>416.55</v>
      </c>
      <c r="E64">
        <v>258.37</v>
      </c>
      <c r="F64">
        <v>101.64999999999999</v>
      </c>
      <c r="G64">
        <v>93.06</v>
      </c>
      <c r="H64">
        <v>74.06</v>
      </c>
    </row>
    <row r="65" spans="1:8" x14ac:dyDescent="0.25">
      <c r="A65" s="63">
        <f t="shared" si="0"/>
        <v>44625</v>
      </c>
      <c r="B65">
        <v>1057.54</v>
      </c>
      <c r="C65">
        <v>86.59</v>
      </c>
      <c r="D65">
        <v>445.7</v>
      </c>
      <c r="E65">
        <v>261.98</v>
      </c>
      <c r="F65">
        <v>102.78</v>
      </c>
      <c r="G65">
        <v>84.87</v>
      </c>
      <c r="H65">
        <v>75.62</v>
      </c>
    </row>
    <row r="66" spans="1:8" x14ac:dyDescent="0.25">
      <c r="A66" s="63">
        <f t="shared" si="0"/>
        <v>44626</v>
      </c>
      <c r="B66">
        <v>997.4</v>
      </c>
      <c r="C66">
        <v>64.260000000000005</v>
      </c>
      <c r="D66">
        <v>425.37</v>
      </c>
      <c r="E66">
        <v>242.14</v>
      </c>
      <c r="F66">
        <v>104.92</v>
      </c>
      <c r="G66">
        <v>87</v>
      </c>
      <c r="H66">
        <v>73.709999999999994</v>
      </c>
    </row>
    <row r="67" spans="1:8" x14ac:dyDescent="0.25">
      <c r="A67" s="63">
        <f t="shared" si="0"/>
        <v>44627</v>
      </c>
      <c r="B67">
        <v>1027.08</v>
      </c>
      <c r="C67">
        <v>67.099999999999994</v>
      </c>
      <c r="D67">
        <v>444.63</v>
      </c>
      <c r="E67">
        <v>254.16</v>
      </c>
      <c r="F67">
        <v>99.32</v>
      </c>
      <c r="G67">
        <v>88.27</v>
      </c>
      <c r="H67">
        <v>73.599999999999994</v>
      </c>
    </row>
    <row r="68" spans="1:8" x14ac:dyDescent="0.25">
      <c r="A68" s="63">
        <f t="shared" ref="A68:A131" si="1">A67+1</f>
        <v>44628</v>
      </c>
      <c r="B68">
        <v>1087.1599999999999</v>
      </c>
      <c r="C68">
        <v>75.350000000000009</v>
      </c>
      <c r="D68">
        <v>460.57</v>
      </c>
      <c r="E68">
        <v>252.62</v>
      </c>
      <c r="F68">
        <v>112.05</v>
      </c>
      <c r="G68">
        <v>120.34</v>
      </c>
      <c r="H68">
        <v>66.22999999999999</v>
      </c>
    </row>
    <row r="69" spans="1:8" x14ac:dyDescent="0.25">
      <c r="A69" s="63">
        <f t="shared" si="1"/>
        <v>44629</v>
      </c>
      <c r="B69">
        <v>1127.9100000000001</v>
      </c>
      <c r="C69">
        <v>99.99</v>
      </c>
      <c r="D69">
        <v>474.66</v>
      </c>
      <c r="E69">
        <v>255.56</v>
      </c>
      <c r="F69">
        <v>112.67</v>
      </c>
      <c r="G69">
        <v>116.14</v>
      </c>
      <c r="H69">
        <v>68.89</v>
      </c>
    </row>
    <row r="70" spans="1:8" x14ac:dyDescent="0.25">
      <c r="A70" s="63">
        <f t="shared" si="1"/>
        <v>44630</v>
      </c>
      <c r="B70">
        <v>1064.06</v>
      </c>
      <c r="C70">
        <v>70.25</v>
      </c>
      <c r="D70">
        <v>439.38</v>
      </c>
      <c r="E70">
        <v>247.97</v>
      </c>
      <c r="F70">
        <v>111.5</v>
      </c>
      <c r="G70">
        <v>124.10000000000001</v>
      </c>
      <c r="H70">
        <v>70.86</v>
      </c>
    </row>
    <row r="71" spans="1:8" x14ac:dyDescent="0.25">
      <c r="A71" s="63">
        <f t="shared" si="1"/>
        <v>44631</v>
      </c>
      <c r="B71">
        <v>1094.1300000000001</v>
      </c>
      <c r="C71">
        <v>84.52</v>
      </c>
      <c r="D71">
        <v>449.97</v>
      </c>
      <c r="E71">
        <v>248.43</v>
      </c>
      <c r="F71">
        <v>105.92</v>
      </c>
      <c r="G71">
        <v>133.35</v>
      </c>
      <c r="H71">
        <v>71.94</v>
      </c>
    </row>
    <row r="72" spans="1:8" x14ac:dyDescent="0.25">
      <c r="A72" s="63">
        <f t="shared" si="1"/>
        <v>44632</v>
      </c>
      <c r="B72">
        <v>1130.2599999999998</v>
      </c>
      <c r="C72">
        <v>71.87</v>
      </c>
      <c r="D72">
        <v>463.69</v>
      </c>
      <c r="E72">
        <v>272.35000000000002</v>
      </c>
      <c r="F72">
        <v>118.18</v>
      </c>
      <c r="G72">
        <v>133.55000000000001</v>
      </c>
      <c r="H72">
        <v>70.62</v>
      </c>
    </row>
    <row r="73" spans="1:8" x14ac:dyDescent="0.25">
      <c r="A73" s="63">
        <f t="shared" si="1"/>
        <v>44633</v>
      </c>
      <c r="B73">
        <v>1186.0999999999999</v>
      </c>
      <c r="C73">
        <v>114.83</v>
      </c>
      <c r="D73">
        <v>483.33</v>
      </c>
      <c r="E73">
        <v>257.45</v>
      </c>
      <c r="F73">
        <v>120.53</v>
      </c>
      <c r="G73">
        <v>139.52000000000001</v>
      </c>
      <c r="H73">
        <v>70.44</v>
      </c>
    </row>
    <row r="74" spans="1:8" x14ac:dyDescent="0.25">
      <c r="A74" s="63">
        <f t="shared" si="1"/>
        <v>44634</v>
      </c>
      <c r="B74">
        <v>1183.0100000000002</v>
      </c>
      <c r="C74">
        <v>108.89</v>
      </c>
      <c r="D74">
        <v>470.34</v>
      </c>
      <c r="E74">
        <v>291.41000000000003</v>
      </c>
      <c r="F74">
        <v>114.74</v>
      </c>
      <c r="G74">
        <v>123.48</v>
      </c>
      <c r="H74">
        <v>74.150000000000006</v>
      </c>
    </row>
    <row r="75" spans="1:8" x14ac:dyDescent="0.25">
      <c r="A75" s="63">
        <f t="shared" si="1"/>
        <v>44635</v>
      </c>
      <c r="B75">
        <v>1121.8599999999999</v>
      </c>
      <c r="C75">
        <v>85.73</v>
      </c>
      <c r="D75">
        <v>467.66</v>
      </c>
      <c r="E75">
        <v>276.98</v>
      </c>
      <c r="F75">
        <v>115.86</v>
      </c>
      <c r="G75">
        <v>107.05000000000001</v>
      </c>
      <c r="H75">
        <v>68.58</v>
      </c>
    </row>
    <row r="76" spans="1:8" x14ac:dyDescent="0.25">
      <c r="A76" s="63">
        <f t="shared" si="1"/>
        <v>44636</v>
      </c>
      <c r="B76">
        <v>1171.3799999999999</v>
      </c>
      <c r="C76">
        <v>82.73</v>
      </c>
      <c r="D76">
        <v>484.95</v>
      </c>
      <c r="E76">
        <v>311.86</v>
      </c>
      <c r="F76">
        <v>116.89</v>
      </c>
      <c r="G76">
        <v>109.38</v>
      </c>
      <c r="H76">
        <v>65.569999999999993</v>
      </c>
    </row>
    <row r="77" spans="1:8" x14ac:dyDescent="0.25">
      <c r="A77" s="63">
        <f t="shared" si="1"/>
        <v>44637</v>
      </c>
      <c r="B77">
        <v>1176.74</v>
      </c>
      <c r="C77">
        <v>125.25</v>
      </c>
      <c r="D77">
        <v>460.93</v>
      </c>
      <c r="E77">
        <v>303.16000000000003</v>
      </c>
      <c r="F77">
        <v>107.31</v>
      </c>
      <c r="G77">
        <v>111.09</v>
      </c>
      <c r="H77">
        <v>69</v>
      </c>
    </row>
    <row r="78" spans="1:8" x14ac:dyDescent="0.25">
      <c r="A78" s="63">
        <f t="shared" si="1"/>
        <v>44638</v>
      </c>
      <c r="B78">
        <v>1141.44</v>
      </c>
      <c r="C78">
        <v>121.61</v>
      </c>
      <c r="D78">
        <v>406.23</v>
      </c>
      <c r="E78">
        <v>312.55</v>
      </c>
      <c r="F78">
        <v>119.88</v>
      </c>
      <c r="G78">
        <v>110.18</v>
      </c>
      <c r="H78">
        <v>70.989999999999995</v>
      </c>
    </row>
    <row r="79" spans="1:8" x14ac:dyDescent="0.25">
      <c r="A79" s="63">
        <f t="shared" si="1"/>
        <v>44639</v>
      </c>
      <c r="B79">
        <v>1221.53</v>
      </c>
      <c r="C79">
        <v>102.39</v>
      </c>
      <c r="D79">
        <v>509.1</v>
      </c>
      <c r="E79">
        <v>304.31</v>
      </c>
      <c r="F79">
        <v>116.98</v>
      </c>
      <c r="G79">
        <v>116.4</v>
      </c>
      <c r="H79">
        <v>72.349999999999994</v>
      </c>
    </row>
    <row r="80" spans="1:8" x14ac:dyDescent="0.25">
      <c r="A80" s="63">
        <f t="shared" si="1"/>
        <v>44640</v>
      </c>
      <c r="B80">
        <v>1195.47</v>
      </c>
      <c r="C80">
        <v>103.52</v>
      </c>
      <c r="D80">
        <v>486.44</v>
      </c>
      <c r="E80">
        <v>316.79000000000002</v>
      </c>
      <c r="F80">
        <v>117.28</v>
      </c>
      <c r="G80">
        <v>113.02</v>
      </c>
      <c r="H80">
        <v>58.419999999999995</v>
      </c>
    </row>
    <row r="81" spans="1:8" x14ac:dyDescent="0.25">
      <c r="A81" s="63">
        <f t="shared" si="1"/>
        <v>44641</v>
      </c>
      <c r="B81">
        <v>1156.97</v>
      </c>
      <c r="C81">
        <v>92.73</v>
      </c>
      <c r="D81">
        <v>474.43</v>
      </c>
      <c r="E81">
        <v>290.98</v>
      </c>
      <c r="F81">
        <v>114.83</v>
      </c>
      <c r="G81">
        <v>111.06</v>
      </c>
      <c r="H81">
        <v>72.94</v>
      </c>
    </row>
    <row r="82" spans="1:8" x14ac:dyDescent="0.25">
      <c r="A82" s="63">
        <f t="shared" si="1"/>
        <v>44642</v>
      </c>
      <c r="B82">
        <v>1157.8399999999997</v>
      </c>
      <c r="C82">
        <v>115.61</v>
      </c>
      <c r="D82">
        <v>451.69</v>
      </c>
      <c r="E82">
        <v>285.83999999999997</v>
      </c>
      <c r="F82">
        <v>117.42</v>
      </c>
      <c r="G82">
        <v>116.2</v>
      </c>
      <c r="H82">
        <v>71.08</v>
      </c>
    </row>
    <row r="83" spans="1:8" x14ac:dyDescent="0.25">
      <c r="A83" s="63">
        <f t="shared" si="1"/>
        <v>44643</v>
      </c>
      <c r="B83">
        <v>1216.7</v>
      </c>
      <c r="C83">
        <v>111.36</v>
      </c>
      <c r="D83">
        <v>485.24</v>
      </c>
      <c r="E83">
        <v>311.23</v>
      </c>
      <c r="F83">
        <v>116.84</v>
      </c>
      <c r="G83">
        <v>120.99</v>
      </c>
      <c r="H83">
        <v>71.040000000000006</v>
      </c>
    </row>
    <row r="84" spans="1:8" x14ac:dyDescent="0.25">
      <c r="A84" s="63">
        <f t="shared" si="1"/>
        <v>44644</v>
      </c>
      <c r="B84">
        <v>1147.95</v>
      </c>
      <c r="C84">
        <v>98.05</v>
      </c>
      <c r="D84">
        <v>439.2</v>
      </c>
      <c r="E84">
        <v>294.04000000000002</v>
      </c>
      <c r="F84">
        <v>124.12</v>
      </c>
      <c r="G84">
        <v>121.58</v>
      </c>
      <c r="H84">
        <v>70.960000000000008</v>
      </c>
    </row>
    <row r="85" spans="1:8" x14ac:dyDescent="0.25">
      <c r="A85" s="63">
        <f t="shared" si="1"/>
        <v>44645</v>
      </c>
      <c r="B85">
        <v>1204.9199999999998</v>
      </c>
      <c r="C85">
        <v>95.47</v>
      </c>
      <c r="D85">
        <v>504.34</v>
      </c>
      <c r="E85">
        <v>288</v>
      </c>
      <c r="F85">
        <v>120.89</v>
      </c>
      <c r="G85">
        <v>122.87</v>
      </c>
      <c r="H85">
        <v>73.349999999999994</v>
      </c>
    </row>
    <row r="86" spans="1:8" x14ac:dyDescent="0.25">
      <c r="A86" s="63">
        <f t="shared" si="1"/>
        <v>44646</v>
      </c>
      <c r="B86">
        <v>1148.98</v>
      </c>
      <c r="C86">
        <v>80.989999999999995</v>
      </c>
      <c r="D86">
        <v>454.64</v>
      </c>
      <c r="E86">
        <v>303.20999999999998</v>
      </c>
      <c r="F86">
        <v>120.74</v>
      </c>
      <c r="G86">
        <v>118.47</v>
      </c>
      <c r="H86">
        <v>70.930000000000007</v>
      </c>
    </row>
    <row r="87" spans="1:8" x14ac:dyDescent="0.25">
      <c r="A87" s="63">
        <f t="shared" si="1"/>
        <v>44647</v>
      </c>
      <c r="B87">
        <v>1172.9199999999998</v>
      </c>
      <c r="C87">
        <v>94.45</v>
      </c>
      <c r="D87">
        <v>467.66</v>
      </c>
      <c r="E87">
        <v>302.49</v>
      </c>
      <c r="F87">
        <v>118.27</v>
      </c>
      <c r="G87">
        <v>119.44</v>
      </c>
      <c r="H87">
        <v>70.61</v>
      </c>
    </row>
    <row r="88" spans="1:8" x14ac:dyDescent="0.25">
      <c r="A88" s="63">
        <f t="shared" si="1"/>
        <v>44648</v>
      </c>
      <c r="B88">
        <v>1139.67</v>
      </c>
      <c r="C88">
        <v>83.4</v>
      </c>
      <c r="D88">
        <v>456.15</v>
      </c>
      <c r="E88">
        <v>298.17</v>
      </c>
      <c r="F88">
        <v>110.91</v>
      </c>
      <c r="G88">
        <v>119.61</v>
      </c>
      <c r="H88">
        <v>71.430000000000007</v>
      </c>
    </row>
    <row r="89" spans="1:8" x14ac:dyDescent="0.25">
      <c r="A89" s="63">
        <f t="shared" si="1"/>
        <v>44649</v>
      </c>
      <c r="B89">
        <v>1184.8900000000001</v>
      </c>
      <c r="C89">
        <v>117.82</v>
      </c>
      <c r="D89">
        <v>480.6</v>
      </c>
      <c r="E89">
        <v>300.68</v>
      </c>
      <c r="F89">
        <v>103.67</v>
      </c>
      <c r="G89">
        <v>114.92</v>
      </c>
      <c r="H89">
        <v>67.2</v>
      </c>
    </row>
    <row r="90" spans="1:8" x14ac:dyDescent="0.25">
      <c r="A90" s="63">
        <f t="shared" si="1"/>
        <v>44650</v>
      </c>
      <c r="B90">
        <v>1206.9099999999999</v>
      </c>
      <c r="C90">
        <v>122.28</v>
      </c>
      <c r="D90">
        <v>493.22</v>
      </c>
      <c r="E90">
        <v>304.99</v>
      </c>
      <c r="F90">
        <v>102.9</v>
      </c>
      <c r="G90">
        <v>112.75</v>
      </c>
      <c r="H90">
        <v>70.77</v>
      </c>
    </row>
    <row r="91" spans="1:8" x14ac:dyDescent="0.25">
      <c r="A91" s="63">
        <f t="shared" si="1"/>
        <v>44651</v>
      </c>
      <c r="B91">
        <v>1167.55</v>
      </c>
      <c r="C91">
        <v>104.27</v>
      </c>
      <c r="D91">
        <v>467.32</v>
      </c>
      <c r="E91">
        <v>310.87</v>
      </c>
      <c r="F91">
        <v>98.58</v>
      </c>
      <c r="G91">
        <v>116.43</v>
      </c>
      <c r="H91">
        <v>70.08</v>
      </c>
    </row>
    <row r="92" spans="1:8" x14ac:dyDescent="0.25">
      <c r="A92" s="63">
        <f t="shared" si="1"/>
        <v>44652</v>
      </c>
      <c r="B92">
        <v>1199.3900000000001</v>
      </c>
      <c r="C92">
        <v>99.43</v>
      </c>
      <c r="D92">
        <v>497.04</v>
      </c>
      <c r="E92">
        <v>306.13</v>
      </c>
      <c r="F92">
        <v>104.22</v>
      </c>
      <c r="G92">
        <v>118</v>
      </c>
      <c r="H92">
        <v>74.569999999999993</v>
      </c>
    </row>
    <row r="93" spans="1:8" x14ac:dyDescent="0.25">
      <c r="A93" s="63">
        <f t="shared" si="1"/>
        <v>44653</v>
      </c>
      <c r="B93">
        <v>1188.6999999999998</v>
      </c>
      <c r="C93">
        <v>77.87</v>
      </c>
      <c r="D93">
        <v>502.87</v>
      </c>
      <c r="E93">
        <v>307.8</v>
      </c>
      <c r="F93">
        <v>105.41</v>
      </c>
      <c r="G93">
        <v>121.39</v>
      </c>
      <c r="H93">
        <v>73.36</v>
      </c>
    </row>
    <row r="94" spans="1:8" x14ac:dyDescent="0.25">
      <c r="A94" s="63">
        <f t="shared" si="1"/>
        <v>44654</v>
      </c>
      <c r="B94">
        <v>1173.03</v>
      </c>
      <c r="C94">
        <v>113.84</v>
      </c>
      <c r="D94">
        <v>454.32</v>
      </c>
      <c r="E94">
        <v>315.3</v>
      </c>
      <c r="F94">
        <v>104.06</v>
      </c>
      <c r="G94">
        <v>111.97</v>
      </c>
      <c r="H94">
        <v>73.540000000000006</v>
      </c>
    </row>
    <row r="95" spans="1:8" x14ac:dyDescent="0.25">
      <c r="A95" s="63">
        <f t="shared" si="1"/>
        <v>44655</v>
      </c>
      <c r="B95">
        <v>1038.21</v>
      </c>
      <c r="C95">
        <v>128.43</v>
      </c>
      <c r="D95">
        <v>287.54000000000002</v>
      </c>
      <c r="E95">
        <v>311.49</v>
      </c>
      <c r="F95">
        <v>113.16999999999999</v>
      </c>
      <c r="G95">
        <v>122.35</v>
      </c>
      <c r="H95">
        <v>75.23</v>
      </c>
    </row>
    <row r="96" spans="1:8" x14ac:dyDescent="0.25">
      <c r="A96" s="63">
        <f t="shared" si="1"/>
        <v>44656</v>
      </c>
      <c r="B96">
        <v>1200.48</v>
      </c>
      <c r="C96">
        <v>116.6</v>
      </c>
      <c r="D96">
        <v>478.98</v>
      </c>
      <c r="E96">
        <v>302.60000000000002</v>
      </c>
      <c r="F96">
        <v>114.65</v>
      </c>
      <c r="G96">
        <v>112.31</v>
      </c>
      <c r="H96">
        <v>75.34</v>
      </c>
    </row>
    <row r="97" spans="1:8" x14ac:dyDescent="0.25">
      <c r="A97" s="63">
        <f t="shared" si="1"/>
        <v>44657</v>
      </c>
      <c r="B97">
        <v>1210.06</v>
      </c>
      <c r="C97">
        <v>126.84</v>
      </c>
      <c r="D97">
        <v>474.64</v>
      </c>
      <c r="E97">
        <v>298.89999999999998</v>
      </c>
      <c r="F97">
        <v>113.69</v>
      </c>
      <c r="G97">
        <v>123.31</v>
      </c>
      <c r="H97">
        <v>72.680000000000007</v>
      </c>
    </row>
    <row r="98" spans="1:8" x14ac:dyDescent="0.25">
      <c r="A98" s="63">
        <f t="shared" si="1"/>
        <v>44658</v>
      </c>
      <c r="B98">
        <v>1173.32</v>
      </c>
      <c r="C98">
        <v>116.65</v>
      </c>
      <c r="D98">
        <v>474.31</v>
      </c>
      <c r="E98">
        <v>289.04000000000002</v>
      </c>
      <c r="F98">
        <v>121.95</v>
      </c>
      <c r="G98">
        <v>104.88</v>
      </c>
      <c r="H98">
        <v>66.489999999999995</v>
      </c>
    </row>
    <row r="99" spans="1:8" x14ac:dyDescent="0.25">
      <c r="A99" s="63">
        <f t="shared" si="1"/>
        <v>44659</v>
      </c>
      <c r="B99">
        <v>1160.53</v>
      </c>
      <c r="C99">
        <v>91.71</v>
      </c>
      <c r="D99">
        <v>470.19</v>
      </c>
      <c r="E99">
        <v>279.7</v>
      </c>
      <c r="F99">
        <v>123.48</v>
      </c>
      <c r="G99">
        <v>129.80000000000001</v>
      </c>
      <c r="H99">
        <v>65.650000000000006</v>
      </c>
    </row>
    <row r="100" spans="1:8" x14ac:dyDescent="0.25">
      <c r="A100" s="63">
        <f t="shared" si="1"/>
        <v>44660</v>
      </c>
      <c r="B100">
        <v>1107.93</v>
      </c>
      <c r="C100">
        <v>109.28</v>
      </c>
      <c r="D100">
        <v>455.75</v>
      </c>
      <c r="E100">
        <v>246.76</v>
      </c>
      <c r="F100">
        <v>121.28</v>
      </c>
      <c r="G100">
        <v>112.4</v>
      </c>
      <c r="H100">
        <v>62.46</v>
      </c>
    </row>
    <row r="101" spans="1:8" x14ac:dyDescent="0.25">
      <c r="A101" s="63">
        <f t="shared" si="1"/>
        <v>44661</v>
      </c>
      <c r="B101">
        <v>924.04</v>
      </c>
      <c r="C101">
        <v>100.74</v>
      </c>
      <c r="D101">
        <v>419.39</v>
      </c>
      <c r="E101">
        <v>160.63999999999999</v>
      </c>
      <c r="F101">
        <v>116.39999999999999</v>
      </c>
      <c r="G101">
        <v>108.71</v>
      </c>
      <c r="H101">
        <v>18.16</v>
      </c>
    </row>
    <row r="102" spans="1:8" x14ac:dyDescent="0.25">
      <c r="A102" s="63">
        <f t="shared" si="1"/>
        <v>44662</v>
      </c>
      <c r="B102">
        <v>1053.9000000000001</v>
      </c>
      <c r="C102">
        <v>95.74</v>
      </c>
      <c r="D102">
        <v>402.23</v>
      </c>
      <c r="E102">
        <v>303.85000000000002</v>
      </c>
      <c r="F102">
        <v>96.74</v>
      </c>
      <c r="G102">
        <v>93.22</v>
      </c>
      <c r="H102">
        <v>62.12</v>
      </c>
    </row>
    <row r="103" spans="1:8" x14ac:dyDescent="0.25">
      <c r="A103" s="63">
        <f t="shared" si="1"/>
        <v>44663</v>
      </c>
      <c r="B103">
        <v>1152.3500000000001</v>
      </c>
      <c r="C103">
        <v>116.51</v>
      </c>
      <c r="D103">
        <v>463.52</v>
      </c>
      <c r="E103">
        <v>318.14999999999998</v>
      </c>
      <c r="F103">
        <v>106.74</v>
      </c>
      <c r="G103">
        <v>101.25</v>
      </c>
      <c r="H103">
        <v>46.18</v>
      </c>
    </row>
    <row r="104" spans="1:8" x14ac:dyDescent="0.25">
      <c r="A104" s="63">
        <f t="shared" si="1"/>
        <v>44664</v>
      </c>
      <c r="B104">
        <v>1172.7599999999998</v>
      </c>
      <c r="C104">
        <v>124.42999999999999</v>
      </c>
      <c r="D104">
        <v>503.5</v>
      </c>
      <c r="E104">
        <v>308.93</v>
      </c>
      <c r="F104">
        <v>94.63</v>
      </c>
      <c r="G104">
        <v>103.65</v>
      </c>
      <c r="H104">
        <v>37.619999999999997</v>
      </c>
    </row>
    <row r="105" spans="1:8" x14ac:dyDescent="0.25">
      <c r="A105" s="63">
        <f t="shared" si="1"/>
        <v>44665</v>
      </c>
      <c r="B105">
        <v>1138.1399999999999</v>
      </c>
      <c r="C105">
        <v>112.78</v>
      </c>
      <c r="D105">
        <v>492.06</v>
      </c>
      <c r="E105">
        <v>288.66999999999996</v>
      </c>
      <c r="F105">
        <v>98.08</v>
      </c>
      <c r="G105">
        <v>103.97</v>
      </c>
      <c r="H105">
        <v>42.58</v>
      </c>
    </row>
    <row r="106" spans="1:8" x14ac:dyDescent="0.25">
      <c r="A106" s="63">
        <f t="shared" si="1"/>
        <v>44666</v>
      </c>
      <c r="B106">
        <v>1162.53</v>
      </c>
      <c r="C106">
        <v>93.14</v>
      </c>
      <c r="D106">
        <v>485.49</v>
      </c>
      <c r="E106">
        <v>284.20999999999998</v>
      </c>
      <c r="F106">
        <v>125.68</v>
      </c>
      <c r="G106">
        <v>122.79</v>
      </c>
      <c r="H106">
        <v>51.22</v>
      </c>
    </row>
    <row r="107" spans="1:8" x14ac:dyDescent="0.25">
      <c r="A107" s="63">
        <f t="shared" si="1"/>
        <v>44667</v>
      </c>
      <c r="B107">
        <v>1177.48</v>
      </c>
      <c r="C107">
        <v>93.8</v>
      </c>
      <c r="D107">
        <v>494.99</v>
      </c>
      <c r="E107">
        <v>311.60000000000002</v>
      </c>
      <c r="F107">
        <v>102.96</v>
      </c>
      <c r="G107">
        <v>122.44</v>
      </c>
      <c r="H107">
        <v>51.69</v>
      </c>
    </row>
    <row r="108" spans="1:8" x14ac:dyDescent="0.25">
      <c r="A108" s="63">
        <f t="shared" si="1"/>
        <v>44668</v>
      </c>
      <c r="B108">
        <v>1091.8</v>
      </c>
      <c r="C108">
        <v>100.3</v>
      </c>
      <c r="D108">
        <v>422.03</v>
      </c>
      <c r="E108">
        <v>267.02999999999997</v>
      </c>
      <c r="F108">
        <v>121.38</v>
      </c>
      <c r="G108">
        <v>121.15</v>
      </c>
      <c r="H108">
        <v>59.91</v>
      </c>
    </row>
    <row r="109" spans="1:8" x14ac:dyDescent="0.25">
      <c r="A109" s="63">
        <f t="shared" si="1"/>
        <v>44669</v>
      </c>
      <c r="B109">
        <v>835.27</v>
      </c>
      <c r="C109">
        <v>113.64</v>
      </c>
      <c r="D109">
        <v>141.63999999999999</v>
      </c>
      <c r="E109">
        <v>264.89</v>
      </c>
      <c r="F109">
        <v>116.49</v>
      </c>
      <c r="G109">
        <v>138.72</v>
      </c>
      <c r="H109">
        <v>59.89</v>
      </c>
    </row>
    <row r="110" spans="1:8" x14ac:dyDescent="0.25">
      <c r="A110" s="63">
        <f t="shared" si="1"/>
        <v>44670</v>
      </c>
      <c r="B110">
        <v>1190.9900000000002</v>
      </c>
      <c r="C110">
        <v>109.31</v>
      </c>
      <c r="D110">
        <v>462.29</v>
      </c>
      <c r="E110">
        <v>317.32</v>
      </c>
      <c r="F110">
        <v>111.34</v>
      </c>
      <c r="G110">
        <v>119.06</v>
      </c>
      <c r="H110">
        <v>71.67</v>
      </c>
    </row>
    <row r="111" spans="1:8" x14ac:dyDescent="0.25">
      <c r="A111" s="63">
        <f t="shared" si="1"/>
        <v>44671</v>
      </c>
      <c r="B111">
        <v>1160.6699999999998</v>
      </c>
      <c r="C111">
        <v>84.34</v>
      </c>
      <c r="D111">
        <v>470.66</v>
      </c>
      <c r="E111">
        <v>309.7</v>
      </c>
      <c r="F111">
        <v>106.26</v>
      </c>
      <c r="G111">
        <v>115.85</v>
      </c>
      <c r="H111">
        <v>73.86</v>
      </c>
    </row>
    <row r="112" spans="1:8" x14ac:dyDescent="0.25">
      <c r="A112" s="63">
        <f t="shared" si="1"/>
        <v>44672</v>
      </c>
      <c r="B112">
        <v>1236.79</v>
      </c>
      <c r="C112">
        <v>103.32</v>
      </c>
      <c r="D112">
        <v>502.2</v>
      </c>
      <c r="E112">
        <v>325.08</v>
      </c>
      <c r="F112">
        <v>100.7</v>
      </c>
      <c r="G112">
        <v>130.58000000000001</v>
      </c>
      <c r="H112">
        <v>74.91</v>
      </c>
    </row>
    <row r="113" spans="1:8" x14ac:dyDescent="0.25">
      <c r="A113" s="63">
        <f t="shared" si="1"/>
        <v>44673</v>
      </c>
      <c r="B113">
        <v>1206.95</v>
      </c>
      <c r="C113">
        <v>119.48</v>
      </c>
      <c r="D113">
        <v>465.86</v>
      </c>
      <c r="E113">
        <v>314.77</v>
      </c>
      <c r="F113">
        <v>116.16</v>
      </c>
      <c r="G113">
        <v>117.45</v>
      </c>
      <c r="H113">
        <v>73.23</v>
      </c>
    </row>
    <row r="114" spans="1:8" x14ac:dyDescent="0.25">
      <c r="A114" s="63">
        <f t="shared" si="1"/>
        <v>44674</v>
      </c>
      <c r="B114">
        <v>1195.6799999999998</v>
      </c>
      <c r="C114">
        <v>102.43</v>
      </c>
      <c r="D114">
        <v>477.95</v>
      </c>
      <c r="E114">
        <v>311.74</v>
      </c>
      <c r="F114">
        <v>117.04</v>
      </c>
      <c r="G114">
        <v>113.72</v>
      </c>
      <c r="H114">
        <v>72.8</v>
      </c>
    </row>
    <row r="115" spans="1:8" x14ac:dyDescent="0.25">
      <c r="A115" s="63">
        <f t="shared" si="1"/>
        <v>44675</v>
      </c>
      <c r="B115">
        <v>1243.6000000000001</v>
      </c>
      <c r="C115">
        <v>121</v>
      </c>
      <c r="D115">
        <v>505.05</v>
      </c>
      <c r="E115">
        <v>306.42</v>
      </c>
      <c r="F115">
        <v>115.93</v>
      </c>
      <c r="G115">
        <v>122.2</v>
      </c>
      <c r="H115">
        <v>73</v>
      </c>
    </row>
    <row r="116" spans="1:8" x14ac:dyDescent="0.25">
      <c r="A116" s="63">
        <f t="shared" si="1"/>
        <v>44676</v>
      </c>
      <c r="B116">
        <v>1169.6299999999999</v>
      </c>
      <c r="C116">
        <v>123.98</v>
      </c>
      <c r="D116">
        <v>455.78</v>
      </c>
      <c r="E116">
        <v>298.33999999999997</v>
      </c>
      <c r="F116">
        <v>105.1</v>
      </c>
      <c r="G116">
        <v>112.63000000000001</v>
      </c>
      <c r="H116">
        <v>73.8</v>
      </c>
    </row>
    <row r="117" spans="1:8" x14ac:dyDescent="0.25">
      <c r="A117" s="63">
        <f t="shared" si="1"/>
        <v>44677</v>
      </c>
      <c r="B117">
        <v>1229.8</v>
      </c>
      <c r="C117">
        <v>104.51</v>
      </c>
      <c r="D117">
        <v>499.02</v>
      </c>
      <c r="E117">
        <v>315.94</v>
      </c>
      <c r="F117">
        <v>94.2</v>
      </c>
      <c r="G117">
        <v>143.37</v>
      </c>
      <c r="H117">
        <v>72.760000000000005</v>
      </c>
    </row>
    <row r="118" spans="1:8" x14ac:dyDescent="0.25">
      <c r="A118" s="63">
        <f t="shared" si="1"/>
        <v>44678</v>
      </c>
      <c r="B118">
        <v>1142.6199999999999</v>
      </c>
      <c r="C118">
        <v>90.52</v>
      </c>
      <c r="D118">
        <v>455.75</v>
      </c>
      <c r="E118">
        <v>314.74</v>
      </c>
      <c r="F118">
        <v>91.82</v>
      </c>
      <c r="G118">
        <v>115.46</v>
      </c>
      <c r="H118">
        <v>74.33</v>
      </c>
    </row>
    <row r="119" spans="1:8" x14ac:dyDescent="0.25">
      <c r="A119" s="63">
        <f t="shared" si="1"/>
        <v>44679</v>
      </c>
      <c r="B119">
        <v>1223.53</v>
      </c>
      <c r="C119">
        <v>96.4</v>
      </c>
      <c r="D119">
        <v>496.93</v>
      </c>
      <c r="E119">
        <v>307.95000000000005</v>
      </c>
      <c r="F119">
        <v>111.54</v>
      </c>
      <c r="G119">
        <v>138.62</v>
      </c>
      <c r="H119">
        <v>72.09</v>
      </c>
    </row>
    <row r="120" spans="1:8" x14ac:dyDescent="0.25">
      <c r="A120" s="63">
        <f t="shared" si="1"/>
        <v>44680</v>
      </c>
      <c r="B120">
        <v>1127.49</v>
      </c>
      <c r="C120">
        <v>79.319999999999993</v>
      </c>
      <c r="D120">
        <v>441.94</v>
      </c>
      <c r="E120">
        <v>288.62</v>
      </c>
      <c r="F120">
        <v>117.75</v>
      </c>
      <c r="G120">
        <v>126.33</v>
      </c>
      <c r="H120">
        <v>73.53</v>
      </c>
    </row>
    <row r="121" spans="1:8" x14ac:dyDescent="0.25">
      <c r="A121" s="63">
        <f t="shared" si="1"/>
        <v>44681</v>
      </c>
      <c r="B121">
        <v>1132.9100000000001</v>
      </c>
      <c r="C121">
        <v>92.14</v>
      </c>
      <c r="D121">
        <v>433.38</v>
      </c>
      <c r="E121">
        <v>297.23</v>
      </c>
      <c r="F121">
        <v>120.22</v>
      </c>
      <c r="G121">
        <v>116.4</v>
      </c>
      <c r="H121">
        <v>73.540000000000006</v>
      </c>
    </row>
    <row r="122" spans="1:8" x14ac:dyDescent="0.25">
      <c r="A122" s="63">
        <f t="shared" si="1"/>
        <v>44682</v>
      </c>
      <c r="B122">
        <v>1109.71</v>
      </c>
    </row>
    <row r="123" spans="1:8" x14ac:dyDescent="0.25">
      <c r="A123" s="63">
        <f t="shared" si="1"/>
        <v>44683</v>
      </c>
      <c r="B123">
        <v>1153.25</v>
      </c>
    </row>
    <row r="124" spans="1:8" x14ac:dyDescent="0.25">
      <c r="A124" s="63">
        <f t="shared" si="1"/>
        <v>44684</v>
      </c>
      <c r="B124">
        <v>1027.92</v>
      </c>
    </row>
    <row r="125" spans="1:8" x14ac:dyDescent="0.25">
      <c r="A125" s="63">
        <f t="shared" si="1"/>
        <v>44685</v>
      </c>
      <c r="B125">
        <v>1060.44</v>
      </c>
    </row>
    <row r="126" spans="1:8" x14ac:dyDescent="0.25">
      <c r="A126" s="63">
        <f t="shared" si="1"/>
        <v>44686</v>
      </c>
      <c r="B126">
        <v>1075.1600000000001</v>
      </c>
    </row>
    <row r="127" spans="1:8" x14ac:dyDescent="0.25">
      <c r="A127" s="63">
        <f t="shared" si="1"/>
        <v>44687</v>
      </c>
      <c r="B127">
        <v>1109.1500000000001</v>
      </c>
    </row>
    <row r="128" spans="1:8" x14ac:dyDescent="0.25">
      <c r="A128" s="63">
        <f t="shared" si="1"/>
        <v>44688</v>
      </c>
      <c r="B128">
        <v>1007.27</v>
      </c>
    </row>
    <row r="129" spans="1:2" x14ac:dyDescent="0.25">
      <c r="A129" s="63">
        <f t="shared" si="1"/>
        <v>44689</v>
      </c>
      <c r="B129">
        <v>981.44</v>
      </c>
    </row>
    <row r="130" spans="1:2" x14ac:dyDescent="0.25">
      <c r="A130" s="63">
        <f t="shared" si="1"/>
        <v>44690</v>
      </c>
      <c r="B130">
        <v>1014.34</v>
      </c>
    </row>
    <row r="131" spans="1:2" x14ac:dyDescent="0.25">
      <c r="A131" s="63">
        <f t="shared" si="1"/>
        <v>44691</v>
      </c>
      <c r="B131">
        <v>1088.17</v>
      </c>
    </row>
    <row r="132" spans="1:2" x14ac:dyDescent="0.25">
      <c r="A132" s="63">
        <f t="shared" ref="A132:A195" si="2">A131+1</f>
        <v>44692</v>
      </c>
      <c r="B132">
        <v>1118.72</v>
      </c>
    </row>
    <row r="133" spans="1:2" x14ac:dyDescent="0.25">
      <c r="A133" s="63">
        <f t="shared" si="2"/>
        <v>44693</v>
      </c>
      <c r="B133">
        <v>1176.05</v>
      </c>
    </row>
    <row r="134" spans="1:2" x14ac:dyDescent="0.25">
      <c r="A134" s="63">
        <f t="shared" si="2"/>
        <v>44694</v>
      </c>
      <c r="B134">
        <v>1116.26</v>
      </c>
    </row>
    <row r="135" spans="1:2" x14ac:dyDescent="0.25">
      <c r="A135" s="63">
        <f t="shared" si="2"/>
        <v>44695</v>
      </c>
      <c r="B135">
        <v>1080.83</v>
      </c>
    </row>
    <row r="136" spans="1:2" x14ac:dyDescent="0.25">
      <c r="A136" s="63">
        <f t="shared" si="2"/>
        <v>44696</v>
      </c>
      <c r="B136">
        <v>864.67</v>
      </c>
    </row>
    <row r="137" spans="1:2" x14ac:dyDescent="0.25">
      <c r="A137" s="63">
        <f t="shared" si="2"/>
        <v>44697</v>
      </c>
      <c r="B137">
        <v>1056.7</v>
      </c>
    </row>
    <row r="138" spans="1:2" x14ac:dyDescent="0.25">
      <c r="A138" s="63">
        <f t="shared" si="2"/>
        <v>44698</v>
      </c>
      <c r="B138">
        <v>1117.55</v>
      </c>
    </row>
    <row r="139" spans="1:2" x14ac:dyDescent="0.25">
      <c r="A139" s="63">
        <f t="shared" si="2"/>
        <v>44699</v>
      </c>
      <c r="B139">
        <v>1122.93</v>
      </c>
    </row>
    <row r="140" spans="1:2" x14ac:dyDescent="0.25">
      <c r="A140" s="63">
        <f t="shared" si="2"/>
        <v>44700</v>
      </c>
      <c r="B140">
        <v>1131.73</v>
      </c>
    </row>
    <row r="141" spans="1:2" x14ac:dyDescent="0.25">
      <c r="A141" s="63">
        <f t="shared" si="2"/>
        <v>44701</v>
      </c>
      <c r="B141">
        <v>1104.3599999999999</v>
      </c>
    </row>
    <row r="142" spans="1:2" x14ac:dyDescent="0.25">
      <c r="A142" s="63">
        <f t="shared" si="2"/>
        <v>44702</v>
      </c>
      <c r="B142">
        <v>1051.8</v>
      </c>
    </row>
    <row r="143" spans="1:2" x14ac:dyDescent="0.25">
      <c r="A143" s="63">
        <f t="shared" si="2"/>
        <v>44703</v>
      </c>
      <c r="B143">
        <v>1101.78</v>
      </c>
    </row>
    <row r="144" spans="1:2" x14ac:dyDescent="0.25">
      <c r="A144" s="63">
        <f t="shared" si="2"/>
        <v>44704</v>
      </c>
      <c r="B144">
        <v>1186.6199999999999</v>
      </c>
    </row>
    <row r="145" spans="1:8" x14ac:dyDescent="0.25">
      <c r="A145" s="63">
        <f t="shared" si="2"/>
        <v>44705</v>
      </c>
      <c r="B145">
        <v>1174.29</v>
      </c>
    </row>
    <row r="146" spans="1:8" x14ac:dyDescent="0.25">
      <c r="A146" s="63">
        <f t="shared" si="2"/>
        <v>44706</v>
      </c>
      <c r="B146">
        <v>1155.5</v>
      </c>
    </row>
    <row r="147" spans="1:8" x14ac:dyDescent="0.25">
      <c r="A147" s="63">
        <f t="shared" si="2"/>
        <v>44707</v>
      </c>
      <c r="B147">
        <v>1114.17</v>
      </c>
    </row>
    <row r="148" spans="1:8" x14ac:dyDescent="0.25">
      <c r="A148" s="63">
        <f t="shared" si="2"/>
        <v>44708</v>
      </c>
      <c r="B148">
        <v>1115.51</v>
      </c>
    </row>
    <row r="149" spans="1:8" x14ac:dyDescent="0.25">
      <c r="A149" s="63">
        <f t="shared" si="2"/>
        <v>44709</v>
      </c>
      <c r="B149">
        <v>992.4</v>
      </c>
    </row>
    <row r="150" spans="1:8" x14ac:dyDescent="0.25">
      <c r="A150" s="63">
        <f t="shared" si="2"/>
        <v>44710</v>
      </c>
      <c r="B150">
        <v>1018.52</v>
      </c>
    </row>
    <row r="151" spans="1:8" x14ac:dyDescent="0.25">
      <c r="A151" s="63">
        <f t="shared" si="2"/>
        <v>44711</v>
      </c>
      <c r="B151">
        <v>1091.48</v>
      </c>
    </row>
    <row r="152" spans="1:8" x14ac:dyDescent="0.25">
      <c r="A152" s="63">
        <f t="shared" si="2"/>
        <v>44712</v>
      </c>
      <c r="B152">
        <v>1199.74</v>
      </c>
    </row>
    <row r="153" spans="1:8" x14ac:dyDescent="0.25">
      <c r="A153" s="63">
        <f t="shared" si="2"/>
        <v>44713</v>
      </c>
      <c r="B153">
        <v>1104.25</v>
      </c>
      <c r="C153">
        <v>107.07</v>
      </c>
      <c r="D153">
        <v>399.74</v>
      </c>
      <c r="E153">
        <v>278.22000000000003</v>
      </c>
      <c r="F153">
        <v>118.31</v>
      </c>
      <c r="G153">
        <v>122.15</v>
      </c>
      <c r="H153">
        <v>78.760000000000005</v>
      </c>
    </row>
    <row r="154" spans="1:8" x14ac:dyDescent="0.25">
      <c r="A154" s="63">
        <f t="shared" si="2"/>
        <v>44714</v>
      </c>
      <c r="B154">
        <v>1035.8900000000001</v>
      </c>
      <c r="C154">
        <v>80.47</v>
      </c>
      <c r="D154">
        <v>384.89</v>
      </c>
      <c r="E154">
        <v>283.33999999999997</v>
      </c>
      <c r="F154">
        <v>111.84</v>
      </c>
      <c r="G154">
        <v>97.52</v>
      </c>
      <c r="H154">
        <v>77.83</v>
      </c>
    </row>
    <row r="155" spans="1:8" x14ac:dyDescent="0.25">
      <c r="A155" s="63">
        <f t="shared" si="2"/>
        <v>44715</v>
      </c>
      <c r="B155">
        <v>914.63000000000011</v>
      </c>
      <c r="C155">
        <v>90.47</v>
      </c>
      <c r="D155">
        <v>324.97000000000003</v>
      </c>
      <c r="E155">
        <v>214.38</v>
      </c>
      <c r="F155">
        <v>116.28</v>
      </c>
      <c r="G155">
        <v>89.84</v>
      </c>
      <c r="H155">
        <v>78.69</v>
      </c>
    </row>
    <row r="156" spans="1:8" x14ac:dyDescent="0.25">
      <c r="A156" s="63">
        <f t="shared" si="2"/>
        <v>44716</v>
      </c>
      <c r="B156">
        <v>798.09000000000015</v>
      </c>
      <c r="C156">
        <v>77.69</v>
      </c>
      <c r="D156">
        <v>217.46</v>
      </c>
      <c r="E156">
        <v>249.23</v>
      </c>
      <c r="F156">
        <v>105.81</v>
      </c>
      <c r="G156">
        <v>73.209999999999994</v>
      </c>
      <c r="H156">
        <v>74.69</v>
      </c>
    </row>
    <row r="157" spans="1:8" x14ac:dyDescent="0.25">
      <c r="A157" s="63">
        <f t="shared" si="2"/>
        <v>44717</v>
      </c>
      <c r="B157">
        <v>539.24</v>
      </c>
      <c r="C157">
        <v>70.42</v>
      </c>
      <c r="D157">
        <v>84.47</v>
      </c>
      <c r="E157">
        <v>133.19999999999999</v>
      </c>
      <c r="F157">
        <v>106.89</v>
      </c>
      <c r="G157">
        <v>79.989999999999995</v>
      </c>
      <c r="H157">
        <v>64.27</v>
      </c>
    </row>
    <row r="158" spans="1:8" x14ac:dyDescent="0.25">
      <c r="A158" s="63">
        <f t="shared" si="2"/>
        <v>44718</v>
      </c>
      <c r="B158">
        <v>976.54</v>
      </c>
      <c r="C158">
        <v>94</v>
      </c>
      <c r="D158">
        <v>368.15</v>
      </c>
      <c r="E158">
        <v>255.41</v>
      </c>
      <c r="F158">
        <v>101.48</v>
      </c>
      <c r="G158">
        <v>91.67</v>
      </c>
      <c r="H158">
        <v>65.83</v>
      </c>
    </row>
    <row r="159" spans="1:8" x14ac:dyDescent="0.25">
      <c r="A159" s="63">
        <f t="shared" si="2"/>
        <v>44719</v>
      </c>
      <c r="B159">
        <v>943.80000000000007</v>
      </c>
      <c r="C159">
        <v>88.8</v>
      </c>
      <c r="D159">
        <v>383.05</v>
      </c>
      <c r="E159">
        <v>243.09</v>
      </c>
      <c r="F159">
        <v>75.319999999999993</v>
      </c>
      <c r="G159">
        <v>82.58</v>
      </c>
      <c r="H159">
        <v>70.959999999999994</v>
      </c>
    </row>
    <row r="160" spans="1:8" x14ac:dyDescent="0.25">
      <c r="A160" s="63">
        <f t="shared" si="2"/>
        <v>44720</v>
      </c>
      <c r="B160">
        <v>935.22</v>
      </c>
      <c r="C160">
        <v>70.459999999999994</v>
      </c>
      <c r="D160">
        <v>357.11</v>
      </c>
      <c r="E160">
        <v>265.29000000000002</v>
      </c>
      <c r="F160">
        <v>78.08</v>
      </c>
      <c r="G160">
        <v>104.99</v>
      </c>
      <c r="H160">
        <v>59.29</v>
      </c>
    </row>
    <row r="161" spans="1:8" x14ac:dyDescent="0.25">
      <c r="A161" s="63">
        <f t="shared" si="2"/>
        <v>44721</v>
      </c>
      <c r="B161">
        <v>935.15</v>
      </c>
      <c r="C161">
        <v>63.48</v>
      </c>
      <c r="D161">
        <v>375.63</v>
      </c>
      <c r="E161">
        <v>257.86</v>
      </c>
      <c r="F161">
        <v>70.61</v>
      </c>
      <c r="G161">
        <v>109.9</v>
      </c>
      <c r="H161">
        <v>57.67</v>
      </c>
    </row>
    <row r="162" spans="1:8" x14ac:dyDescent="0.25">
      <c r="A162" s="63">
        <f t="shared" si="2"/>
        <v>44722</v>
      </c>
      <c r="B162">
        <v>470.86</v>
      </c>
      <c r="C162">
        <v>49.76</v>
      </c>
      <c r="D162">
        <v>115.65</v>
      </c>
      <c r="E162">
        <v>135.51</v>
      </c>
      <c r="F162">
        <v>64.05</v>
      </c>
      <c r="G162">
        <v>44.61</v>
      </c>
      <c r="H162">
        <v>61.28</v>
      </c>
    </row>
    <row r="163" spans="1:8" x14ac:dyDescent="0.25">
      <c r="A163" s="63">
        <f t="shared" si="2"/>
        <v>44723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 x14ac:dyDescent="0.25">
      <c r="A164" s="63">
        <f t="shared" si="2"/>
        <v>44724</v>
      </c>
      <c r="B164">
        <v>1065.21</v>
      </c>
      <c r="C164">
        <v>86.18</v>
      </c>
      <c r="D164">
        <v>428.48</v>
      </c>
      <c r="E164">
        <v>265.08999999999997</v>
      </c>
      <c r="F164">
        <v>112.7</v>
      </c>
      <c r="G164">
        <v>106.14</v>
      </c>
      <c r="H164">
        <v>66.62</v>
      </c>
    </row>
    <row r="165" spans="1:8" x14ac:dyDescent="0.25">
      <c r="A165" s="63">
        <f t="shared" si="2"/>
        <v>44725</v>
      </c>
      <c r="B165">
        <v>978.79000000000008</v>
      </c>
      <c r="C165">
        <v>95.12</v>
      </c>
      <c r="D165">
        <v>311.97000000000003</v>
      </c>
      <c r="E165">
        <v>265.47000000000003</v>
      </c>
      <c r="F165">
        <v>117.75</v>
      </c>
      <c r="G165">
        <v>127.78</v>
      </c>
      <c r="H165">
        <v>60.7</v>
      </c>
    </row>
    <row r="166" spans="1:8" x14ac:dyDescent="0.25">
      <c r="A166" s="63">
        <f t="shared" si="2"/>
        <v>44726</v>
      </c>
      <c r="B166">
        <v>1087.97</v>
      </c>
      <c r="C166">
        <v>85.94</v>
      </c>
      <c r="D166">
        <v>442.01</v>
      </c>
      <c r="E166">
        <v>271.64999999999998</v>
      </c>
      <c r="F166">
        <v>113.96</v>
      </c>
      <c r="G166">
        <v>107.97</v>
      </c>
      <c r="H166">
        <v>66.44</v>
      </c>
    </row>
    <row r="167" spans="1:8" x14ac:dyDescent="0.25">
      <c r="A167" s="63">
        <f t="shared" si="2"/>
        <v>44727</v>
      </c>
      <c r="B167">
        <v>1030.8999999999999</v>
      </c>
      <c r="C167">
        <v>73.709999999999994</v>
      </c>
      <c r="D167">
        <v>429.45</v>
      </c>
      <c r="E167">
        <v>262.51</v>
      </c>
      <c r="F167">
        <v>95.84</v>
      </c>
      <c r="G167">
        <v>101.17</v>
      </c>
      <c r="H167">
        <v>68.22</v>
      </c>
    </row>
    <row r="168" spans="1:8" x14ac:dyDescent="0.25">
      <c r="A168" s="63">
        <f t="shared" si="2"/>
        <v>44728</v>
      </c>
      <c r="B168">
        <v>1062.93</v>
      </c>
      <c r="C168">
        <v>82.36</v>
      </c>
      <c r="D168">
        <v>444.89</v>
      </c>
      <c r="E168">
        <v>247.68</v>
      </c>
      <c r="F168">
        <v>115.45</v>
      </c>
      <c r="G168">
        <v>101.58</v>
      </c>
      <c r="H168">
        <v>70.97</v>
      </c>
    </row>
    <row r="169" spans="1:8" x14ac:dyDescent="0.25">
      <c r="A169" s="63">
        <f t="shared" si="2"/>
        <v>44729</v>
      </c>
      <c r="B169">
        <v>1041.96</v>
      </c>
      <c r="C169">
        <v>98.36</v>
      </c>
      <c r="D169">
        <v>414.69</v>
      </c>
      <c r="E169">
        <v>267.58</v>
      </c>
      <c r="F169">
        <v>105.61</v>
      </c>
      <c r="G169">
        <v>97.06</v>
      </c>
      <c r="H169">
        <v>58.66</v>
      </c>
    </row>
    <row r="170" spans="1:8" x14ac:dyDescent="0.25">
      <c r="A170" s="63">
        <f t="shared" si="2"/>
        <v>44730</v>
      </c>
      <c r="B170">
        <v>1037.8500000000001</v>
      </c>
      <c r="C170">
        <v>74.03</v>
      </c>
      <c r="D170">
        <v>455.91</v>
      </c>
      <c r="E170">
        <v>266.92</v>
      </c>
      <c r="F170">
        <v>97.03</v>
      </c>
      <c r="G170">
        <v>93.07</v>
      </c>
      <c r="H170">
        <v>50.89</v>
      </c>
    </row>
    <row r="171" spans="1:8" x14ac:dyDescent="0.25">
      <c r="A171" s="63">
        <f t="shared" si="2"/>
        <v>44731</v>
      </c>
      <c r="B171">
        <v>917.2399999999999</v>
      </c>
      <c r="C171">
        <v>76.16</v>
      </c>
      <c r="D171">
        <v>359.74</v>
      </c>
      <c r="E171">
        <v>258.7</v>
      </c>
      <c r="F171">
        <v>97.65</v>
      </c>
      <c r="G171">
        <v>80.81</v>
      </c>
      <c r="H171">
        <v>44.18</v>
      </c>
    </row>
    <row r="172" spans="1:8" x14ac:dyDescent="0.25">
      <c r="A172" s="63">
        <f t="shared" si="2"/>
        <v>44732</v>
      </c>
      <c r="B172">
        <v>932.01</v>
      </c>
      <c r="C172">
        <v>88.92</v>
      </c>
      <c r="D172">
        <v>339.77</v>
      </c>
      <c r="E172">
        <v>274.45</v>
      </c>
      <c r="F172">
        <v>94.59</v>
      </c>
      <c r="G172">
        <v>91.63</v>
      </c>
      <c r="H172">
        <v>42.65</v>
      </c>
    </row>
    <row r="173" spans="1:8" x14ac:dyDescent="0.25">
      <c r="A173" s="63">
        <f t="shared" si="2"/>
        <v>44733</v>
      </c>
      <c r="B173">
        <v>1021.5500000000001</v>
      </c>
      <c r="C173">
        <v>75.650000000000006</v>
      </c>
      <c r="D173">
        <v>404.67</v>
      </c>
      <c r="E173">
        <v>297.67</v>
      </c>
      <c r="F173">
        <v>96.96</v>
      </c>
      <c r="G173">
        <v>106.01</v>
      </c>
      <c r="H173">
        <v>40.590000000000003</v>
      </c>
    </row>
    <row r="174" spans="1:8" x14ac:dyDescent="0.25">
      <c r="A174" s="63">
        <f t="shared" si="2"/>
        <v>44734</v>
      </c>
      <c r="B174">
        <v>1013.89</v>
      </c>
      <c r="C174">
        <v>75.040000000000006</v>
      </c>
      <c r="D174">
        <v>413.01</v>
      </c>
      <c r="E174">
        <v>294.06</v>
      </c>
      <c r="F174">
        <v>90.34</v>
      </c>
      <c r="G174">
        <v>98.51</v>
      </c>
      <c r="H174">
        <v>42.93</v>
      </c>
    </row>
    <row r="175" spans="1:8" x14ac:dyDescent="0.25">
      <c r="A175" s="63">
        <f t="shared" si="2"/>
        <v>44735</v>
      </c>
      <c r="B175">
        <v>1034.95</v>
      </c>
      <c r="C175">
        <v>106.21</v>
      </c>
      <c r="D175">
        <v>407.54</v>
      </c>
      <c r="E175">
        <v>284.55</v>
      </c>
      <c r="F175">
        <v>89.55</v>
      </c>
      <c r="G175">
        <v>99.46</v>
      </c>
      <c r="H175">
        <v>47.64</v>
      </c>
    </row>
    <row r="176" spans="1:8" x14ac:dyDescent="0.25">
      <c r="A176" s="63">
        <f t="shared" si="2"/>
        <v>44736</v>
      </c>
      <c r="B176">
        <v>1054.5800000000002</v>
      </c>
      <c r="C176">
        <v>98.16</v>
      </c>
      <c r="D176">
        <v>395.38</v>
      </c>
      <c r="E176">
        <v>297.41000000000003</v>
      </c>
      <c r="F176">
        <v>98</v>
      </c>
      <c r="G176">
        <v>102.61</v>
      </c>
      <c r="H176">
        <v>63.02</v>
      </c>
    </row>
    <row r="177" spans="1:8" x14ac:dyDescent="0.25">
      <c r="A177" s="63">
        <f t="shared" si="2"/>
        <v>44737</v>
      </c>
      <c r="B177">
        <v>965.92000000000007</v>
      </c>
      <c r="C177">
        <v>90.45</v>
      </c>
      <c r="D177">
        <v>367.24</v>
      </c>
      <c r="E177">
        <v>274.3</v>
      </c>
      <c r="F177">
        <v>89.68</v>
      </c>
      <c r="G177">
        <v>88.39</v>
      </c>
      <c r="H177">
        <v>55.86</v>
      </c>
    </row>
    <row r="178" spans="1:8" x14ac:dyDescent="0.25">
      <c r="A178" s="63">
        <f t="shared" si="2"/>
        <v>44738</v>
      </c>
      <c r="B178">
        <v>859.9</v>
      </c>
      <c r="C178">
        <v>75.739999999999995</v>
      </c>
      <c r="D178">
        <v>321.52999999999997</v>
      </c>
      <c r="E178">
        <v>275.45999999999998</v>
      </c>
      <c r="F178">
        <v>64.28</v>
      </c>
      <c r="G178">
        <v>71.91</v>
      </c>
      <c r="H178">
        <v>50.98</v>
      </c>
    </row>
    <row r="179" spans="1:8" x14ac:dyDescent="0.25">
      <c r="A179" s="63">
        <f t="shared" si="2"/>
        <v>44739</v>
      </c>
      <c r="B179">
        <v>1030.9099999999999</v>
      </c>
      <c r="C179">
        <v>93.74</v>
      </c>
      <c r="D179">
        <v>402.52</v>
      </c>
      <c r="E179">
        <v>270.04000000000002</v>
      </c>
      <c r="F179">
        <v>98.08</v>
      </c>
      <c r="G179">
        <v>104.19</v>
      </c>
      <c r="H179">
        <v>62.34</v>
      </c>
    </row>
    <row r="180" spans="1:8" x14ac:dyDescent="0.25">
      <c r="A180" s="63">
        <f t="shared" si="2"/>
        <v>44740</v>
      </c>
      <c r="B180">
        <v>1085.1000000000001</v>
      </c>
      <c r="C180">
        <v>88.96</v>
      </c>
      <c r="D180">
        <v>460.27</v>
      </c>
      <c r="E180">
        <v>270.18</v>
      </c>
      <c r="F180">
        <v>100.24</v>
      </c>
      <c r="G180">
        <v>107.64</v>
      </c>
      <c r="H180">
        <v>57.81</v>
      </c>
    </row>
    <row r="181" spans="1:8" x14ac:dyDescent="0.25">
      <c r="A181" s="63">
        <f t="shared" si="2"/>
        <v>44741</v>
      </c>
      <c r="B181">
        <v>1024.7</v>
      </c>
      <c r="C181">
        <v>76.650000000000006</v>
      </c>
      <c r="D181">
        <v>427.02</v>
      </c>
      <c r="E181">
        <v>268.06</v>
      </c>
      <c r="F181">
        <v>100.61</v>
      </c>
      <c r="G181">
        <v>94.55</v>
      </c>
      <c r="H181">
        <v>57.81</v>
      </c>
    </row>
    <row r="182" spans="1:8" x14ac:dyDescent="0.25">
      <c r="A182" s="63">
        <f t="shared" si="2"/>
        <v>44742</v>
      </c>
      <c r="B182">
        <v>1024.3900000000001</v>
      </c>
      <c r="C182">
        <v>85.12</v>
      </c>
      <c r="D182">
        <v>418.57</v>
      </c>
      <c r="E182">
        <v>280.77</v>
      </c>
      <c r="F182">
        <v>88.2</v>
      </c>
      <c r="G182">
        <v>91.95</v>
      </c>
      <c r="H182">
        <v>59.78</v>
      </c>
    </row>
    <row r="183" spans="1:8" x14ac:dyDescent="0.25">
      <c r="A183" s="63">
        <f t="shared" si="2"/>
        <v>44743</v>
      </c>
      <c r="B183">
        <v>1034.8399999999999</v>
      </c>
      <c r="C183">
        <v>73.28</v>
      </c>
      <c r="D183">
        <v>431.49</v>
      </c>
      <c r="E183">
        <v>262.45999999999998</v>
      </c>
      <c r="F183">
        <v>101.82</v>
      </c>
      <c r="G183">
        <v>96.56</v>
      </c>
      <c r="H183">
        <v>69.23</v>
      </c>
    </row>
    <row r="184" spans="1:8" x14ac:dyDescent="0.25">
      <c r="A184" s="63">
        <f t="shared" si="2"/>
        <v>44744</v>
      </c>
      <c r="B184">
        <v>997.43999999999983</v>
      </c>
      <c r="C184">
        <v>95.9</v>
      </c>
      <c r="D184">
        <v>383.03</v>
      </c>
      <c r="E184">
        <v>260.94</v>
      </c>
      <c r="F184">
        <v>107.41</v>
      </c>
      <c r="G184">
        <v>83.15</v>
      </c>
      <c r="H184">
        <v>67.010000000000005</v>
      </c>
    </row>
    <row r="185" spans="1:8" x14ac:dyDescent="0.25">
      <c r="A185" s="63">
        <f t="shared" si="2"/>
        <v>44745</v>
      </c>
      <c r="B185">
        <v>432.13</v>
      </c>
      <c r="E185">
        <v>230.82</v>
      </c>
      <c r="F185">
        <v>105.12</v>
      </c>
      <c r="G185">
        <v>96.19</v>
      </c>
    </row>
    <row r="186" spans="1:8" x14ac:dyDescent="0.25">
      <c r="A186" s="63">
        <f t="shared" si="2"/>
        <v>44746</v>
      </c>
      <c r="B186">
        <v>1092.0900000000001</v>
      </c>
      <c r="C186">
        <v>86.56</v>
      </c>
      <c r="D186">
        <v>457.9</v>
      </c>
      <c r="E186">
        <v>268.39</v>
      </c>
      <c r="F186">
        <v>100.36</v>
      </c>
      <c r="G186">
        <v>111.23</v>
      </c>
      <c r="H186">
        <v>67.650000000000006</v>
      </c>
    </row>
    <row r="187" spans="1:8" x14ac:dyDescent="0.25">
      <c r="A187" s="63">
        <f t="shared" si="2"/>
        <v>44747</v>
      </c>
      <c r="B187">
        <v>1008.8899999999999</v>
      </c>
      <c r="C187">
        <v>73.75</v>
      </c>
      <c r="D187">
        <v>419.84</v>
      </c>
      <c r="E187">
        <v>251.19</v>
      </c>
      <c r="F187">
        <v>90.24</v>
      </c>
      <c r="G187">
        <v>103.56</v>
      </c>
      <c r="H187">
        <v>70.31</v>
      </c>
    </row>
    <row r="188" spans="1:8" x14ac:dyDescent="0.25">
      <c r="A188" s="63">
        <f t="shared" si="2"/>
        <v>44748</v>
      </c>
      <c r="B188">
        <v>1020.79</v>
      </c>
      <c r="C188">
        <v>64.959999999999994</v>
      </c>
      <c r="D188">
        <v>460.28</v>
      </c>
      <c r="E188">
        <v>237.92</v>
      </c>
      <c r="F188">
        <v>87.73</v>
      </c>
      <c r="G188">
        <v>104.25</v>
      </c>
      <c r="H188">
        <v>65.650000000000006</v>
      </c>
    </row>
    <row r="189" spans="1:8" x14ac:dyDescent="0.25">
      <c r="A189" s="63">
        <f t="shared" si="2"/>
        <v>44749</v>
      </c>
      <c r="B189">
        <v>958.22</v>
      </c>
      <c r="C189">
        <v>80.040000000000006</v>
      </c>
      <c r="D189">
        <v>398.62</v>
      </c>
      <c r="E189">
        <v>230.17</v>
      </c>
      <c r="F189">
        <v>83.18</v>
      </c>
      <c r="G189">
        <v>101.72</v>
      </c>
      <c r="H189">
        <v>64.489999999999995</v>
      </c>
    </row>
    <row r="190" spans="1:8" x14ac:dyDescent="0.25">
      <c r="A190" s="63">
        <f t="shared" si="2"/>
        <v>44750</v>
      </c>
      <c r="B190">
        <v>925.39</v>
      </c>
      <c r="C190">
        <v>72.739999999999995</v>
      </c>
      <c r="D190">
        <v>405.52</v>
      </c>
      <c r="E190">
        <v>200.69</v>
      </c>
      <c r="F190">
        <v>91.22</v>
      </c>
      <c r="G190">
        <v>89.07</v>
      </c>
      <c r="H190">
        <v>66.150000000000006</v>
      </c>
    </row>
    <row r="191" spans="1:8" x14ac:dyDescent="0.25">
      <c r="A191" s="63">
        <f t="shared" si="2"/>
        <v>44751</v>
      </c>
      <c r="B191">
        <v>356.35999999999996</v>
      </c>
      <c r="C191">
        <v>65.41</v>
      </c>
      <c r="E191">
        <v>117.38</v>
      </c>
      <c r="F191">
        <v>90.3</v>
      </c>
      <c r="G191">
        <v>83.27</v>
      </c>
    </row>
    <row r="192" spans="1:8" x14ac:dyDescent="0.25">
      <c r="A192" s="63">
        <f t="shared" si="2"/>
        <v>44752</v>
      </c>
      <c r="B192">
        <v>855.15000000000009</v>
      </c>
      <c r="C192">
        <v>63.64</v>
      </c>
      <c r="D192">
        <v>420.72</v>
      </c>
      <c r="E192">
        <v>124.96</v>
      </c>
      <c r="F192">
        <v>92.97</v>
      </c>
      <c r="G192">
        <v>82.11</v>
      </c>
      <c r="H192">
        <v>70.75</v>
      </c>
    </row>
    <row r="193" spans="1:8" x14ac:dyDescent="0.25">
      <c r="A193" s="63">
        <f t="shared" si="2"/>
        <v>44753</v>
      </c>
      <c r="B193">
        <v>1004.55</v>
      </c>
      <c r="C193">
        <v>75.61</v>
      </c>
      <c r="D193">
        <v>416.96</v>
      </c>
      <c r="E193">
        <v>236.11</v>
      </c>
      <c r="F193">
        <v>104.77</v>
      </c>
      <c r="G193">
        <v>102.31</v>
      </c>
      <c r="H193">
        <v>68.790000000000006</v>
      </c>
    </row>
    <row r="194" spans="1:8" x14ac:dyDescent="0.25">
      <c r="A194" s="63">
        <f t="shared" si="2"/>
        <v>44754</v>
      </c>
      <c r="B194">
        <v>974.15000000000009</v>
      </c>
      <c r="C194">
        <v>65.400000000000006</v>
      </c>
      <c r="D194">
        <v>427.12</v>
      </c>
      <c r="E194">
        <v>226.7</v>
      </c>
      <c r="F194">
        <v>98.08</v>
      </c>
      <c r="G194">
        <v>92.81</v>
      </c>
      <c r="H194">
        <v>64.040000000000006</v>
      </c>
    </row>
    <row r="195" spans="1:8" x14ac:dyDescent="0.25">
      <c r="A195" s="63">
        <f t="shared" si="2"/>
        <v>44755</v>
      </c>
      <c r="B195">
        <v>955.08</v>
      </c>
      <c r="C195">
        <v>50.38</v>
      </c>
      <c r="D195">
        <v>432.6</v>
      </c>
      <c r="E195">
        <v>231.02</v>
      </c>
      <c r="F195">
        <v>92.45</v>
      </c>
      <c r="G195">
        <v>80.36</v>
      </c>
      <c r="H195">
        <v>68.27</v>
      </c>
    </row>
    <row r="196" spans="1:8" x14ac:dyDescent="0.25">
      <c r="A196" s="63">
        <f t="shared" ref="A196:A259" si="3">A195+1</f>
        <v>44756</v>
      </c>
      <c r="B196">
        <v>900.69</v>
      </c>
      <c r="C196">
        <v>62.75</v>
      </c>
      <c r="D196">
        <v>379.29</v>
      </c>
      <c r="E196">
        <v>234.41</v>
      </c>
      <c r="F196">
        <v>79.36</v>
      </c>
      <c r="G196">
        <v>85.19</v>
      </c>
      <c r="H196">
        <v>59.69</v>
      </c>
    </row>
    <row r="197" spans="1:8" x14ac:dyDescent="0.25">
      <c r="A197" s="63">
        <f t="shared" si="3"/>
        <v>44757</v>
      </c>
      <c r="B197">
        <v>955.18</v>
      </c>
      <c r="C197">
        <v>65.3</v>
      </c>
      <c r="D197">
        <v>406.76</v>
      </c>
      <c r="E197">
        <v>247.67</v>
      </c>
      <c r="F197">
        <v>82.3</v>
      </c>
      <c r="G197">
        <v>83.23</v>
      </c>
      <c r="H197">
        <v>69.92</v>
      </c>
    </row>
    <row r="198" spans="1:8" x14ac:dyDescent="0.25">
      <c r="A198" s="63">
        <f t="shared" si="3"/>
        <v>44758</v>
      </c>
      <c r="B198">
        <v>758.40000000000009</v>
      </c>
      <c r="C198">
        <v>39.96</v>
      </c>
      <c r="D198">
        <v>341.28</v>
      </c>
      <c r="E198">
        <v>135</v>
      </c>
      <c r="F198">
        <v>89.02</v>
      </c>
      <c r="G198">
        <v>87.94</v>
      </c>
      <c r="H198">
        <v>65.2</v>
      </c>
    </row>
    <row r="199" spans="1:8" x14ac:dyDescent="0.25">
      <c r="A199" s="63">
        <f t="shared" si="3"/>
        <v>44759</v>
      </c>
      <c r="B199">
        <v>310.78999999999996</v>
      </c>
      <c r="E199">
        <v>138.09</v>
      </c>
      <c r="F199">
        <v>84.98</v>
      </c>
      <c r="G199">
        <v>87.72</v>
      </c>
    </row>
    <row r="200" spans="1:8" x14ac:dyDescent="0.25">
      <c r="A200" s="63">
        <f t="shared" si="3"/>
        <v>44760</v>
      </c>
      <c r="B200">
        <v>952.22</v>
      </c>
      <c r="C200">
        <v>58</v>
      </c>
      <c r="D200">
        <v>376.5</v>
      </c>
      <c r="E200">
        <v>259.24</v>
      </c>
      <c r="F200">
        <v>101.75</v>
      </c>
      <c r="G200">
        <v>88.17</v>
      </c>
      <c r="H200">
        <v>68.56</v>
      </c>
    </row>
    <row r="201" spans="1:8" x14ac:dyDescent="0.25">
      <c r="A201" s="63">
        <f t="shared" si="3"/>
        <v>44761</v>
      </c>
      <c r="B201">
        <v>928.42000000000007</v>
      </c>
      <c r="C201">
        <v>67.56</v>
      </c>
      <c r="D201">
        <v>320.69</v>
      </c>
      <c r="E201">
        <v>266.92</v>
      </c>
      <c r="F201">
        <v>111.02</v>
      </c>
      <c r="G201">
        <v>93.42</v>
      </c>
      <c r="H201">
        <v>68.81</v>
      </c>
    </row>
    <row r="202" spans="1:8" x14ac:dyDescent="0.25">
      <c r="A202" s="63">
        <f t="shared" si="3"/>
        <v>44762</v>
      </c>
      <c r="B202">
        <v>993.51</v>
      </c>
      <c r="C202">
        <v>75.540000000000006</v>
      </c>
      <c r="D202">
        <v>380.14</v>
      </c>
      <c r="E202">
        <v>265.31</v>
      </c>
      <c r="F202">
        <v>109.15</v>
      </c>
      <c r="G202">
        <v>91.86</v>
      </c>
      <c r="H202">
        <v>71.510000000000005</v>
      </c>
    </row>
    <row r="203" spans="1:8" x14ac:dyDescent="0.25">
      <c r="A203" s="63">
        <f t="shared" si="3"/>
        <v>44763</v>
      </c>
      <c r="B203">
        <v>997.49</v>
      </c>
      <c r="C203">
        <v>45.84</v>
      </c>
      <c r="D203">
        <v>401.75</v>
      </c>
      <c r="E203">
        <v>280.32</v>
      </c>
      <c r="F203">
        <v>103.37</v>
      </c>
      <c r="G203">
        <v>94.68</v>
      </c>
      <c r="H203">
        <v>71.53</v>
      </c>
    </row>
    <row r="204" spans="1:8" x14ac:dyDescent="0.25">
      <c r="A204" s="63">
        <f t="shared" si="3"/>
        <v>44764</v>
      </c>
      <c r="B204">
        <v>1017.6500000000002</v>
      </c>
      <c r="C204">
        <v>68.12</v>
      </c>
      <c r="D204">
        <v>352.86</v>
      </c>
      <c r="E204">
        <v>286.64000000000004</v>
      </c>
      <c r="F204">
        <v>123.93</v>
      </c>
      <c r="G204">
        <v>118.97</v>
      </c>
      <c r="H204">
        <v>67.13</v>
      </c>
    </row>
    <row r="205" spans="1:8" x14ac:dyDescent="0.25">
      <c r="A205" s="63">
        <f t="shared" si="3"/>
        <v>44765</v>
      </c>
      <c r="B205">
        <v>489.94</v>
      </c>
      <c r="C205">
        <v>56.18</v>
      </c>
      <c r="E205">
        <v>144.96</v>
      </c>
      <c r="F205">
        <v>116.55</v>
      </c>
      <c r="G205">
        <v>101.99</v>
      </c>
      <c r="H205">
        <v>70.260000000000005</v>
      </c>
    </row>
    <row r="206" spans="1:8" x14ac:dyDescent="0.25">
      <c r="A206" s="63">
        <f t="shared" si="3"/>
        <v>44766</v>
      </c>
      <c r="B206">
        <v>858.48</v>
      </c>
      <c r="C206">
        <v>76.28</v>
      </c>
      <c r="D206">
        <v>342.58</v>
      </c>
      <c r="E206">
        <v>136.36000000000001</v>
      </c>
      <c r="F206">
        <v>129.86000000000001</v>
      </c>
      <c r="G206">
        <v>106.51</v>
      </c>
      <c r="H206">
        <v>66.89</v>
      </c>
    </row>
    <row r="207" spans="1:8" x14ac:dyDescent="0.25">
      <c r="A207" s="63">
        <f t="shared" si="3"/>
        <v>44767</v>
      </c>
      <c r="B207">
        <v>996.05</v>
      </c>
      <c r="C207">
        <v>48.43</v>
      </c>
      <c r="D207">
        <v>387.14</v>
      </c>
      <c r="E207">
        <v>265.81</v>
      </c>
      <c r="F207">
        <v>111.44</v>
      </c>
      <c r="G207">
        <v>108.29</v>
      </c>
      <c r="H207">
        <v>74.94</v>
      </c>
    </row>
    <row r="208" spans="1:8" x14ac:dyDescent="0.25">
      <c r="A208" s="63">
        <f t="shared" si="3"/>
        <v>44768</v>
      </c>
      <c r="B208">
        <v>930.08</v>
      </c>
      <c r="C208">
        <v>81.75</v>
      </c>
      <c r="D208">
        <v>424.23</v>
      </c>
      <c r="E208">
        <v>140.18</v>
      </c>
      <c r="F208">
        <v>116.81</v>
      </c>
      <c r="G208">
        <v>94.65</v>
      </c>
      <c r="H208">
        <v>72.459999999999994</v>
      </c>
    </row>
    <row r="209" spans="1:8" x14ac:dyDescent="0.25">
      <c r="A209" s="63">
        <f t="shared" si="3"/>
        <v>44769</v>
      </c>
      <c r="B209">
        <v>803.41</v>
      </c>
      <c r="C209">
        <v>58.51</v>
      </c>
      <c r="D209">
        <v>334.56</v>
      </c>
      <c r="E209">
        <v>131.82</v>
      </c>
      <c r="F209">
        <v>110.1</v>
      </c>
      <c r="G209">
        <v>99.16</v>
      </c>
      <c r="H209">
        <v>69.260000000000005</v>
      </c>
    </row>
    <row r="210" spans="1:8" x14ac:dyDescent="0.25">
      <c r="A210" s="63">
        <f t="shared" si="3"/>
        <v>44770</v>
      </c>
      <c r="B210">
        <v>885.28000000000009</v>
      </c>
      <c r="C210">
        <v>50.19</v>
      </c>
      <c r="D210">
        <v>336.15</v>
      </c>
      <c r="E210">
        <v>222.32</v>
      </c>
      <c r="F210">
        <v>114.71</v>
      </c>
      <c r="G210">
        <v>91.82</v>
      </c>
      <c r="H210">
        <v>70.09</v>
      </c>
    </row>
    <row r="211" spans="1:8" x14ac:dyDescent="0.25">
      <c r="A211" s="63">
        <f t="shared" si="3"/>
        <v>44771</v>
      </c>
      <c r="B211">
        <v>935.61999999999989</v>
      </c>
      <c r="C211">
        <v>62.09</v>
      </c>
      <c r="D211">
        <v>347.93</v>
      </c>
      <c r="E211">
        <v>248.67</v>
      </c>
      <c r="F211">
        <v>111.4</v>
      </c>
      <c r="G211">
        <v>89.84</v>
      </c>
      <c r="H211">
        <v>75.69</v>
      </c>
    </row>
    <row r="212" spans="1:8" x14ac:dyDescent="0.25">
      <c r="A212" s="63">
        <f t="shared" si="3"/>
        <v>44772</v>
      </c>
      <c r="B212">
        <v>910.37999999999988</v>
      </c>
      <c r="C212">
        <v>61.16</v>
      </c>
      <c r="D212">
        <v>319.38</v>
      </c>
      <c r="E212">
        <v>245.88</v>
      </c>
      <c r="F212">
        <v>120.02</v>
      </c>
      <c r="G212">
        <v>93.04</v>
      </c>
      <c r="H212">
        <v>70.900000000000006</v>
      </c>
    </row>
    <row r="213" spans="1:8" x14ac:dyDescent="0.25">
      <c r="A213" s="63">
        <f t="shared" si="3"/>
        <v>44773</v>
      </c>
      <c r="B213">
        <v>567.92999999999995</v>
      </c>
      <c r="C213">
        <v>51.44</v>
      </c>
      <c r="E213">
        <v>243.66</v>
      </c>
      <c r="F213">
        <v>107.27</v>
      </c>
      <c r="G213">
        <v>96.96</v>
      </c>
      <c r="H213">
        <v>68.599999999999994</v>
      </c>
    </row>
    <row r="214" spans="1:8" x14ac:dyDescent="0.25">
      <c r="A214" s="63">
        <f t="shared" si="3"/>
        <v>44774</v>
      </c>
      <c r="B214">
        <v>938.28</v>
      </c>
      <c r="C214">
        <v>48.85</v>
      </c>
      <c r="D214">
        <v>360.84</v>
      </c>
      <c r="E214">
        <v>238.96</v>
      </c>
      <c r="F214">
        <v>121.57</v>
      </c>
      <c r="G214">
        <v>97.91</v>
      </c>
      <c r="H214">
        <v>70.150000000000006</v>
      </c>
    </row>
    <row r="215" spans="1:8" x14ac:dyDescent="0.25">
      <c r="A215" s="63">
        <f t="shared" si="3"/>
        <v>44775</v>
      </c>
      <c r="B215">
        <v>864.74999999999989</v>
      </c>
      <c r="C215">
        <v>62.27</v>
      </c>
      <c r="D215">
        <v>320.64999999999998</v>
      </c>
      <c r="E215">
        <v>229.53</v>
      </c>
      <c r="F215">
        <v>114.68</v>
      </c>
      <c r="G215">
        <v>65.59</v>
      </c>
      <c r="H215">
        <v>72.03</v>
      </c>
    </row>
    <row r="216" spans="1:8" x14ac:dyDescent="0.25">
      <c r="A216" s="63">
        <f t="shared" si="3"/>
        <v>44776</v>
      </c>
      <c r="B216">
        <v>856.25</v>
      </c>
      <c r="C216">
        <v>56.19</v>
      </c>
      <c r="D216">
        <v>321.17</v>
      </c>
      <c r="E216">
        <v>228.14</v>
      </c>
      <c r="F216">
        <v>107.56</v>
      </c>
      <c r="G216">
        <v>68.48</v>
      </c>
      <c r="H216">
        <v>74.709999999999994</v>
      </c>
    </row>
    <row r="217" spans="1:8" x14ac:dyDescent="0.25">
      <c r="A217" s="63">
        <f t="shared" si="3"/>
        <v>44777</v>
      </c>
      <c r="B217">
        <v>834.53000000000009</v>
      </c>
      <c r="C217">
        <v>54.4</v>
      </c>
      <c r="D217">
        <v>326.18</v>
      </c>
      <c r="E217">
        <v>217.8</v>
      </c>
      <c r="F217">
        <v>104.47</v>
      </c>
      <c r="G217">
        <v>64.59</v>
      </c>
      <c r="H217">
        <v>67.09</v>
      </c>
    </row>
    <row r="218" spans="1:8" x14ac:dyDescent="0.25">
      <c r="A218" s="63">
        <f t="shared" si="3"/>
        <v>44778</v>
      </c>
      <c r="B218">
        <v>751.24</v>
      </c>
      <c r="C218">
        <v>62.07</v>
      </c>
      <c r="D218">
        <v>333.38</v>
      </c>
      <c r="E218">
        <v>116.19</v>
      </c>
      <c r="F218">
        <v>102.52</v>
      </c>
      <c r="G218">
        <v>69.400000000000006</v>
      </c>
      <c r="H218">
        <v>67.680000000000007</v>
      </c>
    </row>
    <row r="219" spans="1:8" x14ac:dyDescent="0.25">
      <c r="A219" s="63">
        <f t="shared" si="3"/>
        <v>44779</v>
      </c>
      <c r="B219">
        <v>222.83999999999997</v>
      </c>
      <c r="F219">
        <v>100.97</v>
      </c>
      <c r="G219">
        <v>68.36</v>
      </c>
      <c r="H219">
        <v>53.51</v>
      </c>
    </row>
    <row r="220" spans="1:8" x14ac:dyDescent="0.25">
      <c r="A220" s="63">
        <f t="shared" si="3"/>
        <v>44780</v>
      </c>
      <c r="B220">
        <v>538.80999999999995</v>
      </c>
      <c r="C220">
        <v>66.7</v>
      </c>
      <c r="D220">
        <v>158.62</v>
      </c>
      <c r="E220">
        <v>120.07</v>
      </c>
      <c r="F220">
        <v>81.36</v>
      </c>
      <c r="G220">
        <v>68.319999999999993</v>
      </c>
      <c r="H220">
        <v>43.74</v>
      </c>
    </row>
    <row r="221" spans="1:8" x14ac:dyDescent="0.25">
      <c r="A221" s="63">
        <f t="shared" si="3"/>
        <v>44781</v>
      </c>
      <c r="B221">
        <v>842.18</v>
      </c>
      <c r="C221">
        <v>67.010000000000005</v>
      </c>
      <c r="D221">
        <v>327.58</v>
      </c>
      <c r="E221">
        <v>236.23</v>
      </c>
      <c r="F221">
        <v>77.62</v>
      </c>
      <c r="G221">
        <v>76.400000000000006</v>
      </c>
      <c r="H221">
        <v>57.34</v>
      </c>
    </row>
    <row r="222" spans="1:8" x14ac:dyDescent="0.25">
      <c r="A222" s="63">
        <f t="shared" si="3"/>
        <v>44782</v>
      </c>
      <c r="B222">
        <v>767.24000000000012</v>
      </c>
      <c r="C222">
        <v>46.72</v>
      </c>
      <c r="D222">
        <v>269.88</v>
      </c>
      <c r="E222">
        <v>252.18</v>
      </c>
      <c r="F222">
        <v>69.680000000000007</v>
      </c>
      <c r="G222">
        <v>81.2</v>
      </c>
      <c r="H222">
        <v>47.58</v>
      </c>
    </row>
    <row r="223" spans="1:8" x14ac:dyDescent="0.25">
      <c r="A223" s="63">
        <f t="shared" si="3"/>
        <v>44783</v>
      </c>
      <c r="B223">
        <v>705.65999999999985</v>
      </c>
      <c r="C223">
        <v>53.68</v>
      </c>
      <c r="D223">
        <v>226.16</v>
      </c>
      <c r="E223">
        <v>242.22</v>
      </c>
      <c r="F223">
        <v>59.8</v>
      </c>
      <c r="G223">
        <v>79.13</v>
      </c>
      <c r="H223">
        <v>44.67</v>
      </c>
    </row>
    <row r="224" spans="1:8" x14ac:dyDescent="0.25">
      <c r="A224" s="63">
        <f t="shared" si="3"/>
        <v>44784</v>
      </c>
      <c r="B224">
        <v>587.46</v>
      </c>
      <c r="C224">
        <v>40.26</v>
      </c>
      <c r="D224">
        <v>136.62</v>
      </c>
      <c r="E224">
        <v>242.63</v>
      </c>
      <c r="F224">
        <v>66.06</v>
      </c>
      <c r="G224">
        <v>57.14</v>
      </c>
      <c r="H224">
        <v>44.75</v>
      </c>
    </row>
    <row r="225" spans="1:8" x14ac:dyDescent="0.25">
      <c r="A225" s="63">
        <f t="shared" si="3"/>
        <v>44785</v>
      </c>
      <c r="B225">
        <v>342.2</v>
      </c>
      <c r="C225">
        <v>59.53</v>
      </c>
      <c r="E225">
        <v>121.36</v>
      </c>
      <c r="F225">
        <v>59.67</v>
      </c>
      <c r="G225">
        <v>62.44</v>
      </c>
      <c r="H225">
        <v>39.200000000000003</v>
      </c>
    </row>
    <row r="226" spans="1:8" x14ac:dyDescent="0.25">
      <c r="A226" s="63">
        <f t="shared" si="3"/>
        <v>44786</v>
      </c>
      <c r="B226">
        <v>77.650000000000006</v>
      </c>
      <c r="F226">
        <v>62.72</v>
      </c>
      <c r="G226">
        <v>2.89</v>
      </c>
      <c r="H226">
        <v>12.04</v>
      </c>
    </row>
    <row r="227" spans="1:8" x14ac:dyDescent="0.25">
      <c r="A227" s="63">
        <f t="shared" si="3"/>
        <v>44787</v>
      </c>
      <c r="B227">
        <v>60.32</v>
      </c>
      <c r="F227">
        <v>60.32</v>
      </c>
    </row>
    <row r="228" spans="1:8" x14ac:dyDescent="0.25">
      <c r="A228" s="63">
        <f t="shared" si="3"/>
        <v>44788</v>
      </c>
      <c r="B228">
        <v>980.80000000000007</v>
      </c>
      <c r="C228">
        <v>83.23</v>
      </c>
      <c r="D228">
        <v>447.23</v>
      </c>
      <c r="E228">
        <v>258.14</v>
      </c>
      <c r="F228">
        <v>66.64</v>
      </c>
      <c r="G228">
        <v>84.7</v>
      </c>
      <c r="H228">
        <v>40.86</v>
      </c>
    </row>
    <row r="229" spans="1:8" x14ac:dyDescent="0.25">
      <c r="A229" s="63">
        <f t="shared" si="3"/>
        <v>44789</v>
      </c>
      <c r="B229">
        <v>820.87000000000012</v>
      </c>
      <c r="C229">
        <v>54.23</v>
      </c>
      <c r="D229">
        <v>371.4</v>
      </c>
      <c r="E229">
        <v>205.89</v>
      </c>
      <c r="F229">
        <v>54.33</v>
      </c>
      <c r="G229">
        <v>98.07</v>
      </c>
      <c r="H229">
        <v>36.950000000000003</v>
      </c>
    </row>
    <row r="230" spans="1:8" x14ac:dyDescent="0.25">
      <c r="A230" s="63">
        <f t="shared" si="3"/>
        <v>44790</v>
      </c>
      <c r="B230">
        <v>813.18999999999994</v>
      </c>
      <c r="C230">
        <v>62.21</v>
      </c>
      <c r="D230">
        <v>360.94</v>
      </c>
      <c r="E230">
        <v>228.18</v>
      </c>
      <c r="F230">
        <v>44.79</v>
      </c>
      <c r="G230">
        <v>89.25</v>
      </c>
      <c r="H230">
        <v>27.82</v>
      </c>
    </row>
    <row r="231" spans="1:8" x14ac:dyDescent="0.25">
      <c r="A231" s="63">
        <f t="shared" si="3"/>
        <v>44791</v>
      </c>
      <c r="B231">
        <v>689.65</v>
      </c>
      <c r="C231">
        <v>44.24</v>
      </c>
      <c r="D231">
        <v>290.52</v>
      </c>
      <c r="E231">
        <v>188.67</v>
      </c>
      <c r="F231">
        <v>53.3</v>
      </c>
      <c r="G231">
        <v>89.22</v>
      </c>
      <c r="H231">
        <v>23.7</v>
      </c>
    </row>
    <row r="232" spans="1:8" x14ac:dyDescent="0.25">
      <c r="A232" s="63">
        <f t="shared" si="3"/>
        <v>44792</v>
      </c>
      <c r="B232">
        <v>442.97</v>
      </c>
      <c r="C232">
        <v>29.42</v>
      </c>
      <c r="D232">
        <v>149.80000000000001</v>
      </c>
      <c r="E232">
        <v>96.95</v>
      </c>
      <c r="F232">
        <v>53.12</v>
      </c>
      <c r="G232">
        <v>85.58</v>
      </c>
      <c r="H232">
        <v>28.1</v>
      </c>
    </row>
    <row r="233" spans="1:8" x14ac:dyDescent="0.25">
      <c r="A233" s="63">
        <f t="shared" si="3"/>
        <v>44793</v>
      </c>
      <c r="B233">
        <v>147.69000000000003</v>
      </c>
      <c r="F233">
        <v>58.35</v>
      </c>
      <c r="G233">
        <v>84.01</v>
      </c>
      <c r="H233">
        <v>5.33</v>
      </c>
    </row>
    <row r="234" spans="1:8" x14ac:dyDescent="0.25">
      <c r="A234" s="63">
        <f t="shared" si="3"/>
        <v>44794</v>
      </c>
      <c r="B234">
        <v>55.15</v>
      </c>
      <c r="F234">
        <v>55.15</v>
      </c>
    </row>
    <row r="235" spans="1:8" x14ac:dyDescent="0.25">
      <c r="A235" s="63">
        <f t="shared" si="3"/>
        <v>44795</v>
      </c>
      <c r="B235">
        <v>853.78</v>
      </c>
      <c r="C235">
        <v>62.39</v>
      </c>
      <c r="D235">
        <v>420.56</v>
      </c>
      <c r="E235">
        <v>196.06</v>
      </c>
      <c r="F235">
        <v>52.73</v>
      </c>
      <c r="G235">
        <v>95.49</v>
      </c>
      <c r="H235">
        <v>26.55</v>
      </c>
    </row>
    <row r="236" spans="1:8" x14ac:dyDescent="0.25">
      <c r="A236" s="63">
        <f t="shared" si="3"/>
        <v>44796</v>
      </c>
      <c r="B236">
        <v>725.73</v>
      </c>
      <c r="C236">
        <v>57.7</v>
      </c>
      <c r="D236">
        <v>318.17</v>
      </c>
      <c r="E236">
        <v>167.22</v>
      </c>
      <c r="F236">
        <v>63.51</v>
      </c>
      <c r="G236">
        <v>83.46</v>
      </c>
      <c r="H236">
        <v>35.67</v>
      </c>
    </row>
    <row r="237" spans="1:8" x14ac:dyDescent="0.25">
      <c r="A237" s="63">
        <f t="shared" si="3"/>
        <v>44797</v>
      </c>
      <c r="B237">
        <v>583.1</v>
      </c>
      <c r="C237">
        <v>42.97</v>
      </c>
      <c r="D237">
        <v>245.19</v>
      </c>
      <c r="E237">
        <v>138.22999999999999</v>
      </c>
      <c r="F237">
        <v>49.97</v>
      </c>
      <c r="G237">
        <v>70.709999999999994</v>
      </c>
      <c r="H237">
        <v>36.03</v>
      </c>
    </row>
    <row r="238" spans="1:8" x14ac:dyDescent="0.25">
      <c r="A238" s="63">
        <f t="shared" si="3"/>
        <v>44798</v>
      </c>
      <c r="B238">
        <v>419.14</v>
      </c>
      <c r="C238">
        <v>34.840000000000003</v>
      </c>
      <c r="D238">
        <v>110.67</v>
      </c>
      <c r="E238">
        <v>116.54</v>
      </c>
      <c r="F238">
        <v>58.31</v>
      </c>
      <c r="G238">
        <v>62.5</v>
      </c>
      <c r="H238">
        <v>36.28</v>
      </c>
    </row>
    <row r="239" spans="1:8" x14ac:dyDescent="0.25">
      <c r="A239" s="63">
        <f t="shared" si="3"/>
        <v>44799</v>
      </c>
      <c r="B239">
        <v>680.89</v>
      </c>
      <c r="C239">
        <v>62.06</v>
      </c>
      <c r="D239">
        <v>234.2</v>
      </c>
      <c r="E239">
        <v>189.31</v>
      </c>
      <c r="F239">
        <v>67.900000000000006</v>
      </c>
      <c r="G239">
        <v>75.800000000000011</v>
      </c>
      <c r="H239">
        <v>51.62</v>
      </c>
    </row>
    <row r="240" spans="1:8" x14ac:dyDescent="0.25">
      <c r="A240" s="63">
        <f t="shared" si="3"/>
        <v>44800</v>
      </c>
      <c r="B240">
        <v>800.43000000000006</v>
      </c>
      <c r="C240">
        <v>65.98</v>
      </c>
      <c r="D240">
        <v>330.05</v>
      </c>
      <c r="E240">
        <v>173.56</v>
      </c>
      <c r="F240">
        <v>87.1</v>
      </c>
      <c r="G240">
        <v>82.93</v>
      </c>
      <c r="H240">
        <v>60.81</v>
      </c>
    </row>
    <row r="241" spans="1:8" x14ac:dyDescent="0.25">
      <c r="A241" s="63">
        <f t="shared" si="3"/>
        <v>44801</v>
      </c>
      <c r="B241">
        <v>744.21</v>
      </c>
      <c r="C241">
        <v>86.72</v>
      </c>
      <c r="D241">
        <v>278.64</v>
      </c>
      <c r="E241">
        <v>173.36</v>
      </c>
      <c r="F241">
        <v>85.74</v>
      </c>
      <c r="G241">
        <v>74.81</v>
      </c>
      <c r="H241">
        <v>44.94</v>
      </c>
    </row>
    <row r="242" spans="1:8" x14ac:dyDescent="0.25">
      <c r="A242" s="63">
        <f t="shared" si="3"/>
        <v>44802</v>
      </c>
      <c r="B242">
        <v>810.62</v>
      </c>
      <c r="C242">
        <v>68.569999999999993</v>
      </c>
      <c r="D242">
        <v>295.02</v>
      </c>
      <c r="E242">
        <v>220.55</v>
      </c>
      <c r="F242">
        <v>82.99</v>
      </c>
      <c r="G242">
        <v>80.239999999999995</v>
      </c>
      <c r="H242">
        <v>63.25</v>
      </c>
    </row>
    <row r="243" spans="1:8" x14ac:dyDescent="0.25">
      <c r="A243" s="63">
        <f t="shared" si="3"/>
        <v>44803</v>
      </c>
      <c r="B243">
        <v>877.41000000000008</v>
      </c>
      <c r="C243">
        <v>59.71</v>
      </c>
      <c r="D243">
        <v>346.85</v>
      </c>
      <c r="E243">
        <v>218.15</v>
      </c>
      <c r="F243">
        <v>113.21</v>
      </c>
      <c r="G243">
        <v>71.37</v>
      </c>
      <c r="H243">
        <v>68.12</v>
      </c>
    </row>
    <row r="244" spans="1:8" x14ac:dyDescent="0.25">
      <c r="A244" s="63">
        <f t="shared" si="3"/>
        <v>44804</v>
      </c>
      <c r="B244">
        <v>841.25</v>
      </c>
      <c r="C244">
        <v>57.77</v>
      </c>
      <c r="D244">
        <v>294.83</v>
      </c>
      <c r="E244">
        <v>263.17</v>
      </c>
      <c r="F244">
        <v>87.72</v>
      </c>
      <c r="G244">
        <v>73.11</v>
      </c>
      <c r="H244">
        <v>64.650000000000006</v>
      </c>
    </row>
    <row r="245" spans="1:8" x14ac:dyDescent="0.25">
      <c r="A245" s="63">
        <f t="shared" si="3"/>
        <v>44805</v>
      </c>
      <c r="B245">
        <v>775.36999999999989</v>
      </c>
      <c r="C245">
        <v>58.38</v>
      </c>
      <c r="D245">
        <v>320.99</v>
      </c>
      <c r="E245">
        <v>167.04</v>
      </c>
      <c r="F245">
        <v>92.76</v>
      </c>
      <c r="G245">
        <v>70.52</v>
      </c>
      <c r="H245">
        <v>65.680000000000007</v>
      </c>
    </row>
    <row r="246" spans="1:8" x14ac:dyDescent="0.25">
      <c r="A246" s="63">
        <f t="shared" si="3"/>
        <v>44806</v>
      </c>
      <c r="B246">
        <v>396.13</v>
      </c>
      <c r="C246">
        <v>41.79</v>
      </c>
      <c r="D246">
        <v>152.91</v>
      </c>
      <c r="F246">
        <v>92.27</v>
      </c>
      <c r="G246">
        <v>44.24</v>
      </c>
      <c r="H246">
        <v>64.92</v>
      </c>
    </row>
    <row r="247" spans="1:8" x14ac:dyDescent="0.25">
      <c r="A247" s="63">
        <f t="shared" si="3"/>
        <v>44807</v>
      </c>
      <c r="B247">
        <v>164.82</v>
      </c>
      <c r="F247">
        <v>111.62</v>
      </c>
      <c r="H247">
        <v>53.2</v>
      </c>
    </row>
    <row r="248" spans="1:8" x14ac:dyDescent="0.25">
      <c r="A248" s="63">
        <f t="shared" si="3"/>
        <v>44808</v>
      </c>
      <c r="B248">
        <v>171.04000000000002</v>
      </c>
      <c r="F248">
        <v>105.36</v>
      </c>
      <c r="H248">
        <v>65.680000000000007</v>
      </c>
    </row>
    <row r="249" spans="1:8" x14ac:dyDescent="0.25">
      <c r="A249" s="63">
        <f t="shared" si="3"/>
        <v>44809</v>
      </c>
      <c r="B249">
        <v>933.04000000000008</v>
      </c>
      <c r="C249">
        <v>73.86</v>
      </c>
      <c r="D249">
        <v>404.12</v>
      </c>
      <c r="E249">
        <v>211.94</v>
      </c>
      <c r="F249">
        <v>86.34</v>
      </c>
      <c r="G249">
        <v>91.8</v>
      </c>
      <c r="H249">
        <v>64.98</v>
      </c>
    </row>
    <row r="250" spans="1:8" x14ac:dyDescent="0.25">
      <c r="A250" s="63">
        <f t="shared" si="3"/>
        <v>44810</v>
      </c>
      <c r="B250">
        <v>743.47</v>
      </c>
      <c r="C250">
        <v>57.43</v>
      </c>
      <c r="D250">
        <v>222</v>
      </c>
      <c r="E250">
        <v>196.76</v>
      </c>
      <c r="F250">
        <v>93.78</v>
      </c>
      <c r="G250">
        <v>105.38</v>
      </c>
      <c r="H250">
        <v>68.12</v>
      </c>
    </row>
    <row r="251" spans="1:8" x14ac:dyDescent="0.25">
      <c r="A251" s="63">
        <f t="shared" si="3"/>
        <v>44811</v>
      </c>
      <c r="B251">
        <v>696.7</v>
      </c>
      <c r="C251">
        <v>52.24</v>
      </c>
      <c r="D251">
        <v>260.66000000000003</v>
      </c>
      <c r="E251">
        <v>131.41</v>
      </c>
      <c r="F251">
        <v>83.67</v>
      </c>
      <c r="G251">
        <v>99.09</v>
      </c>
      <c r="H251">
        <v>69.63</v>
      </c>
    </row>
    <row r="252" spans="1:8" x14ac:dyDescent="0.25">
      <c r="A252" s="63">
        <f t="shared" si="3"/>
        <v>44812</v>
      </c>
      <c r="B252">
        <v>745.38999999999987</v>
      </c>
      <c r="C252">
        <v>19</v>
      </c>
      <c r="D252">
        <v>362.7</v>
      </c>
      <c r="E252">
        <v>126.31</v>
      </c>
      <c r="F252">
        <v>80.06</v>
      </c>
      <c r="G252">
        <v>90.3</v>
      </c>
      <c r="H252">
        <v>67.02</v>
      </c>
    </row>
    <row r="253" spans="1:8" x14ac:dyDescent="0.25">
      <c r="A253" s="63">
        <f t="shared" si="3"/>
        <v>44813</v>
      </c>
      <c r="B253">
        <v>642.4799999999999</v>
      </c>
      <c r="C253">
        <v>67.14</v>
      </c>
      <c r="D253">
        <v>198.14</v>
      </c>
      <c r="E253">
        <v>124.21</v>
      </c>
      <c r="F253">
        <v>90.06</v>
      </c>
      <c r="G253">
        <v>92.39</v>
      </c>
      <c r="H253">
        <v>70.540000000000006</v>
      </c>
    </row>
    <row r="254" spans="1:8" x14ac:dyDescent="0.25">
      <c r="A254" s="63">
        <f t="shared" si="3"/>
        <v>44814</v>
      </c>
      <c r="B254">
        <v>303.92</v>
      </c>
      <c r="C254">
        <v>50.59</v>
      </c>
      <c r="F254">
        <v>105.2</v>
      </c>
      <c r="G254">
        <v>79.64</v>
      </c>
      <c r="H254">
        <v>68.489999999999995</v>
      </c>
    </row>
    <row r="255" spans="1:8" x14ac:dyDescent="0.25">
      <c r="A255" s="63">
        <f t="shared" si="3"/>
        <v>44815</v>
      </c>
      <c r="B255">
        <v>346.11999999999995</v>
      </c>
      <c r="E255">
        <v>127.8</v>
      </c>
      <c r="F255">
        <v>90.86</v>
      </c>
      <c r="G255">
        <v>69.38</v>
      </c>
      <c r="H255">
        <v>58.08</v>
      </c>
    </row>
    <row r="256" spans="1:8" x14ac:dyDescent="0.25">
      <c r="A256" s="63">
        <f t="shared" si="3"/>
        <v>44816</v>
      </c>
      <c r="B256">
        <v>996.87999999999988</v>
      </c>
      <c r="C256">
        <v>62.96</v>
      </c>
      <c r="D256">
        <v>449.92</v>
      </c>
      <c r="E256">
        <v>229.4</v>
      </c>
      <c r="F256">
        <v>101.82</v>
      </c>
      <c r="G256">
        <v>83.63</v>
      </c>
      <c r="H256">
        <v>69.150000000000006</v>
      </c>
    </row>
    <row r="257" spans="1:8" x14ac:dyDescent="0.25">
      <c r="A257" s="63">
        <f t="shared" si="3"/>
        <v>44817</v>
      </c>
      <c r="B257">
        <v>949.08</v>
      </c>
      <c r="C257">
        <v>82.02</v>
      </c>
      <c r="D257">
        <v>380.22</v>
      </c>
      <c r="E257">
        <v>231.67</v>
      </c>
      <c r="F257">
        <v>95.36</v>
      </c>
      <c r="G257">
        <v>88.58</v>
      </c>
      <c r="H257">
        <v>71.23</v>
      </c>
    </row>
    <row r="258" spans="1:8" x14ac:dyDescent="0.25">
      <c r="A258" s="63">
        <f t="shared" si="3"/>
        <v>44818</v>
      </c>
      <c r="B258">
        <v>878.85</v>
      </c>
      <c r="C258">
        <v>74.11</v>
      </c>
      <c r="D258">
        <v>338.79</v>
      </c>
      <c r="E258">
        <v>235.37</v>
      </c>
      <c r="F258">
        <v>75.72</v>
      </c>
      <c r="G258">
        <v>84.4</v>
      </c>
      <c r="H258">
        <v>70.459999999999994</v>
      </c>
    </row>
    <row r="259" spans="1:8" x14ac:dyDescent="0.25">
      <c r="A259" s="63">
        <f t="shared" si="3"/>
        <v>44819</v>
      </c>
      <c r="B259">
        <v>844.18000000000006</v>
      </c>
      <c r="C259">
        <v>55.63</v>
      </c>
      <c r="D259">
        <v>332.33</v>
      </c>
      <c r="E259">
        <v>224.49</v>
      </c>
      <c r="F259">
        <v>85.63</v>
      </c>
      <c r="G259">
        <v>79.03</v>
      </c>
      <c r="H259">
        <v>67.069999999999993</v>
      </c>
    </row>
    <row r="260" spans="1:8" x14ac:dyDescent="0.25">
      <c r="A260" s="63">
        <f t="shared" ref="A260:A323" si="4">A259+1</f>
        <v>44820</v>
      </c>
      <c r="B260">
        <v>889.43999999999994</v>
      </c>
      <c r="C260">
        <v>69.69</v>
      </c>
      <c r="D260">
        <v>317.57</v>
      </c>
      <c r="E260">
        <v>244.38</v>
      </c>
      <c r="F260">
        <v>106.93</v>
      </c>
      <c r="G260">
        <v>81.89</v>
      </c>
      <c r="H260">
        <v>68.98</v>
      </c>
    </row>
    <row r="261" spans="1:8" x14ac:dyDescent="0.25">
      <c r="A261" s="63">
        <f t="shared" si="4"/>
        <v>44821</v>
      </c>
      <c r="B261">
        <v>477.86009999999999</v>
      </c>
      <c r="C261">
        <v>60.05</v>
      </c>
      <c r="D261">
        <v>185.53</v>
      </c>
      <c r="E261">
        <v>1E-4</v>
      </c>
      <c r="F261">
        <v>94.79</v>
      </c>
      <c r="G261">
        <v>69.36</v>
      </c>
      <c r="H261">
        <v>68.13</v>
      </c>
    </row>
    <row r="262" spans="1:8" x14ac:dyDescent="0.25">
      <c r="A262" s="63">
        <f t="shared" si="4"/>
        <v>44822</v>
      </c>
      <c r="B262">
        <v>406.48009999999999</v>
      </c>
      <c r="C262">
        <v>50.86</v>
      </c>
      <c r="D262">
        <v>1E-4</v>
      </c>
      <c r="E262">
        <v>125</v>
      </c>
      <c r="F262">
        <v>102.29</v>
      </c>
      <c r="G262">
        <v>59.27</v>
      </c>
      <c r="H262">
        <v>69.06</v>
      </c>
    </row>
    <row r="263" spans="1:8" x14ac:dyDescent="0.25">
      <c r="A263" s="63">
        <f t="shared" si="4"/>
        <v>44823</v>
      </c>
      <c r="B263">
        <v>973.75</v>
      </c>
      <c r="C263">
        <v>59.72</v>
      </c>
      <c r="D263">
        <v>446.15</v>
      </c>
      <c r="E263">
        <v>229.38</v>
      </c>
      <c r="F263">
        <v>106.28</v>
      </c>
      <c r="G263">
        <v>69.64</v>
      </c>
      <c r="H263">
        <v>62.58</v>
      </c>
    </row>
    <row r="264" spans="1:8" x14ac:dyDescent="0.25">
      <c r="A264" s="63">
        <f t="shared" si="4"/>
        <v>44824</v>
      </c>
      <c r="B264">
        <v>917.46</v>
      </c>
      <c r="C264">
        <v>55.25</v>
      </c>
      <c r="D264">
        <v>392.14</v>
      </c>
      <c r="E264">
        <v>199.12</v>
      </c>
      <c r="F264">
        <v>104.79</v>
      </c>
      <c r="G264">
        <v>98.85</v>
      </c>
      <c r="H264">
        <v>67.31</v>
      </c>
    </row>
    <row r="265" spans="1:8" x14ac:dyDescent="0.25">
      <c r="A265" s="63">
        <f t="shared" si="4"/>
        <v>44825</v>
      </c>
      <c r="B265">
        <v>919.17999999999984</v>
      </c>
      <c r="C265">
        <v>76.44</v>
      </c>
      <c r="D265">
        <v>405.64</v>
      </c>
      <c r="E265">
        <v>189.07</v>
      </c>
      <c r="F265">
        <v>99.05</v>
      </c>
      <c r="G265">
        <v>84.79</v>
      </c>
      <c r="H265">
        <v>64.19</v>
      </c>
    </row>
    <row r="266" spans="1:8" x14ac:dyDescent="0.25">
      <c r="A266" s="63">
        <f t="shared" si="4"/>
        <v>44826</v>
      </c>
      <c r="B266">
        <v>813.2</v>
      </c>
      <c r="C266">
        <v>45.45</v>
      </c>
      <c r="D266">
        <v>376.19</v>
      </c>
      <c r="E266">
        <v>175.23</v>
      </c>
      <c r="F266">
        <v>85.73</v>
      </c>
      <c r="G266">
        <v>70.83</v>
      </c>
      <c r="H266">
        <v>59.77</v>
      </c>
    </row>
    <row r="267" spans="1:8" x14ac:dyDescent="0.25">
      <c r="A267" s="63">
        <f t="shared" si="4"/>
        <v>44827</v>
      </c>
      <c r="B267">
        <v>873.95999999999981</v>
      </c>
      <c r="C267">
        <v>57.43</v>
      </c>
      <c r="D267">
        <v>334.51</v>
      </c>
      <c r="E267">
        <v>223.09</v>
      </c>
      <c r="F267">
        <v>99.06</v>
      </c>
      <c r="G267">
        <v>95.82</v>
      </c>
      <c r="H267">
        <v>64.05</v>
      </c>
    </row>
    <row r="268" spans="1:8" x14ac:dyDescent="0.25">
      <c r="A268" s="63">
        <f t="shared" si="4"/>
        <v>44828</v>
      </c>
      <c r="B268">
        <v>781.12</v>
      </c>
      <c r="C268">
        <v>60.91</v>
      </c>
      <c r="D268">
        <v>244.34</v>
      </c>
      <c r="E268">
        <v>219.42</v>
      </c>
      <c r="F268">
        <v>99.22</v>
      </c>
      <c r="G268">
        <v>93.72</v>
      </c>
      <c r="H268">
        <v>63.51</v>
      </c>
    </row>
    <row r="269" spans="1:8" x14ac:dyDescent="0.25">
      <c r="A269" s="63">
        <f t="shared" si="4"/>
        <v>44829</v>
      </c>
      <c r="B269">
        <v>550.34999999999991</v>
      </c>
      <c r="C269">
        <v>61.06</v>
      </c>
      <c r="D269">
        <v>84.22</v>
      </c>
      <c r="E269">
        <v>180.63</v>
      </c>
      <c r="F269">
        <v>92.4</v>
      </c>
      <c r="G269">
        <v>71.83</v>
      </c>
      <c r="H269">
        <v>60.21</v>
      </c>
    </row>
    <row r="270" spans="1:8" x14ac:dyDescent="0.25">
      <c r="A270" s="63">
        <f t="shared" si="4"/>
        <v>44830</v>
      </c>
      <c r="B270">
        <v>745.92000000000007</v>
      </c>
      <c r="C270">
        <v>39.71</v>
      </c>
      <c r="D270">
        <v>276.44</v>
      </c>
      <c r="E270">
        <v>181.97</v>
      </c>
      <c r="F270">
        <v>104.75</v>
      </c>
      <c r="G270">
        <v>84.74</v>
      </c>
      <c r="H270">
        <v>58.31</v>
      </c>
    </row>
    <row r="271" spans="1:8" x14ac:dyDescent="0.25">
      <c r="A271" s="63">
        <f t="shared" si="4"/>
        <v>44831</v>
      </c>
      <c r="B271">
        <v>706.29</v>
      </c>
      <c r="C271">
        <v>69.7</v>
      </c>
      <c r="D271">
        <v>316.58</v>
      </c>
      <c r="E271">
        <v>98.53</v>
      </c>
      <c r="F271">
        <v>91.42</v>
      </c>
      <c r="G271">
        <v>87.24</v>
      </c>
      <c r="H271">
        <v>42.82</v>
      </c>
    </row>
    <row r="272" spans="1:8" x14ac:dyDescent="0.25">
      <c r="A272" s="63">
        <f t="shared" si="4"/>
        <v>44832</v>
      </c>
      <c r="B272">
        <v>752.37</v>
      </c>
      <c r="C272">
        <v>80.23</v>
      </c>
      <c r="D272">
        <v>356.95</v>
      </c>
      <c r="E272">
        <v>157.6</v>
      </c>
      <c r="F272">
        <v>58.11</v>
      </c>
      <c r="G272">
        <v>65.069999999999993</v>
      </c>
      <c r="H272">
        <v>34.409999999999997</v>
      </c>
    </row>
    <row r="273" spans="1:8" x14ac:dyDescent="0.25">
      <c r="A273" s="63">
        <f t="shared" si="4"/>
        <v>44833</v>
      </c>
      <c r="B273">
        <v>634.72</v>
      </c>
      <c r="C273">
        <v>60.39</v>
      </c>
      <c r="D273">
        <v>310.38</v>
      </c>
      <c r="E273">
        <v>102.73</v>
      </c>
      <c r="F273">
        <v>55.7</v>
      </c>
      <c r="G273">
        <v>72.02</v>
      </c>
      <c r="H273">
        <v>33.5</v>
      </c>
    </row>
    <row r="274" spans="1:8" x14ac:dyDescent="0.25">
      <c r="A274" s="63">
        <f t="shared" si="4"/>
        <v>44834</v>
      </c>
      <c r="B274">
        <v>574.58999999999992</v>
      </c>
      <c r="C274">
        <v>48.53</v>
      </c>
      <c r="D274">
        <v>344.39</v>
      </c>
      <c r="F274">
        <v>61.75</v>
      </c>
      <c r="G274">
        <v>77.540000000000006</v>
      </c>
      <c r="H274">
        <v>42.38</v>
      </c>
    </row>
    <row r="275" spans="1:8" x14ac:dyDescent="0.25">
      <c r="A275" s="63">
        <f t="shared" si="4"/>
        <v>44835</v>
      </c>
      <c r="B275">
        <v>0</v>
      </c>
    </row>
    <row r="276" spans="1:8" x14ac:dyDescent="0.25">
      <c r="A276" s="63">
        <f t="shared" si="4"/>
        <v>44836</v>
      </c>
      <c r="B276">
        <v>0</v>
      </c>
    </row>
    <row r="277" spans="1:8" x14ac:dyDescent="0.25">
      <c r="A277" s="63">
        <f t="shared" si="4"/>
        <v>44837</v>
      </c>
      <c r="B277">
        <v>605.38</v>
      </c>
      <c r="C277">
        <v>72.599999999999994</v>
      </c>
      <c r="D277">
        <v>342.86</v>
      </c>
      <c r="E277">
        <v>1.36</v>
      </c>
      <c r="F277">
        <v>64.08</v>
      </c>
      <c r="G277">
        <v>84.1</v>
      </c>
      <c r="H277">
        <v>40.380000000000003</v>
      </c>
    </row>
    <row r="278" spans="1:8" x14ac:dyDescent="0.25">
      <c r="A278" s="63">
        <f t="shared" si="4"/>
        <v>44838</v>
      </c>
      <c r="B278">
        <v>791.23</v>
      </c>
      <c r="C278">
        <v>91.92</v>
      </c>
      <c r="D278">
        <v>305.27</v>
      </c>
      <c r="E278">
        <v>214.51</v>
      </c>
      <c r="F278">
        <v>60.38</v>
      </c>
      <c r="G278">
        <v>77.91</v>
      </c>
      <c r="H278">
        <v>41.24</v>
      </c>
    </row>
    <row r="279" spans="1:8" x14ac:dyDescent="0.25">
      <c r="A279" s="63">
        <f t="shared" si="4"/>
        <v>44839</v>
      </c>
      <c r="B279">
        <v>790.04000000000008</v>
      </c>
      <c r="C279">
        <v>77.569999999999993</v>
      </c>
      <c r="D279">
        <v>323.73</v>
      </c>
      <c r="E279">
        <v>203.3</v>
      </c>
      <c r="F279">
        <v>60.35</v>
      </c>
      <c r="G279">
        <v>63.85</v>
      </c>
      <c r="H279">
        <v>61.24</v>
      </c>
    </row>
    <row r="280" spans="1:8" x14ac:dyDescent="0.25">
      <c r="A280" s="63">
        <f t="shared" si="4"/>
        <v>44840</v>
      </c>
      <c r="B280">
        <v>812.58</v>
      </c>
      <c r="C280">
        <v>70.36</v>
      </c>
      <c r="D280">
        <v>299.82</v>
      </c>
      <c r="E280">
        <v>254.36</v>
      </c>
      <c r="F280">
        <v>63.19</v>
      </c>
      <c r="G280">
        <v>64.75</v>
      </c>
      <c r="H280">
        <v>60.1</v>
      </c>
    </row>
    <row r="281" spans="1:8" x14ac:dyDescent="0.25">
      <c r="A281" s="63">
        <f t="shared" si="4"/>
        <v>44841</v>
      </c>
      <c r="B281">
        <v>822.31</v>
      </c>
      <c r="C281">
        <v>54.39</v>
      </c>
      <c r="D281">
        <v>309.3</v>
      </c>
      <c r="E281">
        <v>243.58</v>
      </c>
      <c r="F281">
        <v>72.92</v>
      </c>
      <c r="G281">
        <v>81.290000000000006</v>
      </c>
      <c r="H281">
        <v>60.83</v>
      </c>
    </row>
    <row r="282" spans="1:8" x14ac:dyDescent="0.25">
      <c r="A282" s="63">
        <f t="shared" si="4"/>
        <v>44842</v>
      </c>
      <c r="B282">
        <v>710.34</v>
      </c>
      <c r="C282">
        <v>53.13</v>
      </c>
      <c r="D282">
        <v>215.29</v>
      </c>
      <c r="E282">
        <v>231.92</v>
      </c>
      <c r="F282">
        <v>79.290000000000006</v>
      </c>
      <c r="G282">
        <v>71.95</v>
      </c>
      <c r="H282">
        <v>58.76</v>
      </c>
    </row>
    <row r="283" spans="1:8" x14ac:dyDescent="0.25">
      <c r="A283" s="63">
        <f t="shared" si="4"/>
        <v>44843</v>
      </c>
      <c r="B283">
        <v>760.59</v>
      </c>
      <c r="C283">
        <v>53.38</v>
      </c>
      <c r="D283">
        <v>262.57</v>
      </c>
      <c r="E283">
        <v>211.68</v>
      </c>
      <c r="F283">
        <v>99.36</v>
      </c>
      <c r="G283">
        <v>74.989999999999995</v>
      </c>
      <c r="H283">
        <v>58.61</v>
      </c>
    </row>
    <row r="284" spans="1:8" x14ac:dyDescent="0.25">
      <c r="A284" s="63">
        <f t="shared" si="4"/>
        <v>44844</v>
      </c>
      <c r="B284">
        <v>778.12000000000012</v>
      </c>
      <c r="C284">
        <v>67.08</v>
      </c>
      <c r="D284">
        <v>277.47000000000003</v>
      </c>
      <c r="E284">
        <v>211.62</v>
      </c>
      <c r="F284">
        <v>86.66</v>
      </c>
      <c r="G284">
        <v>81.849999999999994</v>
      </c>
      <c r="H284">
        <v>53.44</v>
      </c>
    </row>
    <row r="285" spans="1:8" x14ac:dyDescent="0.25">
      <c r="A285" s="63">
        <f t="shared" si="4"/>
        <v>44845</v>
      </c>
      <c r="B285">
        <v>768.41000000000008</v>
      </c>
      <c r="C285">
        <v>53.78</v>
      </c>
      <c r="D285">
        <v>263.92</v>
      </c>
      <c r="E285">
        <v>224.62</v>
      </c>
      <c r="F285">
        <v>89.11</v>
      </c>
      <c r="G285">
        <v>79.38</v>
      </c>
      <c r="H285">
        <v>57.6</v>
      </c>
    </row>
    <row r="286" spans="1:8" x14ac:dyDescent="0.25">
      <c r="A286" s="63">
        <f t="shared" si="4"/>
        <v>44846</v>
      </c>
      <c r="B286">
        <v>636.77</v>
      </c>
      <c r="C286">
        <v>47.67</v>
      </c>
      <c r="D286">
        <v>241.64</v>
      </c>
      <c r="E286">
        <v>179.67</v>
      </c>
      <c r="F286">
        <v>65.02</v>
      </c>
      <c r="G286">
        <v>46.93</v>
      </c>
      <c r="H286">
        <v>55.84</v>
      </c>
    </row>
    <row r="287" spans="1:8" x14ac:dyDescent="0.25">
      <c r="A287" s="63">
        <f t="shared" si="4"/>
        <v>44847</v>
      </c>
      <c r="B287">
        <v>540.25</v>
      </c>
      <c r="C287">
        <v>36.340000000000003</v>
      </c>
      <c r="D287">
        <v>179.99</v>
      </c>
      <c r="E287">
        <v>148.79</v>
      </c>
      <c r="F287">
        <v>68.92</v>
      </c>
      <c r="G287">
        <v>40.98</v>
      </c>
      <c r="H287">
        <v>65.23</v>
      </c>
    </row>
    <row r="288" spans="1:8" x14ac:dyDescent="0.25">
      <c r="A288" s="63">
        <f t="shared" si="4"/>
        <v>44848</v>
      </c>
      <c r="B288">
        <v>616.11</v>
      </c>
      <c r="C288">
        <v>17.529999999999998</v>
      </c>
      <c r="D288">
        <v>257.14999999999998</v>
      </c>
      <c r="E288">
        <v>159.32</v>
      </c>
      <c r="F288">
        <v>66.900000000000006</v>
      </c>
      <c r="G288">
        <v>54.74</v>
      </c>
      <c r="H288">
        <v>60.47</v>
      </c>
    </row>
    <row r="289" spans="1:8" x14ac:dyDescent="0.25">
      <c r="A289" s="63">
        <f t="shared" si="4"/>
        <v>44849</v>
      </c>
      <c r="B289">
        <v>572.75999999999988</v>
      </c>
      <c r="C289">
        <v>39.57</v>
      </c>
      <c r="D289">
        <v>174.5</v>
      </c>
      <c r="E289">
        <v>153.47999999999999</v>
      </c>
      <c r="F289">
        <v>79.08</v>
      </c>
      <c r="G289">
        <v>71.959999999999994</v>
      </c>
      <c r="H289">
        <v>54.17</v>
      </c>
    </row>
    <row r="290" spans="1:8" x14ac:dyDescent="0.25">
      <c r="A290" s="63">
        <f t="shared" si="4"/>
        <v>44850</v>
      </c>
      <c r="B290">
        <v>624.02</v>
      </c>
      <c r="C290">
        <v>36.06</v>
      </c>
      <c r="D290">
        <v>245.19</v>
      </c>
      <c r="E290">
        <v>147.52000000000001</v>
      </c>
      <c r="F290">
        <v>74.39</v>
      </c>
      <c r="G290">
        <v>68.84</v>
      </c>
      <c r="H290">
        <v>52.02</v>
      </c>
    </row>
    <row r="291" spans="1:8" x14ac:dyDescent="0.25">
      <c r="A291" s="63">
        <f t="shared" si="4"/>
        <v>44851</v>
      </c>
      <c r="B291">
        <v>686.87</v>
      </c>
      <c r="C291">
        <v>43.13</v>
      </c>
      <c r="D291">
        <v>291.60000000000002</v>
      </c>
      <c r="E291">
        <v>156.66999999999999</v>
      </c>
      <c r="F291">
        <v>74.83</v>
      </c>
      <c r="G291">
        <v>68.64</v>
      </c>
      <c r="H291">
        <v>52</v>
      </c>
    </row>
    <row r="292" spans="1:8" x14ac:dyDescent="0.25">
      <c r="A292" s="63">
        <f t="shared" si="4"/>
        <v>44852</v>
      </c>
      <c r="B292">
        <v>662.38999999999987</v>
      </c>
      <c r="C292">
        <v>58.42</v>
      </c>
      <c r="D292">
        <v>317.02</v>
      </c>
      <c r="E292">
        <v>100.96</v>
      </c>
      <c r="F292">
        <v>69.55</v>
      </c>
      <c r="G292">
        <v>72.17</v>
      </c>
      <c r="H292">
        <v>44.27</v>
      </c>
    </row>
    <row r="293" spans="1:8" x14ac:dyDescent="0.25">
      <c r="A293" s="63">
        <f t="shared" si="4"/>
        <v>44853</v>
      </c>
      <c r="B293">
        <v>803.41</v>
      </c>
      <c r="C293">
        <v>66.680000000000007</v>
      </c>
      <c r="D293">
        <v>330.24</v>
      </c>
      <c r="E293">
        <v>200.73</v>
      </c>
      <c r="F293">
        <v>80.42</v>
      </c>
      <c r="G293">
        <v>78</v>
      </c>
      <c r="H293">
        <v>47.34</v>
      </c>
    </row>
    <row r="294" spans="1:8" x14ac:dyDescent="0.25">
      <c r="A294" s="63">
        <f t="shared" si="4"/>
        <v>44854</v>
      </c>
      <c r="B294">
        <v>744.5100000000001</v>
      </c>
      <c r="C294">
        <v>62.87</v>
      </c>
      <c r="D294">
        <v>270.11</v>
      </c>
      <c r="E294">
        <v>226.2</v>
      </c>
      <c r="F294">
        <v>64.099999999999994</v>
      </c>
      <c r="G294">
        <v>67.12</v>
      </c>
      <c r="H294">
        <v>54.11</v>
      </c>
    </row>
    <row r="295" spans="1:8" x14ac:dyDescent="0.25">
      <c r="A295" s="63">
        <f t="shared" si="4"/>
        <v>44855</v>
      </c>
      <c r="B295">
        <v>714.12</v>
      </c>
      <c r="C295">
        <v>58.98</v>
      </c>
      <c r="D295">
        <v>248.49</v>
      </c>
      <c r="E295">
        <v>200.49</v>
      </c>
      <c r="F295">
        <v>88.25</v>
      </c>
      <c r="G295">
        <v>63.16</v>
      </c>
      <c r="H295">
        <v>54.75</v>
      </c>
    </row>
    <row r="296" spans="1:8" x14ac:dyDescent="0.25">
      <c r="A296" s="63">
        <f t="shared" si="4"/>
        <v>44856</v>
      </c>
      <c r="B296">
        <v>754.05</v>
      </c>
      <c r="C296">
        <v>59.54</v>
      </c>
      <c r="D296">
        <v>262.76</v>
      </c>
      <c r="E296">
        <v>229.76</v>
      </c>
      <c r="F296">
        <v>82.97</v>
      </c>
      <c r="G296">
        <v>65.58</v>
      </c>
      <c r="H296">
        <v>53.44</v>
      </c>
    </row>
    <row r="297" spans="1:8" x14ac:dyDescent="0.25">
      <c r="A297" s="63">
        <f t="shared" si="4"/>
        <v>44857</v>
      </c>
      <c r="B297">
        <v>641.28000000000009</v>
      </c>
      <c r="C297">
        <v>69.16</v>
      </c>
      <c r="D297">
        <v>229.07</v>
      </c>
      <c r="E297">
        <v>214.59</v>
      </c>
      <c r="F297">
        <v>65.88</v>
      </c>
      <c r="G297">
        <v>62.58</v>
      </c>
    </row>
    <row r="298" spans="1:8" x14ac:dyDescent="0.25">
      <c r="A298" s="63">
        <f t="shared" si="4"/>
        <v>44858</v>
      </c>
      <c r="B298">
        <v>805.5200000000001</v>
      </c>
      <c r="C298">
        <v>65.58</v>
      </c>
      <c r="D298">
        <v>282.97000000000003</v>
      </c>
      <c r="E298">
        <v>221.88</v>
      </c>
      <c r="F298">
        <v>81.44</v>
      </c>
      <c r="G298">
        <v>95.38</v>
      </c>
      <c r="H298">
        <v>58.27</v>
      </c>
    </row>
    <row r="299" spans="1:8" x14ac:dyDescent="0.25">
      <c r="A299" s="63">
        <f t="shared" si="4"/>
        <v>44859</v>
      </c>
      <c r="B299">
        <v>839.66</v>
      </c>
      <c r="C299">
        <v>70.63</v>
      </c>
      <c r="D299">
        <v>337.02</v>
      </c>
      <c r="E299">
        <v>225.53</v>
      </c>
      <c r="F299">
        <v>64.94</v>
      </c>
      <c r="G299">
        <v>86.45</v>
      </c>
      <c r="H299">
        <v>55.09</v>
      </c>
    </row>
    <row r="300" spans="1:8" x14ac:dyDescent="0.25">
      <c r="A300" s="63">
        <f t="shared" si="4"/>
        <v>44860</v>
      </c>
      <c r="B300">
        <v>960.53000000000009</v>
      </c>
      <c r="C300">
        <v>61.05</v>
      </c>
      <c r="D300">
        <v>413.93</v>
      </c>
      <c r="E300">
        <v>251.51</v>
      </c>
      <c r="F300">
        <v>80.599999999999994</v>
      </c>
      <c r="G300">
        <v>93.74</v>
      </c>
      <c r="H300">
        <v>59.7</v>
      </c>
    </row>
    <row r="301" spans="1:8" x14ac:dyDescent="0.25">
      <c r="A301" s="63">
        <f t="shared" si="4"/>
        <v>44861</v>
      </c>
      <c r="B301">
        <v>943.37999999999988</v>
      </c>
      <c r="C301">
        <v>88.98</v>
      </c>
      <c r="D301">
        <v>365</v>
      </c>
      <c r="E301">
        <v>257.31</v>
      </c>
      <c r="F301">
        <v>71.41</v>
      </c>
      <c r="G301">
        <v>99.16</v>
      </c>
      <c r="H301">
        <v>61.52</v>
      </c>
    </row>
    <row r="302" spans="1:8" x14ac:dyDescent="0.25">
      <c r="A302" s="63">
        <f t="shared" si="4"/>
        <v>44862</v>
      </c>
      <c r="B302">
        <v>1048.8800000000001</v>
      </c>
      <c r="C302">
        <v>98</v>
      </c>
      <c r="D302">
        <v>442.67</v>
      </c>
      <c r="E302">
        <v>260.44</v>
      </c>
      <c r="F302">
        <v>87.95</v>
      </c>
      <c r="G302">
        <v>113.86</v>
      </c>
      <c r="H302">
        <v>45.96</v>
      </c>
    </row>
    <row r="303" spans="1:8" x14ac:dyDescent="0.25">
      <c r="A303" s="63">
        <f t="shared" si="4"/>
        <v>44863</v>
      </c>
      <c r="B303">
        <v>988.71999999999991</v>
      </c>
      <c r="C303">
        <v>79.47</v>
      </c>
      <c r="D303">
        <v>429.05</v>
      </c>
      <c r="E303">
        <v>243.02</v>
      </c>
      <c r="F303">
        <v>77.13</v>
      </c>
      <c r="G303">
        <v>111.54</v>
      </c>
      <c r="H303">
        <v>48.51</v>
      </c>
    </row>
    <row r="304" spans="1:8" x14ac:dyDescent="0.25">
      <c r="A304" s="63">
        <f t="shared" si="4"/>
        <v>44864</v>
      </c>
      <c r="B304">
        <v>965.43000000000006</v>
      </c>
      <c r="C304">
        <v>111</v>
      </c>
      <c r="D304">
        <v>384.66</v>
      </c>
      <c r="E304">
        <v>246.25</v>
      </c>
      <c r="F304">
        <v>74.67</v>
      </c>
      <c r="G304">
        <v>107.88</v>
      </c>
      <c r="H304">
        <v>40.97</v>
      </c>
    </row>
    <row r="305" spans="1:8" x14ac:dyDescent="0.25">
      <c r="A305" s="63">
        <f t="shared" si="4"/>
        <v>44865</v>
      </c>
      <c r="B305">
        <v>971.75000000000011</v>
      </c>
      <c r="C305">
        <v>108.05</v>
      </c>
      <c r="D305">
        <v>388.95</v>
      </c>
      <c r="E305">
        <v>264.67</v>
      </c>
      <c r="F305">
        <v>63.54</v>
      </c>
      <c r="G305">
        <v>104.69</v>
      </c>
      <c r="H305">
        <v>41.85</v>
      </c>
    </row>
    <row r="306" spans="1:8" x14ac:dyDescent="0.25">
      <c r="A306" s="63">
        <f t="shared" si="4"/>
        <v>44866</v>
      </c>
      <c r="B306">
        <v>857.7</v>
      </c>
      <c r="C306">
        <v>67</v>
      </c>
      <c r="D306">
        <v>374.23</v>
      </c>
      <c r="E306">
        <v>229.22</v>
      </c>
      <c r="F306">
        <v>68.010000000000005</v>
      </c>
      <c r="G306">
        <v>84.92</v>
      </c>
      <c r="H306">
        <v>34.32</v>
      </c>
    </row>
    <row r="307" spans="1:8" x14ac:dyDescent="0.25">
      <c r="A307" s="63">
        <f t="shared" si="4"/>
        <v>44867</v>
      </c>
      <c r="B307">
        <v>897.04</v>
      </c>
      <c r="C307">
        <v>77.7</v>
      </c>
      <c r="D307">
        <v>392.23</v>
      </c>
      <c r="E307">
        <v>223.53</v>
      </c>
      <c r="F307">
        <v>70.41</v>
      </c>
      <c r="G307">
        <v>98.42</v>
      </c>
      <c r="H307">
        <v>34.75</v>
      </c>
    </row>
    <row r="308" spans="1:8" x14ac:dyDescent="0.25">
      <c r="A308" s="63">
        <f t="shared" si="4"/>
        <v>44868</v>
      </c>
      <c r="B308">
        <v>931.68999999999994</v>
      </c>
      <c r="C308">
        <v>72.010000000000005</v>
      </c>
      <c r="D308">
        <v>403.28</v>
      </c>
      <c r="E308">
        <v>270.56</v>
      </c>
      <c r="F308">
        <v>65.510000000000005</v>
      </c>
      <c r="G308">
        <v>86.37</v>
      </c>
      <c r="H308">
        <v>33.96</v>
      </c>
    </row>
    <row r="309" spans="1:8" x14ac:dyDescent="0.25">
      <c r="A309" s="63">
        <f t="shared" si="4"/>
        <v>44869</v>
      </c>
      <c r="B309">
        <v>910.19</v>
      </c>
      <c r="C309">
        <v>95.4</v>
      </c>
      <c r="D309">
        <v>358.7</v>
      </c>
      <c r="E309">
        <v>256.04000000000002</v>
      </c>
      <c r="F309">
        <v>69.77</v>
      </c>
      <c r="G309">
        <v>90.05</v>
      </c>
      <c r="H309">
        <v>40.229999999999997</v>
      </c>
    </row>
    <row r="310" spans="1:8" x14ac:dyDescent="0.25">
      <c r="A310" s="63">
        <f t="shared" si="4"/>
        <v>44870</v>
      </c>
      <c r="B310">
        <v>882.92</v>
      </c>
      <c r="C310">
        <v>77.14</v>
      </c>
      <c r="D310">
        <v>375.88</v>
      </c>
      <c r="E310">
        <v>252.28</v>
      </c>
      <c r="F310">
        <v>62.78</v>
      </c>
      <c r="G310">
        <v>73.86</v>
      </c>
      <c r="H310">
        <v>40.98</v>
      </c>
    </row>
    <row r="311" spans="1:8" x14ac:dyDescent="0.25">
      <c r="A311" s="63">
        <f t="shared" si="4"/>
        <v>44871</v>
      </c>
      <c r="B311">
        <v>668.02</v>
      </c>
      <c r="C311">
        <v>67.5</v>
      </c>
      <c r="D311">
        <v>252.78</v>
      </c>
      <c r="E311">
        <v>175.44</v>
      </c>
      <c r="F311">
        <v>62.22</v>
      </c>
      <c r="G311">
        <v>69.099999999999994</v>
      </c>
      <c r="H311">
        <v>40.98</v>
      </c>
    </row>
    <row r="312" spans="1:8" x14ac:dyDescent="0.25">
      <c r="A312" s="63">
        <f t="shared" si="4"/>
        <v>44872</v>
      </c>
      <c r="B312">
        <v>851.35000000000014</v>
      </c>
      <c r="C312">
        <v>51.66</v>
      </c>
      <c r="D312">
        <v>343.06</v>
      </c>
      <c r="E312">
        <v>266.67</v>
      </c>
      <c r="F312">
        <v>64.39</v>
      </c>
      <c r="G312">
        <v>80.260000000000005</v>
      </c>
      <c r="H312">
        <v>45.31</v>
      </c>
    </row>
    <row r="313" spans="1:8" x14ac:dyDescent="0.25">
      <c r="A313" s="63">
        <f t="shared" si="4"/>
        <v>44873</v>
      </c>
      <c r="B313">
        <v>967.85</v>
      </c>
      <c r="C313">
        <v>88.36</v>
      </c>
      <c r="D313">
        <v>397.91</v>
      </c>
      <c r="E313">
        <v>269.56</v>
      </c>
      <c r="F313">
        <v>65.63</v>
      </c>
      <c r="G313">
        <v>102.47</v>
      </c>
      <c r="H313">
        <v>43.92</v>
      </c>
    </row>
    <row r="314" spans="1:8" x14ac:dyDescent="0.25">
      <c r="A314" s="63">
        <f t="shared" si="4"/>
        <v>44874</v>
      </c>
      <c r="B314">
        <v>957.89</v>
      </c>
      <c r="C314">
        <v>84.910000000000011</v>
      </c>
      <c r="D314">
        <v>412.46</v>
      </c>
      <c r="E314">
        <v>268.77999999999997</v>
      </c>
      <c r="F314">
        <v>60.49</v>
      </c>
      <c r="G314">
        <v>91.7</v>
      </c>
      <c r="H314">
        <v>39.549999999999997</v>
      </c>
    </row>
    <row r="315" spans="1:8" x14ac:dyDescent="0.25">
      <c r="A315" s="63">
        <f t="shared" si="4"/>
        <v>44875</v>
      </c>
      <c r="B315">
        <v>885.72</v>
      </c>
      <c r="C315">
        <v>48.88</v>
      </c>
      <c r="D315">
        <v>391.81</v>
      </c>
      <c r="E315">
        <v>254.26</v>
      </c>
      <c r="F315">
        <v>60.38</v>
      </c>
      <c r="G315">
        <v>89.46</v>
      </c>
      <c r="H315">
        <v>40.93</v>
      </c>
    </row>
    <row r="316" spans="1:8" x14ac:dyDescent="0.25">
      <c r="A316" s="63">
        <f t="shared" si="4"/>
        <v>44876</v>
      </c>
      <c r="B316">
        <v>867.66</v>
      </c>
      <c r="C316">
        <v>44.28</v>
      </c>
      <c r="D316">
        <v>362.77</v>
      </c>
      <c r="E316">
        <v>252.61</v>
      </c>
      <c r="F316">
        <v>71.849999999999994</v>
      </c>
      <c r="G316">
        <v>94.76</v>
      </c>
      <c r="H316">
        <v>41.39</v>
      </c>
    </row>
    <row r="317" spans="1:8" x14ac:dyDescent="0.25">
      <c r="A317" s="63">
        <f t="shared" si="4"/>
        <v>44877</v>
      </c>
      <c r="B317">
        <v>815.59</v>
      </c>
      <c r="C317">
        <v>77.8</v>
      </c>
      <c r="D317">
        <v>326.86</v>
      </c>
      <c r="E317">
        <v>264.26</v>
      </c>
      <c r="F317">
        <v>67.819999999999993</v>
      </c>
      <c r="G317">
        <v>78.849999999999994</v>
      </c>
    </row>
    <row r="318" spans="1:8" x14ac:dyDescent="0.25">
      <c r="A318" s="63">
        <f t="shared" si="4"/>
        <v>44878</v>
      </c>
      <c r="B318">
        <v>827.7299999999999</v>
      </c>
      <c r="C318">
        <v>79.489999999999995</v>
      </c>
      <c r="D318">
        <v>377.19</v>
      </c>
      <c r="E318">
        <v>241.36</v>
      </c>
      <c r="F318">
        <v>65.569999999999993</v>
      </c>
      <c r="G318">
        <v>64.12</v>
      </c>
    </row>
    <row r="319" spans="1:8" x14ac:dyDescent="0.25">
      <c r="A319" s="63">
        <f t="shared" si="4"/>
        <v>44879</v>
      </c>
      <c r="B319">
        <v>826.99</v>
      </c>
      <c r="C319">
        <v>55.81</v>
      </c>
      <c r="D319">
        <v>382</v>
      </c>
      <c r="E319">
        <v>170.23</v>
      </c>
      <c r="F319">
        <v>75.97</v>
      </c>
      <c r="G319">
        <v>97.76</v>
      </c>
      <c r="H319">
        <v>45.22</v>
      </c>
    </row>
    <row r="320" spans="1:8" x14ac:dyDescent="0.25">
      <c r="A320" s="63">
        <f t="shared" si="4"/>
        <v>44880</v>
      </c>
      <c r="B320">
        <v>959.43</v>
      </c>
      <c r="C320">
        <v>77.819999999999993</v>
      </c>
      <c r="D320">
        <v>399.59</v>
      </c>
      <c r="E320">
        <v>261.13</v>
      </c>
      <c r="F320">
        <v>80.55</v>
      </c>
      <c r="G320">
        <v>94.96</v>
      </c>
      <c r="H320">
        <v>45.38</v>
      </c>
    </row>
    <row r="321" spans="1:8" x14ac:dyDescent="0.25">
      <c r="A321" s="63">
        <f t="shared" si="4"/>
        <v>44881</v>
      </c>
      <c r="B321">
        <v>965.81999999999994</v>
      </c>
      <c r="C321">
        <v>90.58</v>
      </c>
      <c r="D321">
        <v>422.33</v>
      </c>
      <c r="E321">
        <v>226.19</v>
      </c>
      <c r="F321">
        <v>76.44</v>
      </c>
      <c r="G321">
        <v>101.74000000000001</v>
      </c>
      <c r="H321">
        <v>48.54</v>
      </c>
    </row>
    <row r="322" spans="1:8" x14ac:dyDescent="0.25">
      <c r="A322" s="63">
        <f t="shared" si="4"/>
        <v>44882</v>
      </c>
      <c r="B322">
        <v>901.04</v>
      </c>
      <c r="C322">
        <v>88.17</v>
      </c>
      <c r="D322">
        <v>358.77</v>
      </c>
      <c r="E322">
        <v>253.73</v>
      </c>
      <c r="F322">
        <v>66.91</v>
      </c>
      <c r="G322">
        <v>82.6</v>
      </c>
      <c r="H322">
        <v>50.86</v>
      </c>
    </row>
    <row r="323" spans="1:8" x14ac:dyDescent="0.25">
      <c r="A323" s="63">
        <f t="shared" si="4"/>
        <v>44883</v>
      </c>
      <c r="B323">
        <v>763.24</v>
      </c>
      <c r="C323">
        <v>78.5</v>
      </c>
      <c r="D323">
        <v>321.39999999999998</v>
      </c>
      <c r="E323">
        <v>150.37</v>
      </c>
      <c r="F323">
        <v>71.64</v>
      </c>
      <c r="G323">
        <v>87.86</v>
      </c>
      <c r="H323">
        <v>53.47</v>
      </c>
    </row>
    <row r="324" spans="1:8" x14ac:dyDescent="0.25">
      <c r="A324" s="63">
        <f t="shared" ref="A324:A366" si="5">A323+1</f>
        <v>44884</v>
      </c>
      <c r="B324">
        <v>791.69</v>
      </c>
      <c r="C324">
        <v>66.67</v>
      </c>
      <c r="D324">
        <v>323.16000000000003</v>
      </c>
      <c r="E324">
        <v>197.8</v>
      </c>
      <c r="F324">
        <v>75.319999999999993</v>
      </c>
      <c r="G324">
        <v>76.849999999999994</v>
      </c>
      <c r="H324">
        <v>51.89</v>
      </c>
    </row>
    <row r="325" spans="1:8" x14ac:dyDescent="0.25">
      <c r="A325" s="63">
        <f t="shared" si="5"/>
        <v>44885</v>
      </c>
      <c r="B325">
        <v>827.74</v>
      </c>
      <c r="C325">
        <v>73.7</v>
      </c>
      <c r="D325">
        <v>354.41</v>
      </c>
      <c r="E325">
        <v>207.48</v>
      </c>
      <c r="F325">
        <v>68.930000000000007</v>
      </c>
      <c r="G325">
        <v>75.02</v>
      </c>
      <c r="H325">
        <v>48.2</v>
      </c>
    </row>
    <row r="326" spans="1:8" x14ac:dyDescent="0.25">
      <c r="A326" s="63">
        <f t="shared" si="5"/>
        <v>44886</v>
      </c>
      <c r="B326">
        <v>851.93</v>
      </c>
      <c r="C326">
        <v>88.87</v>
      </c>
      <c r="D326">
        <v>331.24</v>
      </c>
      <c r="E326">
        <v>221.53</v>
      </c>
      <c r="F326">
        <v>67.78</v>
      </c>
      <c r="G326">
        <v>98.15</v>
      </c>
      <c r="H326">
        <v>44.36</v>
      </c>
    </row>
    <row r="327" spans="1:8" x14ac:dyDescent="0.25">
      <c r="A327" s="63">
        <f t="shared" si="5"/>
        <v>44887</v>
      </c>
      <c r="B327">
        <v>934.83</v>
      </c>
      <c r="C327">
        <v>58.14</v>
      </c>
      <c r="D327">
        <v>420.34</v>
      </c>
      <c r="E327">
        <v>236.16</v>
      </c>
      <c r="F327">
        <v>71.819999999999993</v>
      </c>
      <c r="G327">
        <v>102.22</v>
      </c>
      <c r="H327">
        <v>46.15</v>
      </c>
    </row>
    <row r="328" spans="1:8" x14ac:dyDescent="0.25">
      <c r="A328" s="63">
        <f t="shared" si="5"/>
        <v>44888</v>
      </c>
      <c r="B328">
        <v>918.71</v>
      </c>
      <c r="C328">
        <v>70.47</v>
      </c>
      <c r="D328">
        <v>389.67</v>
      </c>
      <c r="E328">
        <v>228.15</v>
      </c>
      <c r="F328">
        <v>74.02</v>
      </c>
      <c r="G328">
        <v>104.44</v>
      </c>
      <c r="H328">
        <v>51.96</v>
      </c>
    </row>
    <row r="329" spans="1:8" x14ac:dyDescent="0.25">
      <c r="A329" s="63">
        <f t="shared" si="5"/>
        <v>44889</v>
      </c>
      <c r="B329">
        <v>953.06000000000006</v>
      </c>
      <c r="C329">
        <v>95.22</v>
      </c>
      <c r="D329">
        <v>399.86</v>
      </c>
      <c r="E329">
        <v>245.25</v>
      </c>
      <c r="F329">
        <v>71.81</v>
      </c>
      <c r="G329">
        <v>93.04</v>
      </c>
      <c r="H329">
        <v>47.88</v>
      </c>
    </row>
    <row r="330" spans="1:8" x14ac:dyDescent="0.25">
      <c r="A330" s="63">
        <f t="shared" si="5"/>
        <v>44890</v>
      </c>
      <c r="B330">
        <v>899.85</v>
      </c>
      <c r="C330">
        <v>68.8</v>
      </c>
      <c r="D330">
        <v>347.6</v>
      </c>
      <c r="E330">
        <v>268.83000000000004</v>
      </c>
      <c r="F330">
        <v>77.72</v>
      </c>
      <c r="G330">
        <v>97.53</v>
      </c>
      <c r="H330">
        <v>39.369999999999997</v>
      </c>
    </row>
    <row r="331" spans="1:8" x14ac:dyDescent="0.25">
      <c r="A331" s="63">
        <f t="shared" si="5"/>
        <v>44891</v>
      </c>
      <c r="B331">
        <v>824.5200000000001</v>
      </c>
      <c r="C331">
        <v>51.12</v>
      </c>
      <c r="D331">
        <v>346.68</v>
      </c>
      <c r="E331">
        <v>217.9</v>
      </c>
      <c r="F331">
        <v>70.19</v>
      </c>
      <c r="G331">
        <v>101.71</v>
      </c>
      <c r="H331">
        <v>36.92</v>
      </c>
    </row>
    <row r="332" spans="1:8" x14ac:dyDescent="0.25">
      <c r="A332" s="63">
        <f t="shared" si="5"/>
        <v>44892</v>
      </c>
      <c r="B332">
        <v>706.60000000000014</v>
      </c>
      <c r="C332">
        <v>55.1</v>
      </c>
      <c r="D332">
        <v>287.41000000000003</v>
      </c>
      <c r="E332">
        <v>212.16</v>
      </c>
      <c r="F332">
        <v>68.11</v>
      </c>
      <c r="G332">
        <v>83.82</v>
      </c>
    </row>
    <row r="333" spans="1:8" x14ac:dyDescent="0.25">
      <c r="A333" s="63">
        <f t="shared" si="5"/>
        <v>44893</v>
      </c>
      <c r="B333">
        <v>899.53</v>
      </c>
      <c r="C333">
        <v>59.24</v>
      </c>
      <c r="D333">
        <v>379.64</v>
      </c>
      <c r="E333">
        <v>259.16000000000003</v>
      </c>
      <c r="F333">
        <v>72.97</v>
      </c>
      <c r="G333">
        <v>93.06</v>
      </c>
      <c r="H333">
        <v>35.46</v>
      </c>
    </row>
    <row r="334" spans="1:8" x14ac:dyDescent="0.25">
      <c r="A334" s="63">
        <f t="shared" si="5"/>
        <v>44894</v>
      </c>
      <c r="B334">
        <v>926.24</v>
      </c>
      <c r="C334">
        <v>64.760000000000005</v>
      </c>
      <c r="D334">
        <v>379.98</v>
      </c>
      <c r="E334">
        <v>269.48</v>
      </c>
      <c r="F334">
        <v>71.56</v>
      </c>
      <c r="G334">
        <v>93.18</v>
      </c>
      <c r="H334">
        <v>47.28</v>
      </c>
    </row>
    <row r="335" spans="1:8" x14ac:dyDescent="0.25">
      <c r="A335" s="63">
        <f t="shared" si="5"/>
        <v>44895</v>
      </c>
      <c r="B335">
        <v>938.23000000000013</v>
      </c>
      <c r="C335">
        <v>69.72</v>
      </c>
      <c r="D335">
        <v>395.9</v>
      </c>
      <c r="E335">
        <v>263.3</v>
      </c>
      <c r="F335">
        <v>70.08</v>
      </c>
      <c r="G335">
        <v>95.65</v>
      </c>
      <c r="H335">
        <v>43.58</v>
      </c>
    </row>
    <row r="336" spans="1:8" x14ac:dyDescent="0.25">
      <c r="A336" s="63">
        <f t="shared" si="5"/>
        <v>44896</v>
      </c>
      <c r="B336">
        <v>919.31000000000017</v>
      </c>
      <c r="C336">
        <v>61.57</v>
      </c>
      <c r="D336">
        <v>400.92</v>
      </c>
      <c r="E336">
        <v>256.35000000000002</v>
      </c>
      <c r="F336">
        <v>68.209999999999994</v>
      </c>
      <c r="G336">
        <v>84.82</v>
      </c>
      <c r="H336">
        <v>47.44</v>
      </c>
    </row>
    <row r="337" spans="1:8" x14ac:dyDescent="0.25">
      <c r="A337" s="63">
        <f t="shared" si="5"/>
        <v>44897</v>
      </c>
      <c r="B337">
        <v>965.06000000000006</v>
      </c>
      <c r="C337">
        <v>78.86</v>
      </c>
      <c r="D337">
        <v>375.64</v>
      </c>
      <c r="E337">
        <v>266.43</v>
      </c>
      <c r="F337">
        <v>86.11</v>
      </c>
      <c r="G337">
        <v>93.52</v>
      </c>
      <c r="H337">
        <v>64.5</v>
      </c>
    </row>
    <row r="338" spans="1:8" x14ac:dyDescent="0.25">
      <c r="A338" s="63">
        <f t="shared" si="5"/>
        <v>44898</v>
      </c>
      <c r="B338">
        <v>884.15000000000009</v>
      </c>
      <c r="C338">
        <v>78.2</v>
      </c>
      <c r="D338">
        <v>312.12</v>
      </c>
      <c r="E338">
        <v>270.87</v>
      </c>
      <c r="F338">
        <v>81.239999999999995</v>
      </c>
      <c r="G338">
        <v>79.64</v>
      </c>
      <c r="H338">
        <v>62.08</v>
      </c>
    </row>
    <row r="339" spans="1:8" x14ac:dyDescent="0.25">
      <c r="A339" s="63">
        <f t="shared" si="5"/>
        <v>44899</v>
      </c>
      <c r="B339">
        <v>914.56</v>
      </c>
      <c r="C339">
        <v>72.02</v>
      </c>
      <c r="D339">
        <v>357.78</v>
      </c>
      <c r="E339">
        <v>269.37</v>
      </c>
      <c r="F339">
        <v>82.15</v>
      </c>
      <c r="G339">
        <v>70.52</v>
      </c>
      <c r="H339">
        <v>62.72</v>
      </c>
    </row>
    <row r="340" spans="1:8" x14ac:dyDescent="0.25">
      <c r="A340" s="63">
        <f t="shared" si="5"/>
        <v>44900</v>
      </c>
      <c r="B340">
        <v>950.96999999999991</v>
      </c>
      <c r="C340">
        <v>73.89</v>
      </c>
      <c r="D340">
        <v>376.96</v>
      </c>
      <c r="E340">
        <v>263.04000000000002</v>
      </c>
      <c r="F340">
        <v>83.17</v>
      </c>
      <c r="G340">
        <v>93</v>
      </c>
      <c r="H340">
        <v>60.91</v>
      </c>
    </row>
    <row r="341" spans="1:8" x14ac:dyDescent="0.25">
      <c r="A341" s="63">
        <f t="shared" si="5"/>
        <v>44901</v>
      </c>
      <c r="B341">
        <v>876.4799999999999</v>
      </c>
      <c r="C341">
        <v>65.489999999999995</v>
      </c>
      <c r="D341">
        <v>324.95999999999998</v>
      </c>
      <c r="E341">
        <v>266.55</v>
      </c>
      <c r="F341">
        <v>77.14</v>
      </c>
      <c r="G341">
        <v>90.43</v>
      </c>
      <c r="H341">
        <v>51.91</v>
      </c>
    </row>
    <row r="342" spans="1:8" x14ac:dyDescent="0.25">
      <c r="A342" s="63">
        <f t="shared" si="5"/>
        <v>44902</v>
      </c>
      <c r="B342">
        <v>891.96</v>
      </c>
      <c r="C342">
        <v>78.680000000000007</v>
      </c>
      <c r="D342">
        <v>364.61</v>
      </c>
      <c r="E342">
        <v>239.21</v>
      </c>
      <c r="F342">
        <v>72.260000000000005</v>
      </c>
      <c r="G342">
        <v>94.39</v>
      </c>
      <c r="H342">
        <v>42.81</v>
      </c>
    </row>
    <row r="343" spans="1:8" x14ac:dyDescent="0.25">
      <c r="A343" s="63">
        <f t="shared" si="5"/>
        <v>44903</v>
      </c>
      <c r="B343">
        <v>803.45999999999992</v>
      </c>
      <c r="C343">
        <v>62.38</v>
      </c>
      <c r="D343">
        <v>340.85</v>
      </c>
      <c r="E343">
        <v>200.03</v>
      </c>
      <c r="F343">
        <v>71.260000000000005</v>
      </c>
      <c r="G343">
        <v>83.42</v>
      </c>
      <c r="H343">
        <v>45.52</v>
      </c>
    </row>
    <row r="344" spans="1:8" x14ac:dyDescent="0.25">
      <c r="A344" s="63">
        <f t="shared" si="5"/>
        <v>44904</v>
      </c>
      <c r="B344">
        <v>789.25</v>
      </c>
      <c r="C344">
        <v>68.099999999999994</v>
      </c>
      <c r="D344">
        <v>311.37</v>
      </c>
      <c r="E344">
        <v>207.34</v>
      </c>
      <c r="F344">
        <v>84.55</v>
      </c>
      <c r="G344">
        <v>79.17</v>
      </c>
      <c r="H344">
        <v>38.72</v>
      </c>
    </row>
    <row r="345" spans="1:8" x14ac:dyDescent="0.25">
      <c r="A345" s="63">
        <f t="shared" si="5"/>
        <v>44905</v>
      </c>
      <c r="B345">
        <v>756.8900000000001</v>
      </c>
      <c r="C345">
        <v>94.98</v>
      </c>
      <c r="D345">
        <v>265.70999999999998</v>
      </c>
      <c r="E345">
        <v>202.31</v>
      </c>
      <c r="F345">
        <v>80.599999999999994</v>
      </c>
      <c r="G345">
        <v>74.569999999999993</v>
      </c>
      <c r="H345">
        <v>38.72</v>
      </c>
    </row>
    <row r="346" spans="1:8" x14ac:dyDescent="0.25">
      <c r="A346" s="63">
        <f t="shared" si="5"/>
        <v>44906</v>
      </c>
      <c r="B346">
        <v>725.37</v>
      </c>
      <c r="C346">
        <v>57.39</v>
      </c>
      <c r="D346">
        <v>306.44</v>
      </c>
      <c r="E346">
        <v>211.22</v>
      </c>
      <c r="F346">
        <v>67.36</v>
      </c>
      <c r="G346">
        <v>82.96</v>
      </c>
    </row>
    <row r="347" spans="1:8" x14ac:dyDescent="0.25">
      <c r="A347" s="63">
        <f t="shared" si="5"/>
        <v>44907</v>
      </c>
      <c r="B347">
        <v>861.83</v>
      </c>
      <c r="C347">
        <v>76.53</v>
      </c>
      <c r="D347">
        <v>361.1</v>
      </c>
      <c r="E347">
        <v>212.54</v>
      </c>
      <c r="F347">
        <v>64.56</v>
      </c>
      <c r="G347">
        <v>104.09</v>
      </c>
      <c r="H347">
        <v>43.01</v>
      </c>
    </row>
    <row r="348" spans="1:8" x14ac:dyDescent="0.25">
      <c r="A348" s="63">
        <f t="shared" si="5"/>
        <v>44908</v>
      </c>
      <c r="B348">
        <v>820.05</v>
      </c>
      <c r="C348">
        <v>59.6</v>
      </c>
      <c r="D348">
        <v>311</v>
      </c>
      <c r="E348">
        <v>214.23</v>
      </c>
      <c r="F348">
        <v>79.14</v>
      </c>
      <c r="G348">
        <v>92.77</v>
      </c>
      <c r="H348">
        <v>63.31</v>
      </c>
    </row>
    <row r="349" spans="1:8" x14ac:dyDescent="0.25">
      <c r="A349" s="63">
        <f t="shared" si="5"/>
        <v>44909</v>
      </c>
      <c r="B349">
        <v>826.66000000000008</v>
      </c>
      <c r="C349">
        <v>72.739999999999995</v>
      </c>
      <c r="D349">
        <v>318.76</v>
      </c>
      <c r="E349">
        <v>204.45</v>
      </c>
      <c r="F349">
        <v>76.19</v>
      </c>
      <c r="G349">
        <v>91.01</v>
      </c>
      <c r="H349">
        <v>63.51</v>
      </c>
    </row>
    <row r="350" spans="1:8" x14ac:dyDescent="0.25">
      <c r="A350" s="63">
        <f t="shared" si="5"/>
        <v>44910</v>
      </c>
      <c r="B350">
        <v>794.75000000000011</v>
      </c>
      <c r="C350">
        <v>67.61</v>
      </c>
      <c r="D350">
        <v>296.38</v>
      </c>
      <c r="E350">
        <v>205.13</v>
      </c>
      <c r="F350">
        <v>81.569999999999993</v>
      </c>
      <c r="G350">
        <v>78.94</v>
      </c>
      <c r="H350">
        <v>65.12</v>
      </c>
    </row>
    <row r="351" spans="1:8" x14ac:dyDescent="0.25">
      <c r="A351" s="63">
        <f t="shared" si="5"/>
        <v>44911</v>
      </c>
      <c r="B351">
        <v>822.76</v>
      </c>
      <c r="C351">
        <v>49.47</v>
      </c>
      <c r="D351">
        <v>325.27999999999997</v>
      </c>
      <c r="E351">
        <v>224.08</v>
      </c>
      <c r="F351">
        <v>69.77</v>
      </c>
      <c r="G351">
        <v>87.86</v>
      </c>
      <c r="H351">
        <v>66.3</v>
      </c>
    </row>
    <row r="352" spans="1:8" x14ac:dyDescent="0.25">
      <c r="A352" s="63">
        <f t="shared" si="5"/>
        <v>44912</v>
      </c>
      <c r="B352">
        <v>818.14</v>
      </c>
      <c r="C352">
        <v>67.599999999999994</v>
      </c>
      <c r="D352">
        <v>323.44</v>
      </c>
      <c r="E352">
        <v>206.11</v>
      </c>
      <c r="F352">
        <v>72.239999999999995</v>
      </c>
      <c r="G352">
        <v>86.38</v>
      </c>
      <c r="H352">
        <v>62.37</v>
      </c>
    </row>
    <row r="353" spans="1:8" x14ac:dyDescent="0.25">
      <c r="A353" s="63">
        <f t="shared" si="5"/>
        <v>44913</v>
      </c>
      <c r="B353">
        <v>871.5300000000002</v>
      </c>
      <c r="C353">
        <v>90.31</v>
      </c>
      <c r="D353">
        <v>356.62</v>
      </c>
      <c r="E353">
        <v>211.77</v>
      </c>
      <c r="F353">
        <v>65.209999999999994</v>
      </c>
      <c r="G353">
        <v>85.43</v>
      </c>
      <c r="H353">
        <v>62.19</v>
      </c>
    </row>
    <row r="354" spans="1:8" x14ac:dyDescent="0.25">
      <c r="A354" s="63">
        <f t="shared" si="5"/>
        <v>44914</v>
      </c>
      <c r="B354">
        <v>911.29</v>
      </c>
      <c r="C354">
        <v>88.12</v>
      </c>
      <c r="D354">
        <v>355.77</v>
      </c>
      <c r="E354">
        <v>246.91</v>
      </c>
      <c r="F354">
        <v>67.760000000000005</v>
      </c>
      <c r="G354">
        <v>86.83</v>
      </c>
      <c r="H354">
        <v>65.900000000000006</v>
      </c>
    </row>
    <row r="355" spans="1:8" x14ac:dyDescent="0.25">
      <c r="A355" s="63">
        <f t="shared" si="5"/>
        <v>44915</v>
      </c>
      <c r="B355">
        <v>850.12</v>
      </c>
      <c r="C355">
        <v>66.64</v>
      </c>
      <c r="D355">
        <v>341.37</v>
      </c>
      <c r="E355">
        <v>209.18</v>
      </c>
      <c r="F355">
        <v>86.11</v>
      </c>
      <c r="G355">
        <v>82.41</v>
      </c>
      <c r="H355">
        <v>64.41</v>
      </c>
    </row>
    <row r="356" spans="1:8" x14ac:dyDescent="0.25">
      <c r="A356" s="63">
        <f t="shared" si="5"/>
        <v>44916</v>
      </c>
      <c r="B356">
        <v>845.65</v>
      </c>
      <c r="C356">
        <v>50.84</v>
      </c>
      <c r="D356">
        <v>341.46</v>
      </c>
      <c r="E356">
        <v>216.73</v>
      </c>
      <c r="F356">
        <v>85.34</v>
      </c>
      <c r="G356">
        <v>87.65</v>
      </c>
      <c r="H356">
        <v>63.63</v>
      </c>
    </row>
    <row r="357" spans="1:8" x14ac:dyDescent="0.25">
      <c r="A357" s="63">
        <f t="shared" si="5"/>
        <v>44917</v>
      </c>
      <c r="B357">
        <v>866.69999999999993</v>
      </c>
      <c r="C357">
        <v>88.78</v>
      </c>
      <c r="D357">
        <v>344.44</v>
      </c>
      <c r="E357">
        <v>212.25</v>
      </c>
      <c r="F357">
        <v>69.63</v>
      </c>
      <c r="G357">
        <v>88.94</v>
      </c>
      <c r="H357">
        <v>62.66</v>
      </c>
    </row>
    <row r="358" spans="1:8" x14ac:dyDescent="0.25">
      <c r="A358" s="63">
        <f t="shared" si="5"/>
        <v>44918</v>
      </c>
      <c r="B358">
        <v>831.88</v>
      </c>
      <c r="C358">
        <v>58.14</v>
      </c>
      <c r="D358">
        <v>301.13</v>
      </c>
      <c r="E358">
        <v>232.37</v>
      </c>
      <c r="F358">
        <v>83.5</v>
      </c>
      <c r="G358">
        <v>87.86</v>
      </c>
      <c r="H358">
        <v>68.88</v>
      </c>
    </row>
    <row r="359" spans="1:8" x14ac:dyDescent="0.25">
      <c r="A359" s="63">
        <f t="shared" si="5"/>
        <v>44919</v>
      </c>
      <c r="B359">
        <v>796.03999999999985</v>
      </c>
      <c r="C359">
        <v>49.77</v>
      </c>
      <c r="D359">
        <v>271.77999999999997</v>
      </c>
      <c r="E359">
        <v>253.57</v>
      </c>
      <c r="F359">
        <v>83.54</v>
      </c>
      <c r="G359">
        <v>72.3</v>
      </c>
      <c r="H359">
        <v>65.08</v>
      </c>
    </row>
    <row r="360" spans="1:8" x14ac:dyDescent="0.25">
      <c r="A360" s="63">
        <f t="shared" si="5"/>
        <v>44920</v>
      </c>
      <c r="B360">
        <v>617.39</v>
      </c>
      <c r="C360">
        <v>55.26</v>
      </c>
      <c r="D360">
        <v>134.58000000000001</v>
      </c>
      <c r="E360">
        <v>230.06</v>
      </c>
      <c r="F360">
        <v>64.150000000000006</v>
      </c>
      <c r="G360">
        <v>69.52</v>
      </c>
      <c r="H360">
        <v>63.82</v>
      </c>
    </row>
    <row r="361" spans="1:8" x14ac:dyDescent="0.25">
      <c r="A361" s="63">
        <f t="shared" si="5"/>
        <v>44921</v>
      </c>
      <c r="B361">
        <v>833.31999999999994</v>
      </c>
      <c r="C361">
        <v>67.28</v>
      </c>
      <c r="D361">
        <v>299.3</v>
      </c>
      <c r="E361">
        <v>245.67</v>
      </c>
      <c r="F361">
        <v>62.65</v>
      </c>
      <c r="G361">
        <v>86.67</v>
      </c>
      <c r="H361">
        <v>71.75</v>
      </c>
    </row>
    <row r="362" spans="1:8" x14ac:dyDescent="0.25">
      <c r="A362" s="63">
        <f t="shared" si="5"/>
        <v>44922</v>
      </c>
      <c r="B362">
        <v>812.82999999999993</v>
      </c>
      <c r="C362">
        <v>70.760000000000005</v>
      </c>
      <c r="D362">
        <v>255.36</v>
      </c>
      <c r="E362">
        <v>259.70999999999998</v>
      </c>
      <c r="F362">
        <v>73.86</v>
      </c>
      <c r="G362">
        <v>83.34</v>
      </c>
      <c r="H362">
        <v>69.8</v>
      </c>
    </row>
    <row r="363" spans="1:8" x14ac:dyDescent="0.25">
      <c r="A363" s="63">
        <f t="shared" si="5"/>
        <v>44923</v>
      </c>
      <c r="B363">
        <v>566.93999999999994</v>
      </c>
      <c r="C363">
        <v>41.01</v>
      </c>
      <c r="D363">
        <v>190.75</v>
      </c>
      <c r="E363">
        <v>112.21</v>
      </c>
      <c r="F363">
        <v>71.849999999999994</v>
      </c>
      <c r="G363">
        <v>85.1</v>
      </c>
      <c r="H363">
        <v>66.02</v>
      </c>
    </row>
    <row r="364" spans="1:8" x14ac:dyDescent="0.25">
      <c r="A364" s="63">
        <f t="shared" si="5"/>
        <v>44924</v>
      </c>
      <c r="B364">
        <v>138.16</v>
      </c>
      <c r="C364">
        <v>6.94</v>
      </c>
      <c r="F364">
        <v>38.26</v>
      </c>
      <c r="G364">
        <v>53.93</v>
      </c>
      <c r="H364">
        <v>39.03</v>
      </c>
    </row>
    <row r="365" spans="1:8" x14ac:dyDescent="0.25">
      <c r="A365" s="63">
        <f t="shared" si="5"/>
        <v>44925</v>
      </c>
      <c r="B365">
        <v>0</v>
      </c>
    </row>
    <row r="366" spans="1:8" x14ac:dyDescent="0.25">
      <c r="A366" s="63">
        <f t="shared" si="5"/>
        <v>44926</v>
      </c>
      <c r="B366">
        <v>0</v>
      </c>
    </row>
    <row r="367" spans="1:8" x14ac:dyDescent="0.25">
      <c r="A367" s="63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7"/>
  <sheetViews>
    <sheetView workbookViewId="0"/>
  </sheetViews>
  <sheetFormatPr defaultRowHeight="15" x14ac:dyDescent="0.25"/>
  <cols>
    <col min="1" max="1" width="10.140625" bestFit="1" customWidth="1"/>
  </cols>
  <sheetData>
    <row r="1" spans="1:8" x14ac:dyDescent="0.25">
      <c r="A1" t="s">
        <v>42</v>
      </c>
      <c r="B1" t="s">
        <v>41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</row>
    <row r="2" spans="1:8" x14ac:dyDescent="0.25">
      <c r="A2" s="63">
        <v>44927</v>
      </c>
      <c r="B2">
        <v>0</v>
      </c>
    </row>
    <row r="3" spans="1:8" x14ac:dyDescent="0.25">
      <c r="A3" s="63">
        <f>A2+1</f>
        <v>44928</v>
      </c>
      <c r="B3">
        <v>0</v>
      </c>
    </row>
    <row r="4" spans="1:8" x14ac:dyDescent="0.25">
      <c r="A4" s="63">
        <f t="shared" ref="A4:A67" si="0">A3+1</f>
        <v>44929</v>
      </c>
      <c r="B4">
        <v>0</v>
      </c>
    </row>
    <row r="5" spans="1:8" x14ac:dyDescent="0.25">
      <c r="A5" s="63">
        <f t="shared" si="0"/>
        <v>44930</v>
      </c>
      <c r="B5">
        <v>0</v>
      </c>
    </row>
    <row r="6" spans="1:8" x14ac:dyDescent="0.25">
      <c r="A6" s="63">
        <f t="shared" si="0"/>
        <v>44931</v>
      </c>
      <c r="B6">
        <v>0</v>
      </c>
    </row>
    <row r="7" spans="1:8" x14ac:dyDescent="0.25">
      <c r="A7" s="63">
        <f t="shared" si="0"/>
        <v>44932</v>
      </c>
      <c r="B7">
        <v>0</v>
      </c>
    </row>
    <row r="8" spans="1:8" x14ac:dyDescent="0.25">
      <c r="A8" s="63">
        <f t="shared" si="0"/>
        <v>44933</v>
      </c>
      <c r="B8">
        <v>0</v>
      </c>
    </row>
    <row r="9" spans="1:8" x14ac:dyDescent="0.25">
      <c r="A9" s="63">
        <f t="shared" si="0"/>
        <v>44934</v>
      </c>
      <c r="B9">
        <v>394.20000000000005</v>
      </c>
      <c r="C9">
        <v>33.53</v>
      </c>
      <c r="E9">
        <v>179.72</v>
      </c>
      <c r="F9">
        <v>77.540000000000006</v>
      </c>
      <c r="G9">
        <v>43.41</v>
      </c>
      <c r="H9">
        <v>60</v>
      </c>
    </row>
    <row r="10" spans="1:8" x14ac:dyDescent="0.25">
      <c r="A10" s="63">
        <f t="shared" si="0"/>
        <v>44935</v>
      </c>
      <c r="B10">
        <v>550.36</v>
      </c>
      <c r="C10">
        <v>33.15</v>
      </c>
      <c r="D10">
        <v>185.01</v>
      </c>
      <c r="E10">
        <v>93.14</v>
      </c>
      <c r="F10">
        <v>78.739999999999995</v>
      </c>
      <c r="G10">
        <v>97.08</v>
      </c>
      <c r="H10">
        <v>63.24</v>
      </c>
    </row>
    <row r="11" spans="1:8" x14ac:dyDescent="0.25">
      <c r="A11" s="63">
        <f t="shared" si="0"/>
        <v>44936</v>
      </c>
      <c r="B11">
        <v>326.08</v>
      </c>
      <c r="C11">
        <v>30.49</v>
      </c>
      <c r="D11">
        <v>123.31</v>
      </c>
      <c r="F11">
        <v>80.41</v>
      </c>
      <c r="G11">
        <v>35.799999999999997</v>
      </c>
      <c r="H11">
        <v>56.07</v>
      </c>
    </row>
    <row r="12" spans="1:8" x14ac:dyDescent="0.25">
      <c r="A12" s="63">
        <f t="shared" si="0"/>
        <v>44937</v>
      </c>
      <c r="B12">
        <v>734.2299999999999</v>
      </c>
      <c r="C12">
        <v>58.27</v>
      </c>
      <c r="D12">
        <v>289.02999999999997</v>
      </c>
      <c r="E12">
        <v>202.82</v>
      </c>
      <c r="F12">
        <v>69.150000000000006</v>
      </c>
      <c r="G12">
        <v>61.86</v>
      </c>
      <c r="H12">
        <v>53.1</v>
      </c>
    </row>
    <row r="13" spans="1:8" x14ac:dyDescent="0.25">
      <c r="A13" s="63">
        <f t="shared" si="0"/>
        <v>44938</v>
      </c>
      <c r="B13">
        <v>731.83</v>
      </c>
      <c r="C13">
        <v>44.29</v>
      </c>
      <c r="D13">
        <v>297.70999999999998</v>
      </c>
      <c r="E13">
        <v>199.61</v>
      </c>
      <c r="F13">
        <v>65.099999999999994</v>
      </c>
      <c r="G13">
        <v>73.05</v>
      </c>
      <c r="H13">
        <v>52.07</v>
      </c>
    </row>
    <row r="14" spans="1:8" x14ac:dyDescent="0.25">
      <c r="A14" s="63">
        <f t="shared" si="0"/>
        <v>44939</v>
      </c>
      <c r="B14">
        <v>722.31000000000006</v>
      </c>
      <c r="C14">
        <v>51.2</v>
      </c>
      <c r="D14">
        <v>284.55</v>
      </c>
      <c r="E14">
        <v>198.78</v>
      </c>
      <c r="F14">
        <v>61.95</v>
      </c>
      <c r="G14">
        <v>69.989999999999995</v>
      </c>
      <c r="H14">
        <v>55.84</v>
      </c>
    </row>
    <row r="15" spans="1:8" x14ac:dyDescent="0.25">
      <c r="A15" s="63">
        <f t="shared" si="0"/>
        <v>44940</v>
      </c>
      <c r="B15">
        <v>0.68</v>
      </c>
      <c r="D15">
        <v>0.68</v>
      </c>
    </row>
    <row r="16" spans="1:8" x14ac:dyDescent="0.25">
      <c r="A16" s="63">
        <f t="shared" si="0"/>
        <v>44941</v>
      </c>
      <c r="B16">
        <v>0</v>
      </c>
    </row>
    <row r="17" spans="1:8" x14ac:dyDescent="0.25">
      <c r="A17" s="63">
        <f t="shared" si="0"/>
        <v>44942</v>
      </c>
      <c r="B17">
        <v>809.65</v>
      </c>
      <c r="C17">
        <v>63.83</v>
      </c>
      <c r="D17">
        <v>362.36</v>
      </c>
      <c r="E17">
        <v>188.38</v>
      </c>
      <c r="F17">
        <v>62.23</v>
      </c>
      <c r="G17">
        <v>76.650000000000006</v>
      </c>
      <c r="H17">
        <v>56.2</v>
      </c>
    </row>
    <row r="18" spans="1:8" x14ac:dyDescent="0.25">
      <c r="A18" s="63">
        <f t="shared" si="0"/>
        <v>44943</v>
      </c>
      <c r="B18">
        <v>766.09999999999991</v>
      </c>
      <c r="C18">
        <v>57.81</v>
      </c>
      <c r="D18">
        <v>308.35000000000002</v>
      </c>
      <c r="E18">
        <v>196.89</v>
      </c>
      <c r="F18">
        <v>73.45</v>
      </c>
      <c r="G18">
        <v>79.56</v>
      </c>
      <c r="H18">
        <v>50.04</v>
      </c>
    </row>
    <row r="19" spans="1:8" x14ac:dyDescent="0.25">
      <c r="A19" s="63">
        <f t="shared" si="0"/>
        <v>44944</v>
      </c>
      <c r="B19">
        <v>716.61</v>
      </c>
      <c r="C19">
        <v>55.5</v>
      </c>
      <c r="D19">
        <v>258.33</v>
      </c>
      <c r="E19">
        <v>206.92</v>
      </c>
      <c r="F19">
        <v>68.900000000000006</v>
      </c>
      <c r="G19">
        <v>79.989999999999995</v>
      </c>
      <c r="H19">
        <v>46.97</v>
      </c>
    </row>
    <row r="20" spans="1:8" x14ac:dyDescent="0.25">
      <c r="A20" s="63">
        <f t="shared" si="0"/>
        <v>44945</v>
      </c>
      <c r="B20">
        <v>779.1099999999999</v>
      </c>
      <c r="C20">
        <v>64.16</v>
      </c>
      <c r="D20">
        <v>296.45</v>
      </c>
      <c r="E20">
        <v>207.44</v>
      </c>
      <c r="F20">
        <v>70.52</v>
      </c>
      <c r="G20">
        <v>91.49</v>
      </c>
      <c r="H20">
        <v>49.05</v>
      </c>
    </row>
    <row r="21" spans="1:8" x14ac:dyDescent="0.25">
      <c r="A21" s="63">
        <f t="shared" si="0"/>
        <v>44946</v>
      </c>
      <c r="B21">
        <v>867.01</v>
      </c>
      <c r="C21">
        <v>63.24</v>
      </c>
      <c r="D21">
        <v>336.39</v>
      </c>
      <c r="E21">
        <v>232.42</v>
      </c>
      <c r="F21">
        <v>80.11</v>
      </c>
      <c r="G21">
        <v>96.27</v>
      </c>
      <c r="H21">
        <v>58.58</v>
      </c>
    </row>
    <row r="22" spans="1:8" x14ac:dyDescent="0.25">
      <c r="A22" s="63">
        <f t="shared" si="0"/>
        <v>44947</v>
      </c>
      <c r="B22">
        <v>827.82999999999993</v>
      </c>
      <c r="C22">
        <v>64.010000000000005</v>
      </c>
      <c r="D22">
        <v>321.08999999999997</v>
      </c>
      <c r="E22">
        <v>205.85</v>
      </c>
      <c r="F22">
        <v>81.09</v>
      </c>
      <c r="G22">
        <v>96.04</v>
      </c>
      <c r="H22">
        <v>59.75</v>
      </c>
    </row>
    <row r="23" spans="1:8" x14ac:dyDescent="0.25">
      <c r="A23" s="63">
        <f t="shared" si="0"/>
        <v>44948</v>
      </c>
      <c r="B23">
        <v>911.08999999999992</v>
      </c>
      <c r="C23">
        <v>78.36</v>
      </c>
      <c r="D23">
        <v>376.75</v>
      </c>
      <c r="E23">
        <v>234.67</v>
      </c>
      <c r="F23">
        <v>82.9</v>
      </c>
      <c r="G23">
        <v>86.5</v>
      </c>
      <c r="H23">
        <v>51.91</v>
      </c>
    </row>
    <row r="24" spans="1:8" x14ac:dyDescent="0.25">
      <c r="A24" s="63">
        <f t="shared" si="0"/>
        <v>44949</v>
      </c>
      <c r="B24">
        <v>963.65</v>
      </c>
      <c r="C24">
        <v>89.83</v>
      </c>
      <c r="D24">
        <v>397.72</v>
      </c>
      <c r="E24">
        <v>236.6</v>
      </c>
      <c r="F24">
        <v>75.83</v>
      </c>
      <c r="G24">
        <v>100.03</v>
      </c>
      <c r="H24">
        <v>63.64</v>
      </c>
    </row>
    <row r="25" spans="1:8" x14ac:dyDescent="0.25">
      <c r="A25" s="63">
        <f t="shared" si="0"/>
        <v>44950</v>
      </c>
      <c r="B25">
        <v>902.15</v>
      </c>
      <c r="C25">
        <v>101.43</v>
      </c>
      <c r="D25">
        <v>319.12</v>
      </c>
      <c r="E25">
        <v>232.57</v>
      </c>
      <c r="F25">
        <v>83.94</v>
      </c>
      <c r="G25">
        <v>98.37</v>
      </c>
      <c r="H25">
        <v>66.72</v>
      </c>
    </row>
    <row r="26" spans="1:8" x14ac:dyDescent="0.25">
      <c r="A26" s="63">
        <f t="shared" si="0"/>
        <v>44951</v>
      </c>
      <c r="B26">
        <v>828.7399999999999</v>
      </c>
      <c r="C26">
        <v>65.73</v>
      </c>
      <c r="D26">
        <v>324.89999999999998</v>
      </c>
      <c r="E26">
        <v>205.79</v>
      </c>
      <c r="F26">
        <v>81.55</v>
      </c>
      <c r="G26">
        <v>87.73</v>
      </c>
      <c r="H26">
        <v>63.04</v>
      </c>
    </row>
    <row r="27" spans="1:8" x14ac:dyDescent="0.25">
      <c r="A27" s="63">
        <f t="shared" si="0"/>
        <v>44952</v>
      </c>
      <c r="B27">
        <v>680.8</v>
      </c>
      <c r="C27">
        <v>65.19</v>
      </c>
      <c r="D27">
        <v>192.66</v>
      </c>
      <c r="E27">
        <v>198.5</v>
      </c>
      <c r="F27">
        <v>72.540000000000006</v>
      </c>
      <c r="G27">
        <v>88.87</v>
      </c>
      <c r="H27">
        <v>63.04</v>
      </c>
    </row>
    <row r="28" spans="1:8" x14ac:dyDescent="0.25">
      <c r="A28" s="63">
        <f t="shared" si="0"/>
        <v>44953</v>
      </c>
      <c r="B28">
        <v>807.35</v>
      </c>
      <c r="C28">
        <v>78.209999999999994</v>
      </c>
      <c r="D28">
        <v>268.05</v>
      </c>
      <c r="E28">
        <v>237.5</v>
      </c>
      <c r="F28">
        <v>69.33</v>
      </c>
      <c r="G28">
        <v>95.3</v>
      </c>
      <c r="H28">
        <v>58.96</v>
      </c>
    </row>
    <row r="29" spans="1:8" x14ac:dyDescent="0.25">
      <c r="A29" s="63">
        <f t="shared" si="0"/>
        <v>44954</v>
      </c>
      <c r="B29">
        <v>383.09999999999997</v>
      </c>
      <c r="C29">
        <v>36.729999999999997</v>
      </c>
      <c r="D29">
        <v>105.29</v>
      </c>
      <c r="E29">
        <v>122.3</v>
      </c>
      <c r="F29">
        <v>56.26</v>
      </c>
      <c r="G29">
        <v>62.52</v>
      </c>
    </row>
    <row r="30" spans="1:8" x14ac:dyDescent="0.25">
      <c r="A30" s="63">
        <f t="shared" si="0"/>
        <v>44955</v>
      </c>
      <c r="B30">
        <v>172.94</v>
      </c>
      <c r="C30">
        <v>55.75</v>
      </c>
      <c r="F30">
        <v>58.39</v>
      </c>
      <c r="G30">
        <v>58.8</v>
      </c>
    </row>
    <row r="31" spans="1:8" x14ac:dyDescent="0.25">
      <c r="A31" s="63">
        <f t="shared" si="0"/>
        <v>44956</v>
      </c>
      <c r="B31">
        <v>805.45999999999992</v>
      </c>
      <c r="C31">
        <v>51.21</v>
      </c>
      <c r="D31">
        <v>368.75</v>
      </c>
      <c r="E31">
        <v>211.37</v>
      </c>
      <c r="F31">
        <v>59.17</v>
      </c>
      <c r="G31">
        <v>63.87</v>
      </c>
      <c r="H31">
        <v>51.09</v>
      </c>
    </row>
    <row r="32" spans="1:8" x14ac:dyDescent="0.25">
      <c r="A32" s="63">
        <f t="shared" si="0"/>
        <v>44957</v>
      </c>
      <c r="B32">
        <v>779.72</v>
      </c>
      <c r="C32">
        <v>69.38</v>
      </c>
      <c r="D32">
        <v>329.14</v>
      </c>
      <c r="E32">
        <v>218.39</v>
      </c>
      <c r="F32">
        <v>38.78</v>
      </c>
      <c r="G32">
        <v>82.33</v>
      </c>
      <c r="H32">
        <v>41.7</v>
      </c>
    </row>
    <row r="33" spans="1:8" x14ac:dyDescent="0.25">
      <c r="A33" s="63">
        <f t="shared" si="0"/>
        <v>44958</v>
      </c>
      <c r="B33">
        <v>697.96999999999991</v>
      </c>
      <c r="C33">
        <v>57.59</v>
      </c>
      <c r="D33">
        <v>280.18</v>
      </c>
      <c r="E33">
        <v>215.92</v>
      </c>
      <c r="F33">
        <v>36.86</v>
      </c>
      <c r="G33">
        <v>77.11</v>
      </c>
      <c r="H33">
        <v>30.31</v>
      </c>
    </row>
    <row r="34" spans="1:8" x14ac:dyDescent="0.25">
      <c r="A34" s="63">
        <f t="shared" si="0"/>
        <v>44959</v>
      </c>
      <c r="B34">
        <v>701.03</v>
      </c>
      <c r="C34">
        <v>56.95</v>
      </c>
      <c r="D34">
        <v>314.64</v>
      </c>
      <c r="E34">
        <v>184.41</v>
      </c>
      <c r="F34">
        <v>38.880000000000003</v>
      </c>
      <c r="G34">
        <v>72.16</v>
      </c>
      <c r="H34">
        <v>33.99</v>
      </c>
    </row>
    <row r="35" spans="1:8" x14ac:dyDescent="0.25">
      <c r="A35" s="63">
        <f t="shared" si="0"/>
        <v>44960</v>
      </c>
      <c r="B35">
        <v>746.02</v>
      </c>
      <c r="C35">
        <v>76.16</v>
      </c>
      <c r="D35">
        <v>316.08</v>
      </c>
      <c r="E35">
        <v>190.82</v>
      </c>
      <c r="F35">
        <v>54.02</v>
      </c>
      <c r="G35">
        <v>85.1</v>
      </c>
      <c r="H35">
        <v>23.84</v>
      </c>
    </row>
    <row r="36" spans="1:8" x14ac:dyDescent="0.25">
      <c r="A36" s="63">
        <f t="shared" si="0"/>
        <v>44961</v>
      </c>
      <c r="B36">
        <v>295.68</v>
      </c>
      <c r="C36">
        <v>34.83</v>
      </c>
      <c r="D36">
        <v>91.38</v>
      </c>
      <c r="E36">
        <v>100.98</v>
      </c>
      <c r="F36">
        <v>20.99</v>
      </c>
      <c r="G36">
        <v>47.5</v>
      </c>
    </row>
    <row r="37" spans="1:8" x14ac:dyDescent="0.25">
      <c r="A37" s="63">
        <f t="shared" si="0"/>
        <v>44962</v>
      </c>
      <c r="B37">
        <v>0</v>
      </c>
    </row>
    <row r="38" spans="1:8" x14ac:dyDescent="0.25">
      <c r="A38" s="63">
        <f t="shared" si="0"/>
        <v>44963</v>
      </c>
      <c r="B38">
        <v>884.46</v>
      </c>
      <c r="C38">
        <v>78.77</v>
      </c>
      <c r="D38">
        <v>436.94</v>
      </c>
      <c r="E38">
        <v>188.63</v>
      </c>
      <c r="F38">
        <v>65.569999999999993</v>
      </c>
      <c r="G38">
        <v>89.99</v>
      </c>
      <c r="H38">
        <v>24.56</v>
      </c>
    </row>
    <row r="39" spans="1:8" x14ac:dyDescent="0.25">
      <c r="A39" s="63">
        <f t="shared" si="0"/>
        <v>44964</v>
      </c>
      <c r="B39">
        <v>800.74</v>
      </c>
      <c r="C39">
        <v>66.56</v>
      </c>
      <c r="D39">
        <v>374.24</v>
      </c>
      <c r="E39">
        <v>207.17</v>
      </c>
      <c r="F39">
        <v>50.44</v>
      </c>
      <c r="G39">
        <v>82.32</v>
      </c>
      <c r="H39">
        <v>20.010000000000002</v>
      </c>
    </row>
    <row r="40" spans="1:8" x14ac:dyDescent="0.25">
      <c r="A40" s="63">
        <f t="shared" si="0"/>
        <v>44965</v>
      </c>
      <c r="B40">
        <v>789.19999999999993</v>
      </c>
      <c r="C40">
        <v>54.32</v>
      </c>
      <c r="D40">
        <v>377.11</v>
      </c>
      <c r="E40">
        <v>214.64</v>
      </c>
      <c r="F40">
        <v>45.49</v>
      </c>
      <c r="G40">
        <v>80.61</v>
      </c>
      <c r="H40">
        <v>17.03</v>
      </c>
    </row>
    <row r="41" spans="1:8" x14ac:dyDescent="0.25">
      <c r="A41" s="63">
        <f t="shared" si="0"/>
        <v>44966</v>
      </c>
      <c r="B41">
        <v>809.86999999999989</v>
      </c>
      <c r="C41">
        <v>68.34</v>
      </c>
      <c r="D41">
        <v>373.83</v>
      </c>
      <c r="E41">
        <v>216.94</v>
      </c>
      <c r="F41">
        <v>51.96</v>
      </c>
      <c r="G41">
        <v>71.540000000000006</v>
      </c>
      <c r="H41">
        <v>27.26</v>
      </c>
    </row>
    <row r="42" spans="1:8" x14ac:dyDescent="0.25">
      <c r="A42" s="63">
        <f t="shared" si="0"/>
        <v>44967</v>
      </c>
      <c r="B42">
        <v>582.29</v>
      </c>
      <c r="C42">
        <v>68.58</v>
      </c>
      <c r="D42">
        <v>202.06</v>
      </c>
      <c r="E42">
        <v>192.28</v>
      </c>
      <c r="F42">
        <v>60.88</v>
      </c>
      <c r="G42">
        <v>58.49</v>
      </c>
    </row>
    <row r="43" spans="1:8" x14ac:dyDescent="0.25">
      <c r="A43" s="63">
        <f t="shared" si="0"/>
        <v>44968</v>
      </c>
      <c r="B43">
        <v>1.08</v>
      </c>
      <c r="C43">
        <v>1.08</v>
      </c>
    </row>
    <row r="44" spans="1:8" x14ac:dyDescent="0.25">
      <c r="A44" s="63">
        <f t="shared" si="0"/>
        <v>44969</v>
      </c>
      <c r="B44">
        <v>0</v>
      </c>
    </row>
    <row r="45" spans="1:8" x14ac:dyDescent="0.25">
      <c r="A45" s="63">
        <f t="shared" si="0"/>
        <v>44970</v>
      </c>
      <c r="B45">
        <v>862.20999999999992</v>
      </c>
      <c r="C45">
        <v>80.900000000000006</v>
      </c>
      <c r="D45">
        <v>392.03</v>
      </c>
      <c r="E45">
        <v>211.41</v>
      </c>
      <c r="F45">
        <v>56.85</v>
      </c>
      <c r="G45">
        <v>74.650000000000006</v>
      </c>
      <c r="H45">
        <v>46.37</v>
      </c>
    </row>
    <row r="46" spans="1:8" x14ac:dyDescent="0.25">
      <c r="A46" s="63">
        <f t="shared" si="0"/>
        <v>44971</v>
      </c>
      <c r="B46">
        <v>807.28</v>
      </c>
      <c r="C46">
        <v>55.6</v>
      </c>
      <c r="D46">
        <v>368.25</v>
      </c>
      <c r="E46">
        <v>173.66</v>
      </c>
      <c r="F46">
        <v>67.12</v>
      </c>
      <c r="G46">
        <v>84.68</v>
      </c>
      <c r="H46">
        <v>57.97</v>
      </c>
    </row>
    <row r="47" spans="1:8" x14ac:dyDescent="0.25">
      <c r="A47" s="63">
        <f t="shared" si="0"/>
        <v>44972</v>
      </c>
      <c r="B47">
        <v>806.91000000000008</v>
      </c>
      <c r="C47">
        <v>68.84</v>
      </c>
      <c r="D47">
        <v>371.36</v>
      </c>
      <c r="E47">
        <v>157.52000000000001</v>
      </c>
      <c r="F47">
        <v>64.900000000000006</v>
      </c>
      <c r="G47">
        <v>84.45</v>
      </c>
      <c r="H47">
        <v>59.84</v>
      </c>
    </row>
    <row r="48" spans="1:8" x14ac:dyDescent="0.25">
      <c r="A48" s="63">
        <f t="shared" si="0"/>
        <v>44973</v>
      </c>
      <c r="B48">
        <v>788.45</v>
      </c>
      <c r="C48">
        <v>76.510000000000005</v>
      </c>
      <c r="D48">
        <v>359.76</v>
      </c>
      <c r="E48">
        <v>147.34</v>
      </c>
      <c r="F48">
        <v>64.25</v>
      </c>
      <c r="G48">
        <v>73.91</v>
      </c>
      <c r="H48">
        <v>66.680000000000007</v>
      </c>
    </row>
    <row r="49" spans="1:8" x14ac:dyDescent="0.25">
      <c r="A49" s="63">
        <f t="shared" si="0"/>
        <v>44974</v>
      </c>
      <c r="B49">
        <v>791.64</v>
      </c>
      <c r="C49">
        <v>50.64</v>
      </c>
      <c r="D49">
        <v>316.11</v>
      </c>
      <c r="E49">
        <v>212.36</v>
      </c>
      <c r="F49">
        <v>89.38</v>
      </c>
      <c r="G49">
        <v>69.92</v>
      </c>
      <c r="H49">
        <v>53.23</v>
      </c>
    </row>
    <row r="50" spans="1:8" x14ac:dyDescent="0.25">
      <c r="A50" s="63">
        <f t="shared" si="0"/>
        <v>44975</v>
      </c>
      <c r="B50">
        <v>336.14</v>
      </c>
      <c r="C50">
        <v>47.67</v>
      </c>
      <c r="E50">
        <v>90.08</v>
      </c>
      <c r="F50">
        <v>83.83</v>
      </c>
      <c r="G50">
        <v>59.38</v>
      </c>
      <c r="H50">
        <v>55.18</v>
      </c>
    </row>
    <row r="51" spans="1:8" x14ac:dyDescent="0.25">
      <c r="A51" s="63">
        <f t="shared" si="0"/>
        <v>44976</v>
      </c>
      <c r="B51">
        <v>281.43</v>
      </c>
      <c r="C51">
        <v>61.48</v>
      </c>
      <c r="F51">
        <v>85.35</v>
      </c>
      <c r="G51">
        <v>66.739999999999995</v>
      </c>
      <c r="H51">
        <v>67.86</v>
      </c>
    </row>
    <row r="52" spans="1:8" x14ac:dyDescent="0.25">
      <c r="A52" s="63">
        <f t="shared" si="0"/>
        <v>44977</v>
      </c>
      <c r="B52">
        <v>869.22</v>
      </c>
      <c r="C52">
        <v>44.21</v>
      </c>
      <c r="D52">
        <v>399.62</v>
      </c>
      <c r="E52">
        <v>203.39</v>
      </c>
      <c r="F52">
        <v>78.010000000000005</v>
      </c>
      <c r="G52">
        <v>78.14</v>
      </c>
      <c r="H52">
        <v>65.850000000000009</v>
      </c>
    </row>
    <row r="53" spans="1:8" x14ac:dyDescent="0.25">
      <c r="A53" s="63">
        <f t="shared" si="0"/>
        <v>44978</v>
      </c>
      <c r="B53">
        <v>918.87000000000012</v>
      </c>
      <c r="C53">
        <v>65.09</v>
      </c>
      <c r="D53">
        <v>402.84</v>
      </c>
      <c r="E53">
        <v>219.07</v>
      </c>
      <c r="F53">
        <v>88.68</v>
      </c>
      <c r="G53">
        <v>75.44</v>
      </c>
      <c r="H53">
        <v>67.75</v>
      </c>
    </row>
    <row r="54" spans="1:8" x14ac:dyDescent="0.25">
      <c r="A54" s="63">
        <f t="shared" si="0"/>
        <v>44979</v>
      </c>
      <c r="B54">
        <v>841.02</v>
      </c>
      <c r="C54">
        <v>56.3</v>
      </c>
      <c r="D54">
        <v>367.28</v>
      </c>
      <c r="E54">
        <v>210.63</v>
      </c>
      <c r="F54">
        <v>74.91</v>
      </c>
      <c r="G54">
        <v>65.459999999999994</v>
      </c>
      <c r="H54">
        <v>66.44</v>
      </c>
    </row>
    <row r="55" spans="1:8" x14ac:dyDescent="0.25">
      <c r="A55" s="63">
        <f t="shared" si="0"/>
        <v>44980</v>
      </c>
      <c r="B55">
        <v>804.7700000000001</v>
      </c>
      <c r="C55">
        <v>52.32</v>
      </c>
      <c r="D55">
        <v>319.20999999999998</v>
      </c>
      <c r="E55">
        <v>205.69</v>
      </c>
      <c r="F55">
        <v>94.59</v>
      </c>
      <c r="G55">
        <v>64.010000000000005</v>
      </c>
      <c r="H55">
        <v>68.95</v>
      </c>
    </row>
    <row r="56" spans="1:8" x14ac:dyDescent="0.25">
      <c r="A56" s="63">
        <f t="shared" si="0"/>
        <v>44981</v>
      </c>
      <c r="B56">
        <v>703.4</v>
      </c>
      <c r="C56">
        <v>41.37</v>
      </c>
      <c r="D56">
        <v>214.91</v>
      </c>
      <c r="E56">
        <v>202.73</v>
      </c>
      <c r="F56">
        <v>105.53</v>
      </c>
      <c r="G56">
        <v>76.41</v>
      </c>
      <c r="H56">
        <v>62.45</v>
      </c>
    </row>
    <row r="57" spans="1:8" x14ac:dyDescent="0.25">
      <c r="A57" s="63">
        <f t="shared" si="0"/>
        <v>44982</v>
      </c>
      <c r="B57">
        <v>596.78</v>
      </c>
      <c r="C57">
        <v>41.34</v>
      </c>
      <c r="D57">
        <v>241.58</v>
      </c>
      <c r="E57">
        <v>91.47</v>
      </c>
      <c r="F57">
        <v>98.25</v>
      </c>
      <c r="G57">
        <v>54.07</v>
      </c>
      <c r="H57">
        <v>70.069999999999993</v>
      </c>
    </row>
    <row r="58" spans="1:8" x14ac:dyDescent="0.25">
      <c r="A58" s="63">
        <f t="shared" si="0"/>
        <v>44983</v>
      </c>
      <c r="B58">
        <v>477.69</v>
      </c>
      <c r="C58">
        <v>43.09</v>
      </c>
      <c r="D58">
        <v>216.22</v>
      </c>
      <c r="F58">
        <v>91.47</v>
      </c>
      <c r="G58">
        <v>57.73</v>
      </c>
      <c r="H58">
        <v>69.180000000000007</v>
      </c>
    </row>
    <row r="59" spans="1:8" x14ac:dyDescent="0.25">
      <c r="A59" s="63">
        <f t="shared" si="0"/>
        <v>44984</v>
      </c>
      <c r="B59">
        <v>733.41999999999985</v>
      </c>
      <c r="C59">
        <v>50.22</v>
      </c>
      <c r="D59">
        <v>283.79000000000002</v>
      </c>
      <c r="E59">
        <v>191.31</v>
      </c>
      <c r="F59">
        <v>76.3</v>
      </c>
      <c r="G59">
        <v>65.650000000000006</v>
      </c>
      <c r="H59">
        <v>66.150000000000006</v>
      </c>
    </row>
    <row r="60" spans="1:8" x14ac:dyDescent="0.25">
      <c r="A60" s="63">
        <f t="shared" si="0"/>
        <v>44985</v>
      </c>
      <c r="B60">
        <v>749.33</v>
      </c>
      <c r="C60">
        <v>32.58</v>
      </c>
      <c r="D60">
        <v>309.27</v>
      </c>
      <c r="E60">
        <v>153</v>
      </c>
      <c r="F60">
        <v>84.51</v>
      </c>
      <c r="G60">
        <v>105.75</v>
      </c>
      <c r="H60">
        <v>64.22</v>
      </c>
    </row>
    <row r="61" spans="1:8" x14ac:dyDescent="0.25">
      <c r="A61" s="63">
        <f t="shared" si="0"/>
        <v>44986</v>
      </c>
      <c r="B61">
        <v>750.89</v>
      </c>
      <c r="C61">
        <v>32.950000000000003</v>
      </c>
      <c r="D61">
        <v>340.37</v>
      </c>
      <c r="E61">
        <v>153.36000000000001</v>
      </c>
      <c r="F61">
        <v>68.81</v>
      </c>
      <c r="G61">
        <v>90.63</v>
      </c>
      <c r="H61">
        <v>64.77</v>
      </c>
    </row>
    <row r="62" spans="1:8" x14ac:dyDescent="0.25">
      <c r="A62" s="63">
        <f t="shared" si="0"/>
        <v>44987</v>
      </c>
      <c r="B62">
        <v>743.13000000000011</v>
      </c>
      <c r="C62">
        <v>61.29</v>
      </c>
      <c r="D62">
        <v>300.54000000000002</v>
      </c>
      <c r="E62">
        <v>132.5</v>
      </c>
      <c r="F62">
        <v>88.5</v>
      </c>
      <c r="G62">
        <v>95.37</v>
      </c>
      <c r="H62">
        <v>64.930000000000007</v>
      </c>
    </row>
    <row r="63" spans="1:8" x14ac:dyDescent="0.25">
      <c r="A63" s="63">
        <f t="shared" si="0"/>
        <v>44988</v>
      </c>
      <c r="B63">
        <v>586.93000000000006</v>
      </c>
      <c r="C63">
        <v>60.04</v>
      </c>
      <c r="D63">
        <v>229.77</v>
      </c>
      <c r="E63">
        <v>81.209999999999994</v>
      </c>
      <c r="F63">
        <v>78.510000000000005</v>
      </c>
      <c r="G63">
        <v>67.459999999999994</v>
      </c>
      <c r="H63">
        <v>69.94</v>
      </c>
    </row>
    <row r="64" spans="1:8" x14ac:dyDescent="0.25">
      <c r="A64" s="63">
        <f t="shared" si="0"/>
        <v>44989</v>
      </c>
      <c r="B64">
        <v>0</v>
      </c>
    </row>
    <row r="65" spans="1:8" x14ac:dyDescent="0.25">
      <c r="A65" s="63">
        <f t="shared" si="0"/>
        <v>44990</v>
      </c>
      <c r="B65">
        <v>0</v>
      </c>
    </row>
    <row r="66" spans="1:8" x14ac:dyDescent="0.25">
      <c r="A66" s="63">
        <f t="shared" si="0"/>
        <v>44991</v>
      </c>
      <c r="B66">
        <v>799.89999999999986</v>
      </c>
      <c r="C66">
        <v>63.27</v>
      </c>
      <c r="D66">
        <v>367.78</v>
      </c>
      <c r="E66">
        <v>139.05000000000001</v>
      </c>
      <c r="F66">
        <v>97.66</v>
      </c>
      <c r="G66">
        <v>69.33</v>
      </c>
      <c r="H66">
        <v>62.81</v>
      </c>
    </row>
    <row r="67" spans="1:8" x14ac:dyDescent="0.25">
      <c r="A67" s="63">
        <f t="shared" si="0"/>
        <v>44992</v>
      </c>
      <c r="B67">
        <v>612.68000000000006</v>
      </c>
      <c r="C67">
        <v>38.770000000000003</v>
      </c>
      <c r="D67">
        <v>227.35</v>
      </c>
      <c r="E67">
        <v>134.81</v>
      </c>
      <c r="F67">
        <v>98.65</v>
      </c>
      <c r="G67">
        <v>46.66</v>
      </c>
      <c r="H67">
        <v>66.44</v>
      </c>
    </row>
    <row r="68" spans="1:8" x14ac:dyDescent="0.25">
      <c r="A68" s="63">
        <f t="shared" ref="A68:A131" si="1">A67+1</f>
        <v>44993</v>
      </c>
      <c r="B68">
        <v>470.49</v>
      </c>
      <c r="C68">
        <v>27.02</v>
      </c>
      <c r="D68">
        <v>155.63999999999999</v>
      </c>
      <c r="E68">
        <v>123.77</v>
      </c>
      <c r="F68">
        <v>76.66</v>
      </c>
      <c r="G68">
        <v>25.5</v>
      </c>
      <c r="H68">
        <v>61.9</v>
      </c>
    </row>
    <row r="69" spans="1:8" x14ac:dyDescent="0.25">
      <c r="A69" s="63">
        <f t="shared" si="1"/>
        <v>44994</v>
      </c>
      <c r="B69">
        <v>487.4</v>
      </c>
      <c r="C69">
        <v>19.13</v>
      </c>
      <c r="D69">
        <v>203.15</v>
      </c>
      <c r="E69">
        <v>106.5</v>
      </c>
      <c r="F69">
        <v>66.14</v>
      </c>
      <c r="G69">
        <v>25.76</v>
      </c>
      <c r="H69">
        <v>66.72</v>
      </c>
    </row>
    <row r="70" spans="1:8" x14ac:dyDescent="0.25">
      <c r="A70" s="63">
        <f t="shared" si="1"/>
        <v>44995</v>
      </c>
      <c r="B70">
        <v>365.14</v>
      </c>
      <c r="C70">
        <v>54.27</v>
      </c>
      <c r="D70">
        <v>55.17</v>
      </c>
      <c r="E70">
        <v>84.19</v>
      </c>
      <c r="F70">
        <v>87.13</v>
      </c>
      <c r="G70">
        <v>17.869999999999997</v>
      </c>
      <c r="H70">
        <v>66.510000000000005</v>
      </c>
    </row>
    <row r="71" spans="1:8" x14ac:dyDescent="0.25">
      <c r="A71" s="63">
        <f t="shared" si="1"/>
        <v>44996</v>
      </c>
      <c r="B71">
        <v>193.68</v>
      </c>
      <c r="C71">
        <v>53.13</v>
      </c>
      <c r="F71">
        <v>78.27</v>
      </c>
      <c r="H71">
        <v>62.28</v>
      </c>
    </row>
    <row r="72" spans="1:8" x14ac:dyDescent="0.25">
      <c r="A72" s="63">
        <f t="shared" si="1"/>
        <v>44997</v>
      </c>
      <c r="B72">
        <v>164.63</v>
      </c>
      <c r="C72">
        <v>31.68</v>
      </c>
      <c r="F72">
        <v>71.2</v>
      </c>
      <c r="H72">
        <v>61.75</v>
      </c>
    </row>
    <row r="73" spans="1:8" x14ac:dyDescent="0.25">
      <c r="A73" s="63">
        <f t="shared" si="1"/>
        <v>44998</v>
      </c>
      <c r="B73">
        <v>778.61</v>
      </c>
      <c r="C73">
        <v>37.549999999999997</v>
      </c>
      <c r="D73">
        <v>382.83</v>
      </c>
      <c r="E73">
        <v>159.26999999999998</v>
      </c>
      <c r="F73">
        <v>82.86</v>
      </c>
      <c r="G73">
        <v>49.37</v>
      </c>
      <c r="H73">
        <v>66.73</v>
      </c>
    </row>
    <row r="74" spans="1:8" x14ac:dyDescent="0.25">
      <c r="A74" s="63">
        <f t="shared" si="1"/>
        <v>44999</v>
      </c>
      <c r="B74">
        <v>759.98</v>
      </c>
      <c r="C74">
        <v>47.76</v>
      </c>
      <c r="D74">
        <v>346.29</v>
      </c>
      <c r="E74">
        <v>136.99</v>
      </c>
      <c r="F74">
        <v>93.59</v>
      </c>
      <c r="G74">
        <v>72.39</v>
      </c>
      <c r="H74">
        <v>62.96</v>
      </c>
    </row>
    <row r="75" spans="1:8" x14ac:dyDescent="0.25">
      <c r="A75" s="63">
        <f t="shared" si="1"/>
        <v>45000</v>
      </c>
      <c r="B75">
        <v>668.84999999999991</v>
      </c>
      <c r="C75">
        <v>43.89</v>
      </c>
      <c r="D75">
        <v>288.88</v>
      </c>
      <c r="E75">
        <v>123.28</v>
      </c>
      <c r="F75">
        <v>77.349999999999994</v>
      </c>
      <c r="G75">
        <v>77.3</v>
      </c>
      <c r="H75">
        <v>58.15</v>
      </c>
    </row>
    <row r="76" spans="1:8" x14ac:dyDescent="0.25">
      <c r="A76" s="63">
        <f t="shared" si="1"/>
        <v>45001</v>
      </c>
      <c r="B76">
        <v>680.31999999999994</v>
      </c>
      <c r="C76">
        <v>48.15</v>
      </c>
      <c r="D76">
        <v>305.13</v>
      </c>
      <c r="E76">
        <v>132.66999999999999</v>
      </c>
      <c r="F76">
        <v>59.46</v>
      </c>
      <c r="G76">
        <v>73.97</v>
      </c>
      <c r="H76">
        <v>60.94</v>
      </c>
    </row>
    <row r="77" spans="1:8" x14ac:dyDescent="0.25">
      <c r="A77" s="63">
        <f t="shared" si="1"/>
        <v>45002</v>
      </c>
      <c r="B77">
        <v>426.83000000000004</v>
      </c>
      <c r="C77">
        <v>61.63</v>
      </c>
      <c r="D77">
        <v>51.88</v>
      </c>
      <c r="E77">
        <v>105.53</v>
      </c>
      <c r="F77">
        <v>75.650000000000006</v>
      </c>
      <c r="G77">
        <v>72.010000000000005</v>
      </c>
      <c r="H77">
        <v>60.13</v>
      </c>
    </row>
    <row r="78" spans="1:8" x14ac:dyDescent="0.25">
      <c r="A78" s="63">
        <f t="shared" si="1"/>
        <v>45003</v>
      </c>
      <c r="B78">
        <v>194.08</v>
      </c>
      <c r="C78">
        <v>40.26</v>
      </c>
      <c r="F78">
        <v>76.09</v>
      </c>
      <c r="G78">
        <v>34.33</v>
      </c>
      <c r="H78">
        <v>43.4</v>
      </c>
    </row>
    <row r="79" spans="1:8" x14ac:dyDescent="0.25">
      <c r="A79" s="63">
        <f t="shared" si="1"/>
        <v>45004</v>
      </c>
      <c r="B79">
        <v>180.04999999999998</v>
      </c>
      <c r="C79">
        <v>46.06</v>
      </c>
      <c r="F79">
        <v>89.96</v>
      </c>
      <c r="H79">
        <v>44.03</v>
      </c>
    </row>
    <row r="80" spans="1:8" x14ac:dyDescent="0.25">
      <c r="A80" s="63">
        <f t="shared" si="1"/>
        <v>45005</v>
      </c>
      <c r="B80">
        <v>886.38</v>
      </c>
      <c r="C80">
        <v>61.19</v>
      </c>
      <c r="D80">
        <v>399.83</v>
      </c>
      <c r="E80">
        <v>209.26</v>
      </c>
      <c r="F80">
        <v>74.55</v>
      </c>
      <c r="G80">
        <v>93.44</v>
      </c>
      <c r="H80">
        <v>48.11</v>
      </c>
    </row>
    <row r="81" spans="1:8" x14ac:dyDescent="0.25">
      <c r="A81" s="63">
        <f t="shared" si="1"/>
        <v>45006</v>
      </c>
      <c r="B81">
        <v>881.44999999999982</v>
      </c>
      <c r="C81">
        <v>57.92</v>
      </c>
      <c r="D81">
        <v>373.26</v>
      </c>
      <c r="E81">
        <v>216.89999999999998</v>
      </c>
      <c r="F81">
        <v>87.82</v>
      </c>
      <c r="G81">
        <v>94.009999999999991</v>
      </c>
      <c r="H81">
        <v>51.54</v>
      </c>
    </row>
    <row r="82" spans="1:8" x14ac:dyDescent="0.25">
      <c r="A82" s="63">
        <f t="shared" si="1"/>
        <v>45007</v>
      </c>
      <c r="B82">
        <v>887.05</v>
      </c>
      <c r="C82">
        <v>46.72</v>
      </c>
      <c r="D82">
        <v>405.76</v>
      </c>
      <c r="E82">
        <v>193.25</v>
      </c>
      <c r="F82">
        <v>88.48</v>
      </c>
      <c r="G82">
        <v>94.82</v>
      </c>
      <c r="H82">
        <v>58.02</v>
      </c>
    </row>
    <row r="83" spans="1:8" x14ac:dyDescent="0.25">
      <c r="A83" s="63">
        <f t="shared" si="1"/>
        <v>45008</v>
      </c>
      <c r="B83">
        <v>864.05000000000007</v>
      </c>
      <c r="C83">
        <v>58.35</v>
      </c>
      <c r="D83">
        <v>370.99</v>
      </c>
      <c r="E83">
        <v>205.93</v>
      </c>
      <c r="F83">
        <v>82.68</v>
      </c>
      <c r="G83">
        <v>97.95</v>
      </c>
      <c r="H83">
        <v>48.15</v>
      </c>
    </row>
    <row r="84" spans="1:8" x14ac:dyDescent="0.25">
      <c r="A84" s="63">
        <f t="shared" si="1"/>
        <v>45009</v>
      </c>
      <c r="B84">
        <v>958.15</v>
      </c>
      <c r="C84">
        <v>52.8</v>
      </c>
      <c r="D84">
        <v>389</v>
      </c>
      <c r="E84">
        <v>266.22000000000003</v>
      </c>
      <c r="F84">
        <v>87.88</v>
      </c>
      <c r="G84">
        <v>98.17</v>
      </c>
      <c r="H84">
        <v>64.08</v>
      </c>
    </row>
    <row r="85" spans="1:8" x14ac:dyDescent="0.25">
      <c r="A85" s="63">
        <f t="shared" si="1"/>
        <v>45010</v>
      </c>
      <c r="B85">
        <v>848.89</v>
      </c>
      <c r="C85">
        <v>52.69</v>
      </c>
      <c r="D85">
        <v>309.49</v>
      </c>
      <c r="E85">
        <v>253.54</v>
      </c>
      <c r="F85">
        <v>84</v>
      </c>
      <c r="G85">
        <v>85.67</v>
      </c>
      <c r="H85">
        <v>63.5</v>
      </c>
    </row>
    <row r="86" spans="1:8" x14ac:dyDescent="0.25">
      <c r="A86" s="63">
        <f t="shared" si="1"/>
        <v>45011</v>
      </c>
      <c r="B86">
        <v>785.67000000000007</v>
      </c>
      <c r="C86">
        <v>48.1</v>
      </c>
      <c r="D86">
        <v>262.66000000000003</v>
      </c>
      <c r="E86">
        <v>240.77</v>
      </c>
      <c r="F86">
        <v>82.98</v>
      </c>
      <c r="G86">
        <v>85.78</v>
      </c>
      <c r="H86">
        <v>65.38</v>
      </c>
    </row>
    <row r="87" spans="1:8" x14ac:dyDescent="0.25">
      <c r="A87" s="63">
        <f t="shared" si="1"/>
        <v>45012</v>
      </c>
      <c r="B87">
        <v>821.57</v>
      </c>
      <c r="C87">
        <v>48.03</v>
      </c>
      <c r="D87">
        <v>302.74</v>
      </c>
      <c r="E87">
        <v>265.51</v>
      </c>
      <c r="F87">
        <v>79.2</v>
      </c>
      <c r="G87">
        <v>89.64</v>
      </c>
      <c r="H87">
        <v>36.450000000000003</v>
      </c>
    </row>
    <row r="88" spans="1:8" x14ac:dyDescent="0.25">
      <c r="A88" s="63">
        <f t="shared" si="1"/>
        <v>45013</v>
      </c>
      <c r="B88">
        <v>830.18</v>
      </c>
      <c r="C88">
        <v>76.58</v>
      </c>
      <c r="D88">
        <v>301.55</v>
      </c>
      <c r="E88">
        <v>221.99</v>
      </c>
      <c r="F88">
        <v>63.79</v>
      </c>
      <c r="G88">
        <v>99.47</v>
      </c>
      <c r="H88">
        <v>66.8</v>
      </c>
    </row>
    <row r="89" spans="1:8" x14ac:dyDescent="0.25">
      <c r="A89" s="63">
        <f t="shared" si="1"/>
        <v>45014</v>
      </c>
      <c r="B89">
        <v>816.12</v>
      </c>
      <c r="C89">
        <v>47.6</v>
      </c>
      <c r="D89">
        <v>342.96</v>
      </c>
      <c r="E89">
        <v>231.82</v>
      </c>
      <c r="F89">
        <v>53.72</v>
      </c>
      <c r="G89">
        <v>80.66</v>
      </c>
      <c r="H89">
        <v>59.36</v>
      </c>
    </row>
    <row r="90" spans="1:8" x14ac:dyDescent="0.25">
      <c r="A90" s="63">
        <f t="shared" si="1"/>
        <v>45015</v>
      </c>
      <c r="B90">
        <v>830.05</v>
      </c>
      <c r="C90">
        <v>79.61</v>
      </c>
      <c r="D90">
        <v>354.05</v>
      </c>
      <c r="E90">
        <v>197.57</v>
      </c>
      <c r="F90">
        <v>55.4</v>
      </c>
      <c r="G90">
        <v>80.39</v>
      </c>
      <c r="H90">
        <v>63.03</v>
      </c>
    </row>
    <row r="91" spans="1:8" x14ac:dyDescent="0.25">
      <c r="A91" s="63">
        <f t="shared" si="1"/>
        <v>45016</v>
      </c>
      <c r="B91">
        <v>792.7399999999999</v>
      </c>
      <c r="C91">
        <v>59</v>
      </c>
      <c r="D91">
        <v>277.25</v>
      </c>
      <c r="E91">
        <v>250.08</v>
      </c>
      <c r="F91">
        <v>70.19</v>
      </c>
      <c r="G91">
        <v>82.55</v>
      </c>
      <c r="H91">
        <v>53.67</v>
      </c>
    </row>
    <row r="92" spans="1:8" x14ac:dyDescent="0.25">
      <c r="A92" s="63">
        <f t="shared" si="1"/>
        <v>45017</v>
      </c>
      <c r="B92">
        <v>759.6099999999999</v>
      </c>
      <c r="C92">
        <v>90.56</v>
      </c>
      <c r="D92">
        <v>266.33999999999997</v>
      </c>
      <c r="E92">
        <v>263.94</v>
      </c>
      <c r="F92">
        <v>69.05</v>
      </c>
      <c r="G92">
        <v>69.72</v>
      </c>
    </row>
    <row r="93" spans="1:8" x14ac:dyDescent="0.25">
      <c r="A93" s="63">
        <f t="shared" si="1"/>
        <v>45018</v>
      </c>
      <c r="B93">
        <v>786.06000000000006</v>
      </c>
      <c r="C93">
        <v>80.790000000000006</v>
      </c>
      <c r="D93">
        <v>304.39999999999998</v>
      </c>
      <c r="E93">
        <v>263.83999999999997</v>
      </c>
      <c r="F93">
        <v>64.33</v>
      </c>
      <c r="G93">
        <v>72.7</v>
      </c>
    </row>
    <row r="94" spans="1:8" x14ac:dyDescent="0.25">
      <c r="A94" s="63">
        <f t="shared" si="1"/>
        <v>45019</v>
      </c>
      <c r="B94">
        <v>763.86</v>
      </c>
      <c r="C94">
        <v>69.69</v>
      </c>
      <c r="D94">
        <v>318.67</v>
      </c>
      <c r="E94">
        <v>181.08</v>
      </c>
      <c r="F94">
        <v>66.489999999999995</v>
      </c>
      <c r="G94">
        <v>85.53</v>
      </c>
      <c r="H94">
        <v>42.4</v>
      </c>
    </row>
    <row r="95" spans="1:8" x14ac:dyDescent="0.25">
      <c r="A95" s="63">
        <f t="shared" si="1"/>
        <v>45020</v>
      </c>
      <c r="B95">
        <v>805.8599999999999</v>
      </c>
      <c r="C95">
        <v>85.81</v>
      </c>
      <c r="D95">
        <v>338.23</v>
      </c>
      <c r="E95">
        <v>152.25</v>
      </c>
      <c r="F95">
        <v>77.52</v>
      </c>
      <c r="G95">
        <v>102.77</v>
      </c>
      <c r="H95">
        <v>49.28</v>
      </c>
    </row>
    <row r="96" spans="1:8" x14ac:dyDescent="0.25">
      <c r="A96" s="63">
        <f t="shared" si="1"/>
        <v>45021</v>
      </c>
      <c r="B96">
        <v>934</v>
      </c>
      <c r="C96">
        <v>90.35</v>
      </c>
      <c r="D96">
        <v>396.33</v>
      </c>
      <c r="E96">
        <v>190.74</v>
      </c>
      <c r="F96">
        <v>87.24</v>
      </c>
      <c r="G96">
        <v>113.52</v>
      </c>
      <c r="H96">
        <v>55.82</v>
      </c>
    </row>
    <row r="97" spans="1:8" x14ac:dyDescent="0.25">
      <c r="A97" s="63">
        <f t="shared" si="1"/>
        <v>45022</v>
      </c>
      <c r="B97">
        <v>862.27</v>
      </c>
      <c r="C97">
        <v>93.42</v>
      </c>
      <c r="D97">
        <v>327.93</v>
      </c>
      <c r="E97">
        <v>201.09</v>
      </c>
      <c r="F97">
        <v>79.89</v>
      </c>
      <c r="G97">
        <v>99.929999999999993</v>
      </c>
      <c r="H97">
        <v>60.01</v>
      </c>
    </row>
    <row r="98" spans="1:8" x14ac:dyDescent="0.25">
      <c r="A98" s="63">
        <f t="shared" si="1"/>
        <v>45023</v>
      </c>
      <c r="B98">
        <v>769.14</v>
      </c>
      <c r="C98">
        <v>72.819999999999993</v>
      </c>
      <c r="D98">
        <v>307.41000000000003</v>
      </c>
      <c r="E98">
        <v>161.66999999999999</v>
      </c>
      <c r="F98">
        <v>71.930000000000007</v>
      </c>
      <c r="G98">
        <v>93.22</v>
      </c>
      <c r="H98">
        <v>62.09</v>
      </c>
    </row>
    <row r="99" spans="1:8" x14ac:dyDescent="0.25">
      <c r="A99" s="63">
        <f t="shared" si="1"/>
        <v>45024</v>
      </c>
      <c r="B99">
        <v>722.36</v>
      </c>
      <c r="C99">
        <v>85.6</v>
      </c>
      <c r="D99">
        <v>239.05</v>
      </c>
      <c r="E99">
        <v>175.11</v>
      </c>
      <c r="F99">
        <v>67.92</v>
      </c>
      <c r="G99">
        <v>92.34</v>
      </c>
      <c r="H99">
        <v>62.34</v>
      </c>
    </row>
    <row r="100" spans="1:8" x14ac:dyDescent="0.25">
      <c r="A100" s="63">
        <f t="shared" si="1"/>
        <v>45025</v>
      </c>
      <c r="B100">
        <v>842.9</v>
      </c>
      <c r="C100">
        <v>74.650000000000006</v>
      </c>
      <c r="D100">
        <v>342.81</v>
      </c>
      <c r="E100">
        <v>208.33</v>
      </c>
      <c r="F100">
        <v>61.27</v>
      </c>
      <c r="G100">
        <v>93.66</v>
      </c>
      <c r="H100">
        <v>62.18</v>
      </c>
    </row>
    <row r="101" spans="1:8" x14ac:dyDescent="0.25">
      <c r="A101" s="63">
        <f t="shared" si="1"/>
        <v>45026</v>
      </c>
      <c r="B101">
        <v>874.83</v>
      </c>
      <c r="C101">
        <v>97.98</v>
      </c>
      <c r="D101">
        <v>340.56</v>
      </c>
      <c r="E101">
        <v>200.67</v>
      </c>
      <c r="F101">
        <v>87.58</v>
      </c>
      <c r="G101">
        <v>84.16</v>
      </c>
      <c r="H101">
        <v>63.88</v>
      </c>
    </row>
    <row r="102" spans="1:8" x14ac:dyDescent="0.25">
      <c r="A102" s="63">
        <f t="shared" si="1"/>
        <v>45027</v>
      </c>
      <c r="B102">
        <v>825.27</v>
      </c>
      <c r="C102">
        <v>69.55</v>
      </c>
      <c r="D102">
        <v>336.41</v>
      </c>
      <c r="E102">
        <v>167.85999999999999</v>
      </c>
      <c r="F102">
        <v>88.41</v>
      </c>
      <c r="G102">
        <v>98.85</v>
      </c>
      <c r="H102">
        <v>64.19</v>
      </c>
    </row>
    <row r="103" spans="1:8" x14ac:dyDescent="0.25">
      <c r="A103" s="63">
        <f t="shared" si="1"/>
        <v>45028</v>
      </c>
      <c r="B103">
        <v>886.33999999999992</v>
      </c>
      <c r="C103">
        <v>93.01</v>
      </c>
      <c r="D103">
        <v>342.65</v>
      </c>
      <c r="E103">
        <v>194.75</v>
      </c>
      <c r="F103">
        <v>88.43</v>
      </c>
      <c r="G103">
        <v>102.54</v>
      </c>
      <c r="H103">
        <v>64.959999999999994</v>
      </c>
    </row>
    <row r="104" spans="1:8" x14ac:dyDescent="0.25">
      <c r="A104" s="63">
        <f t="shared" si="1"/>
        <v>45029</v>
      </c>
      <c r="B104">
        <v>897.92000000000007</v>
      </c>
      <c r="C104">
        <v>89.2</v>
      </c>
      <c r="D104">
        <v>361.66</v>
      </c>
      <c r="E104">
        <v>218.63</v>
      </c>
      <c r="F104">
        <v>79.150000000000006</v>
      </c>
      <c r="G104">
        <v>94.46</v>
      </c>
      <c r="H104">
        <v>54.82</v>
      </c>
    </row>
    <row r="105" spans="1:8" x14ac:dyDescent="0.25">
      <c r="A105" s="63">
        <f t="shared" si="1"/>
        <v>45030</v>
      </c>
      <c r="B105">
        <v>815.55</v>
      </c>
      <c r="C105">
        <v>54.83</v>
      </c>
      <c r="D105">
        <v>309.19</v>
      </c>
      <c r="E105">
        <v>207.56</v>
      </c>
      <c r="F105">
        <v>106.72</v>
      </c>
      <c r="G105">
        <v>82.649999999999991</v>
      </c>
      <c r="H105">
        <v>54.6</v>
      </c>
    </row>
    <row r="106" spans="1:8" x14ac:dyDescent="0.25">
      <c r="A106" s="63">
        <f t="shared" si="1"/>
        <v>45031</v>
      </c>
      <c r="B106">
        <v>681.85</v>
      </c>
      <c r="C106">
        <v>76.489999999999995</v>
      </c>
      <c r="D106">
        <v>238.89</v>
      </c>
      <c r="E106">
        <v>141.46</v>
      </c>
      <c r="F106">
        <v>96.72</v>
      </c>
      <c r="G106">
        <v>70.3</v>
      </c>
      <c r="H106">
        <v>57.99</v>
      </c>
    </row>
    <row r="107" spans="1:8" x14ac:dyDescent="0.25">
      <c r="A107" s="63">
        <f t="shared" si="1"/>
        <v>45032</v>
      </c>
      <c r="B107">
        <v>806.72000000000014</v>
      </c>
      <c r="C107">
        <v>60.02</v>
      </c>
      <c r="D107">
        <v>334.6</v>
      </c>
      <c r="E107">
        <v>195.82</v>
      </c>
      <c r="F107">
        <v>81.25</v>
      </c>
      <c r="G107">
        <v>76.44</v>
      </c>
      <c r="H107">
        <v>58.59</v>
      </c>
    </row>
    <row r="108" spans="1:8" x14ac:dyDescent="0.25">
      <c r="A108" s="63">
        <f t="shared" si="1"/>
        <v>45033</v>
      </c>
      <c r="B108">
        <v>880.72</v>
      </c>
      <c r="C108">
        <v>73.64</v>
      </c>
      <c r="D108">
        <v>389.7</v>
      </c>
      <c r="E108">
        <v>194.11</v>
      </c>
      <c r="F108">
        <v>77.38</v>
      </c>
      <c r="G108">
        <v>90.16</v>
      </c>
      <c r="H108">
        <v>55.73</v>
      </c>
    </row>
    <row r="109" spans="1:8" x14ac:dyDescent="0.25">
      <c r="A109" s="63">
        <f t="shared" si="1"/>
        <v>45034</v>
      </c>
      <c r="B109">
        <v>901.81</v>
      </c>
      <c r="C109">
        <v>72.459999999999994</v>
      </c>
      <c r="D109">
        <v>359.47</v>
      </c>
      <c r="E109">
        <v>208.57999999999998</v>
      </c>
      <c r="F109">
        <v>87.17</v>
      </c>
      <c r="G109">
        <v>111</v>
      </c>
      <c r="H109">
        <v>63.13</v>
      </c>
    </row>
    <row r="110" spans="1:8" x14ac:dyDescent="0.25">
      <c r="A110" s="63">
        <f t="shared" si="1"/>
        <v>45035</v>
      </c>
      <c r="B110">
        <v>946.02999999999986</v>
      </c>
      <c r="C110">
        <v>92.3</v>
      </c>
      <c r="D110">
        <v>389.39</v>
      </c>
      <c r="E110">
        <v>200.13</v>
      </c>
      <c r="F110">
        <v>94.52</v>
      </c>
      <c r="G110">
        <v>101.8</v>
      </c>
      <c r="H110">
        <v>67.89</v>
      </c>
    </row>
    <row r="111" spans="1:8" x14ac:dyDescent="0.25">
      <c r="A111" s="63">
        <f t="shared" si="1"/>
        <v>45036</v>
      </c>
      <c r="B111">
        <v>870.84</v>
      </c>
      <c r="C111">
        <v>61.19</v>
      </c>
      <c r="D111">
        <v>359.83</v>
      </c>
      <c r="E111">
        <v>202.26</v>
      </c>
      <c r="F111">
        <v>89.58</v>
      </c>
      <c r="G111">
        <v>91.01</v>
      </c>
      <c r="H111">
        <v>66.97</v>
      </c>
    </row>
    <row r="112" spans="1:8" x14ac:dyDescent="0.25">
      <c r="A112" s="63">
        <f t="shared" si="1"/>
        <v>45037</v>
      </c>
      <c r="B112">
        <v>885.46999999999991</v>
      </c>
      <c r="C112">
        <v>83</v>
      </c>
      <c r="D112">
        <v>350.65</v>
      </c>
      <c r="E112">
        <v>210.77</v>
      </c>
      <c r="F112">
        <v>86.14</v>
      </c>
      <c r="G112">
        <v>88.5</v>
      </c>
      <c r="H112">
        <v>66.41</v>
      </c>
    </row>
    <row r="113" spans="1:8" x14ac:dyDescent="0.25">
      <c r="A113" s="63">
        <f t="shared" si="1"/>
        <v>45038</v>
      </c>
      <c r="B113">
        <v>926.50999999999988</v>
      </c>
      <c r="C113">
        <v>97.66</v>
      </c>
      <c r="D113">
        <v>322.52</v>
      </c>
      <c r="E113">
        <v>255.64</v>
      </c>
      <c r="F113">
        <v>99.57</v>
      </c>
      <c r="G113">
        <v>88.11</v>
      </c>
      <c r="H113">
        <v>63.01</v>
      </c>
    </row>
    <row r="114" spans="1:8" x14ac:dyDescent="0.25">
      <c r="A114" s="63">
        <f t="shared" si="1"/>
        <v>45039</v>
      </c>
      <c r="B114">
        <v>847.04000000000008</v>
      </c>
      <c r="C114">
        <v>59.39</v>
      </c>
      <c r="D114">
        <v>350.72</v>
      </c>
      <c r="E114">
        <v>209.03</v>
      </c>
      <c r="F114">
        <v>100.35</v>
      </c>
      <c r="G114">
        <v>64.33</v>
      </c>
      <c r="H114">
        <v>63.22</v>
      </c>
    </row>
    <row r="115" spans="1:8" x14ac:dyDescent="0.25">
      <c r="A115" s="63">
        <f t="shared" si="1"/>
        <v>45040</v>
      </c>
      <c r="B115">
        <v>906.80000000000007</v>
      </c>
      <c r="C115">
        <v>51.510000000000005</v>
      </c>
      <c r="D115">
        <v>400.98</v>
      </c>
      <c r="E115">
        <v>213.95</v>
      </c>
      <c r="F115">
        <v>93.15</v>
      </c>
      <c r="G115">
        <v>80.760000000000005</v>
      </c>
      <c r="H115">
        <v>66.45</v>
      </c>
    </row>
    <row r="116" spans="1:8" x14ac:dyDescent="0.25">
      <c r="A116" s="63">
        <f t="shared" si="1"/>
        <v>45041</v>
      </c>
      <c r="B116">
        <v>965.45999999999992</v>
      </c>
      <c r="C116">
        <v>67.52</v>
      </c>
      <c r="D116">
        <v>389.34</v>
      </c>
      <c r="E116">
        <v>233.08</v>
      </c>
      <c r="F116">
        <v>105.26</v>
      </c>
      <c r="G116">
        <v>107.17</v>
      </c>
      <c r="H116">
        <v>63.09</v>
      </c>
    </row>
    <row r="117" spans="1:8" x14ac:dyDescent="0.25">
      <c r="A117" s="63">
        <f t="shared" si="1"/>
        <v>45042</v>
      </c>
      <c r="B117">
        <v>1012.7499999999999</v>
      </c>
      <c r="C117">
        <v>92.95</v>
      </c>
      <c r="D117">
        <v>412</v>
      </c>
      <c r="E117">
        <v>245.72</v>
      </c>
      <c r="F117">
        <v>89.5</v>
      </c>
      <c r="G117">
        <v>106.17</v>
      </c>
      <c r="H117">
        <v>66.41</v>
      </c>
    </row>
    <row r="118" spans="1:8" x14ac:dyDescent="0.25">
      <c r="A118" s="63">
        <f t="shared" si="1"/>
        <v>45043</v>
      </c>
      <c r="B118">
        <v>946.38</v>
      </c>
      <c r="C118">
        <v>87.37</v>
      </c>
      <c r="D118">
        <v>415.05</v>
      </c>
      <c r="E118">
        <v>199.59</v>
      </c>
      <c r="F118">
        <v>83.86</v>
      </c>
      <c r="G118">
        <v>95.86</v>
      </c>
      <c r="H118">
        <v>64.650000000000006</v>
      </c>
    </row>
    <row r="119" spans="1:8" x14ac:dyDescent="0.25">
      <c r="A119" s="63">
        <f t="shared" si="1"/>
        <v>45044</v>
      </c>
      <c r="B119">
        <v>875.84</v>
      </c>
      <c r="C119">
        <v>61.85</v>
      </c>
      <c r="D119">
        <v>366.11</v>
      </c>
      <c r="E119">
        <v>201.16</v>
      </c>
      <c r="F119">
        <v>96.63</v>
      </c>
      <c r="G119">
        <v>85.37</v>
      </c>
      <c r="H119">
        <v>64.72</v>
      </c>
    </row>
    <row r="120" spans="1:8" x14ac:dyDescent="0.25">
      <c r="A120" s="63">
        <f t="shared" si="1"/>
        <v>45045</v>
      </c>
      <c r="B120">
        <v>867.78</v>
      </c>
      <c r="C120">
        <v>60.01</v>
      </c>
      <c r="D120">
        <v>359.7</v>
      </c>
      <c r="E120">
        <v>209.75</v>
      </c>
      <c r="F120">
        <v>99.27</v>
      </c>
      <c r="G120">
        <v>78.52</v>
      </c>
      <c r="H120">
        <v>60.53</v>
      </c>
    </row>
    <row r="121" spans="1:8" x14ac:dyDescent="0.25">
      <c r="A121" s="63">
        <f t="shared" si="1"/>
        <v>45046</v>
      </c>
      <c r="B121">
        <v>922.21</v>
      </c>
      <c r="C121">
        <v>92.53</v>
      </c>
      <c r="D121">
        <v>353.55</v>
      </c>
      <c r="E121">
        <v>228.03</v>
      </c>
      <c r="F121">
        <v>97.83</v>
      </c>
      <c r="G121">
        <v>87.59</v>
      </c>
      <c r="H121">
        <v>62.68</v>
      </c>
    </row>
    <row r="122" spans="1:8" x14ac:dyDescent="0.25">
      <c r="A122" s="63">
        <f t="shared" si="1"/>
        <v>45047</v>
      </c>
      <c r="B122">
        <v>785.21</v>
      </c>
      <c r="C122">
        <v>90.15</v>
      </c>
      <c r="D122">
        <v>277.52</v>
      </c>
      <c r="E122">
        <v>169.08</v>
      </c>
      <c r="F122">
        <v>98.1</v>
      </c>
      <c r="G122">
        <v>86.07</v>
      </c>
      <c r="H122">
        <v>64.290000000000006</v>
      </c>
    </row>
    <row r="123" spans="1:8" x14ac:dyDescent="0.25">
      <c r="A123" s="63">
        <f t="shared" si="1"/>
        <v>45048</v>
      </c>
      <c r="B123">
        <v>739.53</v>
      </c>
      <c r="C123">
        <v>62.08</v>
      </c>
      <c r="D123">
        <v>249.02</v>
      </c>
      <c r="E123">
        <v>173.05</v>
      </c>
      <c r="F123">
        <v>99.06</v>
      </c>
      <c r="G123">
        <v>91.04</v>
      </c>
      <c r="H123">
        <v>65.28</v>
      </c>
    </row>
    <row r="124" spans="1:8" x14ac:dyDescent="0.25">
      <c r="A124" s="63">
        <f t="shared" si="1"/>
        <v>45049</v>
      </c>
      <c r="B124">
        <v>835.18999999999983</v>
      </c>
      <c r="C124">
        <v>70.94</v>
      </c>
      <c r="D124">
        <v>282.14</v>
      </c>
      <c r="E124">
        <v>232.59</v>
      </c>
      <c r="F124">
        <v>95.89</v>
      </c>
      <c r="G124">
        <v>88.31</v>
      </c>
      <c r="H124">
        <v>65.319999999999993</v>
      </c>
    </row>
    <row r="125" spans="1:8" x14ac:dyDescent="0.25">
      <c r="A125" s="63">
        <f t="shared" si="1"/>
        <v>45050</v>
      </c>
      <c r="B125">
        <v>821.1400000000001</v>
      </c>
      <c r="C125">
        <v>78.849999999999994</v>
      </c>
      <c r="D125">
        <v>254.89</v>
      </c>
      <c r="E125">
        <v>259.51</v>
      </c>
      <c r="F125">
        <v>87.11</v>
      </c>
      <c r="G125">
        <v>76.06</v>
      </c>
      <c r="H125">
        <v>64.72</v>
      </c>
    </row>
    <row r="126" spans="1:8" x14ac:dyDescent="0.25">
      <c r="A126" s="63">
        <f t="shared" si="1"/>
        <v>45051</v>
      </c>
      <c r="B126">
        <v>740.92000000000007</v>
      </c>
      <c r="C126">
        <v>79.930000000000007</v>
      </c>
      <c r="D126">
        <v>237.66</v>
      </c>
      <c r="E126">
        <v>185.95</v>
      </c>
      <c r="F126">
        <v>92.13</v>
      </c>
      <c r="G126">
        <v>78.819999999999993</v>
      </c>
      <c r="H126">
        <v>66.430000000000007</v>
      </c>
    </row>
    <row r="127" spans="1:8" x14ac:dyDescent="0.25">
      <c r="A127" s="63">
        <f t="shared" si="1"/>
        <v>45052</v>
      </c>
      <c r="B127">
        <v>756.47</v>
      </c>
      <c r="C127">
        <v>79.08</v>
      </c>
      <c r="D127">
        <v>252.18</v>
      </c>
      <c r="E127">
        <v>200.06</v>
      </c>
      <c r="F127">
        <v>90.96</v>
      </c>
      <c r="G127">
        <v>72.94</v>
      </c>
      <c r="H127">
        <v>61.25</v>
      </c>
    </row>
    <row r="128" spans="1:8" x14ac:dyDescent="0.25">
      <c r="A128" s="63">
        <f t="shared" si="1"/>
        <v>45053</v>
      </c>
      <c r="B128">
        <v>771.29</v>
      </c>
      <c r="C128">
        <v>76.72</v>
      </c>
      <c r="D128">
        <v>211.61</v>
      </c>
      <c r="E128">
        <v>250.66</v>
      </c>
      <c r="F128">
        <v>87.87</v>
      </c>
      <c r="G128">
        <v>84.99</v>
      </c>
      <c r="H128">
        <v>59.44</v>
      </c>
    </row>
    <row r="129" spans="1:8" x14ac:dyDescent="0.25">
      <c r="A129" s="63">
        <f t="shared" si="1"/>
        <v>45054</v>
      </c>
      <c r="B129">
        <v>759.75</v>
      </c>
      <c r="C129">
        <v>70</v>
      </c>
      <c r="D129">
        <v>234.25</v>
      </c>
      <c r="E129">
        <v>244.95</v>
      </c>
      <c r="F129">
        <v>81.81</v>
      </c>
      <c r="G129">
        <v>68.72</v>
      </c>
      <c r="H129">
        <v>60.02</v>
      </c>
    </row>
    <row r="130" spans="1:8" x14ac:dyDescent="0.25">
      <c r="A130" s="63">
        <f t="shared" si="1"/>
        <v>45055</v>
      </c>
      <c r="B130">
        <v>661.22</v>
      </c>
      <c r="C130">
        <v>56.88</v>
      </c>
      <c r="D130">
        <v>276.48</v>
      </c>
      <c r="E130">
        <v>192.64</v>
      </c>
      <c r="F130">
        <v>65.33</v>
      </c>
      <c r="G130">
        <v>69.89</v>
      </c>
    </row>
    <row r="131" spans="1:8" x14ac:dyDescent="0.25">
      <c r="A131" s="63">
        <f t="shared" si="1"/>
        <v>45056</v>
      </c>
      <c r="B131">
        <v>773.78</v>
      </c>
      <c r="C131">
        <v>62.489999999999995</v>
      </c>
      <c r="D131">
        <v>338</v>
      </c>
      <c r="E131">
        <v>201.42</v>
      </c>
      <c r="F131">
        <v>62.91</v>
      </c>
      <c r="G131">
        <v>65.849999999999994</v>
      </c>
      <c r="H131">
        <v>43.11</v>
      </c>
    </row>
    <row r="132" spans="1:8" x14ac:dyDescent="0.25">
      <c r="A132" s="63">
        <f t="shared" ref="A132:A195" si="2">A131+1</f>
        <v>45057</v>
      </c>
      <c r="B132">
        <v>788.1</v>
      </c>
      <c r="C132">
        <v>95.65</v>
      </c>
      <c r="D132">
        <v>317.63</v>
      </c>
      <c r="E132">
        <v>186.86</v>
      </c>
      <c r="F132">
        <v>66.39</v>
      </c>
      <c r="G132">
        <v>80.61</v>
      </c>
      <c r="H132">
        <v>40.96</v>
      </c>
    </row>
    <row r="133" spans="1:8" x14ac:dyDescent="0.25">
      <c r="A133" s="63">
        <f t="shared" si="2"/>
        <v>45058</v>
      </c>
      <c r="B133">
        <v>706.5</v>
      </c>
      <c r="C133">
        <v>36.17</v>
      </c>
      <c r="D133">
        <v>300.7</v>
      </c>
      <c r="E133">
        <v>189.36</v>
      </c>
      <c r="F133">
        <v>75.3</v>
      </c>
      <c r="G133">
        <v>46.13</v>
      </c>
      <c r="H133">
        <v>58.84</v>
      </c>
    </row>
    <row r="134" spans="1:8" x14ac:dyDescent="0.25">
      <c r="A134" s="63">
        <f t="shared" si="2"/>
        <v>45059</v>
      </c>
      <c r="B134">
        <v>631.12</v>
      </c>
      <c r="C134">
        <v>59.92</v>
      </c>
      <c r="D134">
        <v>225.06</v>
      </c>
      <c r="E134">
        <v>155.19999999999999</v>
      </c>
      <c r="F134">
        <v>78.33</v>
      </c>
      <c r="G134">
        <v>54.03</v>
      </c>
      <c r="H134">
        <v>58.58</v>
      </c>
    </row>
    <row r="135" spans="1:8" x14ac:dyDescent="0.25">
      <c r="A135" s="63">
        <f t="shared" si="2"/>
        <v>45060</v>
      </c>
      <c r="B135">
        <v>590.94999999999993</v>
      </c>
      <c r="C135">
        <v>74.349999999999994</v>
      </c>
      <c r="D135">
        <v>175.12</v>
      </c>
      <c r="E135">
        <v>155.15</v>
      </c>
      <c r="F135">
        <v>80.63</v>
      </c>
      <c r="G135">
        <v>51.52</v>
      </c>
      <c r="H135">
        <v>54.18</v>
      </c>
    </row>
    <row r="136" spans="1:8" x14ac:dyDescent="0.25">
      <c r="A136" s="63">
        <f t="shared" si="2"/>
        <v>45061</v>
      </c>
      <c r="B136">
        <v>799.70999999999992</v>
      </c>
      <c r="C136">
        <v>69.930000000000007</v>
      </c>
      <c r="D136">
        <v>307.19</v>
      </c>
      <c r="E136">
        <v>198.19</v>
      </c>
      <c r="F136">
        <v>79.97</v>
      </c>
      <c r="G136">
        <v>85.26</v>
      </c>
      <c r="H136">
        <v>59.17</v>
      </c>
    </row>
    <row r="137" spans="1:8" x14ac:dyDescent="0.25">
      <c r="A137" s="63">
        <f t="shared" si="2"/>
        <v>45062</v>
      </c>
      <c r="B137">
        <v>860.80000000000007</v>
      </c>
      <c r="C137">
        <v>66.589999999999989</v>
      </c>
      <c r="D137">
        <v>380.5</v>
      </c>
      <c r="E137">
        <v>205.05</v>
      </c>
      <c r="F137">
        <v>71.319999999999993</v>
      </c>
      <c r="G137">
        <v>79.14</v>
      </c>
      <c r="H137">
        <v>58.2</v>
      </c>
    </row>
    <row r="138" spans="1:8" x14ac:dyDescent="0.25">
      <c r="A138" s="63">
        <f t="shared" si="2"/>
        <v>45063</v>
      </c>
      <c r="B138">
        <v>839.31000000000006</v>
      </c>
      <c r="C138">
        <v>72.16</v>
      </c>
      <c r="D138">
        <v>390.44</v>
      </c>
      <c r="E138">
        <v>157.05000000000001</v>
      </c>
      <c r="F138">
        <v>73.53</v>
      </c>
      <c r="G138">
        <v>90.63</v>
      </c>
      <c r="H138">
        <v>55.5</v>
      </c>
    </row>
    <row r="139" spans="1:8" x14ac:dyDescent="0.25">
      <c r="A139" s="63">
        <f t="shared" si="2"/>
        <v>45064</v>
      </c>
      <c r="B139">
        <v>822.9</v>
      </c>
      <c r="C139">
        <v>71.88</v>
      </c>
      <c r="D139">
        <v>347.33</v>
      </c>
      <c r="E139">
        <v>172.38</v>
      </c>
      <c r="F139">
        <v>73.489999999999995</v>
      </c>
      <c r="G139">
        <v>97.11</v>
      </c>
      <c r="H139">
        <v>60.71</v>
      </c>
    </row>
    <row r="140" spans="1:8" x14ac:dyDescent="0.25">
      <c r="A140" s="63">
        <f t="shared" si="2"/>
        <v>45065</v>
      </c>
      <c r="B140">
        <v>842.97</v>
      </c>
      <c r="C140">
        <v>61.42</v>
      </c>
      <c r="D140">
        <v>323.47000000000003</v>
      </c>
      <c r="E140">
        <v>196.54</v>
      </c>
      <c r="F140">
        <v>109.26</v>
      </c>
      <c r="G140">
        <v>85.49</v>
      </c>
      <c r="H140">
        <v>66.790000000000006</v>
      </c>
    </row>
    <row r="141" spans="1:8" x14ac:dyDescent="0.25">
      <c r="A141" s="63">
        <f t="shared" si="2"/>
        <v>45066</v>
      </c>
      <c r="B141">
        <v>802.21999999999991</v>
      </c>
      <c r="C141">
        <v>59.69</v>
      </c>
      <c r="D141">
        <v>309.08</v>
      </c>
      <c r="E141">
        <v>175.24</v>
      </c>
      <c r="F141">
        <v>108.17</v>
      </c>
      <c r="G141">
        <v>83.55</v>
      </c>
      <c r="H141">
        <v>66.489999999999995</v>
      </c>
    </row>
    <row r="142" spans="1:8" x14ac:dyDescent="0.25">
      <c r="A142" s="63">
        <f t="shared" si="2"/>
        <v>45067</v>
      </c>
      <c r="B142">
        <v>831.56</v>
      </c>
      <c r="C142">
        <v>62.03</v>
      </c>
      <c r="D142">
        <v>324.36</v>
      </c>
      <c r="E142">
        <v>184.98</v>
      </c>
      <c r="F142">
        <v>104.29</v>
      </c>
      <c r="G142">
        <v>88.24</v>
      </c>
      <c r="H142">
        <v>67.66</v>
      </c>
    </row>
    <row r="143" spans="1:8" x14ac:dyDescent="0.25">
      <c r="A143" s="63">
        <f t="shared" si="2"/>
        <v>45068</v>
      </c>
      <c r="B143">
        <v>812.46999999999991</v>
      </c>
      <c r="C143">
        <v>88.62</v>
      </c>
      <c r="D143">
        <v>311.70999999999998</v>
      </c>
      <c r="E143">
        <v>165.81</v>
      </c>
      <c r="F143">
        <v>80.66</v>
      </c>
      <c r="G143">
        <v>97.42</v>
      </c>
      <c r="H143">
        <v>68.25</v>
      </c>
    </row>
    <row r="144" spans="1:8" x14ac:dyDescent="0.25">
      <c r="A144" s="63">
        <f t="shared" si="2"/>
        <v>45069</v>
      </c>
      <c r="B144">
        <v>862.1</v>
      </c>
      <c r="C144">
        <v>70.09</v>
      </c>
      <c r="D144">
        <v>370.41</v>
      </c>
      <c r="E144">
        <v>173.98999999999998</v>
      </c>
      <c r="F144">
        <v>84.87</v>
      </c>
      <c r="G144">
        <v>93.33</v>
      </c>
      <c r="H144">
        <v>69.41</v>
      </c>
    </row>
    <row r="145" spans="1:8" x14ac:dyDescent="0.25">
      <c r="A145" s="63">
        <f t="shared" si="2"/>
        <v>45070</v>
      </c>
      <c r="B145">
        <v>932.86000000000013</v>
      </c>
      <c r="C145">
        <v>82.74</v>
      </c>
      <c r="D145">
        <v>387.71</v>
      </c>
      <c r="E145">
        <v>214.03</v>
      </c>
      <c r="F145">
        <v>87.2</v>
      </c>
      <c r="G145">
        <v>94.5</v>
      </c>
      <c r="H145">
        <v>66.680000000000007</v>
      </c>
    </row>
    <row r="146" spans="1:8" x14ac:dyDescent="0.25">
      <c r="A146" s="63">
        <f t="shared" si="2"/>
        <v>45071</v>
      </c>
      <c r="B146">
        <v>838.24</v>
      </c>
      <c r="C146">
        <v>56.45</v>
      </c>
      <c r="D146">
        <v>351.79</v>
      </c>
      <c r="E146">
        <v>189.61</v>
      </c>
      <c r="F146">
        <v>78.63</v>
      </c>
      <c r="G146">
        <v>94.22</v>
      </c>
      <c r="H146">
        <v>67.540000000000006</v>
      </c>
    </row>
    <row r="147" spans="1:8" x14ac:dyDescent="0.25">
      <c r="A147" s="63">
        <f t="shared" si="2"/>
        <v>45072</v>
      </c>
      <c r="B147">
        <v>814.76</v>
      </c>
      <c r="C147">
        <v>76.23</v>
      </c>
      <c r="D147">
        <v>295.04000000000002</v>
      </c>
      <c r="E147">
        <v>189.3</v>
      </c>
      <c r="F147">
        <v>101.61</v>
      </c>
      <c r="G147">
        <v>87.42</v>
      </c>
      <c r="H147">
        <v>65.16</v>
      </c>
    </row>
    <row r="148" spans="1:8" x14ac:dyDescent="0.25">
      <c r="A148" s="63">
        <f t="shared" si="2"/>
        <v>45073</v>
      </c>
      <c r="B148">
        <v>864.21999999999991</v>
      </c>
      <c r="C148">
        <v>103.5</v>
      </c>
      <c r="D148">
        <v>282.52</v>
      </c>
      <c r="E148">
        <v>236.06</v>
      </c>
      <c r="F148">
        <v>98.91</v>
      </c>
      <c r="G148">
        <v>77.45</v>
      </c>
      <c r="H148">
        <v>65.78</v>
      </c>
    </row>
    <row r="149" spans="1:8" x14ac:dyDescent="0.25">
      <c r="A149" s="63">
        <f t="shared" si="2"/>
        <v>45074</v>
      </c>
      <c r="B149">
        <v>797.89</v>
      </c>
      <c r="C149">
        <v>90.43</v>
      </c>
      <c r="D149">
        <v>271.70999999999998</v>
      </c>
      <c r="E149">
        <v>185.73</v>
      </c>
      <c r="F149">
        <v>107.59</v>
      </c>
      <c r="G149">
        <v>76.400000000000006</v>
      </c>
      <c r="H149">
        <v>66.03</v>
      </c>
    </row>
    <row r="150" spans="1:8" x14ac:dyDescent="0.25">
      <c r="A150" s="63">
        <f t="shared" si="2"/>
        <v>45075</v>
      </c>
      <c r="B150">
        <v>790.47</v>
      </c>
      <c r="C150">
        <v>72.349999999999994</v>
      </c>
      <c r="D150">
        <v>302.89</v>
      </c>
      <c r="E150">
        <v>178.25</v>
      </c>
      <c r="F150">
        <v>91.62</v>
      </c>
      <c r="G150">
        <v>77.53</v>
      </c>
      <c r="H150">
        <v>67.83</v>
      </c>
    </row>
    <row r="151" spans="1:8" x14ac:dyDescent="0.25">
      <c r="A151" s="63">
        <f t="shared" si="2"/>
        <v>45076</v>
      </c>
      <c r="B151">
        <v>942.88</v>
      </c>
      <c r="C151">
        <v>102.14</v>
      </c>
      <c r="D151">
        <v>371.68</v>
      </c>
      <c r="E151">
        <v>193.79</v>
      </c>
      <c r="F151">
        <v>102.38</v>
      </c>
      <c r="G151">
        <v>102.92</v>
      </c>
      <c r="H151">
        <v>69.97</v>
      </c>
    </row>
    <row r="152" spans="1:8" x14ac:dyDescent="0.25">
      <c r="A152" s="63">
        <f t="shared" si="2"/>
        <v>45077</v>
      </c>
      <c r="B152">
        <v>902.81</v>
      </c>
      <c r="C152">
        <v>91.5</v>
      </c>
      <c r="D152">
        <v>339.03</v>
      </c>
      <c r="E152">
        <v>213.61</v>
      </c>
      <c r="F152">
        <v>98.1</v>
      </c>
      <c r="G152">
        <v>93.169999999999987</v>
      </c>
      <c r="H152">
        <v>67.400000000000006</v>
      </c>
    </row>
    <row r="153" spans="1:8" x14ac:dyDescent="0.25">
      <c r="A153" s="63">
        <f t="shared" si="2"/>
        <v>45078</v>
      </c>
      <c r="B153">
        <v>932.97</v>
      </c>
      <c r="C153">
        <v>82.46</v>
      </c>
      <c r="D153">
        <v>380.35</v>
      </c>
      <c r="E153">
        <v>236.82</v>
      </c>
      <c r="F153">
        <v>77.3</v>
      </c>
      <c r="G153">
        <v>88.45</v>
      </c>
      <c r="H153">
        <v>67.59</v>
      </c>
    </row>
    <row r="154" spans="1:8" x14ac:dyDescent="0.25">
      <c r="A154" s="63">
        <f t="shared" si="2"/>
        <v>45079</v>
      </c>
      <c r="B154">
        <v>787.30000000000007</v>
      </c>
      <c r="C154">
        <v>66.48</v>
      </c>
      <c r="D154">
        <v>291.14999999999998</v>
      </c>
      <c r="E154">
        <v>191.01</v>
      </c>
      <c r="F154">
        <v>87.95</v>
      </c>
      <c r="G154">
        <v>83.61</v>
      </c>
      <c r="H154">
        <v>67.099999999999994</v>
      </c>
    </row>
    <row r="155" spans="1:8" x14ac:dyDescent="0.25">
      <c r="A155" s="63">
        <f t="shared" si="2"/>
        <v>45080</v>
      </c>
      <c r="B155">
        <v>766.83</v>
      </c>
      <c r="C155">
        <v>44.85</v>
      </c>
      <c r="D155">
        <v>256.79000000000002</v>
      </c>
      <c r="E155">
        <v>216.4</v>
      </c>
      <c r="F155">
        <v>90.3</v>
      </c>
      <c r="G155">
        <v>90.03</v>
      </c>
      <c r="H155">
        <v>68.459999999999994</v>
      </c>
    </row>
    <row r="156" spans="1:8" x14ac:dyDescent="0.25">
      <c r="A156" s="63">
        <f t="shared" si="2"/>
        <v>45081</v>
      </c>
      <c r="B156">
        <v>846.5200000000001</v>
      </c>
      <c r="C156">
        <v>88.76</v>
      </c>
      <c r="D156">
        <v>288.54000000000002</v>
      </c>
      <c r="E156">
        <v>243.85</v>
      </c>
      <c r="F156">
        <v>92.32</v>
      </c>
      <c r="G156">
        <v>78.48</v>
      </c>
      <c r="H156">
        <v>54.57</v>
      </c>
    </row>
    <row r="157" spans="1:8" x14ac:dyDescent="0.25">
      <c r="A157" s="63">
        <f t="shared" si="2"/>
        <v>45082</v>
      </c>
      <c r="B157">
        <v>813.36</v>
      </c>
      <c r="C157">
        <v>60.11</v>
      </c>
      <c r="D157">
        <v>338.31</v>
      </c>
      <c r="E157">
        <v>207.46</v>
      </c>
      <c r="F157">
        <v>78.509999999999991</v>
      </c>
      <c r="G157">
        <v>69.61</v>
      </c>
      <c r="H157">
        <v>59.36</v>
      </c>
    </row>
    <row r="158" spans="1:8" x14ac:dyDescent="0.25">
      <c r="A158" s="63">
        <f t="shared" si="2"/>
        <v>45083</v>
      </c>
      <c r="B158">
        <v>814.83</v>
      </c>
      <c r="C158">
        <v>58.26</v>
      </c>
      <c r="D158">
        <v>326.12</v>
      </c>
      <c r="E158">
        <v>211.67</v>
      </c>
      <c r="F158">
        <v>75.209999999999994</v>
      </c>
      <c r="G158">
        <v>87.1</v>
      </c>
      <c r="H158">
        <v>56.47</v>
      </c>
    </row>
    <row r="159" spans="1:8" x14ac:dyDescent="0.25">
      <c r="A159" s="63">
        <f t="shared" si="2"/>
        <v>45084</v>
      </c>
      <c r="B159">
        <v>892.94</v>
      </c>
      <c r="C159">
        <v>79.010000000000005</v>
      </c>
      <c r="D159">
        <v>354.99</v>
      </c>
      <c r="E159">
        <v>226.56</v>
      </c>
      <c r="F159">
        <v>78.22</v>
      </c>
      <c r="G159">
        <v>92.45</v>
      </c>
      <c r="H159">
        <v>61.71</v>
      </c>
    </row>
    <row r="160" spans="1:8" x14ac:dyDescent="0.25">
      <c r="A160" s="63">
        <f t="shared" si="2"/>
        <v>45085</v>
      </c>
      <c r="B160">
        <v>831.57999999999993</v>
      </c>
      <c r="C160">
        <v>55.61</v>
      </c>
      <c r="D160">
        <v>335.89</v>
      </c>
      <c r="E160">
        <v>215.92</v>
      </c>
      <c r="F160">
        <v>84.77</v>
      </c>
      <c r="G160">
        <v>82.14</v>
      </c>
      <c r="H160">
        <v>57.25</v>
      </c>
    </row>
    <row r="161" spans="1:8" x14ac:dyDescent="0.25">
      <c r="A161" s="63">
        <f t="shared" si="2"/>
        <v>45086</v>
      </c>
      <c r="B161">
        <v>733.06999999999994</v>
      </c>
      <c r="C161">
        <v>75.47</v>
      </c>
      <c r="D161">
        <v>266.83</v>
      </c>
      <c r="E161">
        <v>173.2</v>
      </c>
      <c r="F161">
        <v>78.41</v>
      </c>
      <c r="G161">
        <v>73.8</v>
      </c>
      <c r="H161">
        <v>65.36</v>
      </c>
    </row>
    <row r="162" spans="1:8" x14ac:dyDescent="0.25">
      <c r="A162" s="63">
        <f t="shared" si="2"/>
        <v>45087</v>
      </c>
      <c r="B162">
        <v>597.85</v>
      </c>
      <c r="C162">
        <v>39.42</v>
      </c>
      <c r="D162">
        <v>196.45</v>
      </c>
      <c r="E162">
        <v>148.43</v>
      </c>
      <c r="F162">
        <v>91.39</v>
      </c>
      <c r="G162">
        <v>62.14</v>
      </c>
      <c r="H162">
        <v>60.02</v>
      </c>
    </row>
    <row r="163" spans="1:8" x14ac:dyDescent="0.25">
      <c r="A163" s="63">
        <f t="shared" si="2"/>
        <v>45088</v>
      </c>
      <c r="B163">
        <v>629.74</v>
      </c>
      <c r="C163">
        <v>39.200000000000003</v>
      </c>
      <c r="D163">
        <v>207.9</v>
      </c>
      <c r="E163">
        <v>177.01</v>
      </c>
      <c r="F163">
        <v>83.9</v>
      </c>
      <c r="G163">
        <v>64.92</v>
      </c>
      <c r="H163">
        <v>56.81</v>
      </c>
    </row>
    <row r="164" spans="1:8" x14ac:dyDescent="0.25">
      <c r="A164" s="63">
        <f t="shared" si="2"/>
        <v>45089</v>
      </c>
      <c r="B164">
        <v>632.65000000000009</v>
      </c>
      <c r="C164">
        <v>41.54</v>
      </c>
      <c r="D164">
        <v>217.75</v>
      </c>
      <c r="E164">
        <v>172.28</v>
      </c>
      <c r="F164">
        <v>81.2</v>
      </c>
      <c r="G164">
        <v>64.959999999999994</v>
      </c>
      <c r="H164">
        <v>54.92</v>
      </c>
    </row>
    <row r="165" spans="1:8" x14ac:dyDescent="0.25">
      <c r="A165" s="63">
        <f t="shared" si="2"/>
        <v>45090</v>
      </c>
      <c r="B165">
        <v>805.82</v>
      </c>
      <c r="C165">
        <v>85.86</v>
      </c>
      <c r="D165">
        <v>273.72000000000003</v>
      </c>
      <c r="E165">
        <v>224.19</v>
      </c>
      <c r="F165">
        <v>86.44</v>
      </c>
      <c r="G165">
        <v>70.150000000000006</v>
      </c>
      <c r="H165">
        <v>65.459999999999994</v>
      </c>
    </row>
    <row r="166" spans="1:8" x14ac:dyDescent="0.25">
      <c r="A166" s="63">
        <f t="shared" si="2"/>
        <v>45091</v>
      </c>
      <c r="B166">
        <v>751.20999999999992</v>
      </c>
      <c r="C166">
        <v>59.77</v>
      </c>
      <c r="D166">
        <v>326.57</v>
      </c>
      <c r="E166">
        <v>153.29</v>
      </c>
      <c r="F166">
        <v>65.739999999999995</v>
      </c>
      <c r="G166">
        <v>82.79</v>
      </c>
      <c r="H166">
        <v>63.05</v>
      </c>
    </row>
    <row r="167" spans="1:8" x14ac:dyDescent="0.25">
      <c r="A167" s="63">
        <f t="shared" si="2"/>
        <v>45092</v>
      </c>
      <c r="B167">
        <v>823.6099999999999</v>
      </c>
      <c r="C167">
        <v>60.72</v>
      </c>
      <c r="D167">
        <v>333.01</v>
      </c>
      <c r="E167">
        <v>202.82</v>
      </c>
      <c r="F167">
        <v>83.66</v>
      </c>
      <c r="G167">
        <v>80.349999999999994</v>
      </c>
      <c r="H167">
        <v>63.05</v>
      </c>
    </row>
    <row r="168" spans="1:8" x14ac:dyDescent="0.25">
      <c r="A168" s="63">
        <f t="shared" si="2"/>
        <v>45093</v>
      </c>
      <c r="B168">
        <v>835.12</v>
      </c>
      <c r="C168">
        <v>83.98</v>
      </c>
      <c r="D168">
        <v>305.36</v>
      </c>
      <c r="E168">
        <v>202.17</v>
      </c>
      <c r="F168">
        <v>89.7</v>
      </c>
      <c r="G168">
        <v>85.27</v>
      </c>
      <c r="H168">
        <v>68.64</v>
      </c>
    </row>
    <row r="169" spans="1:8" x14ac:dyDescent="0.25">
      <c r="A169" s="63">
        <f t="shared" si="2"/>
        <v>45094</v>
      </c>
      <c r="B169">
        <v>773.39</v>
      </c>
      <c r="C169">
        <v>72.209999999999994</v>
      </c>
      <c r="D169">
        <v>253.01</v>
      </c>
      <c r="E169">
        <v>223.4</v>
      </c>
      <c r="F169">
        <v>93.24</v>
      </c>
      <c r="G169">
        <v>64</v>
      </c>
      <c r="H169">
        <v>67.53</v>
      </c>
    </row>
    <row r="170" spans="1:8" x14ac:dyDescent="0.25">
      <c r="A170" s="63">
        <f t="shared" si="2"/>
        <v>45095</v>
      </c>
      <c r="B170">
        <v>833.45999999999992</v>
      </c>
      <c r="C170">
        <v>69.88</v>
      </c>
      <c r="D170">
        <v>311.88</v>
      </c>
      <c r="E170">
        <v>215.92</v>
      </c>
      <c r="F170">
        <v>85.68</v>
      </c>
      <c r="G170">
        <v>84.18</v>
      </c>
      <c r="H170">
        <v>65.92</v>
      </c>
    </row>
    <row r="171" spans="1:8" x14ac:dyDescent="0.25">
      <c r="A171" s="63">
        <f t="shared" si="2"/>
        <v>45096</v>
      </c>
      <c r="B171">
        <v>986.08999999999992</v>
      </c>
      <c r="C171">
        <v>76.23</v>
      </c>
      <c r="D171">
        <v>408.57</v>
      </c>
      <c r="E171">
        <v>236.14</v>
      </c>
      <c r="F171">
        <v>92.57</v>
      </c>
      <c r="G171">
        <v>104.66</v>
      </c>
      <c r="H171">
        <v>67.92</v>
      </c>
    </row>
    <row r="172" spans="1:8" x14ac:dyDescent="0.25">
      <c r="A172" s="63">
        <f t="shared" si="2"/>
        <v>45097</v>
      </c>
      <c r="B172">
        <v>978.34999999999991</v>
      </c>
      <c r="C172">
        <v>82.13</v>
      </c>
      <c r="D172">
        <v>414.84</v>
      </c>
      <c r="E172">
        <v>223.01</v>
      </c>
      <c r="F172">
        <v>90.24</v>
      </c>
      <c r="G172">
        <v>101.82</v>
      </c>
      <c r="H172">
        <v>66.31</v>
      </c>
    </row>
    <row r="173" spans="1:8" x14ac:dyDescent="0.25">
      <c r="A173" s="63">
        <f t="shared" si="2"/>
        <v>45098</v>
      </c>
      <c r="B173">
        <v>968.72</v>
      </c>
      <c r="C173">
        <v>89.12</v>
      </c>
      <c r="D173">
        <v>383.89</v>
      </c>
      <c r="E173">
        <v>238.9</v>
      </c>
      <c r="F173">
        <v>98.46</v>
      </c>
      <c r="G173">
        <v>92.01</v>
      </c>
      <c r="H173">
        <v>66.34</v>
      </c>
    </row>
    <row r="174" spans="1:8" x14ac:dyDescent="0.25">
      <c r="A174" s="63">
        <f t="shared" si="2"/>
        <v>45099</v>
      </c>
      <c r="B174">
        <v>932.66</v>
      </c>
      <c r="C174">
        <v>78.2</v>
      </c>
      <c r="D174">
        <v>375.06</v>
      </c>
      <c r="E174">
        <v>231</v>
      </c>
      <c r="F174">
        <v>83.38</v>
      </c>
      <c r="G174">
        <v>100.63</v>
      </c>
      <c r="H174">
        <v>64.39</v>
      </c>
    </row>
    <row r="175" spans="1:8" x14ac:dyDescent="0.25">
      <c r="A175" s="63">
        <f t="shared" si="2"/>
        <v>45100</v>
      </c>
      <c r="B175">
        <v>1030.42</v>
      </c>
      <c r="C175">
        <v>106.5</v>
      </c>
      <c r="D175">
        <v>414.17</v>
      </c>
      <c r="E175">
        <v>242.14</v>
      </c>
      <c r="F175">
        <v>100.15</v>
      </c>
      <c r="G175">
        <v>97.8</v>
      </c>
      <c r="H175">
        <v>69.66</v>
      </c>
    </row>
    <row r="176" spans="1:8" x14ac:dyDescent="0.25">
      <c r="A176" s="63">
        <f t="shared" si="2"/>
        <v>45101</v>
      </c>
      <c r="B176">
        <v>1040.79</v>
      </c>
      <c r="C176">
        <v>114.66</v>
      </c>
      <c r="D176">
        <v>411.26</v>
      </c>
      <c r="E176">
        <v>251.82</v>
      </c>
      <c r="F176">
        <v>92.4</v>
      </c>
      <c r="G176">
        <v>102.14</v>
      </c>
      <c r="H176">
        <v>68.510000000000005</v>
      </c>
    </row>
    <row r="177" spans="1:8" x14ac:dyDescent="0.25">
      <c r="A177" s="63">
        <f t="shared" si="2"/>
        <v>45102</v>
      </c>
      <c r="B177">
        <v>975.40000000000009</v>
      </c>
      <c r="C177">
        <v>92.87</v>
      </c>
      <c r="D177">
        <v>390.78</v>
      </c>
      <c r="E177">
        <v>228.55</v>
      </c>
      <c r="F177">
        <v>98.86</v>
      </c>
      <c r="G177">
        <v>101.33</v>
      </c>
      <c r="H177">
        <v>63.01</v>
      </c>
    </row>
    <row r="178" spans="1:8" x14ac:dyDescent="0.25">
      <c r="A178" s="63">
        <f t="shared" si="2"/>
        <v>45103</v>
      </c>
      <c r="B178">
        <v>984.36000000000013</v>
      </c>
      <c r="C178">
        <v>86.05</v>
      </c>
      <c r="D178">
        <v>395.8</v>
      </c>
      <c r="E178">
        <v>241.12</v>
      </c>
      <c r="F178">
        <v>90.46</v>
      </c>
      <c r="G178">
        <v>100.34</v>
      </c>
      <c r="H178">
        <v>70.59</v>
      </c>
    </row>
    <row r="179" spans="1:8" x14ac:dyDescent="0.25">
      <c r="A179" s="63">
        <f t="shared" si="2"/>
        <v>45104</v>
      </c>
      <c r="B179">
        <v>1069.81</v>
      </c>
      <c r="C179">
        <v>91.68</v>
      </c>
      <c r="D179">
        <v>414.05</v>
      </c>
      <c r="E179">
        <v>268.83</v>
      </c>
      <c r="F179">
        <v>106.55</v>
      </c>
      <c r="G179">
        <v>116.17</v>
      </c>
      <c r="H179">
        <v>72.53</v>
      </c>
    </row>
    <row r="180" spans="1:8" x14ac:dyDescent="0.25">
      <c r="A180" s="63">
        <f t="shared" si="2"/>
        <v>45105</v>
      </c>
      <c r="B180">
        <v>1034.94</v>
      </c>
      <c r="C180">
        <v>89.36</v>
      </c>
      <c r="D180">
        <v>426.02</v>
      </c>
      <c r="E180">
        <v>235.84</v>
      </c>
      <c r="F180">
        <v>97.33</v>
      </c>
      <c r="G180">
        <v>112.92</v>
      </c>
      <c r="H180">
        <v>73.47</v>
      </c>
    </row>
    <row r="181" spans="1:8" x14ac:dyDescent="0.25">
      <c r="A181" s="63">
        <f t="shared" si="2"/>
        <v>45106</v>
      </c>
      <c r="B181">
        <v>1052.97</v>
      </c>
      <c r="C181">
        <v>82.14</v>
      </c>
      <c r="D181">
        <v>443.29</v>
      </c>
      <c r="E181">
        <v>247.54000000000002</v>
      </c>
      <c r="F181">
        <v>103.83000000000001</v>
      </c>
      <c r="G181">
        <v>104.14</v>
      </c>
      <c r="H181">
        <v>72.03</v>
      </c>
    </row>
    <row r="182" spans="1:8" x14ac:dyDescent="0.25">
      <c r="A182" s="63">
        <f t="shared" si="2"/>
        <v>45107</v>
      </c>
      <c r="B182">
        <v>1040.4000000000001</v>
      </c>
      <c r="C182">
        <v>88.35</v>
      </c>
      <c r="D182">
        <v>425.59</v>
      </c>
      <c r="E182">
        <v>250.6</v>
      </c>
      <c r="F182">
        <v>96.7</v>
      </c>
      <c r="G182">
        <v>111.48</v>
      </c>
      <c r="H182">
        <v>67.680000000000007</v>
      </c>
    </row>
    <row r="183" spans="1:8" x14ac:dyDescent="0.25">
      <c r="A183" s="63">
        <f t="shared" si="2"/>
        <v>45108</v>
      </c>
      <c r="B183">
        <v>938.18000000000006</v>
      </c>
      <c r="C183">
        <v>62.61</v>
      </c>
      <c r="D183">
        <v>405.71</v>
      </c>
      <c r="E183">
        <v>204.14</v>
      </c>
      <c r="F183">
        <v>89.97</v>
      </c>
      <c r="G183">
        <v>106.68</v>
      </c>
      <c r="H183">
        <v>69.069999999999993</v>
      </c>
    </row>
    <row r="184" spans="1:8" x14ac:dyDescent="0.25">
      <c r="A184" s="63">
        <f t="shared" si="2"/>
        <v>45109</v>
      </c>
      <c r="B184">
        <v>1056.0600000000002</v>
      </c>
      <c r="C184">
        <v>108.11</v>
      </c>
      <c r="D184">
        <v>456.98</v>
      </c>
      <c r="E184">
        <v>214.09</v>
      </c>
      <c r="F184">
        <v>99.72</v>
      </c>
      <c r="G184">
        <v>108.4</v>
      </c>
      <c r="H184">
        <v>68.760000000000005</v>
      </c>
    </row>
    <row r="185" spans="1:8" x14ac:dyDescent="0.25">
      <c r="A185" s="63">
        <f t="shared" si="2"/>
        <v>45110</v>
      </c>
      <c r="B185">
        <v>1032.8</v>
      </c>
      <c r="C185">
        <v>97.76</v>
      </c>
      <c r="D185">
        <v>434.37</v>
      </c>
      <c r="E185">
        <v>241.86</v>
      </c>
      <c r="F185">
        <v>85.66</v>
      </c>
      <c r="G185">
        <v>101.64</v>
      </c>
      <c r="H185">
        <v>71.510000000000005</v>
      </c>
    </row>
    <row r="186" spans="1:8" x14ac:dyDescent="0.25">
      <c r="A186" s="63">
        <f t="shared" si="2"/>
        <v>45111</v>
      </c>
      <c r="B186">
        <v>992.8</v>
      </c>
      <c r="C186">
        <v>80.19</v>
      </c>
      <c r="D186">
        <v>400.01</v>
      </c>
      <c r="E186">
        <v>223.03</v>
      </c>
      <c r="F186">
        <v>106.41</v>
      </c>
      <c r="G186">
        <v>116.48</v>
      </c>
      <c r="H186">
        <v>66.680000000000007</v>
      </c>
    </row>
    <row r="187" spans="1:8" x14ac:dyDescent="0.25">
      <c r="A187" s="63">
        <f t="shared" si="2"/>
        <v>45112</v>
      </c>
      <c r="B187">
        <v>977.55</v>
      </c>
      <c r="C187">
        <v>101.07</v>
      </c>
      <c r="D187">
        <v>404.51</v>
      </c>
      <c r="E187">
        <v>191</v>
      </c>
      <c r="F187">
        <v>101.31</v>
      </c>
      <c r="G187">
        <v>112.23</v>
      </c>
      <c r="H187">
        <v>67.430000000000007</v>
      </c>
    </row>
    <row r="188" spans="1:8" x14ac:dyDescent="0.25">
      <c r="A188" s="63">
        <f t="shared" si="2"/>
        <v>45113</v>
      </c>
      <c r="B188">
        <v>1075.24</v>
      </c>
      <c r="C188">
        <v>113.02</v>
      </c>
      <c r="D188">
        <v>450.96</v>
      </c>
      <c r="E188">
        <v>228.13</v>
      </c>
      <c r="F188">
        <v>106.18</v>
      </c>
      <c r="G188">
        <v>104.06</v>
      </c>
      <c r="H188">
        <v>72.89</v>
      </c>
    </row>
    <row r="189" spans="1:8" x14ac:dyDescent="0.25">
      <c r="A189" s="63">
        <f t="shared" si="2"/>
        <v>45114</v>
      </c>
      <c r="B189">
        <v>991.14</v>
      </c>
      <c r="C189">
        <v>80.069999999999993</v>
      </c>
      <c r="D189">
        <v>426.6</v>
      </c>
      <c r="E189">
        <v>216.81</v>
      </c>
      <c r="F189">
        <v>102.03</v>
      </c>
      <c r="G189">
        <v>99.04</v>
      </c>
      <c r="H189">
        <v>66.59</v>
      </c>
    </row>
    <row r="190" spans="1:8" x14ac:dyDescent="0.25">
      <c r="A190" s="63">
        <f t="shared" si="2"/>
        <v>45115</v>
      </c>
      <c r="B190">
        <v>1014.6400000000001</v>
      </c>
      <c r="C190">
        <v>96.47</v>
      </c>
      <c r="D190">
        <v>400.23</v>
      </c>
      <c r="E190">
        <v>260.95999999999998</v>
      </c>
      <c r="F190">
        <v>89.61</v>
      </c>
      <c r="G190">
        <v>96.88</v>
      </c>
      <c r="H190">
        <v>70.489999999999995</v>
      </c>
    </row>
    <row r="191" spans="1:8" x14ac:dyDescent="0.25">
      <c r="A191" s="63">
        <f t="shared" si="2"/>
        <v>45116</v>
      </c>
      <c r="B191">
        <v>992.67</v>
      </c>
      <c r="C191">
        <v>87.47</v>
      </c>
      <c r="D191">
        <v>435.39</v>
      </c>
      <c r="E191">
        <v>231.79</v>
      </c>
      <c r="F191">
        <v>74.5</v>
      </c>
      <c r="G191">
        <v>102.18</v>
      </c>
      <c r="H191">
        <v>61.34</v>
      </c>
    </row>
    <row r="192" spans="1:8" x14ac:dyDescent="0.25">
      <c r="A192" s="63">
        <f t="shared" si="2"/>
        <v>45117</v>
      </c>
      <c r="B192">
        <v>981.51</v>
      </c>
      <c r="C192">
        <v>96.62</v>
      </c>
      <c r="D192">
        <v>408.2</v>
      </c>
      <c r="E192">
        <v>209.23</v>
      </c>
      <c r="F192">
        <v>88.97</v>
      </c>
      <c r="G192">
        <v>108.71</v>
      </c>
      <c r="H192">
        <v>69.78</v>
      </c>
    </row>
    <row r="193" spans="1:8" x14ac:dyDescent="0.25">
      <c r="A193" s="63">
        <f t="shared" si="2"/>
        <v>45118</v>
      </c>
      <c r="B193">
        <v>967.32999999999993</v>
      </c>
      <c r="C193">
        <v>90.77</v>
      </c>
      <c r="D193">
        <v>393.16</v>
      </c>
      <c r="E193">
        <v>224.56</v>
      </c>
      <c r="F193">
        <v>89.5</v>
      </c>
      <c r="G193">
        <v>100.67</v>
      </c>
      <c r="H193">
        <v>68.67</v>
      </c>
    </row>
    <row r="194" spans="1:8" x14ac:dyDescent="0.25">
      <c r="A194" s="63">
        <f t="shared" si="2"/>
        <v>45119</v>
      </c>
      <c r="B194">
        <v>958.28</v>
      </c>
      <c r="C194">
        <v>86.38</v>
      </c>
      <c r="D194">
        <v>435.44</v>
      </c>
      <c r="E194">
        <v>173.13</v>
      </c>
      <c r="F194">
        <v>96.85</v>
      </c>
      <c r="G194">
        <v>106.96</v>
      </c>
      <c r="H194">
        <v>59.52</v>
      </c>
    </row>
    <row r="195" spans="1:8" x14ac:dyDescent="0.25">
      <c r="A195" s="63">
        <f t="shared" si="2"/>
        <v>45120</v>
      </c>
      <c r="B195">
        <v>962.62000000000012</v>
      </c>
      <c r="C195">
        <v>107.51</v>
      </c>
      <c r="D195">
        <v>382.17</v>
      </c>
      <c r="E195">
        <v>222.24</v>
      </c>
      <c r="F195">
        <v>84.73</v>
      </c>
      <c r="G195">
        <v>98.73</v>
      </c>
      <c r="H195">
        <v>67.239999999999995</v>
      </c>
    </row>
    <row r="196" spans="1:8" x14ac:dyDescent="0.25">
      <c r="A196" s="63">
        <f t="shared" ref="A196:A259" si="3">A195+1</f>
        <v>45121</v>
      </c>
      <c r="B196">
        <v>679.37</v>
      </c>
      <c r="C196">
        <v>45.62</v>
      </c>
      <c r="D196">
        <v>208.3</v>
      </c>
      <c r="E196">
        <v>234.83</v>
      </c>
      <c r="F196">
        <v>68.5</v>
      </c>
      <c r="G196">
        <v>83.45</v>
      </c>
      <c r="H196">
        <v>38.67</v>
      </c>
    </row>
    <row r="197" spans="1:8" x14ac:dyDescent="0.25">
      <c r="A197" s="63">
        <f t="shared" si="3"/>
        <v>45122</v>
      </c>
      <c r="B197">
        <v>598.54</v>
      </c>
      <c r="C197">
        <v>30.06</v>
      </c>
      <c r="D197">
        <v>186.67</v>
      </c>
      <c r="E197">
        <v>211.83</v>
      </c>
      <c r="F197">
        <v>63.47</v>
      </c>
      <c r="G197">
        <v>70.02</v>
      </c>
      <c r="H197">
        <v>36.49</v>
      </c>
    </row>
    <row r="198" spans="1:8" x14ac:dyDescent="0.25">
      <c r="A198" s="63">
        <f t="shared" si="3"/>
        <v>45123</v>
      </c>
      <c r="B198">
        <v>681.01</v>
      </c>
      <c r="C198">
        <v>29.98</v>
      </c>
      <c r="D198">
        <v>200.27</v>
      </c>
      <c r="E198">
        <v>273.83</v>
      </c>
      <c r="F198">
        <v>66.16</v>
      </c>
      <c r="G198">
        <v>75.63</v>
      </c>
      <c r="H198">
        <v>35.14</v>
      </c>
    </row>
    <row r="199" spans="1:8" x14ac:dyDescent="0.25">
      <c r="A199" s="63">
        <f t="shared" si="3"/>
        <v>45124</v>
      </c>
      <c r="B199">
        <v>785.06000000000006</v>
      </c>
      <c r="C199">
        <v>50.32</v>
      </c>
      <c r="D199">
        <v>320.16000000000003</v>
      </c>
      <c r="E199">
        <v>227.22</v>
      </c>
      <c r="F199">
        <v>72.63</v>
      </c>
      <c r="G199">
        <v>75.819999999999993</v>
      </c>
      <c r="H199">
        <v>38.909999999999997</v>
      </c>
    </row>
    <row r="200" spans="1:8" x14ac:dyDescent="0.25">
      <c r="A200" s="63">
        <f t="shared" si="3"/>
        <v>45125</v>
      </c>
      <c r="B200">
        <v>888.18000000000006</v>
      </c>
      <c r="C200">
        <v>71.569999999999993</v>
      </c>
      <c r="D200">
        <v>339.25</v>
      </c>
      <c r="E200">
        <v>269.68</v>
      </c>
      <c r="F200">
        <v>73.52</v>
      </c>
      <c r="G200">
        <v>96.44</v>
      </c>
      <c r="H200">
        <v>37.72</v>
      </c>
    </row>
    <row r="201" spans="1:8" x14ac:dyDescent="0.25">
      <c r="A201" s="63">
        <f t="shared" si="3"/>
        <v>45126</v>
      </c>
      <c r="B201">
        <v>866.57</v>
      </c>
      <c r="C201">
        <v>77.09</v>
      </c>
      <c r="D201">
        <v>326.87</v>
      </c>
      <c r="E201">
        <v>266.55</v>
      </c>
      <c r="F201">
        <v>80.349999999999994</v>
      </c>
      <c r="G201">
        <v>80.569999999999993</v>
      </c>
      <c r="H201">
        <v>35.14</v>
      </c>
    </row>
    <row r="202" spans="1:8" x14ac:dyDescent="0.25">
      <c r="A202" s="63">
        <f t="shared" si="3"/>
        <v>45127</v>
      </c>
      <c r="B202">
        <v>853.86</v>
      </c>
      <c r="C202">
        <v>76.239999999999995</v>
      </c>
      <c r="D202">
        <v>324.66000000000003</v>
      </c>
      <c r="E202">
        <v>267.16000000000003</v>
      </c>
      <c r="F202">
        <v>74.680000000000007</v>
      </c>
      <c r="G202">
        <v>77.260000000000005</v>
      </c>
      <c r="H202">
        <v>33.86</v>
      </c>
    </row>
    <row r="203" spans="1:8" x14ac:dyDescent="0.25">
      <c r="A203" s="63">
        <f t="shared" si="3"/>
        <v>45128</v>
      </c>
      <c r="B203">
        <v>1031.32</v>
      </c>
      <c r="C203">
        <v>80.28</v>
      </c>
      <c r="D203">
        <v>404.25</v>
      </c>
      <c r="E203">
        <v>270.04000000000002</v>
      </c>
      <c r="F203">
        <v>98.08</v>
      </c>
      <c r="G203">
        <v>120.26</v>
      </c>
      <c r="H203">
        <v>58.41</v>
      </c>
    </row>
    <row r="204" spans="1:8" x14ac:dyDescent="0.25">
      <c r="A204" s="63">
        <f t="shared" si="3"/>
        <v>45129</v>
      </c>
      <c r="B204">
        <v>1115.6999999999998</v>
      </c>
      <c r="C204">
        <v>104.3</v>
      </c>
      <c r="D204">
        <v>451.02</v>
      </c>
      <c r="E204">
        <v>279.32</v>
      </c>
      <c r="F204">
        <v>99.49</v>
      </c>
      <c r="G204">
        <v>123.13</v>
      </c>
      <c r="H204">
        <v>58.44</v>
      </c>
    </row>
    <row r="205" spans="1:8" x14ac:dyDescent="0.25">
      <c r="A205" s="63">
        <f t="shared" si="3"/>
        <v>45130</v>
      </c>
      <c r="B205">
        <v>1065.31</v>
      </c>
      <c r="C205">
        <v>104.26</v>
      </c>
      <c r="D205">
        <v>429.34</v>
      </c>
      <c r="E205">
        <v>255.38</v>
      </c>
      <c r="F205">
        <v>90.67</v>
      </c>
      <c r="G205">
        <v>125.36</v>
      </c>
      <c r="H205">
        <v>60.3</v>
      </c>
    </row>
    <row r="206" spans="1:8" x14ac:dyDescent="0.25">
      <c r="A206" s="63">
        <f t="shared" si="3"/>
        <v>45131</v>
      </c>
      <c r="B206">
        <v>1049.28</v>
      </c>
      <c r="C206">
        <v>99.23</v>
      </c>
      <c r="D206">
        <v>402.73</v>
      </c>
      <c r="E206">
        <v>270.02</v>
      </c>
      <c r="F206">
        <v>98.26</v>
      </c>
      <c r="G206">
        <v>122.77</v>
      </c>
      <c r="H206">
        <v>56.27</v>
      </c>
    </row>
    <row r="207" spans="1:8" x14ac:dyDescent="0.25">
      <c r="A207" s="63">
        <f t="shared" si="3"/>
        <v>45132</v>
      </c>
      <c r="B207">
        <v>1124.01</v>
      </c>
      <c r="C207">
        <v>104.86</v>
      </c>
      <c r="D207">
        <v>438.7</v>
      </c>
      <c r="E207">
        <v>305.08999999999997</v>
      </c>
      <c r="F207">
        <v>98.76</v>
      </c>
      <c r="G207">
        <v>121.94</v>
      </c>
      <c r="H207">
        <v>54.66</v>
      </c>
    </row>
    <row r="208" spans="1:8" x14ac:dyDescent="0.25">
      <c r="A208" s="63">
        <f t="shared" si="3"/>
        <v>45133</v>
      </c>
      <c r="B208">
        <v>1114.42</v>
      </c>
      <c r="C208">
        <v>102.22</v>
      </c>
      <c r="D208">
        <v>454.13</v>
      </c>
      <c r="E208">
        <v>274.19</v>
      </c>
      <c r="F208">
        <v>96.35</v>
      </c>
      <c r="G208">
        <v>118.86</v>
      </c>
      <c r="H208">
        <v>68.67</v>
      </c>
    </row>
    <row r="209" spans="1:8" x14ac:dyDescent="0.25">
      <c r="A209" s="63">
        <f t="shared" si="3"/>
        <v>45134</v>
      </c>
      <c r="B209">
        <v>1106.3800000000001</v>
      </c>
      <c r="C209">
        <v>86.06</v>
      </c>
      <c r="D209">
        <v>454.49</v>
      </c>
      <c r="E209">
        <v>297.70999999999998</v>
      </c>
      <c r="F209">
        <v>92.44</v>
      </c>
      <c r="G209">
        <v>106.17</v>
      </c>
      <c r="H209">
        <v>69.510000000000005</v>
      </c>
    </row>
    <row r="210" spans="1:8" x14ac:dyDescent="0.25">
      <c r="A210" s="63">
        <f t="shared" si="3"/>
        <v>45135</v>
      </c>
      <c r="B210">
        <v>1093.9399999999998</v>
      </c>
      <c r="C210">
        <v>82.48</v>
      </c>
      <c r="D210">
        <v>439.14</v>
      </c>
      <c r="E210">
        <v>283.77999999999997</v>
      </c>
      <c r="F210">
        <v>98.39</v>
      </c>
      <c r="G210">
        <v>120.83</v>
      </c>
      <c r="H210">
        <v>69.319999999999993</v>
      </c>
    </row>
    <row r="211" spans="1:8" x14ac:dyDescent="0.25">
      <c r="A211" s="63">
        <f t="shared" si="3"/>
        <v>45136</v>
      </c>
      <c r="B211">
        <v>1015.03</v>
      </c>
      <c r="C211">
        <v>91.84</v>
      </c>
      <c r="D211">
        <v>418.01</v>
      </c>
      <c r="E211">
        <v>238.44</v>
      </c>
      <c r="F211">
        <v>89.7</v>
      </c>
      <c r="G211">
        <v>111.22</v>
      </c>
      <c r="H211">
        <v>65.819999999999993</v>
      </c>
    </row>
    <row r="212" spans="1:8" x14ac:dyDescent="0.25">
      <c r="A212" s="63">
        <f t="shared" si="3"/>
        <v>45137</v>
      </c>
      <c r="B212">
        <v>1125.3300000000002</v>
      </c>
      <c r="C212">
        <v>102.17</v>
      </c>
      <c r="D212">
        <v>449.81</v>
      </c>
      <c r="E212">
        <v>300.2</v>
      </c>
      <c r="F212">
        <v>100.53</v>
      </c>
      <c r="G212">
        <v>107.16</v>
      </c>
      <c r="H212">
        <v>65.459999999999994</v>
      </c>
    </row>
    <row r="213" spans="1:8" x14ac:dyDescent="0.25">
      <c r="A213" s="63">
        <f t="shared" si="3"/>
        <v>45138</v>
      </c>
      <c r="B213">
        <v>1099.98</v>
      </c>
      <c r="C213">
        <v>106.22</v>
      </c>
      <c r="D213">
        <v>436.74</v>
      </c>
      <c r="E213">
        <v>293.13</v>
      </c>
      <c r="F213">
        <v>83.55</v>
      </c>
      <c r="G213">
        <v>112.76</v>
      </c>
      <c r="H213">
        <v>67.58</v>
      </c>
    </row>
    <row r="214" spans="1:8" x14ac:dyDescent="0.25">
      <c r="A214" s="63">
        <f t="shared" si="3"/>
        <v>45139</v>
      </c>
      <c r="B214">
        <v>1110.3</v>
      </c>
      <c r="C214">
        <v>91.64</v>
      </c>
      <c r="D214">
        <v>455.63</v>
      </c>
      <c r="E214">
        <v>287.35000000000002</v>
      </c>
      <c r="F214">
        <v>103.45</v>
      </c>
      <c r="G214">
        <v>110.18</v>
      </c>
      <c r="H214">
        <v>62.05</v>
      </c>
    </row>
    <row r="215" spans="1:8" x14ac:dyDescent="0.25">
      <c r="A215" s="63">
        <f t="shared" si="3"/>
        <v>45140</v>
      </c>
      <c r="B215">
        <v>1039.82</v>
      </c>
      <c r="C215">
        <v>94.47</v>
      </c>
      <c r="D215">
        <v>415.31</v>
      </c>
      <c r="E215">
        <v>254.65</v>
      </c>
      <c r="F215">
        <v>101.57</v>
      </c>
      <c r="G215">
        <v>109.85</v>
      </c>
      <c r="H215">
        <v>63.97</v>
      </c>
    </row>
    <row r="216" spans="1:8" x14ac:dyDescent="0.25">
      <c r="A216" s="63">
        <f t="shared" si="3"/>
        <v>45141</v>
      </c>
      <c r="B216">
        <v>1076.45</v>
      </c>
      <c r="C216">
        <v>94.65</v>
      </c>
      <c r="D216">
        <v>451.35</v>
      </c>
      <c r="E216">
        <v>280.85000000000002</v>
      </c>
      <c r="F216">
        <v>82.67</v>
      </c>
      <c r="G216">
        <v>104.49</v>
      </c>
      <c r="H216">
        <v>62.44</v>
      </c>
    </row>
    <row r="217" spans="1:8" x14ac:dyDescent="0.25">
      <c r="A217" s="63">
        <f t="shared" si="3"/>
        <v>45142</v>
      </c>
      <c r="B217">
        <v>1032.24</v>
      </c>
      <c r="C217">
        <v>79.28</v>
      </c>
      <c r="D217">
        <v>393.86</v>
      </c>
      <c r="E217">
        <v>294.27999999999997</v>
      </c>
      <c r="F217">
        <v>99.01</v>
      </c>
      <c r="G217">
        <v>94.73</v>
      </c>
      <c r="H217">
        <v>71.08</v>
      </c>
    </row>
    <row r="218" spans="1:8" x14ac:dyDescent="0.25">
      <c r="A218" s="63">
        <f t="shared" si="3"/>
        <v>45143</v>
      </c>
      <c r="B218">
        <v>1066.52</v>
      </c>
      <c r="C218">
        <v>93.49</v>
      </c>
      <c r="D218">
        <v>414.19</v>
      </c>
      <c r="E218">
        <v>286.63</v>
      </c>
      <c r="F218">
        <v>94.92</v>
      </c>
      <c r="G218">
        <v>109.73</v>
      </c>
      <c r="H218">
        <v>67.56</v>
      </c>
    </row>
    <row r="219" spans="1:8" x14ac:dyDescent="0.25">
      <c r="A219" s="63">
        <f t="shared" si="3"/>
        <v>45144</v>
      </c>
      <c r="B219">
        <v>1041.6699999999998</v>
      </c>
      <c r="C219">
        <v>104.9</v>
      </c>
      <c r="D219">
        <v>366.02</v>
      </c>
      <c r="E219">
        <v>291.14999999999998</v>
      </c>
      <c r="F219">
        <v>99.24</v>
      </c>
      <c r="G219">
        <v>113.05</v>
      </c>
      <c r="H219">
        <v>67.31</v>
      </c>
    </row>
    <row r="220" spans="1:8" x14ac:dyDescent="0.25">
      <c r="A220" s="63">
        <f t="shared" si="3"/>
        <v>45145</v>
      </c>
      <c r="B220">
        <v>1124.51</v>
      </c>
      <c r="C220">
        <v>119.73</v>
      </c>
      <c r="D220">
        <v>465.87</v>
      </c>
      <c r="E220">
        <v>263.33</v>
      </c>
      <c r="F220">
        <v>85.22</v>
      </c>
      <c r="G220">
        <v>118.54</v>
      </c>
      <c r="H220">
        <v>71.819999999999993</v>
      </c>
    </row>
    <row r="221" spans="1:8" x14ac:dyDescent="0.25">
      <c r="A221" s="63">
        <f t="shared" si="3"/>
        <v>45146</v>
      </c>
      <c r="B221">
        <v>1057.9099999999999</v>
      </c>
      <c r="C221">
        <v>100.77</v>
      </c>
      <c r="D221">
        <v>409.3</v>
      </c>
      <c r="E221">
        <v>279.81</v>
      </c>
      <c r="F221">
        <v>88.28</v>
      </c>
      <c r="G221">
        <v>113.88</v>
      </c>
      <c r="H221">
        <v>65.87</v>
      </c>
    </row>
    <row r="222" spans="1:8" x14ac:dyDescent="0.25">
      <c r="A222" s="63">
        <f t="shared" si="3"/>
        <v>45147</v>
      </c>
      <c r="B222">
        <v>1014.68</v>
      </c>
      <c r="C222">
        <v>85.43</v>
      </c>
      <c r="D222">
        <v>408.41</v>
      </c>
      <c r="E222">
        <v>252.37</v>
      </c>
      <c r="F222">
        <v>98.41</v>
      </c>
      <c r="G222">
        <v>106.29</v>
      </c>
      <c r="H222">
        <v>63.77</v>
      </c>
    </row>
    <row r="223" spans="1:8" x14ac:dyDescent="0.25">
      <c r="A223" s="63">
        <f t="shared" si="3"/>
        <v>45148</v>
      </c>
      <c r="B223">
        <v>1109.3700000000001</v>
      </c>
      <c r="C223">
        <v>120.92</v>
      </c>
      <c r="D223">
        <v>435.47</v>
      </c>
      <c r="E223">
        <v>277.58</v>
      </c>
      <c r="F223">
        <v>89.55</v>
      </c>
      <c r="G223">
        <v>125.17</v>
      </c>
      <c r="H223">
        <v>60.68</v>
      </c>
    </row>
    <row r="224" spans="1:8" x14ac:dyDescent="0.25">
      <c r="A224" s="63">
        <f t="shared" si="3"/>
        <v>45149</v>
      </c>
      <c r="B224">
        <v>1096.71</v>
      </c>
      <c r="C224">
        <v>92.27</v>
      </c>
      <c r="D224">
        <v>447.85</v>
      </c>
      <c r="E224">
        <v>286.77999999999997</v>
      </c>
      <c r="F224">
        <v>91.190000000000012</v>
      </c>
      <c r="G224">
        <v>114.73</v>
      </c>
      <c r="H224">
        <v>63.89</v>
      </c>
    </row>
    <row r="225" spans="1:8" x14ac:dyDescent="0.25">
      <c r="A225" s="63">
        <f t="shared" si="3"/>
        <v>45150</v>
      </c>
      <c r="B225">
        <v>1061.28</v>
      </c>
      <c r="C225">
        <v>87.35</v>
      </c>
      <c r="D225">
        <v>416.54</v>
      </c>
      <c r="E225">
        <v>296.13</v>
      </c>
      <c r="F225">
        <v>79.59</v>
      </c>
      <c r="G225">
        <v>117.45</v>
      </c>
      <c r="H225">
        <v>64.22</v>
      </c>
    </row>
    <row r="226" spans="1:8" x14ac:dyDescent="0.25">
      <c r="A226" s="63">
        <f t="shared" si="3"/>
        <v>45151</v>
      </c>
      <c r="B226">
        <v>1099.33</v>
      </c>
      <c r="C226">
        <v>105.99</v>
      </c>
      <c r="D226">
        <v>435.31</v>
      </c>
      <c r="E226">
        <v>278.05</v>
      </c>
      <c r="F226">
        <v>89.6</v>
      </c>
      <c r="G226">
        <v>125.75</v>
      </c>
      <c r="H226">
        <v>64.63</v>
      </c>
    </row>
    <row r="227" spans="1:8" x14ac:dyDescent="0.25">
      <c r="A227" s="63">
        <f t="shared" si="3"/>
        <v>45152</v>
      </c>
      <c r="B227">
        <v>1031.1600000000001</v>
      </c>
      <c r="C227">
        <v>95.49</v>
      </c>
      <c r="D227">
        <v>409.6</v>
      </c>
      <c r="E227">
        <v>272.8</v>
      </c>
      <c r="F227">
        <v>83.01</v>
      </c>
      <c r="G227">
        <v>102.54</v>
      </c>
      <c r="H227">
        <v>67.72</v>
      </c>
    </row>
    <row r="228" spans="1:8" x14ac:dyDescent="0.25">
      <c r="A228" s="63">
        <f t="shared" si="3"/>
        <v>45153</v>
      </c>
      <c r="B228">
        <v>1055.54</v>
      </c>
      <c r="C228">
        <v>95.37</v>
      </c>
      <c r="D228">
        <v>414.26</v>
      </c>
      <c r="E228">
        <v>251.4</v>
      </c>
      <c r="F228">
        <v>98.15</v>
      </c>
      <c r="G228">
        <v>126.52</v>
      </c>
      <c r="H228">
        <v>69.84</v>
      </c>
    </row>
    <row r="229" spans="1:8" x14ac:dyDescent="0.25">
      <c r="A229" s="63">
        <f t="shared" si="3"/>
        <v>45154</v>
      </c>
      <c r="B229">
        <v>1033.9000000000001</v>
      </c>
      <c r="C229">
        <v>95.98</v>
      </c>
      <c r="D229">
        <v>400.82</v>
      </c>
      <c r="E229">
        <v>266.72000000000003</v>
      </c>
      <c r="F229">
        <v>91.25</v>
      </c>
      <c r="G229">
        <v>109.34</v>
      </c>
      <c r="H229">
        <v>69.790000000000006</v>
      </c>
    </row>
    <row r="230" spans="1:8" x14ac:dyDescent="0.25">
      <c r="A230" s="63">
        <f t="shared" si="3"/>
        <v>45155</v>
      </c>
      <c r="B230">
        <v>1030.04</v>
      </c>
      <c r="C230">
        <v>97.38</v>
      </c>
      <c r="D230">
        <v>384.94</v>
      </c>
      <c r="E230">
        <v>274.67</v>
      </c>
      <c r="F230">
        <v>94.37</v>
      </c>
      <c r="G230">
        <v>111.05000000000001</v>
      </c>
      <c r="H230">
        <v>67.63</v>
      </c>
    </row>
    <row r="231" spans="1:8" x14ac:dyDescent="0.25">
      <c r="A231" s="63">
        <f t="shared" si="3"/>
        <v>45156</v>
      </c>
      <c r="B231">
        <v>1045.95</v>
      </c>
      <c r="C231">
        <v>94.47</v>
      </c>
      <c r="D231">
        <v>403.77</v>
      </c>
      <c r="E231">
        <v>270.82</v>
      </c>
      <c r="F231">
        <v>82.41</v>
      </c>
      <c r="G231">
        <v>128.56</v>
      </c>
      <c r="H231">
        <v>65.92</v>
      </c>
    </row>
    <row r="232" spans="1:8" x14ac:dyDescent="0.25">
      <c r="A232" s="63">
        <f t="shared" si="3"/>
        <v>45157</v>
      </c>
      <c r="B232">
        <v>1054.5700000000002</v>
      </c>
      <c r="C232">
        <v>106.46</v>
      </c>
      <c r="D232">
        <v>395.99</v>
      </c>
      <c r="E232">
        <v>281.22000000000003</v>
      </c>
      <c r="F232">
        <v>87.98</v>
      </c>
      <c r="G232">
        <v>117.29</v>
      </c>
      <c r="H232">
        <v>65.63</v>
      </c>
    </row>
    <row r="233" spans="1:8" x14ac:dyDescent="0.25">
      <c r="A233" s="63">
        <f t="shared" si="3"/>
        <v>45158</v>
      </c>
      <c r="B233">
        <v>1114.52</v>
      </c>
      <c r="C233">
        <v>104.03</v>
      </c>
      <c r="D233">
        <v>453.02</v>
      </c>
      <c r="E233">
        <v>280.44</v>
      </c>
      <c r="F233">
        <v>98.28</v>
      </c>
      <c r="G233">
        <v>110.59</v>
      </c>
      <c r="H233">
        <v>68.16</v>
      </c>
    </row>
    <row r="234" spans="1:8" x14ac:dyDescent="0.25">
      <c r="A234" s="63">
        <f t="shared" si="3"/>
        <v>45159</v>
      </c>
      <c r="B234">
        <v>1016.99</v>
      </c>
      <c r="C234">
        <v>106.04</v>
      </c>
      <c r="D234">
        <v>376.99</v>
      </c>
      <c r="E234">
        <v>266.94</v>
      </c>
      <c r="F234">
        <v>85.94</v>
      </c>
      <c r="G234">
        <v>110.64</v>
      </c>
      <c r="H234">
        <v>70.44</v>
      </c>
    </row>
    <row r="235" spans="1:8" x14ac:dyDescent="0.25">
      <c r="A235" s="63">
        <f t="shared" si="3"/>
        <v>45160</v>
      </c>
      <c r="B235">
        <v>1066.1100000000001</v>
      </c>
      <c r="C235">
        <v>105.75</v>
      </c>
      <c r="D235">
        <v>419.21</v>
      </c>
      <c r="E235">
        <v>257.95999999999998</v>
      </c>
      <c r="F235">
        <v>92.33</v>
      </c>
      <c r="G235">
        <v>120.35</v>
      </c>
      <c r="H235">
        <v>70.510000000000005</v>
      </c>
    </row>
    <row r="236" spans="1:8" x14ac:dyDescent="0.25">
      <c r="A236" s="63">
        <f t="shared" si="3"/>
        <v>45161</v>
      </c>
      <c r="B236">
        <v>1013.36</v>
      </c>
      <c r="C236">
        <v>77.180000000000007</v>
      </c>
      <c r="D236">
        <v>418.57</v>
      </c>
      <c r="E236">
        <v>246.25</v>
      </c>
      <c r="F236">
        <v>85.96</v>
      </c>
      <c r="G236">
        <v>115.23</v>
      </c>
      <c r="H236">
        <v>70.17</v>
      </c>
    </row>
    <row r="237" spans="1:8" x14ac:dyDescent="0.25">
      <c r="A237" s="63">
        <f t="shared" si="3"/>
        <v>45162</v>
      </c>
      <c r="B237">
        <v>1053.6399999999999</v>
      </c>
      <c r="C237">
        <v>105.87</v>
      </c>
      <c r="D237">
        <v>409.68</v>
      </c>
      <c r="E237">
        <v>261.39</v>
      </c>
      <c r="F237">
        <v>91.11</v>
      </c>
      <c r="G237">
        <v>113.14999999999999</v>
      </c>
      <c r="H237">
        <v>72.44</v>
      </c>
    </row>
    <row r="238" spans="1:8" x14ac:dyDescent="0.25">
      <c r="A238" s="63">
        <f t="shared" si="3"/>
        <v>45163</v>
      </c>
      <c r="B238">
        <v>1044.56</v>
      </c>
      <c r="C238">
        <v>63.08</v>
      </c>
      <c r="D238">
        <v>412.01</v>
      </c>
      <c r="E238">
        <v>289.87</v>
      </c>
      <c r="F238">
        <v>93.41</v>
      </c>
      <c r="G238">
        <v>115.73</v>
      </c>
      <c r="H238">
        <v>70.459999999999994</v>
      </c>
    </row>
    <row r="239" spans="1:8" x14ac:dyDescent="0.25">
      <c r="A239" s="63">
        <f t="shared" si="3"/>
        <v>45164</v>
      </c>
      <c r="B239">
        <v>994.73</v>
      </c>
      <c r="C239">
        <v>112.41</v>
      </c>
      <c r="D239">
        <v>337.02</v>
      </c>
      <c r="E239">
        <v>273.73</v>
      </c>
      <c r="F239">
        <v>95.01</v>
      </c>
      <c r="G239">
        <v>105.97</v>
      </c>
      <c r="H239">
        <v>70.59</v>
      </c>
    </row>
    <row r="240" spans="1:8" x14ac:dyDescent="0.25">
      <c r="A240" s="63">
        <f t="shared" si="3"/>
        <v>45165</v>
      </c>
      <c r="B240">
        <v>1132.28</v>
      </c>
      <c r="C240">
        <v>106.34</v>
      </c>
      <c r="D240">
        <v>452.63</v>
      </c>
      <c r="E240">
        <v>280.85000000000002</v>
      </c>
      <c r="F240">
        <v>100.2</v>
      </c>
      <c r="G240">
        <v>123.15</v>
      </c>
      <c r="H240">
        <v>69.11</v>
      </c>
    </row>
    <row r="241" spans="1:8" x14ac:dyDescent="0.25">
      <c r="A241" s="63">
        <f t="shared" si="3"/>
        <v>45166</v>
      </c>
      <c r="B241">
        <v>1087.6600000000001</v>
      </c>
      <c r="C241">
        <v>120.19</v>
      </c>
      <c r="D241">
        <v>407.89</v>
      </c>
      <c r="E241">
        <v>260.95</v>
      </c>
      <c r="F241">
        <v>110.27000000000001</v>
      </c>
      <c r="G241">
        <v>117.94</v>
      </c>
      <c r="H241">
        <v>70.42</v>
      </c>
    </row>
    <row r="242" spans="1:8" x14ac:dyDescent="0.25">
      <c r="A242" s="63">
        <f t="shared" si="3"/>
        <v>45167</v>
      </c>
      <c r="B242">
        <v>1056.73</v>
      </c>
      <c r="C242">
        <v>91.55</v>
      </c>
      <c r="D242">
        <v>422.68</v>
      </c>
      <c r="E242">
        <v>262.72000000000003</v>
      </c>
      <c r="F242">
        <v>95.09</v>
      </c>
      <c r="G242">
        <v>115.02000000000001</v>
      </c>
      <c r="H242">
        <v>69.67</v>
      </c>
    </row>
    <row r="243" spans="1:8" x14ac:dyDescent="0.25">
      <c r="A243" s="63">
        <f t="shared" si="3"/>
        <v>45168</v>
      </c>
      <c r="B243">
        <v>1103.2</v>
      </c>
      <c r="C243">
        <v>91.26</v>
      </c>
      <c r="D243">
        <v>434</v>
      </c>
      <c r="E243">
        <v>282.27999999999997</v>
      </c>
      <c r="F243">
        <v>105.93</v>
      </c>
      <c r="G243">
        <v>124.39999999999999</v>
      </c>
      <c r="H243">
        <v>65.33</v>
      </c>
    </row>
    <row r="244" spans="1:8" x14ac:dyDescent="0.25">
      <c r="A244" s="63">
        <f t="shared" si="3"/>
        <v>45169</v>
      </c>
      <c r="B244">
        <v>1153.53</v>
      </c>
      <c r="C244">
        <v>127.07</v>
      </c>
      <c r="D244">
        <v>446.38</v>
      </c>
      <c r="E244">
        <v>281.38</v>
      </c>
      <c r="F244">
        <v>109.67</v>
      </c>
      <c r="G244">
        <v>116.2</v>
      </c>
      <c r="H244">
        <v>72.83</v>
      </c>
    </row>
    <row r="245" spans="1:8" x14ac:dyDescent="0.25">
      <c r="A245" s="63">
        <f t="shared" si="3"/>
        <v>45170</v>
      </c>
      <c r="B245">
        <v>1067.9100000000001</v>
      </c>
      <c r="C245">
        <v>114.26</v>
      </c>
      <c r="D245">
        <v>384.06</v>
      </c>
      <c r="E245">
        <v>286.45999999999998</v>
      </c>
      <c r="F245">
        <v>102.19</v>
      </c>
      <c r="G245">
        <v>110.83</v>
      </c>
      <c r="H245">
        <v>70.11</v>
      </c>
    </row>
    <row r="246" spans="1:8" x14ac:dyDescent="0.25">
      <c r="A246" s="63">
        <f t="shared" si="3"/>
        <v>45171</v>
      </c>
      <c r="B246">
        <v>1021.3100000000001</v>
      </c>
      <c r="C246">
        <v>89.44</v>
      </c>
      <c r="D246">
        <v>404.6</v>
      </c>
      <c r="E246">
        <v>249.84</v>
      </c>
      <c r="F246">
        <v>102.81</v>
      </c>
      <c r="G246">
        <v>104.62</v>
      </c>
      <c r="H246">
        <v>70</v>
      </c>
    </row>
    <row r="247" spans="1:8" x14ac:dyDescent="0.25">
      <c r="A247" s="63">
        <f t="shared" si="3"/>
        <v>45172</v>
      </c>
      <c r="B247">
        <v>1029.74</v>
      </c>
      <c r="C247">
        <v>65.489999999999995</v>
      </c>
      <c r="D247">
        <v>408.44</v>
      </c>
      <c r="E247">
        <v>287.18</v>
      </c>
      <c r="F247">
        <v>98.66</v>
      </c>
      <c r="G247">
        <v>100.95</v>
      </c>
      <c r="H247">
        <v>69.02</v>
      </c>
    </row>
    <row r="248" spans="1:8" x14ac:dyDescent="0.25">
      <c r="A248" s="63">
        <f t="shared" si="3"/>
        <v>45173</v>
      </c>
      <c r="B248">
        <v>1146.57</v>
      </c>
      <c r="C248">
        <v>111.85</v>
      </c>
      <c r="D248">
        <v>462.61</v>
      </c>
      <c r="E248">
        <v>281.32</v>
      </c>
      <c r="F248">
        <v>111.13</v>
      </c>
      <c r="G248">
        <v>110.36</v>
      </c>
      <c r="H248">
        <v>69.3</v>
      </c>
    </row>
    <row r="249" spans="1:8" x14ac:dyDescent="0.25">
      <c r="A249" s="63">
        <f t="shared" si="3"/>
        <v>45174</v>
      </c>
      <c r="B249">
        <v>1028.6699999999998</v>
      </c>
      <c r="C249">
        <v>104.41</v>
      </c>
      <c r="D249">
        <v>374.03</v>
      </c>
      <c r="E249">
        <v>270.7</v>
      </c>
      <c r="F249">
        <v>109.57</v>
      </c>
      <c r="G249">
        <v>102.28</v>
      </c>
      <c r="H249">
        <v>67.680000000000007</v>
      </c>
    </row>
    <row r="250" spans="1:8" x14ac:dyDescent="0.25">
      <c r="A250" s="63">
        <f t="shared" si="3"/>
        <v>45175</v>
      </c>
      <c r="B250">
        <v>993.45999999999992</v>
      </c>
      <c r="C250">
        <v>83.99</v>
      </c>
      <c r="D250">
        <v>392.81</v>
      </c>
      <c r="E250">
        <v>257.08999999999997</v>
      </c>
      <c r="F250">
        <v>97.75</v>
      </c>
      <c r="G250">
        <v>97.69</v>
      </c>
      <c r="H250">
        <v>64.13000000000001</v>
      </c>
    </row>
    <row r="251" spans="1:8" x14ac:dyDescent="0.25">
      <c r="A251" s="63">
        <f t="shared" si="3"/>
        <v>45176</v>
      </c>
      <c r="B251">
        <v>1090.06</v>
      </c>
      <c r="C251">
        <v>107.93</v>
      </c>
      <c r="D251">
        <v>412.74</v>
      </c>
      <c r="E251">
        <v>281.52999999999997</v>
      </c>
      <c r="F251">
        <v>105.13</v>
      </c>
      <c r="G251">
        <v>119.68</v>
      </c>
      <c r="H251">
        <v>63.05</v>
      </c>
    </row>
    <row r="252" spans="1:8" x14ac:dyDescent="0.25">
      <c r="A252" s="63">
        <f t="shared" si="3"/>
        <v>45177</v>
      </c>
      <c r="B252">
        <v>1132.0700000000002</v>
      </c>
      <c r="C252">
        <v>115.19</v>
      </c>
      <c r="D252">
        <v>444.03</v>
      </c>
      <c r="E252">
        <v>282.22000000000003</v>
      </c>
      <c r="F252">
        <v>120.97</v>
      </c>
      <c r="G252">
        <v>101.39</v>
      </c>
      <c r="H252">
        <v>68.27</v>
      </c>
    </row>
    <row r="253" spans="1:8" x14ac:dyDescent="0.25">
      <c r="A253" s="63">
        <f t="shared" si="3"/>
        <v>45178</v>
      </c>
      <c r="B253">
        <v>1155.92</v>
      </c>
      <c r="C253">
        <v>95.68</v>
      </c>
      <c r="D253">
        <v>459.92</v>
      </c>
      <c r="E253">
        <v>306.60000000000002</v>
      </c>
      <c r="F253">
        <v>117.7</v>
      </c>
      <c r="G253">
        <v>109.59</v>
      </c>
      <c r="H253">
        <v>66.430000000000007</v>
      </c>
    </row>
    <row r="254" spans="1:8" x14ac:dyDescent="0.25">
      <c r="A254" s="63">
        <f t="shared" si="3"/>
        <v>45179</v>
      </c>
      <c r="B254">
        <v>1040.28</v>
      </c>
      <c r="C254">
        <v>80.14</v>
      </c>
      <c r="D254">
        <v>411.2</v>
      </c>
      <c r="E254">
        <v>269.19</v>
      </c>
      <c r="F254">
        <v>107.85</v>
      </c>
      <c r="G254">
        <v>105.02</v>
      </c>
      <c r="H254">
        <v>66.88</v>
      </c>
    </row>
    <row r="255" spans="1:8" x14ac:dyDescent="0.25">
      <c r="A255" s="63">
        <f t="shared" si="3"/>
        <v>45180</v>
      </c>
      <c r="B255">
        <v>1120.2099999999998</v>
      </c>
      <c r="C255">
        <v>100.23</v>
      </c>
      <c r="D255">
        <v>421.88</v>
      </c>
      <c r="E255">
        <v>295.64999999999998</v>
      </c>
      <c r="F255">
        <v>115.66</v>
      </c>
      <c r="G255">
        <v>115.21000000000001</v>
      </c>
      <c r="H255">
        <v>71.58</v>
      </c>
    </row>
    <row r="256" spans="1:8" x14ac:dyDescent="0.25">
      <c r="A256" s="63">
        <f t="shared" si="3"/>
        <v>45181</v>
      </c>
      <c r="B256">
        <v>1145.96</v>
      </c>
      <c r="C256">
        <v>104.26</v>
      </c>
      <c r="D256">
        <v>437.36</v>
      </c>
      <c r="E256">
        <v>288.89999999999998</v>
      </c>
      <c r="F256">
        <v>118.28</v>
      </c>
      <c r="G256">
        <v>126.54</v>
      </c>
      <c r="H256">
        <v>70.62</v>
      </c>
    </row>
    <row r="257" spans="1:8" x14ac:dyDescent="0.25">
      <c r="A257" s="63">
        <f t="shared" si="3"/>
        <v>45182</v>
      </c>
      <c r="B257">
        <v>1102.08</v>
      </c>
      <c r="C257">
        <v>90.42</v>
      </c>
      <c r="D257">
        <v>445.85</v>
      </c>
      <c r="E257">
        <v>262.58999999999997</v>
      </c>
      <c r="F257">
        <v>113.27</v>
      </c>
      <c r="G257">
        <v>117.54</v>
      </c>
      <c r="H257">
        <v>72.41</v>
      </c>
    </row>
    <row r="258" spans="1:8" x14ac:dyDescent="0.25">
      <c r="A258" s="63">
        <f t="shared" si="3"/>
        <v>45183</v>
      </c>
      <c r="B258">
        <v>1095</v>
      </c>
      <c r="C258">
        <v>95.38</v>
      </c>
      <c r="D258">
        <v>417.87</v>
      </c>
      <c r="E258">
        <v>282.37</v>
      </c>
      <c r="F258">
        <v>106.43</v>
      </c>
      <c r="G258">
        <v>120.79</v>
      </c>
      <c r="H258">
        <v>72.16</v>
      </c>
    </row>
    <row r="259" spans="1:8" x14ac:dyDescent="0.25">
      <c r="A259" s="63">
        <f t="shared" si="3"/>
        <v>45184</v>
      </c>
      <c r="B259">
        <v>1047.54</v>
      </c>
      <c r="C259">
        <v>79.900000000000006</v>
      </c>
      <c r="D259">
        <v>387.31</v>
      </c>
      <c r="E259">
        <v>284.22000000000003</v>
      </c>
      <c r="F259">
        <v>110.14</v>
      </c>
      <c r="G259">
        <v>117.38</v>
      </c>
      <c r="H259">
        <v>68.59</v>
      </c>
    </row>
    <row r="260" spans="1:8" x14ac:dyDescent="0.25">
      <c r="A260" s="63">
        <f t="shared" ref="A260:A323" si="4">A259+1</f>
        <v>45185</v>
      </c>
      <c r="B260">
        <v>1072.8499999999999</v>
      </c>
      <c r="C260">
        <v>97.2</v>
      </c>
      <c r="D260">
        <v>432.25</v>
      </c>
      <c r="E260">
        <v>259.02999999999997</v>
      </c>
      <c r="F260">
        <v>101.13</v>
      </c>
      <c r="G260">
        <v>113.91</v>
      </c>
      <c r="H260">
        <v>69.33</v>
      </c>
    </row>
    <row r="261" spans="1:8" x14ac:dyDescent="0.25">
      <c r="A261" s="63">
        <f t="shared" si="4"/>
        <v>45186</v>
      </c>
      <c r="B261">
        <v>970.27</v>
      </c>
      <c r="C261">
        <v>82.27</v>
      </c>
      <c r="D261">
        <v>352.39</v>
      </c>
      <c r="E261">
        <v>261.85000000000002</v>
      </c>
      <c r="F261">
        <v>89.77</v>
      </c>
      <c r="G261">
        <v>115.3</v>
      </c>
      <c r="H261">
        <v>68.69</v>
      </c>
    </row>
    <row r="262" spans="1:8" x14ac:dyDescent="0.25">
      <c r="A262" s="63">
        <f t="shared" si="4"/>
        <v>45187</v>
      </c>
      <c r="B262">
        <v>993.55000000000007</v>
      </c>
      <c r="C262">
        <v>98.61</v>
      </c>
      <c r="D262">
        <v>376.61</v>
      </c>
      <c r="E262">
        <v>251.35000000000002</v>
      </c>
      <c r="F262">
        <v>86.55</v>
      </c>
      <c r="G262">
        <v>113.11</v>
      </c>
      <c r="H262">
        <v>67.320000000000007</v>
      </c>
    </row>
    <row r="263" spans="1:8" x14ac:dyDescent="0.25">
      <c r="A263" s="63">
        <f t="shared" si="4"/>
        <v>45188</v>
      </c>
      <c r="B263">
        <v>1083.6600000000001</v>
      </c>
      <c r="C263">
        <v>98.72</v>
      </c>
      <c r="D263">
        <v>425.22</v>
      </c>
      <c r="E263">
        <v>282.91000000000003</v>
      </c>
      <c r="F263">
        <v>93.09</v>
      </c>
      <c r="G263">
        <v>117.16</v>
      </c>
      <c r="H263">
        <v>66.56</v>
      </c>
    </row>
    <row r="264" spans="1:8" x14ac:dyDescent="0.25">
      <c r="A264" s="63">
        <f t="shared" si="4"/>
        <v>45189</v>
      </c>
      <c r="B264">
        <v>1118.51</v>
      </c>
      <c r="C264">
        <v>112.81</v>
      </c>
      <c r="D264">
        <v>454.71</v>
      </c>
      <c r="E264">
        <v>268.76</v>
      </c>
      <c r="F264">
        <v>86.32</v>
      </c>
      <c r="G264">
        <v>132.61000000000001</v>
      </c>
      <c r="H264">
        <v>63.3</v>
      </c>
    </row>
    <row r="265" spans="1:8" x14ac:dyDescent="0.25">
      <c r="A265" s="63">
        <f t="shared" si="4"/>
        <v>45190</v>
      </c>
      <c r="B265">
        <v>1080.79</v>
      </c>
      <c r="C265">
        <v>120.18</v>
      </c>
      <c r="D265">
        <v>419.52</v>
      </c>
      <c r="E265">
        <v>258.97000000000003</v>
      </c>
      <c r="F265">
        <v>96.06</v>
      </c>
      <c r="G265">
        <v>121.27</v>
      </c>
      <c r="H265">
        <v>64.790000000000006</v>
      </c>
    </row>
    <row r="266" spans="1:8" x14ac:dyDescent="0.25">
      <c r="A266" s="63">
        <f t="shared" si="4"/>
        <v>45191</v>
      </c>
      <c r="B266">
        <v>1053.6399999999999</v>
      </c>
      <c r="C266">
        <v>107.3</v>
      </c>
      <c r="D266">
        <v>369.18</v>
      </c>
      <c r="E266">
        <v>292.89999999999998</v>
      </c>
      <c r="F266">
        <v>100.43</v>
      </c>
      <c r="G266">
        <v>116.15</v>
      </c>
      <c r="H266">
        <v>67.680000000000007</v>
      </c>
    </row>
    <row r="267" spans="1:8" x14ac:dyDescent="0.25">
      <c r="A267" s="63">
        <f t="shared" si="4"/>
        <v>45192</v>
      </c>
      <c r="B267">
        <v>1008.99</v>
      </c>
      <c r="C267">
        <v>108.08</v>
      </c>
      <c r="D267">
        <v>382.44</v>
      </c>
      <c r="E267">
        <v>242.27</v>
      </c>
      <c r="F267">
        <v>100.54</v>
      </c>
      <c r="G267">
        <v>111.84</v>
      </c>
      <c r="H267">
        <v>63.82</v>
      </c>
    </row>
    <row r="268" spans="1:8" x14ac:dyDescent="0.25">
      <c r="A268" s="63">
        <f t="shared" si="4"/>
        <v>45193</v>
      </c>
      <c r="B268">
        <v>1095.7099999999998</v>
      </c>
      <c r="C268">
        <v>113.69</v>
      </c>
      <c r="D268">
        <v>398.17</v>
      </c>
      <c r="E268">
        <v>291.76</v>
      </c>
      <c r="F268">
        <v>107.51</v>
      </c>
      <c r="G268">
        <v>119.24</v>
      </c>
      <c r="H268">
        <v>65.34</v>
      </c>
    </row>
    <row r="269" spans="1:8" x14ac:dyDescent="0.25">
      <c r="A269" s="63">
        <f t="shared" si="4"/>
        <v>45194</v>
      </c>
      <c r="B269">
        <v>1086.79</v>
      </c>
      <c r="C269">
        <v>110.13</v>
      </c>
      <c r="D269">
        <v>424.95</v>
      </c>
      <c r="E269">
        <v>263.02</v>
      </c>
      <c r="F269">
        <v>106.92</v>
      </c>
      <c r="G269">
        <v>114.2</v>
      </c>
      <c r="H269">
        <v>67.569999999999993</v>
      </c>
    </row>
    <row r="270" spans="1:8" x14ac:dyDescent="0.25">
      <c r="A270" s="63">
        <f t="shared" si="4"/>
        <v>45195</v>
      </c>
      <c r="B270">
        <v>1006.2099999999998</v>
      </c>
      <c r="C270">
        <v>96.25</v>
      </c>
      <c r="D270">
        <v>404.01</v>
      </c>
      <c r="E270">
        <v>224.55</v>
      </c>
      <c r="F270">
        <v>94.28</v>
      </c>
      <c r="G270">
        <v>122.31</v>
      </c>
      <c r="H270">
        <v>64.81</v>
      </c>
    </row>
    <row r="271" spans="1:8" x14ac:dyDescent="0.25">
      <c r="A271" s="63">
        <f t="shared" si="4"/>
        <v>45196</v>
      </c>
      <c r="B271">
        <v>1103.3799999999999</v>
      </c>
      <c r="C271">
        <v>104.71</v>
      </c>
      <c r="D271">
        <v>446.62</v>
      </c>
      <c r="E271">
        <v>261.69</v>
      </c>
      <c r="F271">
        <v>99.89</v>
      </c>
      <c r="G271">
        <v>124.7</v>
      </c>
      <c r="H271">
        <v>65.77</v>
      </c>
    </row>
    <row r="272" spans="1:8" x14ac:dyDescent="0.25">
      <c r="A272" s="63">
        <f t="shared" si="4"/>
        <v>45197</v>
      </c>
      <c r="B272">
        <v>1065.8599999999999</v>
      </c>
      <c r="C272">
        <v>99.89</v>
      </c>
      <c r="D272">
        <v>400.45</v>
      </c>
      <c r="E272">
        <v>282.08999999999997</v>
      </c>
      <c r="F272">
        <v>91.93</v>
      </c>
      <c r="G272">
        <v>123.87</v>
      </c>
      <c r="H272">
        <v>67.63</v>
      </c>
    </row>
    <row r="273" spans="1:8" x14ac:dyDescent="0.25">
      <c r="A273" s="63">
        <f t="shared" si="4"/>
        <v>45198</v>
      </c>
      <c r="B273">
        <v>1132.5899999999999</v>
      </c>
      <c r="C273">
        <v>117.55000000000001</v>
      </c>
      <c r="D273">
        <v>430.42</v>
      </c>
      <c r="E273">
        <v>281</v>
      </c>
      <c r="F273">
        <v>112.71</v>
      </c>
      <c r="G273">
        <v>121.35</v>
      </c>
      <c r="H273">
        <v>69.56</v>
      </c>
    </row>
    <row r="274" spans="1:8" x14ac:dyDescent="0.25">
      <c r="A274" s="63">
        <f t="shared" si="4"/>
        <v>45199</v>
      </c>
      <c r="B274">
        <v>1073.02</v>
      </c>
      <c r="C274">
        <v>79.28</v>
      </c>
      <c r="D274">
        <v>399.73</v>
      </c>
      <c r="E274">
        <v>292.72000000000003</v>
      </c>
      <c r="F274">
        <v>109.36</v>
      </c>
      <c r="G274">
        <v>122.58</v>
      </c>
      <c r="H274">
        <v>69.349999999999994</v>
      </c>
    </row>
    <row r="275" spans="1:8" x14ac:dyDescent="0.25">
      <c r="A275" s="63">
        <f t="shared" si="4"/>
        <v>45200</v>
      </c>
      <c r="B275">
        <v>1028.8600000000001</v>
      </c>
      <c r="C275">
        <v>95.05</v>
      </c>
      <c r="D275">
        <v>397.79</v>
      </c>
      <c r="E275">
        <v>264.60000000000002</v>
      </c>
      <c r="F275">
        <v>104.29</v>
      </c>
      <c r="G275">
        <v>99.47</v>
      </c>
      <c r="H275">
        <v>67.66</v>
      </c>
    </row>
    <row r="276" spans="1:8" x14ac:dyDescent="0.25">
      <c r="A276" s="63">
        <f t="shared" si="4"/>
        <v>45201</v>
      </c>
      <c r="B276">
        <v>1111.6400000000001</v>
      </c>
      <c r="C276">
        <v>113.66</v>
      </c>
      <c r="D276">
        <v>435.45</v>
      </c>
      <c r="E276">
        <v>272.06</v>
      </c>
      <c r="F276">
        <v>112.58</v>
      </c>
      <c r="G276">
        <v>107.98</v>
      </c>
      <c r="H276">
        <v>69.91</v>
      </c>
    </row>
    <row r="277" spans="1:8" x14ac:dyDescent="0.25">
      <c r="A277" s="63">
        <f t="shared" si="4"/>
        <v>45202</v>
      </c>
      <c r="B277">
        <v>1069.6200000000001</v>
      </c>
      <c r="C277">
        <v>102.11</v>
      </c>
      <c r="D277">
        <v>399.62</v>
      </c>
      <c r="E277">
        <v>290.60000000000002</v>
      </c>
      <c r="F277">
        <v>97.96</v>
      </c>
      <c r="G277">
        <v>110.01</v>
      </c>
      <c r="H277">
        <v>69.319999999999993</v>
      </c>
    </row>
    <row r="278" spans="1:8" x14ac:dyDescent="0.25">
      <c r="A278" s="63">
        <f t="shared" si="4"/>
        <v>45203</v>
      </c>
      <c r="B278">
        <v>1125.71</v>
      </c>
      <c r="C278">
        <v>88.26</v>
      </c>
      <c r="D278">
        <v>464.26</v>
      </c>
      <c r="E278">
        <v>282.20999999999998</v>
      </c>
      <c r="F278">
        <v>106.63</v>
      </c>
      <c r="G278">
        <v>114.83</v>
      </c>
      <c r="H278">
        <v>69.52</v>
      </c>
    </row>
    <row r="279" spans="1:8" x14ac:dyDescent="0.25">
      <c r="A279" s="63">
        <f t="shared" si="4"/>
        <v>45204</v>
      </c>
      <c r="B279">
        <v>1084.01</v>
      </c>
      <c r="C279">
        <v>92.1</v>
      </c>
      <c r="D279">
        <v>434.27</v>
      </c>
      <c r="E279">
        <v>273.63</v>
      </c>
      <c r="F279">
        <v>99.39</v>
      </c>
      <c r="G279">
        <v>119.4</v>
      </c>
      <c r="H279">
        <v>65.22</v>
      </c>
    </row>
    <row r="280" spans="1:8" x14ac:dyDescent="0.25">
      <c r="A280" s="63">
        <f t="shared" si="4"/>
        <v>45205</v>
      </c>
      <c r="B280">
        <v>1110.9599999999998</v>
      </c>
      <c r="C280">
        <v>106.87</v>
      </c>
      <c r="D280">
        <v>430.89</v>
      </c>
      <c r="E280">
        <v>267.47000000000003</v>
      </c>
      <c r="F280">
        <v>114.55000000000001</v>
      </c>
      <c r="G280">
        <v>118.86</v>
      </c>
      <c r="H280">
        <v>72.319999999999993</v>
      </c>
    </row>
    <row r="281" spans="1:8" x14ac:dyDescent="0.25">
      <c r="A281" s="63">
        <f t="shared" si="4"/>
        <v>45206</v>
      </c>
      <c r="B281">
        <v>1039.6799999999998</v>
      </c>
      <c r="C281">
        <v>94.83</v>
      </c>
      <c r="D281">
        <v>402.04</v>
      </c>
      <c r="E281">
        <v>264.95999999999998</v>
      </c>
      <c r="F281">
        <v>115.52</v>
      </c>
      <c r="G281">
        <v>98.32</v>
      </c>
      <c r="H281">
        <v>64.010000000000005</v>
      </c>
    </row>
    <row r="282" spans="1:8" x14ac:dyDescent="0.25">
      <c r="A282" s="63">
        <f t="shared" si="4"/>
        <v>45207</v>
      </c>
      <c r="B282">
        <v>928.18999999999994</v>
      </c>
      <c r="C282">
        <v>80.52</v>
      </c>
      <c r="D282">
        <v>373.84</v>
      </c>
      <c r="E282">
        <v>210.07</v>
      </c>
      <c r="F282">
        <v>96.37</v>
      </c>
      <c r="G282">
        <v>100.02</v>
      </c>
      <c r="H282">
        <v>67.37</v>
      </c>
    </row>
    <row r="283" spans="1:8" x14ac:dyDescent="0.25">
      <c r="A283" s="63">
        <f t="shared" si="4"/>
        <v>45208</v>
      </c>
      <c r="B283">
        <v>989.17</v>
      </c>
      <c r="C283">
        <v>93.18</v>
      </c>
      <c r="D283">
        <v>378.3</v>
      </c>
      <c r="E283">
        <v>247.04999999999998</v>
      </c>
      <c r="F283">
        <v>95.61</v>
      </c>
      <c r="G283">
        <v>117.98</v>
      </c>
      <c r="H283">
        <v>57.050000000000004</v>
      </c>
    </row>
    <row r="284" spans="1:8" x14ac:dyDescent="0.25">
      <c r="A284" s="63">
        <f t="shared" si="4"/>
        <v>45209</v>
      </c>
      <c r="B284">
        <v>1119.6100000000001</v>
      </c>
      <c r="C284">
        <v>110.11</v>
      </c>
      <c r="D284">
        <v>456.69</v>
      </c>
      <c r="E284">
        <v>259.73</v>
      </c>
      <c r="F284">
        <v>104.44</v>
      </c>
      <c r="G284">
        <v>115.75</v>
      </c>
      <c r="H284">
        <v>72.89</v>
      </c>
    </row>
    <row r="285" spans="1:8" x14ac:dyDescent="0.25">
      <c r="A285" s="63">
        <f t="shared" si="4"/>
        <v>45210</v>
      </c>
      <c r="B285">
        <v>1042.5900000000001</v>
      </c>
      <c r="C285">
        <v>91.68</v>
      </c>
      <c r="D285">
        <v>434.93</v>
      </c>
      <c r="E285">
        <v>243.07</v>
      </c>
      <c r="F285">
        <v>106.23</v>
      </c>
      <c r="G285">
        <v>104.39</v>
      </c>
      <c r="H285">
        <v>62.29</v>
      </c>
    </row>
    <row r="286" spans="1:8" x14ac:dyDescent="0.25">
      <c r="A286" s="63">
        <f t="shared" si="4"/>
        <v>45211</v>
      </c>
      <c r="B286">
        <v>961.86999999999989</v>
      </c>
      <c r="C286">
        <v>82.44</v>
      </c>
      <c r="D286">
        <v>372.68</v>
      </c>
      <c r="E286">
        <v>226.26</v>
      </c>
      <c r="F286">
        <v>109.27000000000001</v>
      </c>
      <c r="G286">
        <v>98.04</v>
      </c>
      <c r="H286">
        <v>73.180000000000007</v>
      </c>
    </row>
    <row r="287" spans="1:8" x14ac:dyDescent="0.25">
      <c r="A287" s="63">
        <f t="shared" si="4"/>
        <v>45212</v>
      </c>
      <c r="B287">
        <v>987.1</v>
      </c>
      <c r="C287">
        <v>80.59</v>
      </c>
      <c r="D287">
        <v>424.89</v>
      </c>
      <c r="E287">
        <v>201.49</v>
      </c>
      <c r="F287">
        <v>120.99</v>
      </c>
      <c r="G287">
        <v>99.02</v>
      </c>
      <c r="H287">
        <v>60.12</v>
      </c>
    </row>
    <row r="288" spans="1:8" x14ac:dyDescent="0.25">
      <c r="A288" s="63">
        <f t="shared" si="4"/>
        <v>45213</v>
      </c>
      <c r="B288">
        <v>1058.23</v>
      </c>
      <c r="C288">
        <v>99.75</v>
      </c>
      <c r="D288">
        <v>439.15</v>
      </c>
      <c r="E288">
        <v>252.4</v>
      </c>
      <c r="F288">
        <v>95.11</v>
      </c>
      <c r="G288">
        <v>103.24</v>
      </c>
      <c r="H288">
        <v>68.58</v>
      </c>
    </row>
    <row r="289" spans="1:8" x14ac:dyDescent="0.25">
      <c r="A289" s="63">
        <f t="shared" si="4"/>
        <v>45214</v>
      </c>
      <c r="B289">
        <v>1021.01</v>
      </c>
      <c r="C289">
        <v>88.92</v>
      </c>
      <c r="D289">
        <v>419.41</v>
      </c>
      <c r="E289">
        <v>244.26</v>
      </c>
      <c r="F289">
        <v>104.87</v>
      </c>
      <c r="G289">
        <v>92.88</v>
      </c>
      <c r="H289">
        <v>70.67</v>
      </c>
    </row>
    <row r="290" spans="1:8" x14ac:dyDescent="0.25">
      <c r="A290" s="63">
        <f t="shared" si="4"/>
        <v>45215</v>
      </c>
      <c r="B290">
        <v>999.91000000000008</v>
      </c>
      <c r="C290">
        <v>90.44</v>
      </c>
      <c r="D290">
        <v>372.2</v>
      </c>
      <c r="E290">
        <v>257.3</v>
      </c>
      <c r="F290">
        <v>108.27</v>
      </c>
      <c r="G290">
        <v>100.93</v>
      </c>
      <c r="H290">
        <v>70.77</v>
      </c>
    </row>
    <row r="291" spans="1:8" x14ac:dyDescent="0.25">
      <c r="A291" s="63">
        <f t="shared" si="4"/>
        <v>45216</v>
      </c>
      <c r="B291">
        <v>1043.1599999999999</v>
      </c>
      <c r="C291">
        <v>75.069999999999993</v>
      </c>
      <c r="D291">
        <v>436.73</v>
      </c>
      <c r="E291">
        <v>258.75</v>
      </c>
      <c r="F291">
        <v>87.52</v>
      </c>
      <c r="G291">
        <v>112.96</v>
      </c>
      <c r="H291">
        <v>72.13</v>
      </c>
    </row>
    <row r="292" spans="1:8" x14ac:dyDescent="0.25">
      <c r="A292" s="63">
        <f t="shared" si="4"/>
        <v>45217</v>
      </c>
      <c r="B292">
        <v>1017.5300000000001</v>
      </c>
      <c r="C292">
        <v>94.18</v>
      </c>
      <c r="D292">
        <v>419.17</v>
      </c>
      <c r="E292">
        <v>231.84</v>
      </c>
      <c r="F292">
        <v>88.35</v>
      </c>
      <c r="G292">
        <v>114.76</v>
      </c>
      <c r="H292">
        <v>69.23</v>
      </c>
    </row>
    <row r="293" spans="1:8" x14ac:dyDescent="0.25">
      <c r="A293" s="63">
        <f t="shared" si="4"/>
        <v>45218</v>
      </c>
      <c r="B293">
        <v>878.55</v>
      </c>
      <c r="C293">
        <v>96.52</v>
      </c>
      <c r="D293">
        <v>319.77999999999997</v>
      </c>
      <c r="E293">
        <v>233.05</v>
      </c>
      <c r="F293">
        <v>67.97</v>
      </c>
      <c r="G293">
        <v>103.11</v>
      </c>
      <c r="H293">
        <v>58.12</v>
      </c>
    </row>
    <row r="294" spans="1:8" x14ac:dyDescent="0.25">
      <c r="A294" s="63">
        <f t="shared" si="4"/>
        <v>45219</v>
      </c>
      <c r="B294">
        <v>1009.7299999999999</v>
      </c>
      <c r="C294">
        <v>76.69</v>
      </c>
      <c r="D294">
        <v>414.62</v>
      </c>
      <c r="E294">
        <v>242.68</v>
      </c>
      <c r="F294">
        <v>99.9</v>
      </c>
      <c r="G294">
        <v>103.79</v>
      </c>
      <c r="H294">
        <v>72.05</v>
      </c>
    </row>
    <row r="295" spans="1:8" x14ac:dyDescent="0.25">
      <c r="A295" s="63">
        <f t="shared" si="4"/>
        <v>45220</v>
      </c>
      <c r="B295">
        <v>987</v>
      </c>
      <c r="C295">
        <v>86.25</v>
      </c>
      <c r="D295">
        <v>376.92</v>
      </c>
      <c r="E295">
        <v>243.6</v>
      </c>
      <c r="F295">
        <v>105.87</v>
      </c>
      <c r="G295">
        <v>102.34</v>
      </c>
      <c r="H295">
        <v>72.02</v>
      </c>
    </row>
    <row r="296" spans="1:8" x14ac:dyDescent="0.25">
      <c r="A296" s="63">
        <f t="shared" si="4"/>
        <v>45221</v>
      </c>
      <c r="B296">
        <v>1032.04</v>
      </c>
      <c r="C296">
        <v>99.75</v>
      </c>
      <c r="D296">
        <v>417.15</v>
      </c>
      <c r="E296">
        <v>230.05</v>
      </c>
      <c r="F296">
        <v>108.38</v>
      </c>
      <c r="G296">
        <v>105.54</v>
      </c>
      <c r="H296">
        <v>71.17</v>
      </c>
    </row>
    <row r="297" spans="1:8" x14ac:dyDescent="0.25">
      <c r="A297" s="63">
        <f t="shared" si="4"/>
        <v>45222</v>
      </c>
      <c r="B297">
        <v>1037.07</v>
      </c>
      <c r="C297">
        <v>97.35</v>
      </c>
      <c r="D297">
        <v>402.72</v>
      </c>
      <c r="E297">
        <v>249.22</v>
      </c>
      <c r="F297">
        <v>111.17</v>
      </c>
      <c r="G297">
        <v>103.41000000000001</v>
      </c>
      <c r="H297">
        <v>73.2</v>
      </c>
    </row>
    <row r="298" spans="1:8" x14ac:dyDescent="0.25">
      <c r="A298" s="63">
        <f t="shared" si="4"/>
        <v>45223</v>
      </c>
      <c r="B298">
        <v>1025.56</v>
      </c>
      <c r="C298">
        <v>90.72</v>
      </c>
      <c r="D298">
        <v>397.17</v>
      </c>
      <c r="E298">
        <v>255.63</v>
      </c>
      <c r="F298">
        <v>98.65</v>
      </c>
      <c r="G298">
        <v>112.36</v>
      </c>
      <c r="H298">
        <v>71.03</v>
      </c>
    </row>
    <row r="299" spans="1:8" x14ac:dyDescent="0.25">
      <c r="A299" s="63">
        <f t="shared" si="4"/>
        <v>45224</v>
      </c>
      <c r="B299">
        <v>1077.76</v>
      </c>
      <c r="C299">
        <v>90.29</v>
      </c>
      <c r="D299">
        <v>440.01</v>
      </c>
      <c r="E299">
        <v>253.58</v>
      </c>
      <c r="F299">
        <v>112.9</v>
      </c>
      <c r="G299">
        <v>114.33</v>
      </c>
      <c r="H299">
        <v>66.650000000000006</v>
      </c>
    </row>
    <row r="300" spans="1:8" x14ac:dyDescent="0.25">
      <c r="A300" s="63">
        <f t="shared" si="4"/>
        <v>45225</v>
      </c>
      <c r="B300">
        <v>1011.04</v>
      </c>
      <c r="C300">
        <v>88.71</v>
      </c>
      <c r="D300">
        <v>388.21</v>
      </c>
      <c r="E300">
        <v>244.38</v>
      </c>
      <c r="F300">
        <v>109.24</v>
      </c>
      <c r="G300">
        <v>108.34</v>
      </c>
      <c r="H300">
        <v>72.16</v>
      </c>
    </row>
    <row r="301" spans="1:8" x14ac:dyDescent="0.25">
      <c r="A301" s="63">
        <f t="shared" si="4"/>
        <v>45226</v>
      </c>
      <c r="B301">
        <v>974.54000000000008</v>
      </c>
      <c r="C301">
        <v>113.57</v>
      </c>
      <c r="D301">
        <v>395.8</v>
      </c>
      <c r="E301">
        <v>218.25</v>
      </c>
      <c r="F301">
        <v>87.64</v>
      </c>
      <c r="G301">
        <v>108.69</v>
      </c>
      <c r="H301">
        <v>50.59</v>
      </c>
    </row>
    <row r="302" spans="1:8" x14ac:dyDescent="0.25">
      <c r="A302" s="63">
        <f t="shared" si="4"/>
        <v>45227</v>
      </c>
      <c r="B302">
        <v>1055.9000000000001</v>
      </c>
      <c r="C302">
        <v>92.08</v>
      </c>
      <c r="D302">
        <v>411.33</v>
      </c>
      <c r="E302">
        <v>273.33999999999997</v>
      </c>
      <c r="F302">
        <v>103.09</v>
      </c>
      <c r="G302">
        <v>107.72</v>
      </c>
      <c r="H302">
        <v>68.34</v>
      </c>
    </row>
    <row r="303" spans="1:8" x14ac:dyDescent="0.25">
      <c r="A303" s="63">
        <f t="shared" si="4"/>
        <v>45228</v>
      </c>
      <c r="B303">
        <v>1038.05</v>
      </c>
      <c r="C303">
        <v>103.58</v>
      </c>
      <c r="D303">
        <v>368.92</v>
      </c>
      <c r="E303">
        <v>278.08999999999997</v>
      </c>
      <c r="F303">
        <v>110</v>
      </c>
      <c r="G303">
        <v>107.59</v>
      </c>
      <c r="H303">
        <v>69.87</v>
      </c>
    </row>
    <row r="304" spans="1:8" x14ac:dyDescent="0.25">
      <c r="A304" s="63">
        <f t="shared" si="4"/>
        <v>45229</v>
      </c>
      <c r="B304">
        <v>1125.76</v>
      </c>
      <c r="C304">
        <v>103.14</v>
      </c>
      <c r="D304">
        <v>442.01</v>
      </c>
      <c r="E304">
        <v>287.2</v>
      </c>
      <c r="F304">
        <v>110.98</v>
      </c>
      <c r="G304">
        <v>111.44000000000001</v>
      </c>
      <c r="H304">
        <v>70.989999999999995</v>
      </c>
    </row>
    <row r="305" spans="1:8" x14ac:dyDescent="0.25">
      <c r="A305" s="63">
        <f t="shared" si="4"/>
        <v>45230</v>
      </c>
      <c r="B305">
        <v>1111.7500000000002</v>
      </c>
      <c r="C305">
        <v>118.21</v>
      </c>
      <c r="D305">
        <v>440.38</v>
      </c>
      <c r="E305">
        <v>280.33999999999997</v>
      </c>
      <c r="F305">
        <v>96.830000000000013</v>
      </c>
      <c r="G305">
        <v>110.81</v>
      </c>
      <c r="H305">
        <v>65.180000000000007</v>
      </c>
    </row>
    <row r="306" spans="1:8" x14ac:dyDescent="0.25">
      <c r="A306" s="63">
        <f t="shared" si="4"/>
        <v>45231</v>
      </c>
      <c r="B306">
        <v>1041.24</v>
      </c>
      <c r="C306">
        <v>99.44</v>
      </c>
      <c r="D306">
        <v>412.79</v>
      </c>
      <c r="E306">
        <v>256.5</v>
      </c>
      <c r="F306">
        <v>95.69</v>
      </c>
      <c r="G306">
        <v>110.42</v>
      </c>
      <c r="H306">
        <v>66.400000000000006</v>
      </c>
    </row>
    <row r="307" spans="1:8" x14ac:dyDescent="0.25">
      <c r="A307" s="63">
        <f t="shared" si="4"/>
        <v>45232</v>
      </c>
      <c r="B307">
        <v>1010.3700000000001</v>
      </c>
      <c r="C307">
        <v>79.89</v>
      </c>
      <c r="D307">
        <v>421.35</v>
      </c>
      <c r="E307">
        <v>253.71</v>
      </c>
      <c r="F307">
        <v>94.11</v>
      </c>
      <c r="G307">
        <v>91.2</v>
      </c>
      <c r="H307">
        <v>70.11</v>
      </c>
    </row>
    <row r="308" spans="1:8" x14ac:dyDescent="0.25">
      <c r="A308" s="63">
        <f t="shared" si="4"/>
        <v>45233</v>
      </c>
      <c r="B308">
        <v>928.8599999999999</v>
      </c>
      <c r="C308">
        <v>63.55</v>
      </c>
      <c r="D308">
        <v>404.86</v>
      </c>
      <c r="E308">
        <v>204.22</v>
      </c>
      <c r="F308">
        <v>88.87</v>
      </c>
      <c r="G308">
        <v>97.539999999999992</v>
      </c>
      <c r="H308">
        <v>69.819999999999993</v>
      </c>
    </row>
    <row r="309" spans="1:8" x14ac:dyDescent="0.25">
      <c r="A309" s="63">
        <f t="shared" si="4"/>
        <v>45234</v>
      </c>
      <c r="B309">
        <v>863.13</v>
      </c>
      <c r="C309">
        <v>58.66</v>
      </c>
      <c r="D309">
        <v>336.46</v>
      </c>
      <c r="E309">
        <v>200.69</v>
      </c>
      <c r="F309">
        <v>111.84</v>
      </c>
      <c r="G309">
        <v>88.72</v>
      </c>
      <c r="H309">
        <v>66.760000000000005</v>
      </c>
    </row>
    <row r="310" spans="1:8" x14ac:dyDescent="0.25">
      <c r="A310" s="63">
        <f t="shared" si="4"/>
        <v>45235</v>
      </c>
      <c r="B310">
        <v>746.84</v>
      </c>
      <c r="C310">
        <v>38.17</v>
      </c>
      <c r="D310">
        <v>273.39999999999998</v>
      </c>
      <c r="E310">
        <v>182.91</v>
      </c>
      <c r="F310">
        <v>108.38</v>
      </c>
      <c r="G310">
        <v>72.760000000000005</v>
      </c>
      <c r="H310">
        <v>71.22</v>
      </c>
    </row>
    <row r="311" spans="1:8" x14ac:dyDescent="0.25">
      <c r="A311" s="63">
        <f t="shared" si="4"/>
        <v>45236</v>
      </c>
      <c r="B311">
        <v>837.16000000000008</v>
      </c>
      <c r="C311">
        <v>50.93</v>
      </c>
      <c r="D311">
        <v>315.32</v>
      </c>
      <c r="E311">
        <v>210.44</v>
      </c>
      <c r="F311">
        <v>108.31</v>
      </c>
      <c r="G311">
        <v>82.33</v>
      </c>
      <c r="H311">
        <v>69.83</v>
      </c>
    </row>
    <row r="312" spans="1:8" x14ac:dyDescent="0.25">
      <c r="A312" s="63">
        <f t="shared" si="4"/>
        <v>45237</v>
      </c>
      <c r="B312">
        <v>1152.8700000000001</v>
      </c>
      <c r="C312">
        <v>86.71</v>
      </c>
      <c r="D312">
        <v>451.49</v>
      </c>
      <c r="E312">
        <v>299.10000000000002</v>
      </c>
      <c r="F312">
        <v>110.85</v>
      </c>
      <c r="G312">
        <v>132.66</v>
      </c>
      <c r="H312">
        <v>72.06</v>
      </c>
    </row>
    <row r="313" spans="1:8" x14ac:dyDescent="0.25">
      <c r="A313" s="63">
        <f t="shared" si="4"/>
        <v>45238</v>
      </c>
      <c r="B313">
        <v>997.02</v>
      </c>
      <c r="C313">
        <v>88.93</v>
      </c>
      <c r="D313">
        <v>371.36</v>
      </c>
      <c r="E313">
        <v>259.21999999999997</v>
      </c>
      <c r="F313">
        <v>83.65</v>
      </c>
      <c r="G313">
        <v>120.1</v>
      </c>
      <c r="H313">
        <v>73.760000000000005</v>
      </c>
    </row>
    <row r="314" spans="1:8" x14ac:dyDescent="0.25">
      <c r="A314" s="63">
        <f t="shared" si="4"/>
        <v>45239</v>
      </c>
      <c r="B314">
        <v>1068.8699999999999</v>
      </c>
      <c r="C314">
        <v>76.489999999999995</v>
      </c>
      <c r="D314">
        <v>430.21</v>
      </c>
      <c r="E314">
        <v>282.92</v>
      </c>
      <c r="F314">
        <v>98.16</v>
      </c>
      <c r="G314">
        <v>109.13</v>
      </c>
      <c r="H314">
        <v>71.959999999999994</v>
      </c>
    </row>
    <row r="315" spans="1:8" x14ac:dyDescent="0.25">
      <c r="A315" s="63">
        <f t="shared" si="4"/>
        <v>45240</v>
      </c>
      <c r="B315">
        <v>1022.1</v>
      </c>
      <c r="C315">
        <v>105.67</v>
      </c>
      <c r="D315">
        <v>347.13</v>
      </c>
      <c r="E315">
        <v>279.70999999999998</v>
      </c>
      <c r="F315">
        <v>109.53</v>
      </c>
      <c r="G315">
        <v>114.93</v>
      </c>
      <c r="H315">
        <v>65.13</v>
      </c>
    </row>
    <row r="316" spans="1:8" x14ac:dyDescent="0.25">
      <c r="A316" s="63">
        <f t="shared" si="4"/>
        <v>45241</v>
      </c>
      <c r="B316">
        <v>1076.93</v>
      </c>
      <c r="C316">
        <v>120.9</v>
      </c>
      <c r="D316">
        <v>402.77</v>
      </c>
      <c r="E316">
        <v>276.49</v>
      </c>
      <c r="F316">
        <v>104.63</v>
      </c>
      <c r="G316">
        <v>100.46</v>
      </c>
      <c r="H316">
        <v>71.680000000000007</v>
      </c>
    </row>
    <row r="317" spans="1:8" x14ac:dyDescent="0.25">
      <c r="A317" s="63">
        <f t="shared" si="4"/>
        <v>45242</v>
      </c>
      <c r="B317">
        <v>996.83</v>
      </c>
      <c r="C317">
        <v>104.24</v>
      </c>
      <c r="D317">
        <v>386.21</v>
      </c>
      <c r="E317">
        <v>228.01</v>
      </c>
      <c r="F317">
        <v>102.71</v>
      </c>
      <c r="G317">
        <v>106</v>
      </c>
      <c r="H317">
        <v>69.66</v>
      </c>
    </row>
    <row r="318" spans="1:8" x14ac:dyDescent="0.25">
      <c r="A318" s="63">
        <f t="shared" si="4"/>
        <v>45243</v>
      </c>
      <c r="B318">
        <v>1023.4399999999999</v>
      </c>
      <c r="C318">
        <v>109.73</v>
      </c>
      <c r="D318">
        <v>384.33</v>
      </c>
      <c r="E318">
        <v>286</v>
      </c>
      <c r="F318">
        <v>65.05</v>
      </c>
      <c r="G318">
        <v>106.33</v>
      </c>
      <c r="H318">
        <v>72</v>
      </c>
    </row>
    <row r="319" spans="1:8" x14ac:dyDescent="0.25">
      <c r="A319" s="63">
        <f t="shared" si="4"/>
        <v>45244</v>
      </c>
      <c r="B319">
        <v>1045.43</v>
      </c>
      <c r="C319">
        <v>93.99</v>
      </c>
      <c r="D319">
        <v>429.85</v>
      </c>
      <c r="E319">
        <v>253.5</v>
      </c>
      <c r="F319">
        <v>89.28</v>
      </c>
      <c r="G319">
        <v>121.09</v>
      </c>
      <c r="H319">
        <v>57.72</v>
      </c>
    </row>
    <row r="320" spans="1:8" x14ac:dyDescent="0.25">
      <c r="A320" s="63">
        <f t="shared" si="4"/>
        <v>45245</v>
      </c>
      <c r="B320">
        <v>998.82999999999993</v>
      </c>
      <c r="C320">
        <v>101.88</v>
      </c>
      <c r="D320">
        <v>388.34</v>
      </c>
      <c r="E320">
        <v>244.34</v>
      </c>
      <c r="F320">
        <v>95.02</v>
      </c>
      <c r="G320">
        <v>102.35</v>
      </c>
      <c r="H320">
        <v>66.900000000000006</v>
      </c>
    </row>
    <row r="321" spans="1:8" x14ac:dyDescent="0.25">
      <c r="A321" s="63">
        <f t="shared" si="4"/>
        <v>45246</v>
      </c>
      <c r="B321">
        <v>942.01</v>
      </c>
      <c r="C321">
        <v>89.32</v>
      </c>
      <c r="D321">
        <v>402.05</v>
      </c>
      <c r="E321">
        <v>227</v>
      </c>
      <c r="F321">
        <v>79.790000000000006</v>
      </c>
      <c r="G321">
        <v>93.33</v>
      </c>
      <c r="H321">
        <v>50.52</v>
      </c>
    </row>
    <row r="322" spans="1:8" x14ac:dyDescent="0.25">
      <c r="A322" s="63">
        <f t="shared" si="4"/>
        <v>45247</v>
      </c>
      <c r="B322">
        <v>966.50999999999988</v>
      </c>
      <c r="C322">
        <v>97.49</v>
      </c>
      <c r="D322">
        <v>421.15</v>
      </c>
      <c r="E322">
        <v>181.63</v>
      </c>
      <c r="F322">
        <v>92.54</v>
      </c>
      <c r="G322">
        <v>101.29</v>
      </c>
      <c r="H322">
        <v>72.41</v>
      </c>
    </row>
    <row r="323" spans="1:8" x14ac:dyDescent="0.25">
      <c r="A323" s="63">
        <f t="shared" si="4"/>
        <v>45248</v>
      </c>
      <c r="B323">
        <v>992.91000000000008</v>
      </c>
      <c r="C323">
        <v>88.81</v>
      </c>
      <c r="D323">
        <v>388.14</v>
      </c>
      <c r="E323">
        <v>264.67</v>
      </c>
      <c r="F323">
        <v>104.59</v>
      </c>
      <c r="G323">
        <v>79.349999999999994</v>
      </c>
      <c r="H323">
        <v>67.349999999999994</v>
      </c>
    </row>
    <row r="324" spans="1:8" x14ac:dyDescent="0.25">
      <c r="A324" s="63">
        <f t="shared" ref="A324:A366" si="5">A323+1</f>
        <v>45249</v>
      </c>
      <c r="B324">
        <v>814.6</v>
      </c>
      <c r="C324">
        <v>93.06</v>
      </c>
      <c r="D324">
        <v>250.3</v>
      </c>
      <c r="E324">
        <v>197.18</v>
      </c>
      <c r="F324">
        <v>111.98</v>
      </c>
      <c r="G324">
        <v>93.69</v>
      </c>
      <c r="H324">
        <v>68.39</v>
      </c>
    </row>
    <row r="325" spans="1:8" x14ac:dyDescent="0.25">
      <c r="A325" s="63">
        <f t="shared" si="5"/>
        <v>45250</v>
      </c>
      <c r="B325">
        <v>962.30000000000007</v>
      </c>
      <c r="C325">
        <v>90.54</v>
      </c>
      <c r="D325">
        <v>335.72</v>
      </c>
      <c r="E325">
        <v>249.66</v>
      </c>
      <c r="F325">
        <v>114.4</v>
      </c>
      <c r="G325">
        <v>108.77</v>
      </c>
      <c r="H325">
        <v>63.21</v>
      </c>
    </row>
    <row r="326" spans="1:8" x14ac:dyDescent="0.25">
      <c r="A326" s="63">
        <f t="shared" si="5"/>
        <v>45251</v>
      </c>
      <c r="B326">
        <v>1033.17</v>
      </c>
      <c r="C326">
        <v>79.510000000000005</v>
      </c>
      <c r="D326">
        <v>417.74</v>
      </c>
      <c r="E326">
        <v>255.85</v>
      </c>
      <c r="F326">
        <v>102.65</v>
      </c>
      <c r="G326">
        <v>106.17</v>
      </c>
      <c r="H326">
        <v>71.25</v>
      </c>
    </row>
    <row r="327" spans="1:8" x14ac:dyDescent="0.25">
      <c r="A327" s="63">
        <f t="shared" si="5"/>
        <v>45252</v>
      </c>
      <c r="B327">
        <v>1118.04</v>
      </c>
      <c r="C327">
        <v>94.84</v>
      </c>
      <c r="D327">
        <v>449.47</v>
      </c>
      <c r="E327">
        <v>281.85000000000002</v>
      </c>
      <c r="F327">
        <v>108.37</v>
      </c>
      <c r="G327">
        <v>111.71000000000001</v>
      </c>
      <c r="H327">
        <v>71.8</v>
      </c>
    </row>
    <row r="328" spans="1:8" x14ac:dyDescent="0.25">
      <c r="A328" s="63">
        <f t="shared" si="5"/>
        <v>45253</v>
      </c>
      <c r="B328">
        <v>1064.0999999999999</v>
      </c>
      <c r="C328">
        <v>105.56</v>
      </c>
      <c r="D328">
        <v>392.34</v>
      </c>
      <c r="E328">
        <v>277.86</v>
      </c>
      <c r="F328">
        <v>107.27</v>
      </c>
      <c r="G328">
        <v>105.76</v>
      </c>
      <c r="H328">
        <v>75.31</v>
      </c>
    </row>
    <row r="329" spans="1:8" x14ac:dyDescent="0.25">
      <c r="A329" s="63">
        <f t="shared" si="5"/>
        <v>45254</v>
      </c>
      <c r="B329">
        <v>1021.0899999999999</v>
      </c>
      <c r="C329">
        <v>81.650000000000006</v>
      </c>
      <c r="D329">
        <v>378.03</v>
      </c>
      <c r="E329">
        <v>271.91000000000003</v>
      </c>
      <c r="F329">
        <v>110.3</v>
      </c>
      <c r="G329">
        <v>106.76</v>
      </c>
      <c r="H329">
        <v>72.44</v>
      </c>
    </row>
    <row r="330" spans="1:8" x14ac:dyDescent="0.25">
      <c r="A330" s="63">
        <f t="shared" si="5"/>
        <v>45255</v>
      </c>
      <c r="B330">
        <v>989.05000000000007</v>
      </c>
      <c r="C330">
        <v>93.36</v>
      </c>
      <c r="D330">
        <v>348.63</v>
      </c>
      <c r="E330">
        <v>261.20999999999998</v>
      </c>
      <c r="F330">
        <v>108.73</v>
      </c>
      <c r="G330">
        <v>105.75</v>
      </c>
      <c r="H330">
        <v>71.37</v>
      </c>
    </row>
    <row r="331" spans="1:8" x14ac:dyDescent="0.25">
      <c r="A331" s="63">
        <f t="shared" si="5"/>
        <v>45256</v>
      </c>
      <c r="B331">
        <v>988.97000000000014</v>
      </c>
      <c r="C331">
        <v>99.6</v>
      </c>
      <c r="D331">
        <v>364.74</v>
      </c>
      <c r="E331">
        <v>267.97000000000003</v>
      </c>
      <c r="F331">
        <v>89.83</v>
      </c>
      <c r="G331">
        <v>97.87</v>
      </c>
      <c r="H331">
        <v>68.959999999999994</v>
      </c>
    </row>
    <row r="332" spans="1:8" x14ac:dyDescent="0.25">
      <c r="A332" s="63">
        <f t="shared" si="5"/>
        <v>45257</v>
      </c>
      <c r="B332">
        <v>1082.4299999999998</v>
      </c>
      <c r="C332">
        <v>100.92</v>
      </c>
      <c r="D332">
        <v>400.39</v>
      </c>
      <c r="E332">
        <v>292.52</v>
      </c>
      <c r="F332">
        <v>106.99</v>
      </c>
      <c r="G332">
        <v>109.5</v>
      </c>
      <c r="H332">
        <v>72.11</v>
      </c>
    </row>
    <row r="333" spans="1:8" x14ac:dyDescent="0.25">
      <c r="A333" s="63">
        <f t="shared" si="5"/>
        <v>45258</v>
      </c>
      <c r="B333">
        <v>1049.52</v>
      </c>
      <c r="C333">
        <v>96.76</v>
      </c>
      <c r="D333">
        <v>383.59</v>
      </c>
      <c r="E333">
        <v>280.83999999999997</v>
      </c>
      <c r="F333">
        <v>104.99</v>
      </c>
      <c r="G333">
        <v>117.61999999999999</v>
      </c>
      <c r="H333">
        <v>65.72</v>
      </c>
    </row>
    <row r="334" spans="1:8" x14ac:dyDescent="0.25">
      <c r="A334" s="63">
        <f t="shared" si="5"/>
        <v>45259</v>
      </c>
      <c r="B334">
        <v>1126.07</v>
      </c>
      <c r="C334">
        <v>109.24</v>
      </c>
      <c r="D334">
        <v>429.41</v>
      </c>
      <c r="E334">
        <v>292.69</v>
      </c>
      <c r="F334">
        <v>104.9</v>
      </c>
      <c r="G334">
        <v>119.07</v>
      </c>
      <c r="H334">
        <v>70.760000000000005</v>
      </c>
    </row>
    <row r="335" spans="1:8" x14ac:dyDescent="0.25">
      <c r="A335" s="63">
        <f t="shared" si="5"/>
        <v>45260</v>
      </c>
      <c r="B335">
        <v>1095.26</v>
      </c>
      <c r="C335">
        <v>102.33</v>
      </c>
      <c r="D335">
        <v>397.3</v>
      </c>
      <c r="E335">
        <v>289.12</v>
      </c>
      <c r="F335">
        <v>117.66</v>
      </c>
      <c r="G335">
        <v>113.78</v>
      </c>
      <c r="H335">
        <v>75.069999999999993</v>
      </c>
    </row>
    <row r="336" spans="1:8" x14ac:dyDescent="0.25">
      <c r="A336" s="63">
        <f t="shared" si="5"/>
        <v>45261</v>
      </c>
      <c r="B336">
        <v>919.9699999999998</v>
      </c>
      <c r="C336">
        <v>100.45</v>
      </c>
      <c r="D336">
        <v>283.2</v>
      </c>
      <c r="E336">
        <v>233.9</v>
      </c>
      <c r="F336">
        <v>116.42</v>
      </c>
      <c r="G336">
        <v>114.44</v>
      </c>
      <c r="H336">
        <v>71.56</v>
      </c>
    </row>
    <row r="337" spans="1:8" x14ac:dyDescent="0.25">
      <c r="A337" s="63">
        <f t="shared" si="5"/>
        <v>45262</v>
      </c>
      <c r="B337">
        <v>612.39</v>
      </c>
      <c r="C337">
        <v>36.03</v>
      </c>
      <c r="D337">
        <v>166.94</v>
      </c>
      <c r="E337">
        <v>141.96</v>
      </c>
      <c r="F337">
        <v>111.31</v>
      </c>
      <c r="G337">
        <v>84.6</v>
      </c>
      <c r="H337">
        <v>71.55</v>
      </c>
    </row>
    <row r="338" spans="1:8" x14ac:dyDescent="0.25">
      <c r="A338" s="63">
        <f t="shared" si="5"/>
        <v>45263</v>
      </c>
      <c r="B338">
        <v>718.25999999999988</v>
      </c>
      <c r="C338">
        <v>29.83</v>
      </c>
      <c r="D338">
        <v>264.95999999999998</v>
      </c>
      <c r="E338">
        <v>186.49</v>
      </c>
      <c r="F338">
        <v>94.14</v>
      </c>
      <c r="G338">
        <v>71.680000000000007</v>
      </c>
      <c r="H338">
        <v>71.16</v>
      </c>
    </row>
    <row r="339" spans="1:8" x14ac:dyDescent="0.25">
      <c r="A339" s="63">
        <f t="shared" si="5"/>
        <v>45264</v>
      </c>
      <c r="B339">
        <v>993.37</v>
      </c>
      <c r="C339">
        <v>58.74</v>
      </c>
      <c r="D339">
        <v>385.21</v>
      </c>
      <c r="E339">
        <v>262.42</v>
      </c>
      <c r="F339">
        <v>108.38</v>
      </c>
      <c r="G339">
        <v>109.12</v>
      </c>
      <c r="H339">
        <v>69.5</v>
      </c>
    </row>
    <row r="340" spans="1:8" x14ac:dyDescent="0.25">
      <c r="A340" s="63">
        <f t="shared" si="5"/>
        <v>45265</v>
      </c>
      <c r="B340">
        <v>950.89</v>
      </c>
      <c r="C340">
        <v>62.63</v>
      </c>
      <c r="D340">
        <v>356.55</v>
      </c>
      <c r="E340">
        <v>265.28000000000003</v>
      </c>
      <c r="F340">
        <v>103.31</v>
      </c>
      <c r="G340">
        <v>103.63</v>
      </c>
      <c r="H340">
        <v>59.490000000000009</v>
      </c>
    </row>
    <row r="341" spans="1:8" x14ac:dyDescent="0.25">
      <c r="A341" s="63">
        <f t="shared" si="5"/>
        <v>45266</v>
      </c>
      <c r="B341">
        <v>992.46999999999991</v>
      </c>
      <c r="C341">
        <v>91.59</v>
      </c>
      <c r="D341">
        <v>400.18</v>
      </c>
      <c r="E341">
        <v>237.6</v>
      </c>
      <c r="F341">
        <v>110.43</v>
      </c>
      <c r="G341">
        <v>91.25</v>
      </c>
      <c r="H341">
        <v>61.42</v>
      </c>
    </row>
    <row r="342" spans="1:8" x14ac:dyDescent="0.25">
      <c r="A342" s="63">
        <f t="shared" si="5"/>
        <v>45267</v>
      </c>
      <c r="B342">
        <v>303.36999999999995</v>
      </c>
      <c r="C342">
        <v>50.59</v>
      </c>
      <c r="D342">
        <v>50.04</v>
      </c>
      <c r="E342">
        <v>81.02</v>
      </c>
      <c r="F342">
        <v>34.200000000000003</v>
      </c>
      <c r="G342">
        <v>39.159999999999997</v>
      </c>
      <c r="H342">
        <v>48.36</v>
      </c>
    </row>
    <row r="343" spans="1:8" x14ac:dyDescent="0.25">
      <c r="A343" s="63">
        <f t="shared" si="5"/>
        <v>45268</v>
      </c>
      <c r="B343">
        <v>165.25</v>
      </c>
      <c r="C343">
        <v>48.2</v>
      </c>
      <c r="F343">
        <v>36.25</v>
      </c>
      <c r="G343">
        <v>25.94</v>
      </c>
      <c r="H343">
        <v>54.86</v>
      </c>
    </row>
    <row r="344" spans="1:8" x14ac:dyDescent="0.25">
      <c r="A344" s="63">
        <f t="shared" si="5"/>
        <v>45269</v>
      </c>
      <c r="B344">
        <v>0</v>
      </c>
    </row>
    <row r="345" spans="1:8" x14ac:dyDescent="0.25">
      <c r="A345" s="63">
        <f t="shared" si="5"/>
        <v>45270</v>
      </c>
      <c r="B345">
        <v>0</v>
      </c>
    </row>
    <row r="346" spans="1:8" x14ac:dyDescent="0.25">
      <c r="A346" s="63">
        <f t="shared" si="5"/>
        <v>45271</v>
      </c>
      <c r="B346">
        <v>0</v>
      </c>
    </row>
    <row r="347" spans="1:8" x14ac:dyDescent="0.25">
      <c r="A347" s="63">
        <f t="shared" si="5"/>
        <v>45272</v>
      </c>
      <c r="B347">
        <v>646.66</v>
      </c>
      <c r="C347">
        <v>44.25</v>
      </c>
      <c r="D347">
        <v>293.88</v>
      </c>
      <c r="E347">
        <v>116.02</v>
      </c>
      <c r="F347">
        <v>100.16</v>
      </c>
      <c r="G347">
        <v>34.39</v>
      </c>
      <c r="H347">
        <v>57.96</v>
      </c>
    </row>
    <row r="348" spans="1:8" x14ac:dyDescent="0.25">
      <c r="A348" s="63">
        <f t="shared" si="5"/>
        <v>45273</v>
      </c>
      <c r="B348">
        <v>865.80000000000018</v>
      </c>
      <c r="C348">
        <v>60.57</v>
      </c>
      <c r="D348">
        <v>323.55</v>
      </c>
      <c r="E348">
        <v>225.06</v>
      </c>
      <c r="F348">
        <v>99.93</v>
      </c>
      <c r="G348">
        <v>88.88</v>
      </c>
      <c r="H348">
        <v>67.81</v>
      </c>
    </row>
    <row r="349" spans="1:8" x14ac:dyDescent="0.25">
      <c r="A349" s="63">
        <f t="shared" si="5"/>
        <v>45274</v>
      </c>
      <c r="B349">
        <v>863.54</v>
      </c>
      <c r="C349">
        <v>59.46</v>
      </c>
      <c r="D349">
        <v>336.06</v>
      </c>
      <c r="E349">
        <v>238.08</v>
      </c>
      <c r="F349">
        <v>88.4</v>
      </c>
      <c r="G349">
        <v>77.62</v>
      </c>
      <c r="H349">
        <v>63.92</v>
      </c>
    </row>
    <row r="350" spans="1:8" x14ac:dyDescent="0.25">
      <c r="A350" s="63">
        <f t="shared" si="5"/>
        <v>45275</v>
      </c>
      <c r="B350">
        <v>991.93999999999994</v>
      </c>
      <c r="C350">
        <v>68.94</v>
      </c>
      <c r="D350">
        <v>401.49</v>
      </c>
      <c r="E350">
        <v>263.19</v>
      </c>
      <c r="F350">
        <v>104.73</v>
      </c>
      <c r="G350">
        <v>90.44</v>
      </c>
      <c r="H350">
        <v>63.15</v>
      </c>
    </row>
    <row r="351" spans="1:8" x14ac:dyDescent="0.25">
      <c r="A351" s="63">
        <f t="shared" si="5"/>
        <v>45276</v>
      </c>
      <c r="B351">
        <v>1038.43</v>
      </c>
      <c r="C351">
        <v>117.29</v>
      </c>
      <c r="D351">
        <v>379.44</v>
      </c>
      <c r="E351">
        <v>260.82</v>
      </c>
      <c r="F351">
        <v>117</v>
      </c>
      <c r="G351">
        <v>100.09</v>
      </c>
      <c r="H351">
        <v>63.79</v>
      </c>
    </row>
    <row r="352" spans="1:8" x14ac:dyDescent="0.25">
      <c r="A352" s="63">
        <f t="shared" si="5"/>
        <v>45277</v>
      </c>
      <c r="B352">
        <v>920.49000000000012</v>
      </c>
      <c r="C352">
        <v>95</v>
      </c>
      <c r="D352">
        <v>311.91000000000003</v>
      </c>
      <c r="E352">
        <v>252.8</v>
      </c>
      <c r="F352">
        <v>106.33</v>
      </c>
      <c r="G352">
        <v>91.25</v>
      </c>
      <c r="H352">
        <v>63.2</v>
      </c>
    </row>
    <row r="353" spans="1:8" x14ac:dyDescent="0.25">
      <c r="A353" s="63">
        <f t="shared" si="5"/>
        <v>45278</v>
      </c>
      <c r="B353">
        <v>983.58</v>
      </c>
      <c r="C353">
        <v>99.09</v>
      </c>
      <c r="D353">
        <v>349.37</v>
      </c>
      <c r="E353">
        <v>248.9</v>
      </c>
      <c r="F353">
        <v>106.26</v>
      </c>
      <c r="G353">
        <v>115.22</v>
      </c>
      <c r="H353">
        <v>64.739999999999995</v>
      </c>
    </row>
    <row r="354" spans="1:8" x14ac:dyDescent="0.25">
      <c r="A354" s="63">
        <f t="shared" si="5"/>
        <v>45279</v>
      </c>
      <c r="B354">
        <v>1101.55</v>
      </c>
      <c r="C354">
        <v>114.89</v>
      </c>
      <c r="D354">
        <v>420.59</v>
      </c>
      <c r="E354">
        <v>300.02</v>
      </c>
      <c r="F354">
        <v>101.25</v>
      </c>
      <c r="G354">
        <v>102.5</v>
      </c>
      <c r="H354">
        <v>62.3</v>
      </c>
    </row>
    <row r="355" spans="1:8" x14ac:dyDescent="0.25">
      <c r="A355" s="63">
        <f t="shared" si="5"/>
        <v>45280</v>
      </c>
      <c r="B355">
        <v>1080.07</v>
      </c>
      <c r="C355">
        <v>97.98</v>
      </c>
      <c r="D355">
        <v>421.63</v>
      </c>
      <c r="E355">
        <v>295.88</v>
      </c>
      <c r="F355">
        <v>93.16</v>
      </c>
      <c r="G355">
        <v>107.55</v>
      </c>
      <c r="H355">
        <v>63.87</v>
      </c>
    </row>
    <row r="356" spans="1:8" x14ac:dyDescent="0.25">
      <c r="A356" s="63">
        <f t="shared" si="5"/>
        <v>45281</v>
      </c>
      <c r="B356">
        <v>1076.1600000000001</v>
      </c>
      <c r="C356">
        <v>112.12</v>
      </c>
      <c r="D356">
        <v>414.67</v>
      </c>
      <c r="E356">
        <v>292.01</v>
      </c>
      <c r="F356">
        <v>100</v>
      </c>
      <c r="G356">
        <v>91.47</v>
      </c>
      <c r="H356">
        <v>65.89</v>
      </c>
    </row>
    <row r="357" spans="1:8" x14ac:dyDescent="0.25">
      <c r="A357" s="63">
        <f t="shared" si="5"/>
        <v>45282</v>
      </c>
      <c r="B357">
        <v>1123.22</v>
      </c>
      <c r="C357">
        <v>96.97</v>
      </c>
      <c r="D357">
        <v>441.04</v>
      </c>
      <c r="E357">
        <v>299.91000000000003</v>
      </c>
      <c r="F357">
        <v>101.8</v>
      </c>
      <c r="G357">
        <v>114.14</v>
      </c>
      <c r="H357">
        <v>69.36</v>
      </c>
    </row>
    <row r="358" spans="1:8" x14ac:dyDescent="0.25">
      <c r="A358" s="63">
        <f t="shared" si="5"/>
        <v>45283</v>
      </c>
      <c r="B358">
        <v>1149.9400000000003</v>
      </c>
      <c r="C358">
        <v>106.57</v>
      </c>
      <c r="D358">
        <v>447.18</v>
      </c>
      <c r="E358">
        <v>304.92</v>
      </c>
      <c r="F358">
        <v>112.08</v>
      </c>
      <c r="G358">
        <v>110.28</v>
      </c>
      <c r="H358">
        <v>68.91</v>
      </c>
    </row>
    <row r="359" spans="1:8" x14ac:dyDescent="0.25">
      <c r="A359" s="63">
        <f t="shared" si="5"/>
        <v>45284</v>
      </c>
      <c r="B359">
        <v>1092.52</v>
      </c>
      <c r="C359">
        <v>104.94</v>
      </c>
      <c r="D359">
        <v>420.81</v>
      </c>
      <c r="E359">
        <v>292.06</v>
      </c>
      <c r="F359">
        <v>106.34</v>
      </c>
      <c r="G359">
        <v>105.37</v>
      </c>
      <c r="H359">
        <v>63</v>
      </c>
    </row>
    <row r="360" spans="1:8" x14ac:dyDescent="0.25">
      <c r="A360" s="63">
        <f t="shared" si="5"/>
        <v>45285</v>
      </c>
      <c r="B360">
        <v>1038.46</v>
      </c>
      <c r="C360">
        <v>63.85</v>
      </c>
      <c r="D360">
        <v>425</v>
      </c>
      <c r="E360">
        <v>282.73</v>
      </c>
      <c r="F360">
        <v>100.47</v>
      </c>
      <c r="G360">
        <v>104.58</v>
      </c>
      <c r="H360">
        <v>61.83</v>
      </c>
    </row>
    <row r="361" spans="1:8" x14ac:dyDescent="0.25">
      <c r="A361" s="63">
        <f t="shared" si="5"/>
        <v>45286</v>
      </c>
      <c r="B361">
        <v>923.6</v>
      </c>
      <c r="C361">
        <v>53.57</v>
      </c>
      <c r="D361">
        <v>448.63</v>
      </c>
      <c r="E361">
        <v>131.6</v>
      </c>
      <c r="F361">
        <v>106.69</v>
      </c>
      <c r="G361">
        <v>114.97</v>
      </c>
      <c r="H361">
        <v>68.14</v>
      </c>
    </row>
    <row r="362" spans="1:8" x14ac:dyDescent="0.25">
      <c r="A362" s="63">
        <f t="shared" si="5"/>
        <v>45287</v>
      </c>
      <c r="B362">
        <v>894.57</v>
      </c>
      <c r="C362">
        <v>50.08</v>
      </c>
      <c r="D362">
        <v>377.84</v>
      </c>
      <c r="E362">
        <v>196.23</v>
      </c>
      <c r="F362">
        <v>93.61</v>
      </c>
      <c r="G362">
        <v>113.11</v>
      </c>
      <c r="H362">
        <v>63.7</v>
      </c>
    </row>
    <row r="363" spans="1:8" x14ac:dyDescent="0.25">
      <c r="A363" s="63">
        <f t="shared" si="5"/>
        <v>45288</v>
      </c>
      <c r="B363">
        <v>960.01</v>
      </c>
      <c r="C363">
        <v>30.33</v>
      </c>
      <c r="D363">
        <v>362.95</v>
      </c>
      <c r="E363">
        <v>284.86</v>
      </c>
      <c r="F363">
        <v>97.49</v>
      </c>
      <c r="G363">
        <v>115.39</v>
      </c>
      <c r="H363">
        <v>68.989999999999995</v>
      </c>
    </row>
    <row r="364" spans="1:8" x14ac:dyDescent="0.25">
      <c r="A364" s="63">
        <f t="shared" si="5"/>
        <v>45289</v>
      </c>
      <c r="B364">
        <v>230.49</v>
      </c>
      <c r="D364">
        <v>111.7</v>
      </c>
      <c r="F364">
        <v>55.62</v>
      </c>
      <c r="G364">
        <v>12.55</v>
      </c>
      <c r="H364">
        <v>50.62</v>
      </c>
    </row>
    <row r="365" spans="1:8" x14ac:dyDescent="0.25">
      <c r="A365" s="63">
        <f t="shared" si="5"/>
        <v>45290</v>
      </c>
      <c r="B365">
        <v>0</v>
      </c>
    </row>
    <row r="366" spans="1:8" x14ac:dyDescent="0.25">
      <c r="A366" s="63">
        <f t="shared" si="5"/>
        <v>45291</v>
      </c>
      <c r="B366">
        <v>0</v>
      </c>
    </row>
    <row r="367" spans="1:8" x14ac:dyDescent="0.25">
      <c r="A367" s="63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7"/>
  <sheetViews>
    <sheetView workbookViewId="0"/>
  </sheetViews>
  <sheetFormatPr defaultRowHeight="15" x14ac:dyDescent="0.25"/>
  <cols>
    <col min="1" max="1" width="10.140625" bestFit="1" customWidth="1"/>
  </cols>
  <sheetData>
    <row r="1" spans="1:8" x14ac:dyDescent="0.25">
      <c r="A1" t="s">
        <v>42</v>
      </c>
      <c r="B1" t="s">
        <v>41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</row>
    <row r="2" spans="1:8" x14ac:dyDescent="0.25">
      <c r="A2" s="63">
        <v>45292</v>
      </c>
      <c r="B2">
        <v>0</v>
      </c>
    </row>
    <row r="3" spans="1:8" x14ac:dyDescent="0.25">
      <c r="A3" s="63">
        <f>A2+1</f>
        <v>45293</v>
      </c>
      <c r="B3">
        <v>0</v>
      </c>
    </row>
    <row r="4" spans="1:8" x14ac:dyDescent="0.25">
      <c r="A4" s="63">
        <f t="shared" ref="A4:A67" si="0">A3+1</f>
        <v>45294</v>
      </c>
      <c r="B4">
        <v>0</v>
      </c>
    </row>
    <row r="5" spans="1:8" x14ac:dyDescent="0.25">
      <c r="A5" s="63">
        <f t="shared" si="0"/>
        <v>45295</v>
      </c>
      <c r="B5">
        <v>0</v>
      </c>
    </row>
    <row r="6" spans="1:8" x14ac:dyDescent="0.25">
      <c r="A6" s="63">
        <f t="shared" si="0"/>
        <v>45296</v>
      </c>
      <c r="B6">
        <v>0</v>
      </c>
    </row>
    <row r="7" spans="1:8" x14ac:dyDescent="0.25">
      <c r="A7" s="63">
        <f t="shared" si="0"/>
        <v>45297</v>
      </c>
      <c r="B7">
        <v>0</v>
      </c>
    </row>
    <row r="8" spans="1:8" x14ac:dyDescent="0.25">
      <c r="A8" s="63">
        <f t="shared" si="0"/>
        <v>45298</v>
      </c>
      <c r="B8">
        <v>0</v>
      </c>
    </row>
    <row r="9" spans="1:8" x14ac:dyDescent="0.25">
      <c r="A9" s="63">
        <f t="shared" si="0"/>
        <v>45299</v>
      </c>
      <c r="B9">
        <v>676.27</v>
      </c>
      <c r="C9">
        <v>47.14</v>
      </c>
      <c r="D9">
        <v>303.91000000000003</v>
      </c>
      <c r="E9">
        <v>133</v>
      </c>
      <c r="F9">
        <v>91.16</v>
      </c>
      <c r="G9">
        <v>44.41</v>
      </c>
      <c r="H9">
        <v>56.65</v>
      </c>
    </row>
    <row r="10" spans="1:8" x14ac:dyDescent="0.25">
      <c r="A10" s="63">
        <f t="shared" si="0"/>
        <v>45300</v>
      </c>
      <c r="B10">
        <v>983.18999999999994</v>
      </c>
      <c r="C10">
        <v>86.99</v>
      </c>
      <c r="D10">
        <v>396.51</v>
      </c>
      <c r="E10">
        <v>268.45999999999998</v>
      </c>
      <c r="F10">
        <v>78.92</v>
      </c>
      <c r="G10">
        <v>88.66</v>
      </c>
      <c r="H10">
        <v>63.650000000000006</v>
      </c>
    </row>
    <row r="11" spans="1:8" x14ac:dyDescent="0.25">
      <c r="A11" s="63">
        <f t="shared" si="0"/>
        <v>45301</v>
      </c>
      <c r="B11">
        <v>1069.1200000000001</v>
      </c>
      <c r="C11">
        <v>87.83</v>
      </c>
      <c r="D11">
        <v>454.49</v>
      </c>
      <c r="E11">
        <v>268.97000000000003</v>
      </c>
      <c r="F11">
        <v>88.41</v>
      </c>
      <c r="G11">
        <v>98.5</v>
      </c>
      <c r="H11">
        <v>70.92</v>
      </c>
    </row>
    <row r="12" spans="1:8" x14ac:dyDescent="0.25">
      <c r="A12" s="63">
        <f t="shared" si="0"/>
        <v>45302</v>
      </c>
      <c r="B12">
        <v>982.57</v>
      </c>
      <c r="C12">
        <v>94.38</v>
      </c>
      <c r="D12">
        <v>372.1</v>
      </c>
      <c r="E12">
        <v>278.23</v>
      </c>
      <c r="F12">
        <v>83.55</v>
      </c>
      <c r="G12">
        <v>86.08</v>
      </c>
      <c r="H12">
        <v>68.23</v>
      </c>
    </row>
    <row r="13" spans="1:8" x14ac:dyDescent="0.25">
      <c r="A13" s="63">
        <f t="shared" si="0"/>
        <v>45303</v>
      </c>
      <c r="B13">
        <v>1023.5</v>
      </c>
      <c r="C13">
        <v>95.83</v>
      </c>
      <c r="D13">
        <v>398.06</v>
      </c>
      <c r="E13">
        <v>275.75</v>
      </c>
      <c r="F13">
        <v>98.14</v>
      </c>
      <c r="G13">
        <v>90.410000000000011</v>
      </c>
      <c r="H13">
        <v>65.31</v>
      </c>
    </row>
    <row r="14" spans="1:8" x14ac:dyDescent="0.25">
      <c r="A14" s="63">
        <f t="shared" si="0"/>
        <v>45304</v>
      </c>
      <c r="B14">
        <v>941.10000000000014</v>
      </c>
      <c r="C14">
        <v>66.87</v>
      </c>
      <c r="D14">
        <v>329.42</v>
      </c>
      <c r="E14">
        <v>257.64999999999998</v>
      </c>
      <c r="F14">
        <v>116.44</v>
      </c>
      <c r="G14">
        <v>102.16</v>
      </c>
      <c r="H14">
        <v>68.56</v>
      </c>
    </row>
    <row r="15" spans="1:8" x14ac:dyDescent="0.25">
      <c r="A15" s="63">
        <f t="shared" si="0"/>
        <v>45305</v>
      </c>
      <c r="B15">
        <v>1033.6299999999999</v>
      </c>
      <c r="C15">
        <v>100.05</v>
      </c>
      <c r="D15">
        <v>397.99</v>
      </c>
      <c r="E15">
        <v>289.49</v>
      </c>
      <c r="F15">
        <v>95.23</v>
      </c>
      <c r="G15">
        <v>82.52</v>
      </c>
      <c r="H15">
        <v>68.349999999999994</v>
      </c>
    </row>
    <row r="16" spans="1:8" x14ac:dyDescent="0.25">
      <c r="A16" s="63">
        <f t="shared" si="0"/>
        <v>45306</v>
      </c>
      <c r="B16">
        <v>945.49</v>
      </c>
      <c r="C16">
        <v>97.72</v>
      </c>
      <c r="D16">
        <v>318.07</v>
      </c>
      <c r="E16">
        <v>269.68</v>
      </c>
      <c r="F16">
        <v>106.27</v>
      </c>
      <c r="G16">
        <v>81.650000000000006</v>
      </c>
      <c r="H16">
        <v>72.099999999999994</v>
      </c>
    </row>
    <row r="17" spans="1:8" x14ac:dyDescent="0.25">
      <c r="A17" s="63">
        <f t="shared" si="0"/>
        <v>45307</v>
      </c>
      <c r="B17">
        <v>1013.7800000000001</v>
      </c>
      <c r="C17">
        <v>78.709999999999994</v>
      </c>
      <c r="D17">
        <v>419.61999999999995</v>
      </c>
      <c r="E17">
        <v>255.44</v>
      </c>
      <c r="F17">
        <v>97.21</v>
      </c>
      <c r="G17">
        <v>103.69999999999999</v>
      </c>
      <c r="H17">
        <v>59.1</v>
      </c>
    </row>
    <row r="18" spans="1:8" x14ac:dyDescent="0.25">
      <c r="A18" s="63">
        <f t="shared" si="0"/>
        <v>45308</v>
      </c>
      <c r="B18">
        <v>965.36999999999989</v>
      </c>
      <c r="C18">
        <v>84.65</v>
      </c>
      <c r="D18">
        <v>350.52</v>
      </c>
      <c r="E18">
        <v>250.66</v>
      </c>
      <c r="F18">
        <v>103.15</v>
      </c>
      <c r="G18">
        <v>108.94</v>
      </c>
      <c r="H18">
        <v>67.45</v>
      </c>
    </row>
    <row r="19" spans="1:8" x14ac:dyDescent="0.25">
      <c r="A19" s="63">
        <f t="shared" si="0"/>
        <v>45309</v>
      </c>
      <c r="B19">
        <v>1047.1300000000001</v>
      </c>
      <c r="C19">
        <v>96.34</v>
      </c>
      <c r="D19">
        <v>412.52</v>
      </c>
      <c r="E19">
        <v>275.33</v>
      </c>
      <c r="F19">
        <v>88.87</v>
      </c>
      <c r="G19">
        <v>104.47</v>
      </c>
      <c r="H19">
        <v>69.599999999999994</v>
      </c>
    </row>
    <row r="20" spans="1:8" x14ac:dyDescent="0.25">
      <c r="A20" s="63">
        <f t="shared" si="0"/>
        <v>45310</v>
      </c>
      <c r="B20">
        <v>1079.53</v>
      </c>
      <c r="C20">
        <v>108.06</v>
      </c>
      <c r="D20">
        <v>403.8</v>
      </c>
      <c r="E20">
        <v>264.75</v>
      </c>
      <c r="F20">
        <v>113.96</v>
      </c>
      <c r="G20">
        <v>119.02</v>
      </c>
      <c r="H20">
        <v>69.94</v>
      </c>
    </row>
    <row r="21" spans="1:8" x14ac:dyDescent="0.25">
      <c r="A21" s="63">
        <f t="shared" si="0"/>
        <v>45311</v>
      </c>
      <c r="B21">
        <v>1066.48</v>
      </c>
      <c r="C21">
        <v>105.99</v>
      </c>
      <c r="D21">
        <v>393.77</v>
      </c>
      <c r="E21">
        <v>272.79000000000002</v>
      </c>
      <c r="F21">
        <v>104.66</v>
      </c>
      <c r="G21">
        <v>119.83</v>
      </c>
      <c r="H21">
        <v>69.44</v>
      </c>
    </row>
    <row r="22" spans="1:8" x14ac:dyDescent="0.25">
      <c r="A22" s="63">
        <f t="shared" si="0"/>
        <v>45312</v>
      </c>
      <c r="B22">
        <v>1123.0899999999999</v>
      </c>
      <c r="C22">
        <v>107.14</v>
      </c>
      <c r="D22">
        <v>429.34</v>
      </c>
      <c r="E22">
        <v>284.89</v>
      </c>
      <c r="F22">
        <v>111.03</v>
      </c>
      <c r="G22">
        <v>121.12</v>
      </c>
      <c r="H22">
        <v>69.569999999999993</v>
      </c>
    </row>
    <row r="23" spans="1:8" x14ac:dyDescent="0.25">
      <c r="A23" s="63">
        <f t="shared" si="0"/>
        <v>45313</v>
      </c>
      <c r="B23">
        <v>1104.0999999999999</v>
      </c>
      <c r="C23">
        <v>102.89</v>
      </c>
      <c r="D23">
        <v>438.76</v>
      </c>
      <c r="E23">
        <v>276.57</v>
      </c>
      <c r="F23">
        <v>109.09</v>
      </c>
      <c r="G23">
        <v>106.71</v>
      </c>
      <c r="H23">
        <v>70.08</v>
      </c>
    </row>
    <row r="24" spans="1:8" x14ac:dyDescent="0.25">
      <c r="A24" s="63">
        <f t="shared" si="0"/>
        <v>45314</v>
      </c>
      <c r="B24">
        <v>1045.77</v>
      </c>
      <c r="C24">
        <v>93.399999999999991</v>
      </c>
      <c r="D24">
        <v>410.84</v>
      </c>
      <c r="E24">
        <v>253</v>
      </c>
      <c r="F24">
        <v>105.42999999999999</v>
      </c>
      <c r="G24">
        <v>111.28</v>
      </c>
      <c r="H24">
        <v>71.819999999999993</v>
      </c>
    </row>
    <row r="25" spans="1:8" x14ac:dyDescent="0.25">
      <c r="A25" s="63">
        <f t="shared" si="0"/>
        <v>45315</v>
      </c>
      <c r="B25">
        <v>747.58</v>
      </c>
      <c r="C25">
        <v>72.45</v>
      </c>
      <c r="D25">
        <v>294.2</v>
      </c>
      <c r="E25">
        <v>183.91</v>
      </c>
      <c r="F25">
        <v>72.33</v>
      </c>
      <c r="G25">
        <v>87.73</v>
      </c>
      <c r="H25">
        <v>36.96</v>
      </c>
    </row>
    <row r="26" spans="1:8" x14ac:dyDescent="0.25">
      <c r="A26" s="63">
        <f t="shared" si="0"/>
        <v>45316</v>
      </c>
      <c r="B26">
        <v>1003.1600000000001</v>
      </c>
      <c r="C26">
        <v>87.91</v>
      </c>
      <c r="D26">
        <v>381.93</v>
      </c>
      <c r="E26">
        <v>243.21</v>
      </c>
      <c r="F26">
        <v>106.4</v>
      </c>
      <c r="G26">
        <v>111.48</v>
      </c>
      <c r="H26">
        <v>72.23</v>
      </c>
    </row>
    <row r="27" spans="1:8" x14ac:dyDescent="0.25">
      <c r="A27" s="63">
        <f t="shared" si="0"/>
        <v>45317</v>
      </c>
      <c r="B27">
        <v>1104.0999999999999</v>
      </c>
      <c r="C27">
        <v>114.1</v>
      </c>
      <c r="D27">
        <v>434.25</v>
      </c>
      <c r="E27">
        <v>264.27999999999997</v>
      </c>
      <c r="F27">
        <v>108.34</v>
      </c>
      <c r="G27">
        <v>110.26</v>
      </c>
      <c r="H27">
        <v>72.86999999999999</v>
      </c>
    </row>
    <row r="28" spans="1:8" x14ac:dyDescent="0.25">
      <c r="A28" s="63">
        <f t="shared" si="0"/>
        <v>45318</v>
      </c>
      <c r="B28">
        <v>1086.3599999999999</v>
      </c>
      <c r="C28">
        <v>81.3</v>
      </c>
      <c r="D28">
        <v>412.74</v>
      </c>
      <c r="E28">
        <v>286.05</v>
      </c>
      <c r="F28">
        <v>119.87</v>
      </c>
      <c r="G28">
        <v>116.06</v>
      </c>
      <c r="H28">
        <v>70.34</v>
      </c>
    </row>
    <row r="29" spans="1:8" x14ac:dyDescent="0.25">
      <c r="A29" s="63">
        <f t="shared" si="0"/>
        <v>45319</v>
      </c>
      <c r="B29">
        <v>1096.0099999999998</v>
      </c>
      <c r="C29">
        <v>106.07</v>
      </c>
      <c r="D29">
        <v>425.58</v>
      </c>
      <c r="E29">
        <v>280.95999999999998</v>
      </c>
      <c r="F29">
        <v>99.4</v>
      </c>
      <c r="G29">
        <v>111.62</v>
      </c>
      <c r="H29">
        <v>72.38</v>
      </c>
    </row>
    <row r="30" spans="1:8" x14ac:dyDescent="0.25">
      <c r="A30" s="63">
        <f t="shared" si="0"/>
        <v>45320</v>
      </c>
      <c r="B30">
        <v>1101.29</v>
      </c>
      <c r="C30">
        <v>96.69</v>
      </c>
      <c r="D30">
        <v>424.81</v>
      </c>
      <c r="E30">
        <v>286.3</v>
      </c>
      <c r="F30">
        <v>103.33</v>
      </c>
      <c r="G30">
        <v>120.39</v>
      </c>
      <c r="H30">
        <v>69.77</v>
      </c>
    </row>
    <row r="31" spans="1:8" x14ac:dyDescent="0.25">
      <c r="A31" s="63">
        <f t="shared" si="0"/>
        <v>45321</v>
      </c>
      <c r="B31">
        <v>1147.55</v>
      </c>
      <c r="C31">
        <v>120.79</v>
      </c>
      <c r="D31">
        <v>458.54</v>
      </c>
      <c r="E31">
        <v>287.57</v>
      </c>
      <c r="F31">
        <v>113.21</v>
      </c>
      <c r="G31">
        <v>98.62</v>
      </c>
      <c r="H31">
        <v>68.819999999999993</v>
      </c>
    </row>
    <row r="32" spans="1:8" x14ac:dyDescent="0.25">
      <c r="A32" s="63">
        <f t="shared" si="0"/>
        <v>45322</v>
      </c>
      <c r="B32">
        <v>1144.4199999999998</v>
      </c>
      <c r="C32">
        <v>114.95</v>
      </c>
      <c r="D32">
        <v>443.49</v>
      </c>
      <c r="E32">
        <v>280.56</v>
      </c>
      <c r="F32">
        <v>111.53</v>
      </c>
      <c r="G32">
        <v>123.82000000000001</v>
      </c>
      <c r="H32">
        <v>70.069999999999993</v>
      </c>
    </row>
    <row r="33" spans="1:8" x14ac:dyDescent="0.25">
      <c r="A33" s="63">
        <f t="shared" si="0"/>
        <v>45323</v>
      </c>
      <c r="B33">
        <v>1064.92</v>
      </c>
      <c r="C33">
        <v>100.26</v>
      </c>
      <c r="D33">
        <v>398.54</v>
      </c>
      <c r="E33">
        <v>261.06</v>
      </c>
      <c r="F33">
        <v>117.99</v>
      </c>
      <c r="G33">
        <v>116.19</v>
      </c>
      <c r="H33">
        <v>70.88</v>
      </c>
    </row>
    <row r="34" spans="1:8" x14ac:dyDescent="0.25">
      <c r="A34" s="63">
        <f t="shared" si="0"/>
        <v>45324</v>
      </c>
      <c r="B34">
        <v>1054.98</v>
      </c>
      <c r="C34">
        <v>89.76</v>
      </c>
      <c r="D34">
        <v>385.71</v>
      </c>
      <c r="E34">
        <v>280.25</v>
      </c>
      <c r="F34">
        <v>115.77</v>
      </c>
      <c r="G34">
        <v>112.62</v>
      </c>
      <c r="H34">
        <v>70.87</v>
      </c>
    </row>
    <row r="35" spans="1:8" x14ac:dyDescent="0.25">
      <c r="A35" s="63">
        <f t="shared" si="0"/>
        <v>45325</v>
      </c>
      <c r="B35">
        <v>1144.48</v>
      </c>
      <c r="C35">
        <v>111.45</v>
      </c>
      <c r="D35">
        <v>438.32</v>
      </c>
      <c r="E35">
        <v>285.49</v>
      </c>
      <c r="F35">
        <v>129.08000000000001</v>
      </c>
      <c r="G35">
        <v>109.39</v>
      </c>
      <c r="H35">
        <v>70.75</v>
      </c>
    </row>
    <row r="36" spans="1:8" x14ac:dyDescent="0.25">
      <c r="A36" s="63">
        <f t="shared" si="0"/>
        <v>45326</v>
      </c>
      <c r="B36">
        <v>1074.92</v>
      </c>
      <c r="C36">
        <v>100.73</v>
      </c>
      <c r="D36">
        <v>408.99</v>
      </c>
      <c r="E36">
        <v>270.51</v>
      </c>
      <c r="F36">
        <v>123.38</v>
      </c>
      <c r="G36">
        <v>101.23</v>
      </c>
      <c r="H36">
        <v>70.08</v>
      </c>
    </row>
    <row r="37" spans="1:8" x14ac:dyDescent="0.25">
      <c r="A37" s="63">
        <f t="shared" si="0"/>
        <v>45327</v>
      </c>
      <c r="B37">
        <v>1067.1300000000001</v>
      </c>
      <c r="C37">
        <v>95.04</v>
      </c>
      <c r="D37">
        <v>418.48</v>
      </c>
      <c r="E37">
        <v>269.95999999999998</v>
      </c>
      <c r="F37">
        <v>117.75</v>
      </c>
      <c r="G37">
        <v>95.51</v>
      </c>
      <c r="H37">
        <v>70.39</v>
      </c>
    </row>
    <row r="38" spans="1:8" x14ac:dyDescent="0.25">
      <c r="A38" s="63">
        <f t="shared" si="0"/>
        <v>45328</v>
      </c>
      <c r="B38">
        <v>1121.68</v>
      </c>
      <c r="C38">
        <v>101.61</v>
      </c>
      <c r="D38">
        <v>431.1</v>
      </c>
      <c r="E38">
        <v>269.73</v>
      </c>
      <c r="F38">
        <v>122.49000000000001</v>
      </c>
      <c r="G38">
        <v>127.57</v>
      </c>
      <c r="H38">
        <v>69.180000000000007</v>
      </c>
    </row>
    <row r="39" spans="1:8" x14ac:dyDescent="0.25">
      <c r="A39" s="63">
        <f t="shared" si="0"/>
        <v>45329</v>
      </c>
      <c r="B39">
        <v>1052.04</v>
      </c>
      <c r="C39">
        <v>100.34</v>
      </c>
      <c r="D39">
        <v>401.21</v>
      </c>
      <c r="E39">
        <v>238.76</v>
      </c>
      <c r="F39">
        <v>111.29</v>
      </c>
      <c r="G39">
        <v>125.66</v>
      </c>
      <c r="H39">
        <v>74.78</v>
      </c>
    </row>
    <row r="40" spans="1:8" x14ac:dyDescent="0.25">
      <c r="A40" s="63">
        <f t="shared" si="0"/>
        <v>45330</v>
      </c>
      <c r="B40">
        <v>933.69999999999993</v>
      </c>
      <c r="C40">
        <v>72.91</v>
      </c>
      <c r="D40">
        <v>370.33</v>
      </c>
      <c r="E40">
        <v>214.15</v>
      </c>
      <c r="F40">
        <v>103.43</v>
      </c>
      <c r="G40">
        <v>101.1</v>
      </c>
      <c r="H40">
        <v>71.78</v>
      </c>
    </row>
    <row r="41" spans="1:8" x14ac:dyDescent="0.25">
      <c r="A41" s="63">
        <f t="shared" si="0"/>
        <v>45331</v>
      </c>
      <c r="B41">
        <v>862.59000000000015</v>
      </c>
      <c r="C41">
        <v>60.94</v>
      </c>
      <c r="D41">
        <v>330.25</v>
      </c>
      <c r="E41">
        <v>210.49</v>
      </c>
      <c r="F41">
        <v>97.37</v>
      </c>
      <c r="G41">
        <v>93.46</v>
      </c>
      <c r="H41">
        <v>70.08</v>
      </c>
    </row>
    <row r="42" spans="1:8" x14ac:dyDescent="0.25">
      <c r="A42" s="63">
        <f t="shared" si="0"/>
        <v>45332</v>
      </c>
      <c r="B42">
        <v>704.81</v>
      </c>
      <c r="C42">
        <v>30.7</v>
      </c>
      <c r="D42">
        <v>260.39999999999998</v>
      </c>
      <c r="E42">
        <v>145.53</v>
      </c>
      <c r="F42">
        <v>109.24</v>
      </c>
      <c r="G42">
        <v>89.42</v>
      </c>
      <c r="H42">
        <v>69.52</v>
      </c>
    </row>
    <row r="43" spans="1:8" x14ac:dyDescent="0.25">
      <c r="A43" s="63">
        <f t="shared" si="0"/>
        <v>45333</v>
      </c>
      <c r="B43">
        <v>847.71</v>
      </c>
      <c r="C43">
        <v>53.41</v>
      </c>
      <c r="D43">
        <v>323.41000000000003</v>
      </c>
      <c r="E43">
        <v>202.64</v>
      </c>
      <c r="F43">
        <v>109.38</v>
      </c>
      <c r="G43">
        <v>88.89</v>
      </c>
      <c r="H43">
        <v>69.98</v>
      </c>
    </row>
    <row r="44" spans="1:8" x14ac:dyDescent="0.25">
      <c r="A44" s="63">
        <f t="shared" si="0"/>
        <v>45334</v>
      </c>
      <c r="B44">
        <v>959.3599999999999</v>
      </c>
      <c r="C44">
        <v>63.42</v>
      </c>
      <c r="D44">
        <v>367.9</v>
      </c>
      <c r="E44">
        <v>245.84</v>
      </c>
      <c r="F44">
        <v>102.45</v>
      </c>
      <c r="G44">
        <v>111.43</v>
      </c>
      <c r="H44">
        <v>68.319999999999993</v>
      </c>
    </row>
    <row r="45" spans="1:8" x14ac:dyDescent="0.25">
      <c r="A45" s="63">
        <f t="shared" si="0"/>
        <v>45335</v>
      </c>
      <c r="B45">
        <v>967.87</v>
      </c>
      <c r="C45">
        <v>48.18</v>
      </c>
      <c r="D45">
        <v>389.83</v>
      </c>
      <c r="E45">
        <v>261.87</v>
      </c>
      <c r="F45">
        <v>100.94</v>
      </c>
      <c r="G45">
        <v>96.58</v>
      </c>
      <c r="H45">
        <v>70.47</v>
      </c>
    </row>
    <row r="46" spans="1:8" x14ac:dyDescent="0.25">
      <c r="A46" s="63">
        <f t="shared" si="0"/>
        <v>45336</v>
      </c>
      <c r="B46">
        <v>964.32000000000016</v>
      </c>
      <c r="C46">
        <v>56</v>
      </c>
      <c r="D46">
        <v>388.13</v>
      </c>
      <c r="E46">
        <v>238.73</v>
      </c>
      <c r="F46">
        <v>110.32</v>
      </c>
      <c r="G46">
        <v>101.94</v>
      </c>
      <c r="H46">
        <v>69.2</v>
      </c>
    </row>
    <row r="47" spans="1:8" x14ac:dyDescent="0.25">
      <c r="A47" s="63">
        <f t="shared" si="0"/>
        <v>45337</v>
      </c>
      <c r="B47">
        <v>955.81</v>
      </c>
      <c r="C47">
        <v>73.66</v>
      </c>
      <c r="D47">
        <v>362.27</v>
      </c>
      <c r="E47">
        <v>238.85</v>
      </c>
      <c r="F47">
        <v>109.98</v>
      </c>
      <c r="G47">
        <v>103.92</v>
      </c>
      <c r="H47">
        <v>67.13000000000001</v>
      </c>
    </row>
    <row r="48" spans="1:8" x14ac:dyDescent="0.25">
      <c r="A48" s="63">
        <f t="shared" si="0"/>
        <v>45338</v>
      </c>
      <c r="B48">
        <v>893.68999999999994</v>
      </c>
      <c r="C48">
        <v>57.28</v>
      </c>
      <c r="D48">
        <v>330.64</v>
      </c>
      <c r="E48">
        <v>243.58</v>
      </c>
      <c r="F48">
        <v>107.56</v>
      </c>
      <c r="G48">
        <v>83.41</v>
      </c>
      <c r="H48">
        <v>71.22</v>
      </c>
    </row>
    <row r="49" spans="1:8" x14ac:dyDescent="0.25">
      <c r="A49" s="63">
        <f t="shared" si="0"/>
        <v>45339</v>
      </c>
      <c r="B49">
        <v>784.7</v>
      </c>
      <c r="C49">
        <v>63.59</v>
      </c>
      <c r="D49">
        <v>266.02999999999997</v>
      </c>
      <c r="E49">
        <v>197.64</v>
      </c>
      <c r="F49">
        <v>112.73</v>
      </c>
      <c r="G49">
        <v>73.77</v>
      </c>
      <c r="H49">
        <v>70.94</v>
      </c>
    </row>
    <row r="50" spans="1:8" x14ac:dyDescent="0.25">
      <c r="A50" s="63">
        <f t="shared" si="0"/>
        <v>45340</v>
      </c>
      <c r="B50">
        <v>818.36</v>
      </c>
      <c r="C50">
        <v>72.010000000000005</v>
      </c>
      <c r="D50">
        <v>291.58999999999997</v>
      </c>
      <c r="E50">
        <v>194.79</v>
      </c>
      <c r="F50">
        <v>108.26</v>
      </c>
      <c r="G50">
        <v>81.739999999999995</v>
      </c>
      <c r="H50">
        <v>69.97</v>
      </c>
    </row>
    <row r="51" spans="1:8" x14ac:dyDescent="0.25">
      <c r="A51" s="63">
        <f t="shared" si="0"/>
        <v>45341</v>
      </c>
      <c r="B51">
        <v>964.69999999999993</v>
      </c>
      <c r="C51">
        <v>76.510000000000005</v>
      </c>
      <c r="D51">
        <v>362.28</v>
      </c>
      <c r="E51">
        <v>248.82</v>
      </c>
      <c r="F51">
        <v>105.63</v>
      </c>
      <c r="G51">
        <v>101.34</v>
      </c>
      <c r="H51">
        <v>70.12</v>
      </c>
    </row>
    <row r="52" spans="1:8" x14ac:dyDescent="0.25">
      <c r="A52" s="63">
        <f t="shared" si="0"/>
        <v>45342</v>
      </c>
      <c r="B52">
        <v>990.26</v>
      </c>
      <c r="C52">
        <v>65.39</v>
      </c>
      <c r="D52">
        <v>421.92</v>
      </c>
      <c r="E52">
        <v>218.78</v>
      </c>
      <c r="F52">
        <v>103.19</v>
      </c>
      <c r="G52">
        <v>110.14</v>
      </c>
      <c r="H52">
        <v>70.84</v>
      </c>
    </row>
    <row r="53" spans="1:8" x14ac:dyDescent="0.25">
      <c r="A53" s="63">
        <f t="shared" si="0"/>
        <v>45343</v>
      </c>
      <c r="B53">
        <v>921.06999999999994</v>
      </c>
      <c r="C53">
        <v>76.680000000000007</v>
      </c>
      <c r="D53">
        <v>360.24</v>
      </c>
      <c r="E53">
        <v>202.12</v>
      </c>
      <c r="F53">
        <v>110.96</v>
      </c>
      <c r="G53">
        <v>98.63</v>
      </c>
      <c r="H53">
        <v>72.44</v>
      </c>
    </row>
    <row r="54" spans="1:8" x14ac:dyDescent="0.25">
      <c r="A54" s="63">
        <f t="shared" si="0"/>
        <v>45344</v>
      </c>
      <c r="B54">
        <v>483.84999999999997</v>
      </c>
      <c r="C54">
        <v>34.97</v>
      </c>
      <c r="D54">
        <v>207.21</v>
      </c>
      <c r="E54">
        <v>101.2</v>
      </c>
      <c r="F54">
        <v>37.71</v>
      </c>
      <c r="G54">
        <v>41.050000000000004</v>
      </c>
      <c r="H54">
        <v>61.709999999999994</v>
      </c>
    </row>
    <row r="55" spans="1:8" x14ac:dyDescent="0.25">
      <c r="A55" s="63">
        <f t="shared" si="0"/>
        <v>45345</v>
      </c>
      <c r="B55">
        <v>0</v>
      </c>
    </row>
    <row r="56" spans="1:8" x14ac:dyDescent="0.25">
      <c r="A56" s="63">
        <f t="shared" si="0"/>
        <v>45346</v>
      </c>
      <c r="B56">
        <v>479.94999999999993</v>
      </c>
      <c r="C56">
        <v>31.51</v>
      </c>
      <c r="D56">
        <v>240.87</v>
      </c>
      <c r="E56">
        <v>115.64</v>
      </c>
      <c r="F56">
        <v>46.9</v>
      </c>
      <c r="G56">
        <v>45.03</v>
      </c>
    </row>
    <row r="57" spans="1:8" x14ac:dyDescent="0.25">
      <c r="A57" s="63">
        <f t="shared" si="0"/>
        <v>45347</v>
      </c>
      <c r="B57">
        <v>716.7700000000001</v>
      </c>
      <c r="C57">
        <v>77.03</v>
      </c>
      <c r="D57">
        <v>259.01</v>
      </c>
      <c r="E57">
        <v>139.11000000000001</v>
      </c>
      <c r="F57">
        <v>85.81</v>
      </c>
      <c r="G57">
        <v>94.58</v>
      </c>
      <c r="H57">
        <v>61.23</v>
      </c>
    </row>
    <row r="58" spans="1:8" x14ac:dyDescent="0.25">
      <c r="A58" s="63">
        <f t="shared" si="0"/>
        <v>45348</v>
      </c>
      <c r="B58">
        <v>913</v>
      </c>
      <c r="C58">
        <v>102.55</v>
      </c>
      <c r="D58">
        <v>318.39</v>
      </c>
      <c r="E58">
        <v>237.31</v>
      </c>
      <c r="F58">
        <v>85.48</v>
      </c>
      <c r="G58">
        <v>101.14</v>
      </c>
      <c r="H58">
        <v>68.13</v>
      </c>
    </row>
    <row r="59" spans="1:8" x14ac:dyDescent="0.25">
      <c r="A59" s="63">
        <f t="shared" si="0"/>
        <v>45349</v>
      </c>
      <c r="B59">
        <v>926.3599999999999</v>
      </c>
      <c r="C59">
        <v>82.81</v>
      </c>
      <c r="D59">
        <v>333.05</v>
      </c>
      <c r="E59">
        <v>247.92</v>
      </c>
      <c r="F59">
        <v>81.16</v>
      </c>
      <c r="G59">
        <v>111.55</v>
      </c>
      <c r="H59">
        <v>69.87</v>
      </c>
    </row>
    <row r="60" spans="1:8" x14ac:dyDescent="0.25">
      <c r="A60" s="63">
        <f t="shared" si="0"/>
        <v>45350</v>
      </c>
      <c r="B60">
        <v>902.38</v>
      </c>
      <c r="C60">
        <v>77.010000000000005</v>
      </c>
      <c r="D60">
        <v>320.99</v>
      </c>
      <c r="E60">
        <v>239.18</v>
      </c>
      <c r="F60">
        <v>92.24</v>
      </c>
      <c r="G60">
        <v>104.17</v>
      </c>
      <c r="H60">
        <v>68.790000000000006</v>
      </c>
    </row>
    <row r="61" spans="1:8" x14ac:dyDescent="0.25">
      <c r="A61" s="63">
        <f t="shared" si="0"/>
        <v>45351</v>
      </c>
      <c r="B61">
        <v>894.34999999999991</v>
      </c>
      <c r="C61">
        <v>62.84</v>
      </c>
      <c r="D61">
        <v>346.93</v>
      </c>
      <c r="E61">
        <v>221</v>
      </c>
      <c r="F61">
        <v>89.27000000000001</v>
      </c>
      <c r="G61">
        <v>105.12</v>
      </c>
      <c r="H61">
        <v>69.19</v>
      </c>
    </row>
    <row r="62" spans="1:8" x14ac:dyDescent="0.25">
      <c r="A62" s="63">
        <f t="shared" si="0"/>
        <v>45352</v>
      </c>
      <c r="B62">
        <v>788.68</v>
      </c>
      <c r="C62">
        <v>75.22</v>
      </c>
      <c r="D62">
        <v>237.59</v>
      </c>
      <c r="E62">
        <v>223.72</v>
      </c>
      <c r="F62">
        <v>83.75</v>
      </c>
      <c r="G62">
        <v>99.36</v>
      </c>
      <c r="H62">
        <v>69.040000000000006</v>
      </c>
    </row>
    <row r="63" spans="1:8" x14ac:dyDescent="0.25">
      <c r="A63" s="63">
        <f t="shared" si="0"/>
        <v>45353</v>
      </c>
      <c r="B63">
        <v>774.61999999999989</v>
      </c>
      <c r="C63">
        <v>74.66</v>
      </c>
      <c r="D63">
        <v>216.6</v>
      </c>
      <c r="E63">
        <v>226.06</v>
      </c>
      <c r="F63">
        <v>86.92</v>
      </c>
      <c r="G63">
        <v>102.65</v>
      </c>
      <c r="H63">
        <v>67.73</v>
      </c>
    </row>
    <row r="64" spans="1:8" x14ac:dyDescent="0.25">
      <c r="A64" s="63">
        <f t="shared" si="0"/>
        <v>45354</v>
      </c>
      <c r="B64">
        <v>870.04</v>
      </c>
      <c r="C64">
        <v>75.38</v>
      </c>
      <c r="D64">
        <v>333.55</v>
      </c>
      <c r="E64">
        <v>194.18</v>
      </c>
      <c r="F64">
        <v>102.82</v>
      </c>
      <c r="G64">
        <v>96.57</v>
      </c>
      <c r="H64">
        <v>67.540000000000006</v>
      </c>
    </row>
    <row r="65" spans="1:8" x14ac:dyDescent="0.25">
      <c r="A65" s="63">
        <f t="shared" si="0"/>
        <v>45355</v>
      </c>
      <c r="B65">
        <v>998.94</v>
      </c>
      <c r="C65">
        <v>77.180000000000007</v>
      </c>
      <c r="D65">
        <v>396.73</v>
      </c>
      <c r="E65">
        <v>260.75</v>
      </c>
      <c r="F65">
        <v>90.78</v>
      </c>
      <c r="G65">
        <v>105.12</v>
      </c>
      <c r="H65">
        <v>68.38</v>
      </c>
    </row>
    <row r="66" spans="1:8" x14ac:dyDescent="0.25">
      <c r="A66" s="63">
        <f t="shared" si="0"/>
        <v>45356</v>
      </c>
      <c r="B66">
        <v>1057.5700000000002</v>
      </c>
      <c r="C66">
        <v>81.760000000000005</v>
      </c>
      <c r="D66">
        <v>411.22</v>
      </c>
      <c r="E66">
        <v>285.95</v>
      </c>
      <c r="F66">
        <v>97.59</v>
      </c>
      <c r="G66">
        <v>111.17</v>
      </c>
      <c r="H66">
        <v>69.88</v>
      </c>
    </row>
    <row r="67" spans="1:8" x14ac:dyDescent="0.25">
      <c r="A67" s="63">
        <f t="shared" si="0"/>
        <v>45357</v>
      </c>
      <c r="B67">
        <v>1117.96</v>
      </c>
      <c r="C67">
        <v>96.93</v>
      </c>
      <c r="D67">
        <v>460.12</v>
      </c>
      <c r="E67">
        <v>287.39999999999998</v>
      </c>
      <c r="F67">
        <v>93.56</v>
      </c>
      <c r="G67">
        <v>109.78</v>
      </c>
      <c r="H67">
        <v>70.17</v>
      </c>
    </row>
    <row r="68" spans="1:8" x14ac:dyDescent="0.25">
      <c r="A68" s="63">
        <f t="shared" ref="A68:A131" si="1">A67+1</f>
        <v>45358</v>
      </c>
      <c r="B68">
        <v>1013.21</v>
      </c>
      <c r="C68">
        <v>90.53</v>
      </c>
      <c r="D68">
        <v>392.53</v>
      </c>
      <c r="E68">
        <v>283.75</v>
      </c>
      <c r="F68">
        <v>82.69</v>
      </c>
      <c r="G68">
        <v>96.78</v>
      </c>
      <c r="H68">
        <v>66.930000000000007</v>
      </c>
    </row>
    <row r="69" spans="1:8" x14ac:dyDescent="0.25">
      <c r="A69" s="63">
        <f t="shared" si="1"/>
        <v>45359</v>
      </c>
      <c r="B69">
        <v>1002.85</v>
      </c>
      <c r="C69">
        <v>86.76</v>
      </c>
      <c r="D69">
        <v>388.67</v>
      </c>
      <c r="E69">
        <v>281.27</v>
      </c>
      <c r="F69">
        <v>91.88</v>
      </c>
      <c r="G69">
        <v>94.88</v>
      </c>
      <c r="H69">
        <v>59.39</v>
      </c>
    </row>
    <row r="70" spans="1:8" x14ac:dyDescent="0.25">
      <c r="A70" s="63">
        <f t="shared" si="1"/>
        <v>45360</v>
      </c>
      <c r="B70">
        <v>1016.45</v>
      </c>
      <c r="C70">
        <v>90.17</v>
      </c>
      <c r="D70">
        <v>407.46</v>
      </c>
      <c r="E70">
        <v>267.89999999999998</v>
      </c>
      <c r="F70">
        <v>103.49</v>
      </c>
      <c r="G70">
        <v>82.95</v>
      </c>
      <c r="H70">
        <v>64.48</v>
      </c>
    </row>
    <row r="71" spans="1:8" x14ac:dyDescent="0.25">
      <c r="A71" s="63">
        <f t="shared" si="1"/>
        <v>45361</v>
      </c>
      <c r="B71">
        <v>972.32</v>
      </c>
      <c r="C71">
        <v>105.33</v>
      </c>
      <c r="D71">
        <v>387.63</v>
      </c>
      <c r="E71">
        <v>239.75</v>
      </c>
      <c r="F71">
        <v>97.14</v>
      </c>
      <c r="G71">
        <v>81.48</v>
      </c>
      <c r="H71">
        <v>60.989999999999995</v>
      </c>
    </row>
    <row r="72" spans="1:8" x14ac:dyDescent="0.25">
      <c r="A72" s="63">
        <f t="shared" si="1"/>
        <v>45362</v>
      </c>
      <c r="B72">
        <v>989.82999999999993</v>
      </c>
      <c r="C72">
        <v>108.23</v>
      </c>
      <c r="D72">
        <v>364.93</v>
      </c>
      <c r="E72">
        <v>270.18</v>
      </c>
      <c r="F72">
        <v>95.19</v>
      </c>
      <c r="G72">
        <v>83.87</v>
      </c>
      <c r="H72">
        <v>67.430000000000007</v>
      </c>
    </row>
    <row r="73" spans="1:8" x14ac:dyDescent="0.25">
      <c r="A73" s="63">
        <f t="shared" si="1"/>
        <v>45363</v>
      </c>
      <c r="B73">
        <v>1033.68</v>
      </c>
      <c r="C73">
        <v>90.83</v>
      </c>
      <c r="D73">
        <v>421.78</v>
      </c>
      <c r="E73">
        <v>292.35000000000002</v>
      </c>
      <c r="F73">
        <v>84.59</v>
      </c>
      <c r="G73">
        <v>98.14</v>
      </c>
      <c r="H73">
        <v>45.99</v>
      </c>
    </row>
    <row r="74" spans="1:8" x14ac:dyDescent="0.25">
      <c r="A74" s="63">
        <f t="shared" si="1"/>
        <v>45364</v>
      </c>
      <c r="B74">
        <v>1083.45</v>
      </c>
      <c r="C74">
        <v>97.46</v>
      </c>
      <c r="D74">
        <v>450.4</v>
      </c>
      <c r="E74">
        <v>292.45</v>
      </c>
      <c r="F74">
        <v>85.33</v>
      </c>
      <c r="G74">
        <v>114.3</v>
      </c>
      <c r="H74">
        <v>43.51</v>
      </c>
    </row>
    <row r="75" spans="1:8" x14ac:dyDescent="0.25">
      <c r="A75" s="63">
        <f t="shared" si="1"/>
        <v>45365</v>
      </c>
      <c r="B75">
        <v>1089.71</v>
      </c>
      <c r="C75">
        <v>119.61</v>
      </c>
      <c r="D75">
        <v>424.08</v>
      </c>
      <c r="E75">
        <v>290.06</v>
      </c>
      <c r="F75">
        <v>90.22</v>
      </c>
      <c r="G75">
        <v>120.78</v>
      </c>
      <c r="H75">
        <v>44.96</v>
      </c>
    </row>
    <row r="76" spans="1:8" x14ac:dyDescent="0.25">
      <c r="A76" s="63">
        <f t="shared" si="1"/>
        <v>45366</v>
      </c>
      <c r="B76">
        <v>1088.3700000000001</v>
      </c>
      <c r="C76">
        <v>103.02</v>
      </c>
      <c r="D76">
        <v>442.05</v>
      </c>
      <c r="E76">
        <v>293.35000000000002</v>
      </c>
      <c r="F76">
        <v>93.65</v>
      </c>
      <c r="G76">
        <v>99.37</v>
      </c>
      <c r="H76">
        <v>56.93</v>
      </c>
    </row>
    <row r="77" spans="1:8" x14ac:dyDescent="0.25">
      <c r="A77" s="63">
        <f t="shared" si="1"/>
        <v>45367</v>
      </c>
      <c r="B77">
        <v>1096.6600000000001</v>
      </c>
      <c r="C77">
        <v>103.72</v>
      </c>
      <c r="D77">
        <v>445.55</v>
      </c>
      <c r="E77">
        <v>284.24</v>
      </c>
      <c r="F77">
        <v>99.17</v>
      </c>
      <c r="G77">
        <v>104.83</v>
      </c>
      <c r="H77">
        <v>59.15</v>
      </c>
    </row>
    <row r="78" spans="1:8" x14ac:dyDescent="0.25">
      <c r="A78" s="63">
        <f t="shared" si="1"/>
        <v>45368</v>
      </c>
      <c r="B78">
        <v>1101.4099999999999</v>
      </c>
      <c r="C78">
        <v>105.37</v>
      </c>
      <c r="D78">
        <v>457.27</v>
      </c>
      <c r="E78">
        <v>272.11</v>
      </c>
      <c r="F78">
        <v>102.55</v>
      </c>
      <c r="G78">
        <v>107.05</v>
      </c>
      <c r="H78">
        <v>57.06</v>
      </c>
    </row>
    <row r="79" spans="1:8" x14ac:dyDescent="0.25">
      <c r="A79" s="63">
        <f t="shared" si="1"/>
        <v>45369</v>
      </c>
      <c r="B79">
        <v>1065.1299999999999</v>
      </c>
      <c r="C79">
        <v>114.9</v>
      </c>
      <c r="D79">
        <v>450.28</v>
      </c>
      <c r="E79">
        <v>222.54</v>
      </c>
      <c r="F79">
        <v>105.41</v>
      </c>
      <c r="G79">
        <v>112.94</v>
      </c>
      <c r="H79">
        <v>59.06</v>
      </c>
    </row>
    <row r="80" spans="1:8" x14ac:dyDescent="0.25">
      <c r="A80" s="63">
        <f t="shared" si="1"/>
        <v>45370</v>
      </c>
      <c r="B80">
        <v>1102.5</v>
      </c>
      <c r="C80">
        <v>102.65</v>
      </c>
      <c r="D80">
        <v>427.3</v>
      </c>
      <c r="E80">
        <v>281.24</v>
      </c>
      <c r="F80">
        <v>104.18</v>
      </c>
      <c r="G80">
        <v>123.08</v>
      </c>
      <c r="H80">
        <v>64.05</v>
      </c>
    </row>
    <row r="81" spans="1:8" x14ac:dyDescent="0.25">
      <c r="A81" s="63">
        <f t="shared" si="1"/>
        <v>45371</v>
      </c>
      <c r="B81">
        <v>1055.3500000000001</v>
      </c>
      <c r="C81">
        <v>87.37</v>
      </c>
      <c r="D81">
        <v>440.9</v>
      </c>
      <c r="E81">
        <v>249.18</v>
      </c>
      <c r="F81">
        <v>106.6</v>
      </c>
      <c r="G81">
        <v>107.35</v>
      </c>
      <c r="H81">
        <v>63.95</v>
      </c>
    </row>
    <row r="82" spans="1:8" x14ac:dyDescent="0.25">
      <c r="A82" s="63">
        <f t="shared" si="1"/>
        <v>45372</v>
      </c>
      <c r="B82">
        <v>1069.56</v>
      </c>
      <c r="C82">
        <v>97.22</v>
      </c>
      <c r="D82">
        <v>418.76</v>
      </c>
      <c r="E82">
        <v>274.64999999999998</v>
      </c>
      <c r="F82">
        <v>100.94</v>
      </c>
      <c r="G82">
        <v>110.76</v>
      </c>
      <c r="H82">
        <v>67.23</v>
      </c>
    </row>
    <row r="83" spans="1:8" x14ac:dyDescent="0.25">
      <c r="A83" s="63">
        <f t="shared" si="1"/>
        <v>45373</v>
      </c>
      <c r="B83">
        <v>1142.2699999999998</v>
      </c>
      <c r="C83">
        <v>108.25</v>
      </c>
      <c r="D83">
        <v>470.09</v>
      </c>
      <c r="E83">
        <v>281.33999999999997</v>
      </c>
      <c r="F83">
        <v>109.41</v>
      </c>
      <c r="G83">
        <v>109.31</v>
      </c>
      <c r="H83">
        <v>63.87</v>
      </c>
    </row>
    <row r="84" spans="1:8" x14ac:dyDescent="0.25">
      <c r="A84" s="63">
        <f t="shared" si="1"/>
        <v>45374</v>
      </c>
      <c r="B84">
        <v>1082.6999999999998</v>
      </c>
      <c r="C84">
        <v>86.14</v>
      </c>
      <c r="D84">
        <v>460.14</v>
      </c>
      <c r="E84">
        <v>280.82</v>
      </c>
      <c r="F84">
        <v>86.79</v>
      </c>
      <c r="G84">
        <v>104.96</v>
      </c>
      <c r="H84">
        <v>63.85</v>
      </c>
    </row>
    <row r="85" spans="1:8" x14ac:dyDescent="0.25">
      <c r="A85" s="63">
        <f t="shared" si="1"/>
        <v>45375</v>
      </c>
      <c r="B85">
        <v>1036.8700000000001</v>
      </c>
      <c r="C85">
        <v>108.18</v>
      </c>
      <c r="D85">
        <v>449.09</v>
      </c>
      <c r="E85">
        <v>218.97</v>
      </c>
      <c r="F85">
        <v>87.02</v>
      </c>
      <c r="G85">
        <v>109.47</v>
      </c>
      <c r="H85">
        <v>64.14</v>
      </c>
    </row>
    <row r="86" spans="1:8" x14ac:dyDescent="0.25">
      <c r="A86" s="63">
        <f t="shared" si="1"/>
        <v>45376</v>
      </c>
      <c r="B86">
        <v>1034.1000000000001</v>
      </c>
      <c r="C86">
        <v>90.62</v>
      </c>
      <c r="D86">
        <v>385.71</v>
      </c>
      <c r="E86">
        <v>284.06</v>
      </c>
      <c r="F86">
        <v>93.080000000000013</v>
      </c>
      <c r="G86">
        <v>113.74</v>
      </c>
      <c r="H86">
        <v>66.89</v>
      </c>
    </row>
    <row r="87" spans="1:8" x14ac:dyDescent="0.25">
      <c r="A87" s="63">
        <f t="shared" si="1"/>
        <v>45377</v>
      </c>
      <c r="B87">
        <v>1193.05</v>
      </c>
      <c r="C87">
        <v>143.18</v>
      </c>
      <c r="D87">
        <v>456.65</v>
      </c>
      <c r="E87">
        <v>290.48</v>
      </c>
      <c r="F87">
        <v>114.53</v>
      </c>
      <c r="G87">
        <v>121.12</v>
      </c>
      <c r="H87">
        <v>67.09</v>
      </c>
    </row>
    <row r="88" spans="1:8" x14ac:dyDescent="0.25">
      <c r="A88" s="63">
        <f t="shared" si="1"/>
        <v>45378</v>
      </c>
      <c r="B88">
        <v>1122.17</v>
      </c>
      <c r="C88">
        <v>112.79</v>
      </c>
      <c r="D88">
        <v>451.19</v>
      </c>
      <c r="E88">
        <v>270.92</v>
      </c>
      <c r="F88">
        <v>97</v>
      </c>
      <c r="G88">
        <v>125.6</v>
      </c>
      <c r="H88">
        <v>64.67</v>
      </c>
    </row>
    <row r="89" spans="1:8" x14ac:dyDescent="0.25">
      <c r="A89" s="63">
        <f t="shared" si="1"/>
        <v>45379</v>
      </c>
      <c r="B89">
        <v>1090.03</v>
      </c>
      <c r="C89">
        <v>112.19999999999999</v>
      </c>
      <c r="D89">
        <v>431.93</v>
      </c>
      <c r="E89">
        <v>269.02</v>
      </c>
      <c r="F89">
        <v>99.570000000000007</v>
      </c>
      <c r="G89">
        <v>112.25</v>
      </c>
      <c r="H89">
        <v>65.06</v>
      </c>
    </row>
    <row r="90" spans="1:8" x14ac:dyDescent="0.25">
      <c r="A90" s="63">
        <f t="shared" si="1"/>
        <v>45380</v>
      </c>
      <c r="B90">
        <v>1109.81</v>
      </c>
      <c r="C90">
        <v>102.53</v>
      </c>
      <c r="D90">
        <v>426.11</v>
      </c>
      <c r="E90">
        <v>281.42</v>
      </c>
      <c r="F90">
        <v>108.75</v>
      </c>
      <c r="G90">
        <v>125.18</v>
      </c>
      <c r="H90">
        <v>65.819999999999993</v>
      </c>
    </row>
    <row r="91" spans="1:8" x14ac:dyDescent="0.25">
      <c r="A91" s="63">
        <f t="shared" si="1"/>
        <v>45381</v>
      </c>
      <c r="B91">
        <v>1131.49</v>
      </c>
      <c r="C91">
        <v>108.78</v>
      </c>
      <c r="D91">
        <v>438.45</v>
      </c>
      <c r="E91">
        <v>285.77999999999997</v>
      </c>
      <c r="F91">
        <v>107.39</v>
      </c>
      <c r="G91">
        <v>126.4</v>
      </c>
      <c r="H91">
        <v>64.69</v>
      </c>
    </row>
    <row r="92" spans="1:8" x14ac:dyDescent="0.25">
      <c r="A92" s="63">
        <f t="shared" si="1"/>
        <v>45382</v>
      </c>
      <c r="B92">
        <v>1047.08</v>
      </c>
      <c r="C92">
        <v>127.78</v>
      </c>
      <c r="D92">
        <v>409.63</v>
      </c>
      <c r="E92">
        <v>222.71</v>
      </c>
      <c r="F92">
        <v>107.48</v>
      </c>
      <c r="G92">
        <v>114.67</v>
      </c>
      <c r="H92">
        <v>64.81</v>
      </c>
    </row>
    <row r="93" spans="1:8" x14ac:dyDescent="0.25">
      <c r="A93" s="63">
        <f t="shared" si="1"/>
        <v>45383</v>
      </c>
      <c r="B93">
        <v>961.26</v>
      </c>
      <c r="C93">
        <v>80.959999999999994</v>
      </c>
      <c r="D93">
        <v>368.69</v>
      </c>
      <c r="E93">
        <v>259.77</v>
      </c>
      <c r="F93">
        <v>90.82</v>
      </c>
      <c r="G93">
        <v>92.42</v>
      </c>
      <c r="H93">
        <v>68.599999999999994</v>
      </c>
    </row>
    <row r="94" spans="1:8" x14ac:dyDescent="0.25">
      <c r="A94" s="63">
        <f t="shared" si="1"/>
        <v>45384</v>
      </c>
      <c r="B94">
        <v>1065.98</v>
      </c>
      <c r="C94">
        <v>93.78</v>
      </c>
      <c r="D94">
        <v>433.48</v>
      </c>
      <c r="E94">
        <v>257.39999999999998</v>
      </c>
      <c r="F94">
        <v>99.81</v>
      </c>
      <c r="G94">
        <v>115.6</v>
      </c>
      <c r="H94">
        <v>65.91</v>
      </c>
    </row>
    <row r="95" spans="1:8" x14ac:dyDescent="0.25">
      <c r="A95" s="63">
        <f t="shared" si="1"/>
        <v>45385</v>
      </c>
      <c r="B95">
        <v>1105.4199999999998</v>
      </c>
      <c r="C95">
        <v>77.72</v>
      </c>
      <c r="D95">
        <v>495.54</v>
      </c>
      <c r="E95">
        <v>253.31</v>
      </c>
      <c r="F95">
        <v>89.65</v>
      </c>
      <c r="G95">
        <v>125.72</v>
      </c>
      <c r="H95">
        <v>63.48</v>
      </c>
    </row>
    <row r="96" spans="1:8" x14ac:dyDescent="0.25">
      <c r="A96" s="63">
        <f t="shared" si="1"/>
        <v>45386</v>
      </c>
      <c r="B96">
        <v>1041.3599999999999</v>
      </c>
      <c r="C96">
        <v>75.430000000000007</v>
      </c>
      <c r="D96">
        <v>442.42</v>
      </c>
      <c r="E96">
        <v>244.02</v>
      </c>
      <c r="F96">
        <v>86.79</v>
      </c>
      <c r="G96">
        <v>126.61</v>
      </c>
      <c r="H96">
        <v>66.09</v>
      </c>
    </row>
    <row r="97" spans="1:8" x14ac:dyDescent="0.25">
      <c r="A97" s="63">
        <f t="shared" si="1"/>
        <v>45387</v>
      </c>
      <c r="B97">
        <v>1006.8199999999999</v>
      </c>
      <c r="C97">
        <v>71.94</v>
      </c>
      <c r="D97">
        <v>398.43</v>
      </c>
      <c r="E97">
        <v>253.70999999999998</v>
      </c>
      <c r="F97">
        <v>104.39</v>
      </c>
      <c r="G97">
        <v>110.45</v>
      </c>
      <c r="H97">
        <v>67.900000000000006</v>
      </c>
    </row>
    <row r="98" spans="1:8" x14ac:dyDescent="0.25">
      <c r="A98" s="63">
        <f t="shared" si="1"/>
        <v>45388</v>
      </c>
      <c r="B98">
        <v>831.05</v>
      </c>
      <c r="C98">
        <v>81.37</v>
      </c>
      <c r="D98">
        <v>269.39</v>
      </c>
      <c r="E98">
        <v>228.58</v>
      </c>
      <c r="F98">
        <v>96.3</v>
      </c>
      <c r="G98">
        <v>99.17</v>
      </c>
      <c r="H98">
        <v>56.24</v>
      </c>
    </row>
    <row r="99" spans="1:8" x14ac:dyDescent="0.25">
      <c r="A99" s="63">
        <f t="shared" si="1"/>
        <v>45389</v>
      </c>
      <c r="B99">
        <v>877.64</v>
      </c>
      <c r="C99">
        <v>78.44</v>
      </c>
      <c r="D99">
        <v>346.42</v>
      </c>
      <c r="E99">
        <v>204.71</v>
      </c>
      <c r="F99">
        <v>90.62</v>
      </c>
      <c r="G99">
        <v>101.53</v>
      </c>
      <c r="H99">
        <v>55.92</v>
      </c>
    </row>
    <row r="100" spans="1:8" x14ac:dyDescent="0.25">
      <c r="A100" s="63">
        <f t="shared" si="1"/>
        <v>45390</v>
      </c>
      <c r="B100">
        <v>973.89</v>
      </c>
      <c r="C100">
        <v>82.14</v>
      </c>
      <c r="D100">
        <v>398.53</v>
      </c>
      <c r="E100">
        <v>254.77</v>
      </c>
      <c r="F100">
        <v>87.81</v>
      </c>
      <c r="G100">
        <v>88.6</v>
      </c>
      <c r="H100">
        <v>62.04</v>
      </c>
    </row>
    <row r="101" spans="1:8" x14ac:dyDescent="0.25">
      <c r="A101" s="63">
        <f t="shared" si="1"/>
        <v>45391</v>
      </c>
      <c r="B101">
        <v>1050.8399999999999</v>
      </c>
      <c r="C101">
        <v>91.96</v>
      </c>
      <c r="D101">
        <v>428.71</v>
      </c>
      <c r="E101">
        <v>253.99</v>
      </c>
      <c r="F101">
        <v>101.92</v>
      </c>
      <c r="G101">
        <v>102.88</v>
      </c>
      <c r="H101">
        <v>71.38</v>
      </c>
    </row>
    <row r="102" spans="1:8" x14ac:dyDescent="0.25">
      <c r="A102" s="63">
        <f t="shared" si="1"/>
        <v>45392</v>
      </c>
      <c r="B102">
        <v>1050.0400000000002</v>
      </c>
      <c r="C102">
        <v>100.3</v>
      </c>
      <c r="D102">
        <v>428.2</v>
      </c>
      <c r="E102">
        <v>250.7</v>
      </c>
      <c r="F102">
        <v>96.86</v>
      </c>
      <c r="G102">
        <v>112.35</v>
      </c>
      <c r="H102">
        <v>61.63</v>
      </c>
    </row>
    <row r="103" spans="1:8" x14ac:dyDescent="0.25">
      <c r="A103" s="63">
        <f t="shared" si="1"/>
        <v>45393</v>
      </c>
      <c r="B103">
        <v>1049.6400000000001</v>
      </c>
      <c r="C103">
        <v>93.41</v>
      </c>
      <c r="D103">
        <v>411.42</v>
      </c>
      <c r="E103">
        <v>255.04</v>
      </c>
      <c r="F103">
        <v>97.9</v>
      </c>
      <c r="G103">
        <v>123.44</v>
      </c>
      <c r="H103">
        <v>68.430000000000007</v>
      </c>
    </row>
    <row r="104" spans="1:8" x14ac:dyDescent="0.25">
      <c r="A104" s="63">
        <f t="shared" si="1"/>
        <v>45394</v>
      </c>
      <c r="B104">
        <v>1063.57</v>
      </c>
      <c r="C104">
        <v>95.19</v>
      </c>
      <c r="D104">
        <v>414.93</v>
      </c>
      <c r="E104">
        <v>249.65</v>
      </c>
      <c r="F104">
        <v>108.14</v>
      </c>
      <c r="G104">
        <v>123.93</v>
      </c>
      <c r="H104">
        <v>71.73</v>
      </c>
    </row>
    <row r="105" spans="1:8" x14ac:dyDescent="0.25">
      <c r="A105" s="63">
        <f t="shared" si="1"/>
        <v>45395</v>
      </c>
      <c r="B105">
        <v>1055.01</v>
      </c>
      <c r="C105">
        <v>113.34</v>
      </c>
      <c r="D105">
        <v>394.3</v>
      </c>
      <c r="E105">
        <v>254.54</v>
      </c>
      <c r="F105">
        <v>119.08</v>
      </c>
      <c r="G105">
        <v>110.75</v>
      </c>
      <c r="H105">
        <v>63</v>
      </c>
    </row>
    <row r="106" spans="1:8" x14ac:dyDescent="0.25">
      <c r="A106" s="63">
        <f t="shared" si="1"/>
        <v>45396</v>
      </c>
      <c r="B106">
        <v>995.67</v>
      </c>
      <c r="C106">
        <v>95.06</v>
      </c>
      <c r="D106">
        <v>382.84</v>
      </c>
      <c r="E106">
        <v>233.52</v>
      </c>
      <c r="F106">
        <v>109.82</v>
      </c>
      <c r="G106">
        <v>107.92</v>
      </c>
      <c r="H106">
        <v>66.510000000000005</v>
      </c>
    </row>
    <row r="107" spans="1:8" x14ac:dyDescent="0.25">
      <c r="A107" s="63">
        <f t="shared" si="1"/>
        <v>45397</v>
      </c>
      <c r="B107">
        <v>1104.77</v>
      </c>
      <c r="C107">
        <v>106.31</v>
      </c>
      <c r="D107">
        <v>451.79</v>
      </c>
      <c r="E107">
        <v>258.81</v>
      </c>
      <c r="F107">
        <v>109.76</v>
      </c>
      <c r="G107">
        <v>108.99</v>
      </c>
      <c r="H107">
        <v>69.11</v>
      </c>
    </row>
    <row r="108" spans="1:8" x14ac:dyDescent="0.25">
      <c r="A108" s="63">
        <f t="shared" si="1"/>
        <v>45398</v>
      </c>
      <c r="B108">
        <v>1105.2099999999998</v>
      </c>
      <c r="C108">
        <v>110.49</v>
      </c>
      <c r="D108">
        <v>435.39</v>
      </c>
      <c r="E108">
        <v>273.98</v>
      </c>
      <c r="F108">
        <v>102.88</v>
      </c>
      <c r="G108">
        <v>106.11</v>
      </c>
      <c r="H108">
        <v>76.36</v>
      </c>
    </row>
    <row r="109" spans="1:8" x14ac:dyDescent="0.25">
      <c r="A109" s="63">
        <f t="shared" si="1"/>
        <v>45399</v>
      </c>
      <c r="B109">
        <v>1008.82</v>
      </c>
      <c r="C109">
        <v>97.41</v>
      </c>
      <c r="D109">
        <v>387.05</v>
      </c>
      <c r="E109">
        <v>226.97</v>
      </c>
      <c r="F109">
        <v>104.8</v>
      </c>
      <c r="G109">
        <v>115.85</v>
      </c>
      <c r="H109">
        <v>76.739999999999995</v>
      </c>
    </row>
    <row r="110" spans="1:8" x14ac:dyDescent="0.25">
      <c r="A110" s="63">
        <f t="shared" si="1"/>
        <v>45400</v>
      </c>
      <c r="B110">
        <v>995.83</v>
      </c>
      <c r="C110">
        <v>95.69</v>
      </c>
      <c r="D110">
        <v>373.4</v>
      </c>
      <c r="E110">
        <v>219.93</v>
      </c>
      <c r="F110">
        <v>107.46000000000001</v>
      </c>
      <c r="G110">
        <v>127.96</v>
      </c>
      <c r="H110">
        <v>71.39</v>
      </c>
    </row>
    <row r="111" spans="1:8" x14ac:dyDescent="0.25">
      <c r="A111" s="63">
        <f t="shared" si="1"/>
        <v>45401</v>
      </c>
      <c r="B111">
        <v>1057.3300000000002</v>
      </c>
      <c r="C111">
        <v>109.03</v>
      </c>
      <c r="D111">
        <v>435.42</v>
      </c>
      <c r="E111">
        <v>224.97</v>
      </c>
      <c r="F111">
        <v>109.24000000000001</v>
      </c>
      <c r="G111">
        <v>116.27</v>
      </c>
      <c r="H111">
        <v>62.4</v>
      </c>
    </row>
    <row r="112" spans="1:8" x14ac:dyDescent="0.25">
      <c r="A112" s="63">
        <f t="shared" si="1"/>
        <v>45402</v>
      </c>
      <c r="B112">
        <v>943.67</v>
      </c>
      <c r="C112">
        <v>84.99</v>
      </c>
      <c r="D112">
        <v>382.23</v>
      </c>
      <c r="E112">
        <v>229.52</v>
      </c>
      <c r="F112">
        <v>95.8</v>
      </c>
      <c r="G112">
        <v>108.91</v>
      </c>
      <c r="H112">
        <v>42.22</v>
      </c>
    </row>
    <row r="113" spans="1:8" x14ac:dyDescent="0.25">
      <c r="A113" s="63">
        <f t="shared" si="1"/>
        <v>45403</v>
      </c>
      <c r="B113">
        <v>1040.56</v>
      </c>
      <c r="C113">
        <v>94.38</v>
      </c>
      <c r="D113">
        <v>431.7</v>
      </c>
      <c r="E113">
        <v>230.97</v>
      </c>
      <c r="F113">
        <v>105.73</v>
      </c>
      <c r="G113">
        <v>102.18</v>
      </c>
      <c r="H113">
        <v>75.599999999999994</v>
      </c>
    </row>
    <row r="114" spans="1:8" x14ac:dyDescent="0.25">
      <c r="A114" s="63">
        <f t="shared" si="1"/>
        <v>45404</v>
      </c>
      <c r="B114">
        <v>1009.03</v>
      </c>
      <c r="C114">
        <v>101.32</v>
      </c>
      <c r="D114">
        <v>412.47</v>
      </c>
      <c r="E114">
        <v>225.66</v>
      </c>
      <c r="F114">
        <v>106.23</v>
      </c>
      <c r="G114">
        <v>89.51</v>
      </c>
      <c r="H114">
        <v>73.84</v>
      </c>
    </row>
    <row r="115" spans="1:8" x14ac:dyDescent="0.25">
      <c r="A115" s="63">
        <f t="shared" si="1"/>
        <v>45405</v>
      </c>
      <c r="B115">
        <v>1010.94</v>
      </c>
      <c r="C115">
        <v>88.62</v>
      </c>
      <c r="D115">
        <v>394.56</v>
      </c>
      <c r="E115">
        <v>242.01</v>
      </c>
      <c r="F115">
        <v>102.47</v>
      </c>
      <c r="G115">
        <v>114.46</v>
      </c>
      <c r="H115">
        <v>68.819999999999993</v>
      </c>
    </row>
    <row r="116" spans="1:8" x14ac:dyDescent="0.25">
      <c r="A116" s="63">
        <f t="shared" si="1"/>
        <v>45406</v>
      </c>
      <c r="B116">
        <v>993.55000000000007</v>
      </c>
      <c r="C116">
        <v>89.83</v>
      </c>
      <c r="D116">
        <v>397.46</v>
      </c>
      <c r="E116">
        <v>237.08</v>
      </c>
      <c r="F116">
        <v>91.09</v>
      </c>
      <c r="G116">
        <v>106.24</v>
      </c>
      <c r="H116">
        <v>71.849999999999994</v>
      </c>
    </row>
    <row r="117" spans="1:8" x14ac:dyDescent="0.25">
      <c r="A117" s="63">
        <f t="shared" si="1"/>
        <v>45407</v>
      </c>
      <c r="B117">
        <v>943.92</v>
      </c>
      <c r="C117">
        <v>91.71</v>
      </c>
      <c r="D117">
        <v>340.7</v>
      </c>
      <c r="E117">
        <v>241.39</v>
      </c>
      <c r="F117">
        <v>110.24000000000001</v>
      </c>
      <c r="G117">
        <v>89.85</v>
      </c>
      <c r="H117">
        <v>70.03</v>
      </c>
    </row>
    <row r="118" spans="1:8" x14ac:dyDescent="0.25">
      <c r="A118" s="63">
        <f t="shared" si="1"/>
        <v>45408</v>
      </c>
      <c r="B118">
        <v>975.44</v>
      </c>
      <c r="C118">
        <v>93.18</v>
      </c>
      <c r="D118">
        <v>364.49</v>
      </c>
      <c r="E118">
        <v>237.03</v>
      </c>
      <c r="F118">
        <v>101.94</v>
      </c>
      <c r="G118">
        <v>109.64</v>
      </c>
      <c r="H118">
        <v>69.16</v>
      </c>
    </row>
    <row r="119" spans="1:8" x14ac:dyDescent="0.25">
      <c r="A119" s="63">
        <f t="shared" si="1"/>
        <v>45409</v>
      </c>
      <c r="B119">
        <v>999.04</v>
      </c>
      <c r="C119">
        <v>98.12</v>
      </c>
      <c r="D119">
        <v>371.14</v>
      </c>
      <c r="E119">
        <v>233.27</v>
      </c>
      <c r="F119">
        <v>119.4</v>
      </c>
      <c r="G119">
        <v>104.37</v>
      </c>
      <c r="H119">
        <v>72.740000000000009</v>
      </c>
    </row>
    <row r="120" spans="1:8" x14ac:dyDescent="0.25">
      <c r="A120" s="63">
        <f t="shared" si="1"/>
        <v>45410</v>
      </c>
      <c r="B120">
        <v>824.55</v>
      </c>
      <c r="C120">
        <v>101.26</v>
      </c>
      <c r="D120">
        <v>244.69</v>
      </c>
      <c r="E120">
        <v>230.59</v>
      </c>
      <c r="F120">
        <v>99.99</v>
      </c>
      <c r="G120">
        <v>85.96</v>
      </c>
      <c r="H120">
        <v>62.06</v>
      </c>
    </row>
    <row r="121" spans="1:8" x14ac:dyDescent="0.25">
      <c r="A121" s="63">
        <f t="shared" si="1"/>
        <v>45411</v>
      </c>
      <c r="B121">
        <v>1003.26</v>
      </c>
      <c r="C121">
        <v>85.07</v>
      </c>
      <c r="D121">
        <v>409.74</v>
      </c>
      <c r="E121">
        <v>227.58</v>
      </c>
      <c r="F121">
        <v>102.86</v>
      </c>
      <c r="G121">
        <v>105.57</v>
      </c>
      <c r="H121">
        <v>72.44</v>
      </c>
    </row>
    <row r="122" spans="1:8" x14ac:dyDescent="0.25">
      <c r="A122" s="63">
        <f t="shared" si="1"/>
        <v>45412</v>
      </c>
      <c r="B122">
        <v>1018.6200000000001</v>
      </c>
      <c r="C122">
        <v>92.63</v>
      </c>
      <c r="D122">
        <v>437.09</v>
      </c>
      <c r="E122">
        <v>216.70000000000002</v>
      </c>
      <c r="F122">
        <v>104.46</v>
      </c>
      <c r="G122">
        <v>103.99</v>
      </c>
      <c r="H122">
        <v>63.75</v>
      </c>
    </row>
    <row r="123" spans="1:8" x14ac:dyDescent="0.25">
      <c r="A123" s="63">
        <f t="shared" si="1"/>
        <v>45413</v>
      </c>
      <c r="B123">
        <v>861.41000000000008</v>
      </c>
      <c r="C123">
        <v>92.55</v>
      </c>
      <c r="D123">
        <v>268.35000000000002</v>
      </c>
      <c r="E123">
        <v>229.37</v>
      </c>
      <c r="F123">
        <v>101.38</v>
      </c>
      <c r="G123">
        <v>106.2</v>
      </c>
      <c r="H123">
        <v>63.56</v>
      </c>
    </row>
    <row r="124" spans="1:8" x14ac:dyDescent="0.25">
      <c r="A124" s="63">
        <f t="shared" si="1"/>
        <v>45414</v>
      </c>
      <c r="B124">
        <v>820.29</v>
      </c>
      <c r="C124">
        <v>76.989999999999995</v>
      </c>
      <c r="D124">
        <v>274.52999999999997</v>
      </c>
      <c r="E124">
        <v>210.5</v>
      </c>
      <c r="F124">
        <v>97.08</v>
      </c>
      <c r="G124">
        <v>92.92</v>
      </c>
      <c r="H124">
        <v>68.27</v>
      </c>
    </row>
    <row r="125" spans="1:8" x14ac:dyDescent="0.25">
      <c r="A125" s="63">
        <f t="shared" si="1"/>
        <v>45415</v>
      </c>
      <c r="B125">
        <v>748.83999999999992</v>
      </c>
      <c r="C125">
        <v>73.97</v>
      </c>
      <c r="D125">
        <v>229.71</v>
      </c>
      <c r="E125">
        <v>211.14</v>
      </c>
      <c r="F125">
        <v>88</v>
      </c>
      <c r="G125">
        <v>82.01</v>
      </c>
      <c r="H125">
        <v>64.010000000000005</v>
      </c>
    </row>
    <row r="126" spans="1:8" x14ac:dyDescent="0.25">
      <c r="A126" s="63">
        <f t="shared" si="1"/>
        <v>45416</v>
      </c>
      <c r="B126">
        <v>813.42000000000007</v>
      </c>
      <c r="C126">
        <v>80.900000000000006</v>
      </c>
      <c r="D126">
        <v>309.54000000000002</v>
      </c>
      <c r="E126">
        <v>191.47</v>
      </c>
      <c r="F126">
        <v>92.26</v>
      </c>
      <c r="G126">
        <v>76.55</v>
      </c>
      <c r="H126">
        <v>62.7</v>
      </c>
    </row>
    <row r="127" spans="1:8" x14ac:dyDescent="0.25">
      <c r="A127" s="63">
        <f t="shared" si="1"/>
        <v>45417</v>
      </c>
      <c r="B127">
        <v>792.5</v>
      </c>
      <c r="C127">
        <v>45.5</v>
      </c>
      <c r="D127">
        <v>316.02999999999997</v>
      </c>
      <c r="E127">
        <v>190.71</v>
      </c>
      <c r="F127">
        <v>89.62</v>
      </c>
      <c r="G127">
        <v>85.39</v>
      </c>
      <c r="H127">
        <v>65.25</v>
      </c>
    </row>
    <row r="128" spans="1:8" x14ac:dyDescent="0.25">
      <c r="A128" s="63">
        <f t="shared" si="1"/>
        <v>45418</v>
      </c>
      <c r="B128">
        <v>815.01</v>
      </c>
      <c r="C128">
        <v>72.91</v>
      </c>
      <c r="D128">
        <v>327.88</v>
      </c>
      <c r="E128">
        <v>190.74</v>
      </c>
      <c r="F128">
        <v>88.89</v>
      </c>
      <c r="G128">
        <v>69.819999999999993</v>
      </c>
      <c r="H128">
        <v>64.77</v>
      </c>
    </row>
    <row r="129" spans="1:8" x14ac:dyDescent="0.25">
      <c r="A129" s="63">
        <f t="shared" si="1"/>
        <v>45419</v>
      </c>
      <c r="B129">
        <v>900.42</v>
      </c>
      <c r="C129">
        <v>69.64</v>
      </c>
      <c r="D129">
        <v>367.93</v>
      </c>
      <c r="E129">
        <v>222.54</v>
      </c>
      <c r="F129">
        <v>92.13</v>
      </c>
      <c r="G129">
        <v>86.14</v>
      </c>
      <c r="H129">
        <v>62.04</v>
      </c>
    </row>
    <row r="130" spans="1:8" x14ac:dyDescent="0.25">
      <c r="A130" s="63">
        <f t="shared" si="1"/>
        <v>45420</v>
      </c>
      <c r="B130">
        <v>545.79000000000008</v>
      </c>
      <c r="C130">
        <v>45.74</v>
      </c>
      <c r="D130">
        <v>186.75</v>
      </c>
      <c r="E130">
        <v>119.47</v>
      </c>
      <c r="F130">
        <v>97.93</v>
      </c>
      <c r="G130">
        <v>34.79</v>
      </c>
      <c r="H130">
        <v>61.11</v>
      </c>
    </row>
    <row r="131" spans="1:8" x14ac:dyDescent="0.25">
      <c r="A131" s="63">
        <f t="shared" si="1"/>
        <v>45421</v>
      </c>
      <c r="B131">
        <v>0</v>
      </c>
    </row>
    <row r="132" spans="1:8" x14ac:dyDescent="0.25">
      <c r="A132" s="63">
        <f t="shared" ref="A132:A195" si="2">A131+1</f>
        <v>45422</v>
      </c>
      <c r="B132">
        <v>555.36</v>
      </c>
      <c r="C132">
        <v>43.66</v>
      </c>
      <c r="D132">
        <v>208.06</v>
      </c>
      <c r="E132">
        <v>117.41</v>
      </c>
      <c r="F132">
        <v>99.43</v>
      </c>
      <c r="G132">
        <v>86.8</v>
      </c>
    </row>
    <row r="133" spans="1:8" x14ac:dyDescent="0.25">
      <c r="A133" s="63">
        <f t="shared" si="2"/>
        <v>45423</v>
      </c>
      <c r="B133">
        <v>805.52</v>
      </c>
      <c r="C133">
        <v>72.010000000000005</v>
      </c>
      <c r="D133">
        <v>253.02</v>
      </c>
      <c r="E133">
        <v>240.94</v>
      </c>
      <c r="F133">
        <v>94.04</v>
      </c>
      <c r="G133">
        <v>86.02</v>
      </c>
      <c r="H133">
        <v>59.49</v>
      </c>
    </row>
    <row r="134" spans="1:8" x14ac:dyDescent="0.25">
      <c r="A134" s="63">
        <f t="shared" si="2"/>
        <v>45424</v>
      </c>
      <c r="B134">
        <v>850.43</v>
      </c>
      <c r="C134">
        <v>76.180000000000007</v>
      </c>
      <c r="D134">
        <v>294.06</v>
      </c>
      <c r="E134">
        <v>236.42</v>
      </c>
      <c r="F134">
        <v>101.71</v>
      </c>
      <c r="G134">
        <v>82.13</v>
      </c>
      <c r="H134">
        <v>59.93</v>
      </c>
    </row>
    <row r="135" spans="1:8" x14ac:dyDescent="0.25">
      <c r="A135" s="63">
        <f t="shared" si="2"/>
        <v>45425</v>
      </c>
      <c r="B135">
        <v>893.23</v>
      </c>
      <c r="C135">
        <v>72.900000000000006</v>
      </c>
      <c r="D135">
        <v>348.47</v>
      </c>
      <c r="E135">
        <v>232.55</v>
      </c>
      <c r="F135">
        <v>86.92</v>
      </c>
      <c r="G135">
        <v>91.86</v>
      </c>
      <c r="H135">
        <v>60.53</v>
      </c>
    </row>
    <row r="136" spans="1:8" x14ac:dyDescent="0.25">
      <c r="A136" s="63">
        <f t="shared" si="2"/>
        <v>45426</v>
      </c>
      <c r="B136">
        <v>1065.97</v>
      </c>
      <c r="C136">
        <v>98.18</v>
      </c>
      <c r="D136">
        <v>442.14</v>
      </c>
      <c r="E136">
        <v>240.17000000000002</v>
      </c>
      <c r="F136">
        <v>104.96</v>
      </c>
      <c r="G136">
        <v>112.97</v>
      </c>
      <c r="H136">
        <v>67.55</v>
      </c>
    </row>
    <row r="137" spans="1:8" x14ac:dyDescent="0.25">
      <c r="A137" s="63">
        <f t="shared" si="2"/>
        <v>45427</v>
      </c>
      <c r="B137">
        <v>1074.23</v>
      </c>
      <c r="C137">
        <v>109.15</v>
      </c>
      <c r="D137">
        <v>431.86</v>
      </c>
      <c r="E137">
        <v>243.92</v>
      </c>
      <c r="F137">
        <v>102.74</v>
      </c>
      <c r="G137">
        <v>115.93</v>
      </c>
      <c r="H137">
        <v>70.63</v>
      </c>
    </row>
    <row r="138" spans="1:8" x14ac:dyDescent="0.25">
      <c r="A138" s="63">
        <f t="shared" si="2"/>
        <v>45428</v>
      </c>
      <c r="B138">
        <v>1040.29</v>
      </c>
      <c r="C138">
        <v>86.96</v>
      </c>
      <c r="D138">
        <v>438.86</v>
      </c>
      <c r="E138">
        <v>237.29</v>
      </c>
      <c r="F138">
        <v>89.55</v>
      </c>
      <c r="G138">
        <v>119.72</v>
      </c>
      <c r="H138">
        <v>67.91</v>
      </c>
    </row>
    <row r="139" spans="1:8" x14ac:dyDescent="0.25">
      <c r="A139" s="63">
        <f t="shared" si="2"/>
        <v>45429</v>
      </c>
      <c r="B139">
        <v>1004.9899999999999</v>
      </c>
      <c r="C139">
        <v>89.76</v>
      </c>
      <c r="D139">
        <v>414.78</v>
      </c>
      <c r="E139">
        <v>206</v>
      </c>
      <c r="F139">
        <v>100.89</v>
      </c>
      <c r="G139">
        <v>123.02</v>
      </c>
      <c r="H139">
        <v>70.540000000000006</v>
      </c>
    </row>
    <row r="140" spans="1:8" x14ac:dyDescent="0.25">
      <c r="A140" s="63">
        <f t="shared" si="2"/>
        <v>45430</v>
      </c>
      <c r="B140">
        <v>951.5200000000001</v>
      </c>
      <c r="C140">
        <v>118.43</v>
      </c>
      <c r="D140">
        <v>361.01</v>
      </c>
      <c r="E140">
        <v>222.25</v>
      </c>
      <c r="F140">
        <v>84.84</v>
      </c>
      <c r="G140">
        <v>97.35</v>
      </c>
      <c r="H140">
        <v>67.64</v>
      </c>
    </row>
    <row r="141" spans="1:8" x14ac:dyDescent="0.25">
      <c r="A141" s="63">
        <f t="shared" si="2"/>
        <v>45431</v>
      </c>
      <c r="B141">
        <v>879.33000000000015</v>
      </c>
      <c r="C141">
        <v>110.81</v>
      </c>
      <c r="D141">
        <v>380.05</v>
      </c>
      <c r="E141">
        <v>138.6</v>
      </c>
      <c r="F141">
        <v>93.96</v>
      </c>
      <c r="G141">
        <v>89.73</v>
      </c>
      <c r="H141">
        <v>66.180000000000007</v>
      </c>
    </row>
    <row r="142" spans="1:8" x14ac:dyDescent="0.25">
      <c r="A142" s="63">
        <f t="shared" si="2"/>
        <v>45432</v>
      </c>
      <c r="B142">
        <v>926.77</v>
      </c>
      <c r="C142">
        <v>90.71</v>
      </c>
      <c r="D142">
        <v>374.63</v>
      </c>
      <c r="E142">
        <v>214.1</v>
      </c>
      <c r="F142">
        <v>86.45</v>
      </c>
      <c r="G142">
        <v>93.16</v>
      </c>
      <c r="H142">
        <v>67.72</v>
      </c>
    </row>
    <row r="143" spans="1:8" x14ac:dyDescent="0.25">
      <c r="A143" s="63">
        <f t="shared" si="2"/>
        <v>45433</v>
      </c>
      <c r="B143">
        <v>1066.74</v>
      </c>
      <c r="C143">
        <v>107.96</v>
      </c>
      <c r="D143">
        <v>419.71</v>
      </c>
      <c r="E143">
        <v>256.18</v>
      </c>
      <c r="F143">
        <v>102.84</v>
      </c>
      <c r="G143">
        <v>115.4</v>
      </c>
      <c r="H143">
        <v>64.650000000000006</v>
      </c>
    </row>
    <row r="144" spans="1:8" x14ac:dyDescent="0.25">
      <c r="A144" s="63">
        <f t="shared" si="2"/>
        <v>45434</v>
      </c>
      <c r="B144">
        <v>987.47</v>
      </c>
      <c r="C144">
        <v>104.06</v>
      </c>
      <c r="D144">
        <v>370.07</v>
      </c>
      <c r="E144">
        <v>241.51</v>
      </c>
      <c r="F144">
        <v>90.48</v>
      </c>
      <c r="G144">
        <v>112.53</v>
      </c>
      <c r="H144">
        <v>68.819999999999993</v>
      </c>
    </row>
    <row r="145" spans="1:8" x14ac:dyDescent="0.25">
      <c r="A145" s="63">
        <f t="shared" si="2"/>
        <v>45435</v>
      </c>
      <c r="B145">
        <v>1041.76</v>
      </c>
      <c r="C145">
        <v>99.54</v>
      </c>
      <c r="D145">
        <v>424.86</v>
      </c>
      <c r="E145">
        <v>252.65</v>
      </c>
      <c r="F145">
        <v>85.23</v>
      </c>
      <c r="G145">
        <v>112.57</v>
      </c>
      <c r="H145">
        <v>66.91</v>
      </c>
    </row>
    <row r="146" spans="1:8" x14ac:dyDescent="0.25">
      <c r="A146" s="63">
        <f t="shared" si="2"/>
        <v>45436</v>
      </c>
      <c r="B146">
        <v>1052.8</v>
      </c>
      <c r="C146">
        <v>118.42</v>
      </c>
      <c r="D146">
        <v>441.71</v>
      </c>
      <c r="E146">
        <v>198.85</v>
      </c>
      <c r="F146">
        <v>95.259999999999991</v>
      </c>
      <c r="G146">
        <v>130.57</v>
      </c>
      <c r="H146">
        <v>67.989999999999995</v>
      </c>
    </row>
    <row r="147" spans="1:8" x14ac:dyDescent="0.25">
      <c r="A147" s="63">
        <f t="shared" si="2"/>
        <v>45437</v>
      </c>
      <c r="B147">
        <v>1037.04</v>
      </c>
      <c r="C147">
        <v>105.3</v>
      </c>
      <c r="D147">
        <v>396.84</v>
      </c>
      <c r="E147">
        <v>264.42</v>
      </c>
      <c r="F147">
        <v>97.26</v>
      </c>
      <c r="G147">
        <v>104.33</v>
      </c>
      <c r="H147">
        <v>68.89</v>
      </c>
    </row>
    <row r="148" spans="1:8" x14ac:dyDescent="0.25">
      <c r="A148" s="63">
        <f t="shared" si="2"/>
        <v>45438</v>
      </c>
      <c r="B148">
        <v>1016.28</v>
      </c>
      <c r="C148">
        <v>103.1</v>
      </c>
      <c r="D148">
        <v>410.52</v>
      </c>
      <c r="E148">
        <v>242.46</v>
      </c>
      <c r="F148">
        <v>91.3</v>
      </c>
      <c r="G148">
        <v>99.86</v>
      </c>
      <c r="H148">
        <v>69.040000000000006</v>
      </c>
    </row>
    <row r="149" spans="1:8" x14ac:dyDescent="0.25">
      <c r="A149" s="63">
        <f t="shared" si="2"/>
        <v>45439</v>
      </c>
      <c r="B149">
        <v>1066.21</v>
      </c>
      <c r="C149">
        <v>107.8</v>
      </c>
      <c r="D149">
        <v>415.94</v>
      </c>
      <c r="E149">
        <v>261.91000000000003</v>
      </c>
      <c r="F149">
        <v>89.27000000000001</v>
      </c>
      <c r="G149">
        <v>119.95</v>
      </c>
      <c r="H149">
        <v>71.34</v>
      </c>
    </row>
    <row r="150" spans="1:8" x14ac:dyDescent="0.25">
      <c r="A150" s="63">
        <f t="shared" si="2"/>
        <v>45440</v>
      </c>
      <c r="B150">
        <v>1065.0099999999998</v>
      </c>
      <c r="C150">
        <v>107.38</v>
      </c>
      <c r="D150">
        <v>423.16</v>
      </c>
      <c r="E150">
        <v>240.05</v>
      </c>
      <c r="F150">
        <v>100.27</v>
      </c>
      <c r="G150">
        <v>123.16</v>
      </c>
      <c r="H150">
        <v>70.989999999999995</v>
      </c>
    </row>
    <row r="151" spans="1:8" x14ac:dyDescent="0.25">
      <c r="A151" s="63">
        <f t="shared" si="2"/>
        <v>45441</v>
      </c>
      <c r="B151">
        <v>1087.95</v>
      </c>
      <c r="C151">
        <v>110.22</v>
      </c>
      <c r="D151">
        <v>423.19</v>
      </c>
      <c r="E151">
        <v>270.89000000000004</v>
      </c>
      <c r="F151">
        <v>99.72</v>
      </c>
      <c r="G151">
        <v>111.33</v>
      </c>
      <c r="H151">
        <v>72.599999999999994</v>
      </c>
    </row>
    <row r="152" spans="1:8" x14ac:dyDescent="0.25">
      <c r="A152" s="63">
        <f t="shared" si="2"/>
        <v>45442</v>
      </c>
      <c r="B152">
        <v>1074.4100000000001</v>
      </c>
      <c r="C152">
        <v>86.65</v>
      </c>
      <c r="D152">
        <v>414.96</v>
      </c>
      <c r="E152">
        <v>275.33999999999997</v>
      </c>
      <c r="F152">
        <v>101.77</v>
      </c>
      <c r="G152">
        <v>124.66000000000001</v>
      </c>
      <c r="H152">
        <v>71.03</v>
      </c>
    </row>
    <row r="153" spans="1:8" x14ac:dyDescent="0.25">
      <c r="A153" s="63">
        <f t="shared" si="2"/>
        <v>45443</v>
      </c>
      <c r="B153">
        <v>1058.05</v>
      </c>
      <c r="C153">
        <v>106.91</v>
      </c>
      <c r="D153">
        <v>414</v>
      </c>
      <c r="E153">
        <v>263.08999999999997</v>
      </c>
      <c r="F153">
        <v>88.77</v>
      </c>
      <c r="G153">
        <v>116.72000000000001</v>
      </c>
      <c r="H153">
        <v>68.56</v>
      </c>
    </row>
    <row r="154" spans="1:8" x14ac:dyDescent="0.25">
      <c r="A154" s="63">
        <f t="shared" si="2"/>
        <v>45444</v>
      </c>
      <c r="B154">
        <v>962.09000000000015</v>
      </c>
      <c r="C154">
        <v>66.34</v>
      </c>
      <c r="D154">
        <v>374.63</v>
      </c>
      <c r="E154">
        <v>265.7</v>
      </c>
      <c r="F154">
        <v>97.18</v>
      </c>
      <c r="G154">
        <v>86.87</v>
      </c>
      <c r="H154">
        <v>71.37</v>
      </c>
    </row>
    <row r="155" spans="1:8" x14ac:dyDescent="0.25">
      <c r="A155" s="63">
        <f t="shared" si="2"/>
        <v>45445</v>
      </c>
      <c r="B155">
        <v>948.52</v>
      </c>
      <c r="C155">
        <v>60.61</v>
      </c>
      <c r="D155">
        <v>368.13</v>
      </c>
      <c r="E155">
        <v>278.27999999999997</v>
      </c>
      <c r="F155">
        <v>92.17</v>
      </c>
      <c r="G155">
        <v>78.56</v>
      </c>
      <c r="H155">
        <v>70.77</v>
      </c>
    </row>
    <row r="156" spans="1:8" x14ac:dyDescent="0.25">
      <c r="A156" s="63">
        <f t="shared" si="2"/>
        <v>45446</v>
      </c>
      <c r="B156">
        <v>944.05000000000007</v>
      </c>
      <c r="C156">
        <v>94.43</v>
      </c>
      <c r="D156">
        <v>340.03</v>
      </c>
      <c r="E156">
        <v>233.67</v>
      </c>
      <c r="F156">
        <v>99.97</v>
      </c>
      <c r="G156">
        <v>104.73</v>
      </c>
      <c r="H156">
        <v>71.22</v>
      </c>
    </row>
    <row r="157" spans="1:8" x14ac:dyDescent="0.25">
      <c r="A157" s="63">
        <f t="shared" si="2"/>
        <v>45447</v>
      </c>
      <c r="B157">
        <v>939.44</v>
      </c>
      <c r="C157">
        <v>50.44</v>
      </c>
      <c r="D157">
        <v>387.69</v>
      </c>
      <c r="E157">
        <v>217.36</v>
      </c>
      <c r="F157">
        <v>93.23</v>
      </c>
      <c r="G157">
        <v>119.85</v>
      </c>
      <c r="H157">
        <v>70.87</v>
      </c>
    </row>
    <row r="158" spans="1:8" x14ac:dyDescent="0.25">
      <c r="A158" s="63">
        <f t="shared" si="2"/>
        <v>45448</v>
      </c>
      <c r="B158">
        <v>997.02</v>
      </c>
      <c r="C158">
        <v>69.069999999999993</v>
      </c>
      <c r="D158">
        <v>411.34</v>
      </c>
      <c r="E158">
        <v>234.71</v>
      </c>
      <c r="F158">
        <v>95.55</v>
      </c>
      <c r="G158">
        <v>116.6</v>
      </c>
      <c r="H158">
        <v>69.75</v>
      </c>
    </row>
    <row r="159" spans="1:8" x14ac:dyDescent="0.25">
      <c r="A159" s="63">
        <f t="shared" si="2"/>
        <v>45449</v>
      </c>
      <c r="B159">
        <v>998.78</v>
      </c>
      <c r="C159">
        <v>83.52</v>
      </c>
      <c r="D159">
        <v>390.67</v>
      </c>
      <c r="E159">
        <v>235.3</v>
      </c>
      <c r="F159">
        <v>100.13</v>
      </c>
      <c r="G159">
        <v>118.4</v>
      </c>
      <c r="H159">
        <v>70.760000000000005</v>
      </c>
    </row>
    <row r="160" spans="1:8" x14ac:dyDescent="0.25">
      <c r="A160" s="63">
        <f t="shared" si="2"/>
        <v>45450</v>
      </c>
      <c r="B160">
        <v>985.35</v>
      </c>
      <c r="C160">
        <v>104.88</v>
      </c>
      <c r="D160">
        <v>369.87</v>
      </c>
      <c r="E160">
        <v>225.75</v>
      </c>
      <c r="F160">
        <v>100.15</v>
      </c>
      <c r="G160">
        <v>111.97</v>
      </c>
      <c r="H160">
        <v>72.73</v>
      </c>
    </row>
    <row r="161" spans="1:8" x14ac:dyDescent="0.25">
      <c r="A161" s="63">
        <f t="shared" si="2"/>
        <v>45451</v>
      </c>
      <c r="B161">
        <v>999.04</v>
      </c>
      <c r="C161">
        <v>85.75</v>
      </c>
      <c r="D161">
        <v>367.88</v>
      </c>
      <c r="E161">
        <v>254.43</v>
      </c>
      <c r="F161">
        <v>110.75</v>
      </c>
      <c r="G161">
        <v>111.89</v>
      </c>
      <c r="H161">
        <v>68.34</v>
      </c>
    </row>
    <row r="162" spans="1:8" x14ac:dyDescent="0.25">
      <c r="A162" s="63">
        <f t="shared" si="2"/>
        <v>45452</v>
      </c>
      <c r="B162">
        <v>1084.4099999999999</v>
      </c>
      <c r="C162">
        <v>116.72</v>
      </c>
      <c r="D162">
        <v>409.83</v>
      </c>
      <c r="E162">
        <v>265.29000000000002</v>
      </c>
      <c r="F162">
        <v>97.13</v>
      </c>
      <c r="G162">
        <v>126.95</v>
      </c>
      <c r="H162">
        <v>68.489999999999995</v>
      </c>
    </row>
    <row r="163" spans="1:8" x14ac:dyDescent="0.25">
      <c r="A163" s="63">
        <f t="shared" si="2"/>
        <v>45453</v>
      </c>
      <c r="B163">
        <v>999.22</v>
      </c>
      <c r="C163">
        <v>88.03</v>
      </c>
      <c r="D163">
        <v>365.23</v>
      </c>
      <c r="E163">
        <v>248.03</v>
      </c>
      <c r="F163">
        <v>103.77</v>
      </c>
      <c r="G163">
        <v>121.21</v>
      </c>
      <c r="H163">
        <v>72.95</v>
      </c>
    </row>
    <row r="164" spans="1:8" x14ac:dyDescent="0.25">
      <c r="A164" s="63">
        <f t="shared" si="2"/>
        <v>45454</v>
      </c>
      <c r="B164">
        <v>1035.29</v>
      </c>
      <c r="C164">
        <v>100.59</v>
      </c>
      <c r="D164">
        <v>424.16</v>
      </c>
      <c r="E164">
        <v>242.63</v>
      </c>
      <c r="F164">
        <v>99.22</v>
      </c>
      <c r="G164">
        <v>99.72</v>
      </c>
      <c r="H164">
        <v>68.97</v>
      </c>
    </row>
    <row r="165" spans="1:8" x14ac:dyDescent="0.25">
      <c r="A165" s="63">
        <f t="shared" si="2"/>
        <v>45455</v>
      </c>
      <c r="B165">
        <v>957.09</v>
      </c>
      <c r="C165">
        <v>97.11</v>
      </c>
      <c r="D165">
        <v>344.72</v>
      </c>
      <c r="E165">
        <v>260.89</v>
      </c>
      <c r="F165">
        <v>88.09</v>
      </c>
      <c r="G165">
        <v>96.23</v>
      </c>
      <c r="H165">
        <v>70.05</v>
      </c>
    </row>
    <row r="166" spans="1:8" x14ac:dyDescent="0.25">
      <c r="A166" s="63">
        <f t="shared" si="2"/>
        <v>45456</v>
      </c>
      <c r="B166">
        <v>1002.4599999999999</v>
      </c>
      <c r="C166">
        <v>119.48</v>
      </c>
      <c r="D166">
        <v>380.19</v>
      </c>
      <c r="E166">
        <v>237.31</v>
      </c>
      <c r="F166">
        <v>83.17</v>
      </c>
      <c r="G166">
        <v>117.94</v>
      </c>
      <c r="H166">
        <v>64.37</v>
      </c>
    </row>
    <row r="167" spans="1:8" x14ac:dyDescent="0.25">
      <c r="A167" s="63">
        <f t="shared" si="2"/>
        <v>45457</v>
      </c>
      <c r="B167">
        <v>935.98</v>
      </c>
      <c r="C167">
        <v>88.17</v>
      </c>
      <c r="D167">
        <v>367.98</v>
      </c>
      <c r="E167">
        <v>214.93</v>
      </c>
      <c r="F167">
        <v>86.17</v>
      </c>
      <c r="G167">
        <v>104.08</v>
      </c>
      <c r="H167">
        <v>74.649999999999991</v>
      </c>
    </row>
    <row r="168" spans="1:8" x14ac:dyDescent="0.25">
      <c r="A168" s="63">
        <f t="shared" si="2"/>
        <v>45458</v>
      </c>
      <c r="B168">
        <v>932.66000000000008</v>
      </c>
      <c r="C168">
        <v>96.35</v>
      </c>
      <c r="D168">
        <v>399.89</v>
      </c>
      <c r="E168">
        <v>176.61</v>
      </c>
      <c r="F168">
        <v>80.760000000000005</v>
      </c>
      <c r="G168">
        <v>109.2</v>
      </c>
      <c r="H168">
        <v>69.849999999999994</v>
      </c>
    </row>
    <row r="169" spans="1:8" x14ac:dyDescent="0.25">
      <c r="A169" s="63">
        <f t="shared" si="2"/>
        <v>45459</v>
      </c>
      <c r="B169">
        <v>878.12</v>
      </c>
      <c r="C169">
        <v>83.02</v>
      </c>
      <c r="D169">
        <v>351.74</v>
      </c>
      <c r="E169">
        <v>185.02</v>
      </c>
      <c r="F169">
        <v>97.31</v>
      </c>
      <c r="G169">
        <v>90.7</v>
      </c>
      <c r="H169">
        <v>70.33</v>
      </c>
    </row>
    <row r="170" spans="1:8" x14ac:dyDescent="0.25">
      <c r="A170" s="63">
        <f t="shared" si="2"/>
        <v>45460</v>
      </c>
      <c r="B170">
        <v>999.66000000000008</v>
      </c>
      <c r="C170">
        <v>104.63</v>
      </c>
      <c r="D170">
        <v>359.86</v>
      </c>
      <c r="E170">
        <v>259.18</v>
      </c>
      <c r="F170">
        <v>91.35</v>
      </c>
      <c r="G170">
        <v>115.11</v>
      </c>
      <c r="H170">
        <v>69.53</v>
      </c>
    </row>
    <row r="171" spans="1:8" x14ac:dyDescent="0.25">
      <c r="A171" s="63">
        <f t="shared" si="2"/>
        <v>45461</v>
      </c>
      <c r="B171">
        <v>1021.0200000000002</v>
      </c>
      <c r="C171">
        <v>106.92</v>
      </c>
      <c r="D171">
        <v>388.81</v>
      </c>
      <c r="E171">
        <v>247.45</v>
      </c>
      <c r="F171">
        <v>72.58</v>
      </c>
      <c r="G171">
        <v>133.31</v>
      </c>
      <c r="H171">
        <v>71.95</v>
      </c>
    </row>
    <row r="172" spans="1:8" x14ac:dyDescent="0.25">
      <c r="A172" s="63">
        <f t="shared" si="2"/>
        <v>45462</v>
      </c>
      <c r="B172">
        <v>919.98</v>
      </c>
      <c r="C172">
        <v>88.48</v>
      </c>
      <c r="D172">
        <v>331.34</v>
      </c>
      <c r="E172">
        <v>231.77</v>
      </c>
      <c r="F172">
        <v>100.82</v>
      </c>
      <c r="G172">
        <v>97.32</v>
      </c>
      <c r="H172">
        <v>70.25</v>
      </c>
    </row>
    <row r="173" spans="1:8" x14ac:dyDescent="0.25">
      <c r="A173" s="63">
        <f t="shared" si="2"/>
        <v>45463</v>
      </c>
      <c r="B173">
        <v>1066.6999999999998</v>
      </c>
      <c r="C173">
        <v>104.44</v>
      </c>
      <c r="D173">
        <v>416.33</v>
      </c>
      <c r="E173">
        <v>276.16999999999996</v>
      </c>
      <c r="F173">
        <v>81.010000000000005</v>
      </c>
      <c r="G173">
        <v>119.74000000000001</v>
      </c>
      <c r="H173">
        <v>69.009999999999991</v>
      </c>
    </row>
    <row r="174" spans="1:8" x14ac:dyDescent="0.25">
      <c r="A174" s="63">
        <f t="shared" si="2"/>
        <v>45464</v>
      </c>
      <c r="B174">
        <v>1037.44</v>
      </c>
      <c r="C174">
        <v>100.09</v>
      </c>
      <c r="D174">
        <v>381.97</v>
      </c>
      <c r="E174">
        <v>285.82</v>
      </c>
      <c r="F174">
        <v>79.83</v>
      </c>
      <c r="G174">
        <v>120.6</v>
      </c>
      <c r="H174">
        <v>69.13</v>
      </c>
    </row>
    <row r="175" spans="1:8" x14ac:dyDescent="0.25">
      <c r="A175" s="63">
        <f t="shared" si="2"/>
        <v>45465</v>
      </c>
      <c r="B175">
        <v>974.41000000000008</v>
      </c>
      <c r="C175">
        <v>104.31</v>
      </c>
      <c r="D175">
        <v>358.64</v>
      </c>
      <c r="E175">
        <v>235.04</v>
      </c>
      <c r="F175">
        <v>98.45</v>
      </c>
      <c r="G175">
        <v>110.78</v>
      </c>
      <c r="H175">
        <v>67.19</v>
      </c>
    </row>
    <row r="176" spans="1:8" x14ac:dyDescent="0.25">
      <c r="A176" s="63">
        <f t="shared" si="2"/>
        <v>45466</v>
      </c>
      <c r="B176">
        <v>1071.3499999999999</v>
      </c>
      <c r="C176">
        <v>121.36</v>
      </c>
      <c r="D176">
        <v>408.18</v>
      </c>
      <c r="E176">
        <v>274.18</v>
      </c>
      <c r="F176">
        <v>89.03</v>
      </c>
      <c r="G176">
        <v>116.67</v>
      </c>
      <c r="H176">
        <v>61.93</v>
      </c>
    </row>
    <row r="177" spans="1:8" x14ac:dyDescent="0.25">
      <c r="A177" s="63">
        <f t="shared" si="2"/>
        <v>45467</v>
      </c>
      <c r="B177">
        <v>1027.1300000000001</v>
      </c>
      <c r="C177">
        <v>99.31</v>
      </c>
      <c r="D177">
        <v>405.26</v>
      </c>
      <c r="E177">
        <v>263.16000000000003</v>
      </c>
      <c r="F177">
        <v>90.33</v>
      </c>
      <c r="G177">
        <v>95.42</v>
      </c>
      <c r="H177">
        <v>73.650000000000006</v>
      </c>
    </row>
    <row r="178" spans="1:8" x14ac:dyDescent="0.25">
      <c r="A178" s="63">
        <f t="shared" si="2"/>
        <v>45468</v>
      </c>
      <c r="B178">
        <v>1013.47</v>
      </c>
      <c r="C178">
        <v>102.03</v>
      </c>
      <c r="D178">
        <v>367.43</v>
      </c>
      <c r="E178">
        <v>277.61</v>
      </c>
      <c r="F178">
        <v>80.44</v>
      </c>
      <c r="G178">
        <v>116.19000000000001</v>
      </c>
      <c r="H178">
        <v>69.77</v>
      </c>
    </row>
    <row r="179" spans="1:8" x14ac:dyDescent="0.25">
      <c r="A179" s="63">
        <f t="shared" si="2"/>
        <v>45469</v>
      </c>
      <c r="B179">
        <v>1107.7499999999998</v>
      </c>
      <c r="C179">
        <v>117.22</v>
      </c>
      <c r="D179">
        <v>421.04</v>
      </c>
      <c r="E179">
        <v>264</v>
      </c>
      <c r="F179">
        <v>104.8</v>
      </c>
      <c r="G179">
        <v>127.35</v>
      </c>
      <c r="H179">
        <v>73.34</v>
      </c>
    </row>
    <row r="180" spans="1:8" x14ac:dyDescent="0.25">
      <c r="A180" s="63">
        <f t="shared" si="2"/>
        <v>45470</v>
      </c>
      <c r="B180">
        <v>1056.6300000000001</v>
      </c>
      <c r="C180">
        <v>100.8</v>
      </c>
      <c r="D180">
        <v>409.35</v>
      </c>
      <c r="E180">
        <v>270.95</v>
      </c>
      <c r="F180">
        <v>88.1</v>
      </c>
      <c r="G180">
        <v>115.36</v>
      </c>
      <c r="H180">
        <v>72.069999999999993</v>
      </c>
    </row>
    <row r="181" spans="1:8" x14ac:dyDescent="0.25">
      <c r="A181" s="63">
        <f t="shared" si="2"/>
        <v>45471</v>
      </c>
      <c r="B181">
        <v>1080.6500000000001</v>
      </c>
      <c r="C181">
        <v>115.14</v>
      </c>
      <c r="D181">
        <v>407.89</v>
      </c>
      <c r="E181">
        <v>282.10000000000002</v>
      </c>
      <c r="F181">
        <v>83.050000000000011</v>
      </c>
      <c r="G181">
        <v>122.39</v>
      </c>
      <c r="H181">
        <v>70.08</v>
      </c>
    </row>
    <row r="182" spans="1:8" x14ac:dyDescent="0.25">
      <c r="A182" s="63">
        <f t="shared" si="2"/>
        <v>45472</v>
      </c>
      <c r="B182">
        <v>1166.2699999999998</v>
      </c>
      <c r="C182">
        <v>114.46</v>
      </c>
      <c r="D182">
        <v>476.39</v>
      </c>
      <c r="E182">
        <v>297.95</v>
      </c>
      <c r="F182">
        <v>88.78</v>
      </c>
      <c r="G182">
        <v>120.61</v>
      </c>
      <c r="H182">
        <v>68.08</v>
      </c>
    </row>
    <row r="183" spans="1:8" x14ac:dyDescent="0.25">
      <c r="A183" s="63">
        <f t="shared" si="2"/>
        <v>45473</v>
      </c>
      <c r="B183">
        <v>1097.1600000000001</v>
      </c>
      <c r="C183">
        <v>99.92</v>
      </c>
      <c r="D183">
        <v>467.07</v>
      </c>
      <c r="E183">
        <v>261.8</v>
      </c>
      <c r="F183">
        <v>90.95</v>
      </c>
      <c r="G183">
        <v>108.65</v>
      </c>
      <c r="H183">
        <v>68.77</v>
      </c>
    </row>
    <row r="184" spans="1:8" x14ac:dyDescent="0.25">
      <c r="A184" s="63">
        <f t="shared" si="2"/>
        <v>45474</v>
      </c>
      <c r="B184">
        <v>1108.58</v>
      </c>
      <c r="C184">
        <v>109.01</v>
      </c>
      <c r="D184">
        <v>451.44</v>
      </c>
      <c r="E184">
        <v>267.89999999999998</v>
      </c>
      <c r="F184">
        <v>92.73</v>
      </c>
      <c r="G184">
        <v>118.66</v>
      </c>
      <c r="H184">
        <v>68.84</v>
      </c>
    </row>
    <row r="185" spans="1:8" x14ac:dyDescent="0.25">
      <c r="A185" s="63">
        <f t="shared" si="2"/>
        <v>45475</v>
      </c>
      <c r="B185">
        <v>1080.23</v>
      </c>
      <c r="C185">
        <v>120.4</v>
      </c>
      <c r="D185">
        <v>426.42</v>
      </c>
      <c r="E185">
        <v>281.58</v>
      </c>
      <c r="F185">
        <v>86.49</v>
      </c>
      <c r="G185">
        <v>101.86</v>
      </c>
      <c r="H185">
        <v>63.48</v>
      </c>
    </row>
    <row r="186" spans="1:8" x14ac:dyDescent="0.25">
      <c r="A186" s="63">
        <f t="shared" si="2"/>
        <v>45476</v>
      </c>
      <c r="B186">
        <v>1126.1099999999999</v>
      </c>
      <c r="C186">
        <v>124.84</v>
      </c>
      <c r="D186">
        <v>423.02</v>
      </c>
      <c r="E186">
        <v>294.61</v>
      </c>
      <c r="F186">
        <v>97.63</v>
      </c>
      <c r="G186">
        <v>115.73</v>
      </c>
      <c r="H186">
        <v>70.28</v>
      </c>
    </row>
    <row r="187" spans="1:8" x14ac:dyDescent="0.25">
      <c r="A187" s="63">
        <f t="shared" si="2"/>
        <v>45477</v>
      </c>
      <c r="B187">
        <v>1085.79</v>
      </c>
      <c r="C187">
        <v>112</v>
      </c>
      <c r="D187">
        <v>431.56</v>
      </c>
      <c r="E187">
        <v>268.45999999999998</v>
      </c>
      <c r="F187">
        <v>98.04</v>
      </c>
      <c r="G187">
        <v>107.47</v>
      </c>
      <c r="H187">
        <v>68.260000000000005</v>
      </c>
    </row>
    <row r="188" spans="1:8" x14ac:dyDescent="0.25">
      <c r="A188" s="63">
        <f t="shared" si="2"/>
        <v>45478</v>
      </c>
      <c r="B188">
        <v>1041.31</v>
      </c>
      <c r="C188">
        <v>97.39</v>
      </c>
      <c r="D188">
        <v>395.89</v>
      </c>
      <c r="E188">
        <v>276.02999999999997</v>
      </c>
      <c r="F188">
        <v>100.18</v>
      </c>
      <c r="G188">
        <v>102.71</v>
      </c>
      <c r="H188">
        <v>69.11</v>
      </c>
    </row>
    <row r="189" spans="1:8" x14ac:dyDescent="0.25">
      <c r="A189" s="63">
        <f t="shared" si="2"/>
        <v>45479</v>
      </c>
      <c r="B189">
        <v>1062.49</v>
      </c>
      <c r="C189">
        <v>118.59</v>
      </c>
      <c r="D189">
        <v>427.93</v>
      </c>
      <c r="E189">
        <v>247.82</v>
      </c>
      <c r="F189">
        <v>96.22</v>
      </c>
      <c r="G189">
        <v>104.63</v>
      </c>
      <c r="H189">
        <v>67.3</v>
      </c>
    </row>
    <row r="190" spans="1:8" x14ac:dyDescent="0.25">
      <c r="A190" s="63">
        <f t="shared" si="2"/>
        <v>45480</v>
      </c>
      <c r="B190">
        <v>1104.2099999999998</v>
      </c>
      <c r="C190">
        <v>99.38</v>
      </c>
      <c r="D190">
        <v>449.01</v>
      </c>
      <c r="E190">
        <v>281.88</v>
      </c>
      <c r="F190">
        <v>100.81</v>
      </c>
      <c r="G190">
        <v>103.61</v>
      </c>
      <c r="H190">
        <v>69.52</v>
      </c>
    </row>
    <row r="191" spans="1:8" x14ac:dyDescent="0.25">
      <c r="A191" s="63">
        <f t="shared" si="2"/>
        <v>45481</v>
      </c>
      <c r="B191">
        <v>1082.46</v>
      </c>
      <c r="C191">
        <v>98.45</v>
      </c>
      <c r="D191">
        <v>427.61</v>
      </c>
      <c r="E191">
        <v>271.38</v>
      </c>
      <c r="F191">
        <v>94.059999999999988</v>
      </c>
      <c r="G191">
        <v>120.38</v>
      </c>
      <c r="H191">
        <v>70.58</v>
      </c>
    </row>
    <row r="192" spans="1:8" x14ac:dyDescent="0.25">
      <c r="A192" s="63">
        <f t="shared" si="2"/>
        <v>45482</v>
      </c>
      <c r="B192">
        <v>1070.95</v>
      </c>
      <c r="C192">
        <v>106.86</v>
      </c>
      <c r="D192">
        <v>380</v>
      </c>
      <c r="E192">
        <v>294.94</v>
      </c>
      <c r="F192">
        <v>102.51</v>
      </c>
      <c r="G192">
        <v>116.43</v>
      </c>
      <c r="H192">
        <v>70.209999999999994</v>
      </c>
    </row>
    <row r="193" spans="1:8" x14ac:dyDescent="0.25">
      <c r="A193" s="63">
        <f t="shared" si="2"/>
        <v>45483</v>
      </c>
      <c r="B193">
        <v>1047.54</v>
      </c>
      <c r="C193">
        <v>115.75</v>
      </c>
      <c r="D193">
        <v>406.46</v>
      </c>
      <c r="E193">
        <v>274.63</v>
      </c>
      <c r="F193">
        <v>83.14</v>
      </c>
      <c r="G193">
        <v>98.78</v>
      </c>
      <c r="H193">
        <v>68.78</v>
      </c>
    </row>
    <row r="194" spans="1:8" x14ac:dyDescent="0.25">
      <c r="A194" s="63">
        <f t="shared" si="2"/>
        <v>45484</v>
      </c>
      <c r="B194">
        <v>1065.79</v>
      </c>
      <c r="C194">
        <v>119.98</v>
      </c>
      <c r="D194">
        <v>409.61</v>
      </c>
      <c r="E194">
        <v>262.23</v>
      </c>
      <c r="F194">
        <v>89.41</v>
      </c>
      <c r="G194">
        <v>114.81</v>
      </c>
      <c r="H194">
        <v>69.75</v>
      </c>
    </row>
    <row r="195" spans="1:8" x14ac:dyDescent="0.25">
      <c r="A195" s="63">
        <f t="shared" si="2"/>
        <v>45485</v>
      </c>
      <c r="B195">
        <v>1094.0100000000002</v>
      </c>
      <c r="C195">
        <v>108.54</v>
      </c>
      <c r="D195">
        <v>433.94</v>
      </c>
      <c r="E195">
        <v>267.38</v>
      </c>
      <c r="F195">
        <v>100.47</v>
      </c>
      <c r="G195">
        <v>117.52</v>
      </c>
      <c r="H195">
        <v>66.16</v>
      </c>
    </row>
    <row r="196" spans="1:8" x14ac:dyDescent="0.25">
      <c r="A196" s="63">
        <f t="shared" ref="A196:A259" si="3">A195+1</f>
        <v>45486</v>
      </c>
      <c r="B196">
        <v>1089.01</v>
      </c>
      <c r="C196">
        <v>100.92</v>
      </c>
      <c r="D196">
        <v>428.26</v>
      </c>
      <c r="E196">
        <v>292.82</v>
      </c>
      <c r="F196">
        <v>93.16</v>
      </c>
      <c r="G196">
        <v>113.72</v>
      </c>
      <c r="H196">
        <v>60.13</v>
      </c>
    </row>
    <row r="197" spans="1:8" x14ac:dyDescent="0.25">
      <c r="A197" s="63">
        <f t="shared" si="3"/>
        <v>45487</v>
      </c>
      <c r="B197">
        <v>1078.3600000000001</v>
      </c>
      <c r="C197">
        <v>119.3</v>
      </c>
      <c r="D197">
        <v>404.31</v>
      </c>
      <c r="E197">
        <v>281.82</v>
      </c>
      <c r="F197">
        <v>80.45</v>
      </c>
      <c r="G197">
        <v>122.32</v>
      </c>
      <c r="H197">
        <v>70.16</v>
      </c>
    </row>
    <row r="198" spans="1:8" x14ac:dyDescent="0.25">
      <c r="A198" s="63">
        <f t="shared" si="3"/>
        <v>45488</v>
      </c>
      <c r="B198">
        <v>1082.32</v>
      </c>
      <c r="C198">
        <v>103.48</v>
      </c>
      <c r="D198">
        <v>415.89</v>
      </c>
      <c r="E198">
        <v>276.41000000000003</v>
      </c>
      <c r="F198">
        <v>90.21</v>
      </c>
      <c r="G198">
        <v>127.05</v>
      </c>
      <c r="H198">
        <v>69.28</v>
      </c>
    </row>
    <row r="199" spans="1:8" x14ac:dyDescent="0.25">
      <c r="A199" s="63">
        <f t="shared" si="3"/>
        <v>45489</v>
      </c>
      <c r="B199">
        <v>1096.0099999999998</v>
      </c>
      <c r="C199">
        <v>109.28</v>
      </c>
      <c r="D199">
        <v>424.21</v>
      </c>
      <c r="E199">
        <v>274.58999999999997</v>
      </c>
      <c r="F199">
        <v>85.62</v>
      </c>
      <c r="G199">
        <v>133.18</v>
      </c>
      <c r="H199">
        <v>69.13</v>
      </c>
    </row>
    <row r="200" spans="1:8" x14ac:dyDescent="0.25">
      <c r="A200" s="63">
        <f t="shared" si="3"/>
        <v>45490</v>
      </c>
      <c r="B200">
        <v>1062.8599999999999</v>
      </c>
      <c r="C200">
        <v>106.68</v>
      </c>
      <c r="D200">
        <v>421.4</v>
      </c>
      <c r="E200">
        <v>273.01</v>
      </c>
      <c r="F200">
        <v>94.26</v>
      </c>
      <c r="G200">
        <v>102.94</v>
      </c>
      <c r="H200">
        <v>64.569999999999993</v>
      </c>
    </row>
    <row r="201" spans="1:8" x14ac:dyDescent="0.25">
      <c r="A201" s="63">
        <f t="shared" si="3"/>
        <v>45491</v>
      </c>
      <c r="B201">
        <v>1050.02</v>
      </c>
      <c r="C201">
        <v>87.94</v>
      </c>
      <c r="D201">
        <v>392.09</v>
      </c>
      <c r="E201">
        <v>275.92</v>
      </c>
      <c r="F201">
        <v>90.97</v>
      </c>
      <c r="G201">
        <v>131.78</v>
      </c>
      <c r="H201">
        <v>71.319999999999993</v>
      </c>
    </row>
    <row r="202" spans="1:8" x14ac:dyDescent="0.25">
      <c r="A202" s="63">
        <f t="shared" si="3"/>
        <v>45492</v>
      </c>
      <c r="B202">
        <v>1135.45</v>
      </c>
      <c r="C202">
        <v>112.89</v>
      </c>
      <c r="D202">
        <v>453.11</v>
      </c>
      <c r="E202">
        <v>279.14</v>
      </c>
      <c r="F202">
        <v>95.79</v>
      </c>
      <c r="G202">
        <v>123.04</v>
      </c>
      <c r="H202">
        <v>71.48</v>
      </c>
    </row>
    <row r="203" spans="1:8" x14ac:dyDescent="0.25">
      <c r="A203" s="63">
        <f t="shared" si="3"/>
        <v>45493</v>
      </c>
      <c r="B203">
        <v>1075.48</v>
      </c>
      <c r="C203">
        <v>106.2</v>
      </c>
      <c r="D203">
        <v>380.39</v>
      </c>
      <c r="E203">
        <v>283.10000000000002</v>
      </c>
      <c r="F203">
        <v>114.42</v>
      </c>
      <c r="G203">
        <v>123.94</v>
      </c>
      <c r="H203">
        <v>67.430000000000007</v>
      </c>
    </row>
    <row r="204" spans="1:8" x14ac:dyDescent="0.25">
      <c r="A204" s="63">
        <f t="shared" si="3"/>
        <v>45494</v>
      </c>
      <c r="B204">
        <v>1147.19</v>
      </c>
      <c r="C204">
        <v>105.79</v>
      </c>
      <c r="D204">
        <v>473.49</v>
      </c>
      <c r="E204">
        <v>288.91000000000003</v>
      </c>
      <c r="F204">
        <v>90.33</v>
      </c>
      <c r="G204">
        <v>121.45</v>
      </c>
      <c r="H204">
        <v>67.22</v>
      </c>
    </row>
    <row r="205" spans="1:8" x14ac:dyDescent="0.25">
      <c r="A205" s="63">
        <f t="shared" si="3"/>
        <v>45495</v>
      </c>
      <c r="B205">
        <v>1138.32</v>
      </c>
      <c r="C205">
        <v>114.26</v>
      </c>
      <c r="D205">
        <v>462.65</v>
      </c>
      <c r="E205">
        <v>278.72000000000003</v>
      </c>
      <c r="F205">
        <v>97.08</v>
      </c>
      <c r="G205">
        <v>114.83</v>
      </c>
      <c r="H205">
        <v>70.78</v>
      </c>
    </row>
    <row r="206" spans="1:8" x14ac:dyDescent="0.25">
      <c r="A206" s="63">
        <f t="shared" si="3"/>
        <v>45496</v>
      </c>
      <c r="B206">
        <v>1022.73</v>
      </c>
      <c r="C206">
        <v>90.1</v>
      </c>
      <c r="D206">
        <v>336.66</v>
      </c>
      <c r="E206">
        <v>298.25</v>
      </c>
      <c r="F206">
        <v>100.47</v>
      </c>
      <c r="G206">
        <v>127.24</v>
      </c>
      <c r="H206">
        <v>70.010000000000005</v>
      </c>
    </row>
    <row r="207" spans="1:8" x14ac:dyDescent="0.25">
      <c r="A207" s="63">
        <f t="shared" si="3"/>
        <v>45497</v>
      </c>
      <c r="B207">
        <v>1144.05</v>
      </c>
      <c r="C207">
        <v>122.08</v>
      </c>
      <c r="D207">
        <v>430.26</v>
      </c>
      <c r="E207">
        <v>291.52</v>
      </c>
      <c r="F207">
        <v>105.48</v>
      </c>
      <c r="G207">
        <v>124.24</v>
      </c>
      <c r="H207">
        <v>70.47</v>
      </c>
    </row>
    <row r="208" spans="1:8" x14ac:dyDescent="0.25">
      <c r="A208" s="63">
        <f t="shared" si="3"/>
        <v>45498</v>
      </c>
      <c r="B208">
        <v>1048.1599999999999</v>
      </c>
      <c r="C208">
        <v>104.64</v>
      </c>
      <c r="D208">
        <v>406.19</v>
      </c>
      <c r="E208">
        <v>271.49</v>
      </c>
      <c r="F208">
        <v>86.82</v>
      </c>
      <c r="G208">
        <v>111.11</v>
      </c>
      <c r="H208">
        <v>67.91</v>
      </c>
    </row>
    <row r="209" spans="1:8" x14ac:dyDescent="0.25">
      <c r="A209" s="63">
        <f t="shared" si="3"/>
        <v>45499</v>
      </c>
      <c r="B209">
        <v>1048.6000000000001</v>
      </c>
      <c r="C209">
        <v>104.68</v>
      </c>
      <c r="D209">
        <v>428.66</v>
      </c>
      <c r="E209">
        <v>259.31</v>
      </c>
      <c r="F209">
        <v>94.78</v>
      </c>
      <c r="G209">
        <v>92.84</v>
      </c>
      <c r="H209">
        <v>68.33</v>
      </c>
    </row>
    <row r="210" spans="1:8" x14ac:dyDescent="0.25">
      <c r="A210" s="63">
        <f t="shared" si="3"/>
        <v>45500</v>
      </c>
      <c r="B210">
        <v>1031.6200000000001</v>
      </c>
      <c r="C210">
        <v>81.17</v>
      </c>
      <c r="D210">
        <v>429.17</v>
      </c>
      <c r="E210">
        <v>247.12</v>
      </c>
      <c r="F210">
        <v>110.94</v>
      </c>
      <c r="G210">
        <v>95.94</v>
      </c>
      <c r="H210">
        <v>67.28</v>
      </c>
    </row>
    <row r="211" spans="1:8" x14ac:dyDescent="0.25">
      <c r="A211" s="63">
        <f t="shared" si="3"/>
        <v>45501</v>
      </c>
      <c r="B211">
        <v>940.54</v>
      </c>
      <c r="C211">
        <v>77.239999999999995</v>
      </c>
      <c r="D211">
        <v>400.1</v>
      </c>
      <c r="E211">
        <v>195.46</v>
      </c>
      <c r="F211">
        <v>101.8</v>
      </c>
      <c r="G211">
        <v>99</v>
      </c>
      <c r="H211">
        <v>66.94</v>
      </c>
    </row>
    <row r="212" spans="1:8" x14ac:dyDescent="0.25">
      <c r="A212" s="63">
        <f t="shared" si="3"/>
        <v>45502</v>
      </c>
      <c r="B212">
        <v>1024.3199999999997</v>
      </c>
      <c r="C212">
        <v>103.96</v>
      </c>
      <c r="D212">
        <v>357.53</v>
      </c>
      <c r="E212">
        <v>258.89999999999998</v>
      </c>
      <c r="F212">
        <v>108.42</v>
      </c>
      <c r="G212">
        <v>124.79</v>
      </c>
      <c r="H212">
        <v>70.72</v>
      </c>
    </row>
    <row r="213" spans="1:8" x14ac:dyDescent="0.25">
      <c r="A213" s="63">
        <f t="shared" si="3"/>
        <v>45503</v>
      </c>
      <c r="B213">
        <v>1069</v>
      </c>
      <c r="C213">
        <v>91.8</v>
      </c>
      <c r="D213">
        <v>433</v>
      </c>
      <c r="E213">
        <v>269.56</v>
      </c>
      <c r="F213">
        <v>86.7</v>
      </c>
      <c r="G213">
        <v>122.38</v>
      </c>
      <c r="H213">
        <v>65.56</v>
      </c>
    </row>
    <row r="214" spans="1:8" x14ac:dyDescent="0.25">
      <c r="A214" s="63">
        <f t="shared" si="3"/>
        <v>45504</v>
      </c>
      <c r="B214">
        <v>1036.6299999999999</v>
      </c>
      <c r="C214">
        <v>122.6</v>
      </c>
      <c r="D214">
        <v>400.66</v>
      </c>
      <c r="E214">
        <v>253.76</v>
      </c>
      <c r="F214">
        <v>83.31</v>
      </c>
      <c r="G214">
        <v>112.36</v>
      </c>
      <c r="H214">
        <v>63.94</v>
      </c>
    </row>
    <row r="215" spans="1:8" x14ac:dyDescent="0.25">
      <c r="A215" s="63">
        <f t="shared" si="3"/>
        <v>45505</v>
      </c>
      <c r="B215">
        <v>990.68000000000006</v>
      </c>
      <c r="C215">
        <v>63.19</v>
      </c>
      <c r="D215">
        <v>451.97</v>
      </c>
      <c r="E215">
        <v>230.11</v>
      </c>
      <c r="F215">
        <v>80.5</v>
      </c>
      <c r="G215">
        <v>98.15</v>
      </c>
      <c r="H215">
        <v>66.760000000000005</v>
      </c>
    </row>
    <row r="216" spans="1:8" x14ac:dyDescent="0.25">
      <c r="A216" s="63">
        <f t="shared" si="3"/>
        <v>45506</v>
      </c>
      <c r="B216">
        <v>869.23</v>
      </c>
      <c r="C216">
        <v>60.6</v>
      </c>
      <c r="D216">
        <v>401.82</v>
      </c>
      <c r="E216">
        <v>191.52</v>
      </c>
      <c r="F216">
        <v>70.11</v>
      </c>
      <c r="G216">
        <v>85</v>
      </c>
      <c r="H216">
        <v>60.18</v>
      </c>
    </row>
    <row r="217" spans="1:8" x14ac:dyDescent="0.25">
      <c r="A217" s="63">
        <f t="shared" si="3"/>
        <v>45507</v>
      </c>
      <c r="B217">
        <v>805.75</v>
      </c>
      <c r="C217">
        <v>64.05</v>
      </c>
      <c r="D217">
        <v>363.12</v>
      </c>
      <c r="E217">
        <v>171.32</v>
      </c>
      <c r="F217">
        <v>82.28</v>
      </c>
      <c r="G217">
        <v>70.47</v>
      </c>
      <c r="H217">
        <v>54.51</v>
      </c>
    </row>
    <row r="218" spans="1:8" x14ac:dyDescent="0.25">
      <c r="A218" s="63">
        <f t="shared" si="3"/>
        <v>45508</v>
      </c>
      <c r="B218">
        <v>712.87</v>
      </c>
      <c r="C218">
        <v>60.55</v>
      </c>
      <c r="D218">
        <v>244.6</v>
      </c>
      <c r="E218">
        <v>199.09</v>
      </c>
      <c r="F218">
        <v>84.65</v>
      </c>
      <c r="G218">
        <v>69.2</v>
      </c>
      <c r="H218">
        <v>54.78</v>
      </c>
    </row>
    <row r="219" spans="1:8" x14ac:dyDescent="0.25">
      <c r="A219" s="63">
        <f t="shared" si="3"/>
        <v>45509</v>
      </c>
      <c r="B219">
        <v>1007.9899999999999</v>
      </c>
      <c r="C219">
        <v>88.66</v>
      </c>
      <c r="D219">
        <v>383.68</v>
      </c>
      <c r="E219">
        <v>253.95</v>
      </c>
      <c r="F219">
        <v>104.66</v>
      </c>
      <c r="G219">
        <v>115.86</v>
      </c>
      <c r="H219">
        <v>61.18</v>
      </c>
    </row>
    <row r="220" spans="1:8" x14ac:dyDescent="0.25">
      <c r="A220" s="63">
        <f t="shared" si="3"/>
        <v>45510</v>
      </c>
      <c r="B220">
        <v>1100.74</v>
      </c>
      <c r="C220">
        <v>100.47</v>
      </c>
      <c r="D220">
        <v>427.53</v>
      </c>
      <c r="E220">
        <v>281.79000000000002</v>
      </c>
      <c r="F220">
        <v>94.68</v>
      </c>
      <c r="G220">
        <v>132.47</v>
      </c>
      <c r="H220">
        <v>63.8</v>
      </c>
    </row>
    <row r="221" spans="1:8" x14ac:dyDescent="0.25">
      <c r="A221" s="63">
        <f t="shared" si="3"/>
        <v>45511</v>
      </c>
      <c r="B221">
        <v>1116.4499999999998</v>
      </c>
      <c r="C221">
        <v>107.38</v>
      </c>
      <c r="D221">
        <v>440.38</v>
      </c>
      <c r="E221">
        <v>276.14</v>
      </c>
      <c r="F221">
        <v>96</v>
      </c>
      <c r="G221">
        <v>129.67000000000002</v>
      </c>
      <c r="H221">
        <v>66.88</v>
      </c>
    </row>
    <row r="222" spans="1:8" x14ac:dyDescent="0.25">
      <c r="A222" s="63">
        <f t="shared" si="3"/>
        <v>45512</v>
      </c>
      <c r="B222">
        <v>1066.3700000000001</v>
      </c>
      <c r="C222">
        <v>107</v>
      </c>
      <c r="D222">
        <v>401.93</v>
      </c>
      <c r="E222">
        <v>272</v>
      </c>
      <c r="F222">
        <v>102.2</v>
      </c>
      <c r="G222">
        <v>117.85</v>
      </c>
      <c r="H222">
        <v>65.39</v>
      </c>
    </row>
    <row r="223" spans="1:8" x14ac:dyDescent="0.25">
      <c r="A223" s="63">
        <f t="shared" si="3"/>
        <v>45513</v>
      </c>
      <c r="B223">
        <v>1089.52</v>
      </c>
      <c r="C223">
        <v>117.41</v>
      </c>
      <c r="D223">
        <v>430.66</v>
      </c>
      <c r="E223">
        <v>260.72000000000003</v>
      </c>
      <c r="F223">
        <v>105.59</v>
      </c>
      <c r="G223">
        <v>105.64</v>
      </c>
      <c r="H223">
        <v>69.5</v>
      </c>
    </row>
    <row r="224" spans="1:8" x14ac:dyDescent="0.25">
      <c r="A224" s="63">
        <f t="shared" si="3"/>
        <v>45514</v>
      </c>
      <c r="B224">
        <v>1029.6299999999999</v>
      </c>
      <c r="C224">
        <v>104.01</v>
      </c>
      <c r="D224">
        <v>416.4</v>
      </c>
      <c r="E224">
        <v>239.11</v>
      </c>
      <c r="F224">
        <v>106.26</v>
      </c>
      <c r="G224">
        <v>98.03</v>
      </c>
      <c r="H224">
        <v>65.819999999999993</v>
      </c>
    </row>
    <row r="225" spans="1:8" x14ac:dyDescent="0.25">
      <c r="A225" s="63">
        <f t="shared" si="3"/>
        <v>45515</v>
      </c>
      <c r="B225">
        <v>988.71</v>
      </c>
      <c r="C225">
        <v>109.1</v>
      </c>
      <c r="D225">
        <v>416.95</v>
      </c>
      <c r="E225">
        <v>202.34</v>
      </c>
      <c r="F225">
        <v>89.49</v>
      </c>
      <c r="G225">
        <v>106.34</v>
      </c>
      <c r="H225">
        <v>64.489999999999995</v>
      </c>
    </row>
    <row r="226" spans="1:8" x14ac:dyDescent="0.25">
      <c r="A226" s="63">
        <f t="shared" si="3"/>
        <v>45516</v>
      </c>
      <c r="B226">
        <v>1060.8999999999999</v>
      </c>
      <c r="C226">
        <v>112.62</v>
      </c>
      <c r="D226">
        <v>368.57</v>
      </c>
      <c r="E226">
        <v>285.38</v>
      </c>
      <c r="F226">
        <v>93.55</v>
      </c>
      <c r="G226">
        <v>133.12</v>
      </c>
      <c r="H226">
        <v>67.66</v>
      </c>
    </row>
    <row r="227" spans="1:8" x14ac:dyDescent="0.25">
      <c r="A227" s="63">
        <f t="shared" si="3"/>
        <v>45517</v>
      </c>
      <c r="B227">
        <v>1135.0499999999997</v>
      </c>
      <c r="C227">
        <v>111.9</v>
      </c>
      <c r="D227">
        <v>454.15</v>
      </c>
      <c r="E227">
        <v>291.08999999999997</v>
      </c>
      <c r="F227">
        <v>98.08</v>
      </c>
      <c r="G227">
        <v>111.25</v>
      </c>
      <c r="H227">
        <v>68.58</v>
      </c>
    </row>
    <row r="228" spans="1:8" x14ac:dyDescent="0.25">
      <c r="A228" s="63">
        <f t="shared" si="3"/>
        <v>45518</v>
      </c>
      <c r="B228">
        <v>1100.0999999999999</v>
      </c>
      <c r="C228">
        <v>108.54</v>
      </c>
      <c r="D228">
        <v>409.68</v>
      </c>
      <c r="E228">
        <v>293.48</v>
      </c>
      <c r="F228">
        <v>100.31</v>
      </c>
      <c r="G228">
        <v>120</v>
      </c>
      <c r="H228">
        <v>68.09</v>
      </c>
    </row>
    <row r="229" spans="1:8" x14ac:dyDescent="0.25">
      <c r="A229" s="63">
        <f t="shared" si="3"/>
        <v>45519</v>
      </c>
      <c r="B229">
        <v>1027.97</v>
      </c>
      <c r="C229">
        <v>121.89</v>
      </c>
      <c r="D229">
        <v>356.63</v>
      </c>
      <c r="E229">
        <v>287.64</v>
      </c>
      <c r="F229">
        <v>80.22</v>
      </c>
      <c r="G229">
        <v>112.88</v>
      </c>
      <c r="H229">
        <v>68.709999999999994</v>
      </c>
    </row>
    <row r="230" spans="1:8" x14ac:dyDescent="0.25">
      <c r="A230" s="63">
        <f t="shared" si="3"/>
        <v>45520</v>
      </c>
      <c r="B230">
        <v>1026.3800000000001</v>
      </c>
      <c r="C230">
        <v>91.99</v>
      </c>
      <c r="D230">
        <v>450.43</v>
      </c>
      <c r="E230">
        <v>207.57</v>
      </c>
      <c r="F230">
        <v>92.25</v>
      </c>
      <c r="G230">
        <v>119.84</v>
      </c>
      <c r="H230">
        <v>64.3</v>
      </c>
    </row>
    <row r="231" spans="1:8" x14ac:dyDescent="0.25">
      <c r="A231" s="63">
        <f t="shared" si="3"/>
        <v>45521</v>
      </c>
      <c r="B231">
        <v>1065.3</v>
      </c>
      <c r="C231">
        <v>123.25</v>
      </c>
      <c r="D231">
        <v>395.98</v>
      </c>
      <c r="E231">
        <v>276.82</v>
      </c>
      <c r="F231">
        <v>89.95</v>
      </c>
      <c r="G231">
        <v>114.36</v>
      </c>
      <c r="H231">
        <v>64.94</v>
      </c>
    </row>
    <row r="232" spans="1:8" x14ac:dyDescent="0.25">
      <c r="A232" s="63">
        <f t="shared" si="3"/>
        <v>45522</v>
      </c>
      <c r="B232">
        <v>1050.29</v>
      </c>
      <c r="C232">
        <v>104.06</v>
      </c>
      <c r="D232">
        <v>457.43</v>
      </c>
      <c r="E232">
        <v>230.45</v>
      </c>
      <c r="F232">
        <v>91.47</v>
      </c>
      <c r="G232">
        <v>102.17</v>
      </c>
      <c r="H232">
        <v>64.709999999999994</v>
      </c>
    </row>
    <row r="233" spans="1:8" x14ac:dyDescent="0.25">
      <c r="A233" s="63">
        <f t="shared" si="3"/>
        <v>45523</v>
      </c>
      <c r="B233">
        <v>1023.7099999999999</v>
      </c>
      <c r="C233">
        <v>110.85</v>
      </c>
      <c r="D233">
        <v>373.52</v>
      </c>
      <c r="E233">
        <v>258.27</v>
      </c>
      <c r="F233">
        <v>98.15</v>
      </c>
      <c r="G233">
        <v>116.79</v>
      </c>
      <c r="H233">
        <v>66.13</v>
      </c>
    </row>
    <row r="234" spans="1:8" x14ac:dyDescent="0.25">
      <c r="A234" s="63">
        <f t="shared" si="3"/>
        <v>45524</v>
      </c>
      <c r="B234">
        <v>1049.8700000000001</v>
      </c>
      <c r="C234">
        <v>115.03</v>
      </c>
      <c r="D234">
        <v>382.68</v>
      </c>
      <c r="E234">
        <v>255.29000000000002</v>
      </c>
      <c r="F234">
        <v>100.18</v>
      </c>
      <c r="G234">
        <v>129.20000000000002</v>
      </c>
      <c r="H234">
        <v>67.489999999999995</v>
      </c>
    </row>
    <row r="235" spans="1:8" x14ac:dyDescent="0.25">
      <c r="A235" s="63">
        <f t="shared" si="3"/>
        <v>45525</v>
      </c>
      <c r="B235">
        <v>1113.6200000000001</v>
      </c>
      <c r="C235">
        <v>101.61</v>
      </c>
      <c r="D235">
        <v>454.16</v>
      </c>
      <c r="E235">
        <v>268.41000000000003</v>
      </c>
      <c r="F235">
        <v>92.71</v>
      </c>
      <c r="G235">
        <v>132.51</v>
      </c>
      <c r="H235">
        <v>64.22</v>
      </c>
    </row>
    <row r="236" spans="1:8" x14ac:dyDescent="0.25">
      <c r="A236" s="63">
        <f t="shared" si="3"/>
        <v>45526</v>
      </c>
      <c r="B236">
        <v>1108.03</v>
      </c>
      <c r="C236">
        <v>125.06</v>
      </c>
      <c r="D236">
        <v>435.66</v>
      </c>
      <c r="E236">
        <v>271.63</v>
      </c>
      <c r="F236">
        <v>86.52</v>
      </c>
      <c r="G236">
        <v>124.1</v>
      </c>
      <c r="H236">
        <v>65.06</v>
      </c>
    </row>
    <row r="237" spans="1:8" x14ac:dyDescent="0.25">
      <c r="A237" s="63">
        <f t="shared" si="3"/>
        <v>45527</v>
      </c>
      <c r="B237">
        <v>1038.06</v>
      </c>
      <c r="C237">
        <v>80.25</v>
      </c>
      <c r="D237">
        <v>393.29</v>
      </c>
      <c r="E237">
        <v>278.49</v>
      </c>
      <c r="F237">
        <v>88.09</v>
      </c>
      <c r="G237">
        <v>132.72</v>
      </c>
      <c r="H237">
        <v>65.22</v>
      </c>
    </row>
    <row r="238" spans="1:8" x14ac:dyDescent="0.25">
      <c r="A238" s="63">
        <f t="shared" si="3"/>
        <v>45528</v>
      </c>
      <c r="B238">
        <v>1079.02</v>
      </c>
      <c r="C238">
        <v>112.51</v>
      </c>
      <c r="D238">
        <v>419.05</v>
      </c>
      <c r="E238">
        <v>276.79000000000002</v>
      </c>
      <c r="F238">
        <v>92.3</v>
      </c>
      <c r="G238">
        <v>113.63</v>
      </c>
      <c r="H238">
        <v>64.739999999999995</v>
      </c>
    </row>
    <row r="239" spans="1:8" x14ac:dyDescent="0.25">
      <c r="A239" s="63">
        <f t="shared" si="3"/>
        <v>45529</v>
      </c>
      <c r="B239">
        <v>1150.03</v>
      </c>
      <c r="C239">
        <v>117.04</v>
      </c>
      <c r="D239">
        <v>462.55</v>
      </c>
      <c r="E239">
        <v>285.02</v>
      </c>
      <c r="F239">
        <v>90.58</v>
      </c>
      <c r="G239">
        <v>131.06</v>
      </c>
      <c r="H239">
        <v>63.78</v>
      </c>
    </row>
    <row r="240" spans="1:8" x14ac:dyDescent="0.25">
      <c r="A240" s="63">
        <f t="shared" si="3"/>
        <v>45530</v>
      </c>
      <c r="B240">
        <v>1093.7200000000003</v>
      </c>
      <c r="C240">
        <v>87.99</v>
      </c>
      <c r="D240">
        <v>450</v>
      </c>
      <c r="E240">
        <v>282.02</v>
      </c>
      <c r="F240">
        <v>90.68</v>
      </c>
      <c r="G240">
        <v>113.63</v>
      </c>
      <c r="H240">
        <v>69.400000000000006</v>
      </c>
    </row>
    <row r="241" spans="1:8" x14ac:dyDescent="0.25">
      <c r="A241" s="63">
        <f t="shared" si="3"/>
        <v>45531</v>
      </c>
      <c r="B241">
        <v>1112.0800000000002</v>
      </c>
      <c r="C241">
        <v>115.06</v>
      </c>
      <c r="D241">
        <v>440.6</v>
      </c>
      <c r="E241">
        <v>287.52</v>
      </c>
      <c r="F241">
        <v>99.74</v>
      </c>
      <c r="G241">
        <v>102.45</v>
      </c>
      <c r="H241">
        <v>66.709999999999994</v>
      </c>
    </row>
    <row r="242" spans="1:8" x14ac:dyDescent="0.25">
      <c r="A242" s="63">
        <f t="shared" si="3"/>
        <v>45532</v>
      </c>
      <c r="B242">
        <v>1071.2</v>
      </c>
      <c r="C242">
        <v>112.55</v>
      </c>
      <c r="D242">
        <v>396.74</v>
      </c>
      <c r="E242">
        <v>270.61</v>
      </c>
      <c r="F242">
        <v>102.16</v>
      </c>
      <c r="G242">
        <v>123.03</v>
      </c>
      <c r="H242">
        <v>66.11</v>
      </c>
    </row>
    <row r="243" spans="1:8" x14ac:dyDescent="0.25">
      <c r="A243" s="63">
        <f t="shared" si="3"/>
        <v>45533</v>
      </c>
      <c r="B243">
        <v>1079.1199999999999</v>
      </c>
      <c r="C243">
        <v>94.29</v>
      </c>
      <c r="D243">
        <v>406.56</v>
      </c>
      <c r="E243">
        <v>284.49</v>
      </c>
      <c r="F243">
        <v>100.26</v>
      </c>
      <c r="G243">
        <v>124.64</v>
      </c>
      <c r="H243">
        <v>68.88</v>
      </c>
    </row>
    <row r="244" spans="1:8" x14ac:dyDescent="0.25">
      <c r="A244" s="63">
        <f t="shared" si="3"/>
        <v>45534</v>
      </c>
      <c r="B244">
        <v>1133.54</v>
      </c>
      <c r="C244">
        <v>107.86</v>
      </c>
      <c r="D244">
        <v>446.89</v>
      </c>
      <c r="E244">
        <v>285.52</v>
      </c>
      <c r="F244">
        <v>104.89</v>
      </c>
      <c r="G244">
        <v>121.25</v>
      </c>
      <c r="H244">
        <v>67.13</v>
      </c>
    </row>
    <row r="245" spans="1:8" x14ac:dyDescent="0.25">
      <c r="A245" s="63">
        <f t="shared" si="3"/>
        <v>45535</v>
      </c>
      <c r="B245">
        <v>1044.02</v>
      </c>
      <c r="C245">
        <v>100.85</v>
      </c>
      <c r="D245">
        <v>381.79</v>
      </c>
      <c r="E245">
        <v>276.16000000000003</v>
      </c>
      <c r="F245">
        <v>110.5</v>
      </c>
      <c r="G245">
        <v>110.12</v>
      </c>
      <c r="H245">
        <v>64.599999999999994</v>
      </c>
    </row>
    <row r="246" spans="1:8" x14ac:dyDescent="0.25">
      <c r="A246" s="63">
        <f t="shared" si="3"/>
        <v>45536</v>
      </c>
      <c r="B246">
        <v>903.57</v>
      </c>
      <c r="C246">
        <v>80.739999999999995</v>
      </c>
      <c r="D246">
        <v>332.42</v>
      </c>
      <c r="E246">
        <v>232.24</v>
      </c>
      <c r="F246">
        <v>76.98</v>
      </c>
      <c r="G246">
        <v>115.64</v>
      </c>
      <c r="H246">
        <v>65.55</v>
      </c>
    </row>
    <row r="247" spans="1:8" x14ac:dyDescent="0.25">
      <c r="A247" s="63">
        <f t="shared" si="3"/>
        <v>45537</v>
      </c>
      <c r="B247">
        <v>1181.94</v>
      </c>
      <c r="C247">
        <v>109.1</v>
      </c>
      <c r="D247">
        <v>473.88</v>
      </c>
      <c r="E247">
        <v>283.33</v>
      </c>
      <c r="F247">
        <v>115.63</v>
      </c>
      <c r="G247">
        <v>131.04</v>
      </c>
      <c r="H247">
        <v>68.959999999999994</v>
      </c>
    </row>
    <row r="248" spans="1:8" x14ac:dyDescent="0.25">
      <c r="A248" s="63">
        <f t="shared" si="3"/>
        <v>45538</v>
      </c>
      <c r="B248">
        <v>1132.0299999999997</v>
      </c>
      <c r="C248">
        <v>103.4</v>
      </c>
      <c r="D248">
        <v>431.77</v>
      </c>
      <c r="E248">
        <v>291.63</v>
      </c>
      <c r="F248">
        <v>113.81</v>
      </c>
      <c r="G248">
        <v>123.83</v>
      </c>
      <c r="H248">
        <v>67.59</v>
      </c>
    </row>
    <row r="249" spans="1:8" x14ac:dyDescent="0.25">
      <c r="A249" s="63">
        <f t="shared" si="3"/>
        <v>45539</v>
      </c>
      <c r="B249">
        <v>1106.83</v>
      </c>
      <c r="C249">
        <v>110.05</v>
      </c>
      <c r="D249">
        <v>438.69</v>
      </c>
      <c r="E249">
        <v>264.32</v>
      </c>
      <c r="F249">
        <v>100.94</v>
      </c>
      <c r="G249">
        <v>124.95</v>
      </c>
      <c r="H249">
        <v>67.88</v>
      </c>
    </row>
    <row r="250" spans="1:8" x14ac:dyDescent="0.25">
      <c r="A250" s="63">
        <f t="shared" si="3"/>
        <v>45540</v>
      </c>
      <c r="B250">
        <v>1014.23</v>
      </c>
      <c r="C250">
        <v>108.03</v>
      </c>
      <c r="D250">
        <v>367.19</v>
      </c>
      <c r="E250">
        <v>258.52999999999997</v>
      </c>
      <c r="F250">
        <v>84.960000000000008</v>
      </c>
      <c r="G250">
        <v>126.78</v>
      </c>
      <c r="H250">
        <v>68.739999999999995</v>
      </c>
    </row>
    <row r="251" spans="1:8" x14ac:dyDescent="0.25">
      <c r="A251" s="63">
        <f t="shared" si="3"/>
        <v>45541</v>
      </c>
      <c r="B251">
        <v>1084.1199999999999</v>
      </c>
      <c r="C251">
        <v>109.53</v>
      </c>
      <c r="D251">
        <v>374.38</v>
      </c>
      <c r="E251">
        <v>290.95</v>
      </c>
      <c r="F251">
        <v>106.73</v>
      </c>
      <c r="G251">
        <v>131.38999999999999</v>
      </c>
      <c r="H251">
        <v>71.14</v>
      </c>
    </row>
    <row r="252" spans="1:8" x14ac:dyDescent="0.25">
      <c r="A252" s="63">
        <f t="shared" si="3"/>
        <v>45542</v>
      </c>
      <c r="B252">
        <v>1081.04</v>
      </c>
      <c r="C252">
        <v>101.93</v>
      </c>
      <c r="D252">
        <v>422.89</v>
      </c>
      <c r="E252">
        <v>288.19</v>
      </c>
      <c r="F252">
        <v>95.71</v>
      </c>
      <c r="G252">
        <v>107.01</v>
      </c>
      <c r="H252">
        <v>65.31</v>
      </c>
    </row>
    <row r="253" spans="1:8" x14ac:dyDescent="0.25">
      <c r="A253" s="63">
        <f t="shared" si="3"/>
        <v>45543</v>
      </c>
      <c r="B253">
        <v>1075.3399999999999</v>
      </c>
      <c r="C253">
        <v>116.38</v>
      </c>
      <c r="D253">
        <v>411.45</v>
      </c>
      <c r="E253">
        <v>273.88</v>
      </c>
      <c r="F253">
        <v>100.81</v>
      </c>
      <c r="G253">
        <v>106.39</v>
      </c>
      <c r="H253">
        <v>66.430000000000007</v>
      </c>
    </row>
    <row r="254" spans="1:8" x14ac:dyDescent="0.25">
      <c r="A254" s="63">
        <f t="shared" si="3"/>
        <v>45544</v>
      </c>
      <c r="B254">
        <v>1045.8400000000001</v>
      </c>
      <c r="C254">
        <v>106.45</v>
      </c>
      <c r="D254">
        <v>386.32</v>
      </c>
      <c r="E254">
        <v>262.18</v>
      </c>
      <c r="F254">
        <v>89.12</v>
      </c>
      <c r="G254">
        <v>133.86000000000001</v>
      </c>
      <c r="H254">
        <v>67.91</v>
      </c>
    </row>
    <row r="255" spans="1:8" x14ac:dyDescent="0.25">
      <c r="A255" s="63">
        <f t="shared" si="3"/>
        <v>45545</v>
      </c>
      <c r="B255">
        <v>1111.7199999999998</v>
      </c>
      <c r="C255">
        <v>92.9</v>
      </c>
      <c r="D255">
        <v>431.68</v>
      </c>
      <c r="E255">
        <v>284.39</v>
      </c>
      <c r="F255">
        <v>110.04</v>
      </c>
      <c r="G255">
        <v>125.58</v>
      </c>
      <c r="H255">
        <v>67.13</v>
      </c>
    </row>
    <row r="256" spans="1:8" x14ac:dyDescent="0.25">
      <c r="A256" s="63">
        <f t="shared" si="3"/>
        <v>45546</v>
      </c>
      <c r="B256">
        <v>1062.81</v>
      </c>
      <c r="C256">
        <v>93.54</v>
      </c>
      <c r="D256">
        <v>407.01</v>
      </c>
      <c r="E256">
        <v>273.18</v>
      </c>
      <c r="F256">
        <v>99.51</v>
      </c>
      <c r="G256">
        <v>118.24</v>
      </c>
      <c r="H256">
        <v>71.33</v>
      </c>
    </row>
    <row r="257" spans="1:8" x14ac:dyDescent="0.25">
      <c r="A257" s="63">
        <f t="shared" si="3"/>
        <v>45547</v>
      </c>
      <c r="B257">
        <v>1070.8100000000002</v>
      </c>
      <c r="C257">
        <v>120.94</v>
      </c>
      <c r="D257">
        <v>408.23</v>
      </c>
      <c r="E257">
        <v>268.64999999999998</v>
      </c>
      <c r="F257">
        <v>93.34</v>
      </c>
      <c r="G257">
        <v>111.25999999999999</v>
      </c>
      <c r="H257">
        <v>68.39</v>
      </c>
    </row>
    <row r="258" spans="1:8" x14ac:dyDescent="0.25">
      <c r="A258" s="63">
        <f t="shared" si="3"/>
        <v>45548</v>
      </c>
      <c r="B258">
        <v>1014.71</v>
      </c>
      <c r="C258">
        <v>80.56</v>
      </c>
      <c r="D258">
        <v>389.38</v>
      </c>
      <c r="E258">
        <v>235.51</v>
      </c>
      <c r="F258">
        <v>116.91000000000001</v>
      </c>
      <c r="G258">
        <v>123.95</v>
      </c>
      <c r="H258">
        <v>68.400000000000006</v>
      </c>
    </row>
    <row r="259" spans="1:8" x14ac:dyDescent="0.25">
      <c r="A259" s="63">
        <f t="shared" si="3"/>
        <v>45549</v>
      </c>
      <c r="B259">
        <v>1135.73</v>
      </c>
      <c r="C259">
        <v>125.3</v>
      </c>
      <c r="D259">
        <v>431.9</v>
      </c>
      <c r="E259">
        <v>277.57</v>
      </c>
      <c r="F259">
        <v>113.83</v>
      </c>
      <c r="G259">
        <v>120.38</v>
      </c>
      <c r="H259">
        <v>66.75</v>
      </c>
    </row>
    <row r="260" spans="1:8" x14ac:dyDescent="0.25">
      <c r="A260" s="63">
        <f t="shared" ref="A260:A323" si="4">A259+1</f>
        <v>45550</v>
      </c>
      <c r="B260">
        <v>1072.6300000000001</v>
      </c>
      <c r="C260">
        <v>117.56</v>
      </c>
      <c r="D260">
        <v>402.34</v>
      </c>
      <c r="E260">
        <v>279.77</v>
      </c>
      <c r="F260">
        <v>108.84</v>
      </c>
      <c r="G260">
        <v>104.47</v>
      </c>
      <c r="H260">
        <v>59.65</v>
      </c>
    </row>
    <row r="261" spans="1:8" x14ac:dyDescent="0.25">
      <c r="A261" s="63">
        <f t="shared" si="4"/>
        <v>45551</v>
      </c>
      <c r="B261">
        <v>1044.6800000000003</v>
      </c>
      <c r="C261">
        <v>87.9</v>
      </c>
      <c r="D261">
        <v>421.54</v>
      </c>
      <c r="E261">
        <v>256.18</v>
      </c>
      <c r="F261">
        <v>92.47</v>
      </c>
      <c r="G261">
        <v>117.18</v>
      </c>
      <c r="H261">
        <v>69.41</v>
      </c>
    </row>
    <row r="262" spans="1:8" x14ac:dyDescent="0.25">
      <c r="A262" s="63">
        <f t="shared" si="4"/>
        <v>45552</v>
      </c>
      <c r="B262">
        <v>1056.0500000000002</v>
      </c>
      <c r="C262">
        <v>106.31</v>
      </c>
      <c r="D262">
        <v>390.98</v>
      </c>
      <c r="E262">
        <v>240.36</v>
      </c>
      <c r="F262">
        <v>116.18</v>
      </c>
      <c r="G262">
        <v>131.19999999999999</v>
      </c>
      <c r="H262">
        <v>71.02</v>
      </c>
    </row>
    <row r="263" spans="1:8" x14ac:dyDescent="0.25">
      <c r="A263" s="63">
        <f t="shared" si="4"/>
        <v>45553</v>
      </c>
      <c r="B263">
        <v>1122.1800000000003</v>
      </c>
      <c r="C263">
        <v>117.93</v>
      </c>
      <c r="D263">
        <v>426.48</v>
      </c>
      <c r="E263">
        <v>266.24</v>
      </c>
      <c r="F263">
        <v>114.33</v>
      </c>
      <c r="G263">
        <v>124.26</v>
      </c>
      <c r="H263">
        <v>72.94</v>
      </c>
    </row>
    <row r="264" spans="1:8" x14ac:dyDescent="0.25">
      <c r="A264" s="63">
        <f t="shared" si="4"/>
        <v>45554</v>
      </c>
      <c r="B264">
        <v>1093.46</v>
      </c>
      <c r="C264">
        <v>103.88</v>
      </c>
      <c r="D264">
        <v>428.03</v>
      </c>
      <c r="E264">
        <v>261.8</v>
      </c>
      <c r="F264">
        <v>111.43</v>
      </c>
      <c r="G264">
        <v>118.02</v>
      </c>
      <c r="H264">
        <v>70.3</v>
      </c>
    </row>
    <row r="265" spans="1:8" x14ac:dyDescent="0.25">
      <c r="A265" s="63">
        <f t="shared" si="4"/>
        <v>45555</v>
      </c>
      <c r="B265">
        <v>1085.1799999999998</v>
      </c>
      <c r="C265">
        <v>108.28</v>
      </c>
      <c r="D265">
        <v>418.47</v>
      </c>
      <c r="E265">
        <v>255.57</v>
      </c>
      <c r="F265">
        <v>108.06</v>
      </c>
      <c r="G265">
        <v>121.41000000000001</v>
      </c>
      <c r="H265">
        <v>73.39</v>
      </c>
    </row>
    <row r="266" spans="1:8" x14ac:dyDescent="0.25">
      <c r="A266" s="63">
        <f t="shared" si="4"/>
        <v>45556</v>
      </c>
      <c r="B266">
        <v>1119.19</v>
      </c>
      <c r="C266">
        <v>112.59</v>
      </c>
      <c r="D266">
        <v>447.26</v>
      </c>
      <c r="E266">
        <v>251.55</v>
      </c>
      <c r="F266">
        <v>114.23</v>
      </c>
      <c r="G266">
        <v>123.1</v>
      </c>
      <c r="H266">
        <v>70.459999999999994</v>
      </c>
    </row>
    <row r="267" spans="1:8" x14ac:dyDescent="0.25">
      <c r="A267" s="63">
        <f t="shared" si="4"/>
        <v>45557</v>
      </c>
      <c r="B267">
        <v>1077.07</v>
      </c>
      <c r="C267">
        <v>110.43</v>
      </c>
      <c r="D267">
        <v>392.22</v>
      </c>
      <c r="E267">
        <v>266.61</v>
      </c>
      <c r="F267">
        <v>117.03</v>
      </c>
      <c r="G267">
        <v>123.52</v>
      </c>
      <c r="H267">
        <v>67.260000000000005</v>
      </c>
    </row>
    <row r="268" spans="1:8" x14ac:dyDescent="0.25">
      <c r="A268" s="63">
        <f t="shared" si="4"/>
        <v>45558</v>
      </c>
      <c r="B268">
        <v>1094.1799999999998</v>
      </c>
      <c r="C268">
        <v>87.85</v>
      </c>
      <c r="D268">
        <v>438.59</v>
      </c>
      <c r="E268">
        <v>253.43</v>
      </c>
      <c r="F268">
        <v>116.8</v>
      </c>
      <c r="G268">
        <v>125.82</v>
      </c>
      <c r="H268">
        <v>71.69</v>
      </c>
    </row>
    <row r="269" spans="1:8" x14ac:dyDescent="0.25">
      <c r="A269" s="63">
        <f t="shared" si="4"/>
        <v>45559</v>
      </c>
      <c r="B269">
        <v>1013.84</v>
      </c>
      <c r="C269">
        <v>117.1</v>
      </c>
      <c r="D269">
        <v>334.64</v>
      </c>
      <c r="E269">
        <v>261.02</v>
      </c>
      <c r="F269">
        <v>108.76</v>
      </c>
      <c r="G269">
        <v>122.07000000000001</v>
      </c>
      <c r="H269">
        <v>70.25</v>
      </c>
    </row>
    <row r="270" spans="1:8" x14ac:dyDescent="0.25">
      <c r="A270" s="63">
        <f t="shared" si="4"/>
        <v>45560</v>
      </c>
      <c r="B270">
        <v>1119.94</v>
      </c>
      <c r="C270">
        <v>103.75</v>
      </c>
      <c r="D270">
        <v>428.95</v>
      </c>
      <c r="E270">
        <v>263.57</v>
      </c>
      <c r="F270">
        <v>120.87</v>
      </c>
      <c r="G270">
        <v>131.1</v>
      </c>
      <c r="H270">
        <v>71.7</v>
      </c>
    </row>
    <row r="271" spans="1:8" x14ac:dyDescent="0.25">
      <c r="A271" s="63">
        <f t="shared" si="4"/>
        <v>45561</v>
      </c>
      <c r="B271">
        <v>1095.1499999999999</v>
      </c>
      <c r="C271">
        <v>108.26</v>
      </c>
      <c r="D271">
        <v>417.05</v>
      </c>
      <c r="E271">
        <v>260.20999999999998</v>
      </c>
      <c r="F271">
        <v>112.45</v>
      </c>
      <c r="G271">
        <v>128.1</v>
      </c>
      <c r="H271">
        <v>69.08</v>
      </c>
    </row>
    <row r="272" spans="1:8" x14ac:dyDescent="0.25">
      <c r="A272" s="63">
        <f t="shared" si="4"/>
        <v>45562</v>
      </c>
      <c r="B272">
        <v>1078.25</v>
      </c>
      <c r="C272">
        <v>89.32</v>
      </c>
      <c r="D272">
        <v>426.63</v>
      </c>
      <c r="E272">
        <v>255.55</v>
      </c>
      <c r="F272">
        <v>110.5</v>
      </c>
      <c r="G272">
        <v>122.31</v>
      </c>
      <c r="H272">
        <v>73.94</v>
      </c>
    </row>
    <row r="273" spans="1:8" x14ac:dyDescent="0.25">
      <c r="A273" s="63">
        <f t="shared" si="4"/>
        <v>45563</v>
      </c>
      <c r="B273">
        <v>1042.72</v>
      </c>
      <c r="C273">
        <v>101.07</v>
      </c>
      <c r="D273">
        <v>390.07</v>
      </c>
      <c r="E273">
        <v>268.98</v>
      </c>
      <c r="F273">
        <v>102.56</v>
      </c>
      <c r="G273">
        <v>110.66</v>
      </c>
      <c r="H273">
        <v>69.38</v>
      </c>
    </row>
    <row r="274" spans="1:8" x14ac:dyDescent="0.25">
      <c r="A274" s="63">
        <f t="shared" si="4"/>
        <v>45564</v>
      </c>
      <c r="B274">
        <v>1073.99</v>
      </c>
      <c r="C274">
        <v>106.01</v>
      </c>
      <c r="D274">
        <v>394.16</v>
      </c>
      <c r="E274">
        <v>272.11</v>
      </c>
      <c r="F274">
        <v>114.64</v>
      </c>
      <c r="G274">
        <v>118.75</v>
      </c>
      <c r="H274">
        <v>68.319999999999993</v>
      </c>
    </row>
    <row r="275" spans="1:8" x14ac:dyDescent="0.25">
      <c r="A275" s="63">
        <f t="shared" si="4"/>
        <v>45565</v>
      </c>
      <c r="B275">
        <v>1080.72</v>
      </c>
      <c r="C275">
        <v>112.95</v>
      </c>
      <c r="D275">
        <v>396.5</v>
      </c>
      <c r="E275">
        <v>275.7</v>
      </c>
      <c r="F275">
        <v>105.96</v>
      </c>
      <c r="G275">
        <v>118.98</v>
      </c>
      <c r="H275">
        <v>70.63</v>
      </c>
    </row>
    <row r="276" spans="1:8" x14ac:dyDescent="0.25">
      <c r="A276" s="63">
        <f t="shared" si="4"/>
        <v>45566</v>
      </c>
      <c r="B276">
        <v>998.95</v>
      </c>
      <c r="C276">
        <v>77.12</v>
      </c>
      <c r="D276">
        <v>403.83</v>
      </c>
      <c r="E276">
        <v>242.17</v>
      </c>
      <c r="F276">
        <v>96.35</v>
      </c>
      <c r="G276">
        <v>114</v>
      </c>
      <c r="H276">
        <v>65.48</v>
      </c>
    </row>
    <row r="277" spans="1:8" x14ac:dyDescent="0.25">
      <c r="A277" s="63">
        <f t="shared" si="4"/>
        <v>45567</v>
      </c>
      <c r="B277">
        <v>1000.59</v>
      </c>
      <c r="C277">
        <v>70.75</v>
      </c>
      <c r="D277">
        <v>415.09</v>
      </c>
      <c r="E277">
        <v>234.2</v>
      </c>
      <c r="F277">
        <v>95.26</v>
      </c>
      <c r="G277">
        <v>120.94</v>
      </c>
      <c r="H277">
        <v>64.349999999999994</v>
      </c>
    </row>
    <row r="278" spans="1:8" x14ac:dyDescent="0.25">
      <c r="A278" s="63">
        <f t="shared" si="4"/>
        <v>45568</v>
      </c>
      <c r="B278">
        <v>954.14999999999986</v>
      </c>
      <c r="C278">
        <v>72.83</v>
      </c>
      <c r="D278">
        <v>352.86</v>
      </c>
      <c r="E278">
        <v>230.39999999999998</v>
      </c>
      <c r="F278">
        <v>102.12</v>
      </c>
      <c r="G278">
        <v>131.78</v>
      </c>
      <c r="H278">
        <v>64.16</v>
      </c>
    </row>
    <row r="279" spans="1:8" x14ac:dyDescent="0.25">
      <c r="A279" s="63">
        <f t="shared" si="4"/>
        <v>45569</v>
      </c>
      <c r="B279">
        <v>925.41</v>
      </c>
      <c r="C279">
        <v>77.319999999999993</v>
      </c>
      <c r="D279">
        <v>382.7</v>
      </c>
      <c r="E279">
        <v>218.54</v>
      </c>
      <c r="F279">
        <v>82.77</v>
      </c>
      <c r="G279">
        <v>99.48</v>
      </c>
      <c r="H279">
        <v>64.599999999999994</v>
      </c>
    </row>
    <row r="280" spans="1:8" x14ac:dyDescent="0.25">
      <c r="A280" s="63">
        <f t="shared" si="4"/>
        <v>45570</v>
      </c>
      <c r="B280">
        <v>834.7600000000001</v>
      </c>
      <c r="C280">
        <v>63.97</v>
      </c>
      <c r="D280">
        <v>292.10000000000002</v>
      </c>
      <c r="E280">
        <v>201.05</v>
      </c>
      <c r="F280">
        <v>118.28</v>
      </c>
      <c r="G280">
        <v>97.66</v>
      </c>
      <c r="H280">
        <v>61.7</v>
      </c>
    </row>
    <row r="281" spans="1:8" x14ac:dyDescent="0.25">
      <c r="A281" s="63">
        <f t="shared" si="4"/>
        <v>45571</v>
      </c>
      <c r="B281">
        <v>734.06000000000006</v>
      </c>
      <c r="C281">
        <v>61.45</v>
      </c>
      <c r="D281">
        <v>269.26</v>
      </c>
      <c r="E281">
        <v>152.55000000000001</v>
      </c>
      <c r="F281">
        <v>87.58</v>
      </c>
      <c r="G281">
        <v>101.82</v>
      </c>
      <c r="H281">
        <v>61.4</v>
      </c>
    </row>
    <row r="282" spans="1:8" x14ac:dyDescent="0.25">
      <c r="A282" s="63">
        <f t="shared" si="4"/>
        <v>45572</v>
      </c>
      <c r="B282">
        <v>814.16000000000008</v>
      </c>
      <c r="C282">
        <v>61.34</v>
      </c>
      <c r="D282">
        <v>310.93</v>
      </c>
      <c r="E282">
        <v>198.41</v>
      </c>
      <c r="F282">
        <v>82.06</v>
      </c>
      <c r="G282">
        <v>96.85</v>
      </c>
      <c r="H282">
        <v>64.569999999999993</v>
      </c>
    </row>
    <row r="283" spans="1:8" x14ac:dyDescent="0.25">
      <c r="A283" s="63">
        <f t="shared" si="4"/>
        <v>45573</v>
      </c>
      <c r="B283">
        <v>681.21</v>
      </c>
      <c r="C283">
        <v>51.9</v>
      </c>
      <c r="D283">
        <v>236.66</v>
      </c>
      <c r="E283">
        <v>179.1</v>
      </c>
      <c r="F283">
        <v>81.7</v>
      </c>
      <c r="G283">
        <v>68.36</v>
      </c>
      <c r="H283">
        <v>63.49</v>
      </c>
    </row>
    <row r="284" spans="1:8" x14ac:dyDescent="0.25">
      <c r="A284" s="63">
        <f t="shared" si="4"/>
        <v>45574</v>
      </c>
      <c r="B284">
        <v>671.2299999999999</v>
      </c>
      <c r="C284">
        <v>53.07</v>
      </c>
      <c r="D284">
        <v>180.97</v>
      </c>
      <c r="E284">
        <v>196.7</v>
      </c>
      <c r="F284">
        <v>87.75</v>
      </c>
      <c r="G284">
        <v>90.06</v>
      </c>
      <c r="H284">
        <v>62.68</v>
      </c>
    </row>
    <row r="285" spans="1:8" x14ac:dyDescent="0.25">
      <c r="A285" s="63">
        <f t="shared" si="4"/>
        <v>45575</v>
      </c>
      <c r="B285">
        <v>605.65</v>
      </c>
      <c r="C285">
        <v>55.4</v>
      </c>
      <c r="D285">
        <v>156.32</v>
      </c>
      <c r="E285">
        <v>186.45</v>
      </c>
      <c r="F285">
        <v>73.819999999999993</v>
      </c>
      <c r="G285">
        <v>76.17</v>
      </c>
      <c r="H285">
        <v>57.49</v>
      </c>
    </row>
    <row r="286" spans="1:8" x14ac:dyDescent="0.25">
      <c r="A286" s="63">
        <f t="shared" si="4"/>
        <v>45576</v>
      </c>
      <c r="B286">
        <v>682.49</v>
      </c>
      <c r="C286">
        <v>58.63</v>
      </c>
      <c r="D286">
        <v>196.07</v>
      </c>
      <c r="E286">
        <v>186.54</v>
      </c>
      <c r="F286">
        <v>83.57</v>
      </c>
      <c r="G286">
        <v>95.46</v>
      </c>
      <c r="H286">
        <v>62.22</v>
      </c>
    </row>
    <row r="287" spans="1:8" x14ac:dyDescent="0.25">
      <c r="A287" s="63">
        <f t="shared" si="4"/>
        <v>45577</v>
      </c>
      <c r="B287">
        <v>637.22</v>
      </c>
      <c r="C287">
        <v>53.7</v>
      </c>
      <c r="D287">
        <v>213.23</v>
      </c>
      <c r="E287">
        <v>170.77</v>
      </c>
      <c r="F287">
        <v>74.599999999999994</v>
      </c>
      <c r="G287">
        <v>63.61</v>
      </c>
      <c r="H287">
        <v>61.31</v>
      </c>
    </row>
    <row r="288" spans="1:8" x14ac:dyDescent="0.25">
      <c r="A288" s="63">
        <f t="shared" si="4"/>
        <v>45578</v>
      </c>
      <c r="B288">
        <v>768.98</v>
      </c>
      <c r="C288">
        <v>85.14</v>
      </c>
      <c r="D288">
        <v>301.39</v>
      </c>
      <c r="E288">
        <v>145.38999999999999</v>
      </c>
      <c r="F288">
        <v>90.22</v>
      </c>
      <c r="G288">
        <v>87.52</v>
      </c>
      <c r="H288">
        <v>59.32</v>
      </c>
    </row>
    <row r="289" spans="1:8" x14ac:dyDescent="0.25">
      <c r="A289" s="63">
        <f t="shared" si="4"/>
        <v>45579</v>
      </c>
      <c r="B289">
        <v>799.69</v>
      </c>
      <c r="C289">
        <v>70.06</v>
      </c>
      <c r="D289">
        <v>289.45999999999998</v>
      </c>
      <c r="E289">
        <v>195.19</v>
      </c>
      <c r="F289">
        <v>100.39</v>
      </c>
      <c r="G289">
        <v>83.78</v>
      </c>
      <c r="H289">
        <v>60.81</v>
      </c>
    </row>
    <row r="290" spans="1:8" x14ac:dyDescent="0.25">
      <c r="A290" s="63">
        <f t="shared" si="4"/>
        <v>45580</v>
      </c>
      <c r="B290">
        <v>833.12</v>
      </c>
      <c r="C290">
        <v>59.98</v>
      </c>
      <c r="D290">
        <v>317.66000000000003</v>
      </c>
      <c r="E290">
        <v>206.87</v>
      </c>
      <c r="F290">
        <v>94.65</v>
      </c>
      <c r="G290">
        <v>91.09</v>
      </c>
      <c r="H290">
        <v>62.87</v>
      </c>
    </row>
    <row r="291" spans="1:8" x14ac:dyDescent="0.25">
      <c r="A291" s="63">
        <f t="shared" si="4"/>
        <v>45581</v>
      </c>
      <c r="B291">
        <v>829.15</v>
      </c>
      <c r="C291">
        <v>74.42</v>
      </c>
      <c r="D291">
        <v>326.08999999999997</v>
      </c>
      <c r="E291">
        <v>194.62</v>
      </c>
      <c r="F291">
        <v>92.67</v>
      </c>
      <c r="G291">
        <v>79.400000000000006</v>
      </c>
      <c r="H291">
        <v>61.95</v>
      </c>
    </row>
    <row r="292" spans="1:8" x14ac:dyDescent="0.25">
      <c r="A292" s="63">
        <f t="shared" si="4"/>
        <v>45582</v>
      </c>
      <c r="B292">
        <v>830.67</v>
      </c>
      <c r="C292">
        <v>93.43</v>
      </c>
      <c r="D292">
        <v>291.86</v>
      </c>
      <c r="E292">
        <v>192.36</v>
      </c>
      <c r="F292">
        <v>110.82</v>
      </c>
      <c r="G292">
        <v>78.900000000000006</v>
      </c>
      <c r="H292">
        <v>63.3</v>
      </c>
    </row>
    <row r="293" spans="1:8" x14ac:dyDescent="0.25">
      <c r="A293" s="63">
        <f t="shared" si="4"/>
        <v>45583</v>
      </c>
      <c r="B293">
        <v>719.68</v>
      </c>
      <c r="C293">
        <v>75.55</v>
      </c>
      <c r="D293">
        <v>208.79</v>
      </c>
      <c r="E293">
        <v>187.68</v>
      </c>
      <c r="F293">
        <v>93.67</v>
      </c>
      <c r="G293">
        <v>91.22</v>
      </c>
      <c r="H293">
        <v>62.77</v>
      </c>
    </row>
    <row r="294" spans="1:8" x14ac:dyDescent="0.25">
      <c r="A294" s="63">
        <f t="shared" si="4"/>
        <v>45584</v>
      </c>
      <c r="B294">
        <v>503.81000000000006</v>
      </c>
      <c r="C294">
        <v>44.7</v>
      </c>
      <c r="D294">
        <v>135.99</v>
      </c>
      <c r="E294">
        <v>74.38</v>
      </c>
      <c r="F294">
        <v>114.73</v>
      </c>
      <c r="G294">
        <v>73.23</v>
      </c>
      <c r="H294">
        <v>60.78</v>
      </c>
    </row>
    <row r="295" spans="1:8" x14ac:dyDescent="0.25">
      <c r="A295" s="63">
        <f t="shared" si="4"/>
        <v>45585</v>
      </c>
      <c r="B295">
        <v>850.71</v>
      </c>
      <c r="C295">
        <v>82.37</v>
      </c>
      <c r="D295">
        <v>356.15</v>
      </c>
      <c r="E295">
        <v>173.65</v>
      </c>
      <c r="F295">
        <v>102.85</v>
      </c>
      <c r="G295">
        <v>73.849999999999994</v>
      </c>
      <c r="H295">
        <v>61.84</v>
      </c>
    </row>
    <row r="296" spans="1:8" x14ac:dyDescent="0.25">
      <c r="A296" s="63">
        <f t="shared" si="4"/>
        <v>45586</v>
      </c>
      <c r="B296">
        <v>928.63</v>
      </c>
      <c r="C296">
        <v>76.599999999999994</v>
      </c>
      <c r="D296">
        <v>363.4</v>
      </c>
      <c r="E296">
        <v>220.63</v>
      </c>
      <c r="F296">
        <v>97.58</v>
      </c>
      <c r="G296">
        <v>106.81</v>
      </c>
      <c r="H296">
        <v>63.61</v>
      </c>
    </row>
    <row r="297" spans="1:8" x14ac:dyDescent="0.25">
      <c r="A297" s="63">
        <f t="shared" si="4"/>
        <v>45587</v>
      </c>
      <c r="B297">
        <v>922.5100000000001</v>
      </c>
      <c r="C297">
        <v>99.53</v>
      </c>
      <c r="D297">
        <v>368.41</v>
      </c>
      <c r="E297">
        <v>205.78</v>
      </c>
      <c r="F297">
        <v>85.7</v>
      </c>
      <c r="G297">
        <v>106.36</v>
      </c>
      <c r="H297">
        <v>56.73</v>
      </c>
    </row>
    <row r="298" spans="1:8" x14ac:dyDescent="0.25">
      <c r="A298" s="63">
        <f t="shared" si="4"/>
        <v>45588</v>
      </c>
      <c r="B298">
        <v>983.87</v>
      </c>
      <c r="C298">
        <v>101.95</v>
      </c>
      <c r="D298">
        <v>389.41</v>
      </c>
      <c r="E298">
        <v>211.64</v>
      </c>
      <c r="F298">
        <v>92.63</v>
      </c>
      <c r="G298">
        <v>122.95</v>
      </c>
      <c r="H298">
        <v>65.290000000000006</v>
      </c>
    </row>
    <row r="299" spans="1:8" x14ac:dyDescent="0.25">
      <c r="A299" s="63">
        <f t="shared" si="4"/>
        <v>45589</v>
      </c>
      <c r="B299">
        <v>952.45</v>
      </c>
      <c r="C299">
        <v>107.93</v>
      </c>
      <c r="D299">
        <v>381.33</v>
      </c>
      <c r="E299">
        <v>197.6</v>
      </c>
      <c r="F299">
        <v>83.13</v>
      </c>
      <c r="G299">
        <v>116.63</v>
      </c>
      <c r="H299">
        <v>65.83</v>
      </c>
    </row>
    <row r="300" spans="1:8" x14ac:dyDescent="0.25">
      <c r="A300" s="63">
        <f t="shared" si="4"/>
        <v>45590</v>
      </c>
      <c r="B300">
        <v>982.38</v>
      </c>
      <c r="C300">
        <v>95.04</v>
      </c>
      <c r="D300">
        <v>404.73999999999995</v>
      </c>
      <c r="E300">
        <v>221.87</v>
      </c>
      <c r="F300">
        <v>81.209999999999994</v>
      </c>
      <c r="G300">
        <v>115.22</v>
      </c>
      <c r="H300">
        <v>64.3</v>
      </c>
    </row>
    <row r="301" spans="1:8" x14ac:dyDescent="0.25">
      <c r="A301" s="63">
        <f t="shared" si="4"/>
        <v>45591</v>
      </c>
      <c r="B301">
        <v>939.47</v>
      </c>
      <c r="C301">
        <v>111.93</v>
      </c>
      <c r="D301">
        <v>338.6</v>
      </c>
      <c r="E301">
        <v>223.89</v>
      </c>
      <c r="F301">
        <v>99.1</v>
      </c>
      <c r="G301">
        <v>103.89</v>
      </c>
      <c r="H301">
        <v>62.06</v>
      </c>
    </row>
    <row r="302" spans="1:8" x14ac:dyDescent="0.25">
      <c r="A302" s="63">
        <f t="shared" si="4"/>
        <v>45592</v>
      </c>
      <c r="B302">
        <v>791.62</v>
      </c>
      <c r="C302">
        <v>124.06</v>
      </c>
      <c r="D302">
        <v>228.08</v>
      </c>
      <c r="E302">
        <v>184.33</v>
      </c>
      <c r="F302">
        <v>100.68</v>
      </c>
      <c r="G302">
        <v>92.06</v>
      </c>
      <c r="H302">
        <v>62.41</v>
      </c>
    </row>
    <row r="303" spans="1:8" x14ac:dyDescent="0.25">
      <c r="A303" s="63">
        <f t="shared" si="4"/>
        <v>45593</v>
      </c>
      <c r="B303">
        <v>938.66000000000008</v>
      </c>
      <c r="C303">
        <v>109.88</v>
      </c>
      <c r="D303">
        <v>314.07</v>
      </c>
      <c r="E303">
        <v>222.57</v>
      </c>
      <c r="F303">
        <v>106.44</v>
      </c>
      <c r="G303">
        <v>120.44</v>
      </c>
      <c r="H303">
        <v>65.260000000000005</v>
      </c>
    </row>
    <row r="304" spans="1:8" x14ac:dyDescent="0.25">
      <c r="A304" s="63">
        <f t="shared" si="4"/>
        <v>45594</v>
      </c>
      <c r="B304">
        <v>1005.12</v>
      </c>
      <c r="C304">
        <v>95.49</v>
      </c>
      <c r="D304">
        <v>395.10999999999996</v>
      </c>
      <c r="E304">
        <v>252.84</v>
      </c>
      <c r="F304">
        <v>106.07</v>
      </c>
      <c r="G304">
        <v>94.71</v>
      </c>
      <c r="H304">
        <v>60.9</v>
      </c>
    </row>
    <row r="305" spans="1:8" x14ac:dyDescent="0.25">
      <c r="A305" s="63">
        <f t="shared" si="4"/>
        <v>45595</v>
      </c>
      <c r="B305">
        <v>1032.3599999999999</v>
      </c>
      <c r="C305">
        <v>103.61</v>
      </c>
      <c r="D305">
        <v>423.90999999999997</v>
      </c>
      <c r="E305">
        <v>253.05</v>
      </c>
      <c r="F305">
        <v>99.99</v>
      </c>
      <c r="G305">
        <v>86.8</v>
      </c>
      <c r="H305">
        <v>65</v>
      </c>
    </row>
    <row r="306" spans="1:8" x14ac:dyDescent="0.25">
      <c r="A306" s="63">
        <f t="shared" si="4"/>
        <v>45596</v>
      </c>
      <c r="B306">
        <v>1079.3699999999999</v>
      </c>
      <c r="C306">
        <v>113.27</v>
      </c>
      <c r="D306">
        <v>426.67</v>
      </c>
      <c r="E306">
        <v>275.81</v>
      </c>
      <c r="F306">
        <v>100.92</v>
      </c>
      <c r="G306">
        <v>93.899999999999991</v>
      </c>
      <c r="H306">
        <v>68.8</v>
      </c>
    </row>
    <row r="307" spans="1:8" x14ac:dyDescent="0.25">
      <c r="A307" s="63">
        <f t="shared" si="4"/>
        <v>45597</v>
      </c>
      <c r="B307">
        <v>971.54</v>
      </c>
      <c r="C307">
        <v>83.49</v>
      </c>
      <c r="D307">
        <v>373.76</v>
      </c>
      <c r="E307">
        <v>246.15</v>
      </c>
      <c r="F307">
        <v>90.26</v>
      </c>
      <c r="G307">
        <v>110.78</v>
      </c>
      <c r="H307">
        <v>67.099999999999994</v>
      </c>
    </row>
    <row r="308" spans="1:8" x14ac:dyDescent="0.25">
      <c r="A308" s="63">
        <f t="shared" si="4"/>
        <v>45598</v>
      </c>
      <c r="B308">
        <v>1051.9000000000001</v>
      </c>
      <c r="C308">
        <v>106.67</v>
      </c>
      <c r="D308">
        <v>403.19</v>
      </c>
      <c r="E308">
        <v>255.57</v>
      </c>
      <c r="F308">
        <v>106.19</v>
      </c>
      <c r="G308">
        <v>113.31</v>
      </c>
      <c r="H308">
        <v>66.97</v>
      </c>
    </row>
    <row r="309" spans="1:8" x14ac:dyDescent="0.25">
      <c r="A309" s="63">
        <f t="shared" si="4"/>
        <v>45599</v>
      </c>
      <c r="B309">
        <v>1015.9</v>
      </c>
      <c r="C309">
        <v>113.01</v>
      </c>
      <c r="D309">
        <v>384.33</v>
      </c>
      <c r="E309">
        <v>247.65</v>
      </c>
      <c r="F309">
        <v>94.14</v>
      </c>
      <c r="G309">
        <v>120.88</v>
      </c>
      <c r="H309">
        <v>55.89</v>
      </c>
    </row>
    <row r="310" spans="1:8" x14ac:dyDescent="0.25">
      <c r="A310" s="63">
        <f t="shared" si="4"/>
        <v>45600</v>
      </c>
      <c r="B310">
        <v>952.24</v>
      </c>
      <c r="C310">
        <v>96.1</v>
      </c>
      <c r="D310">
        <v>347.18</v>
      </c>
      <c r="E310">
        <v>231.69</v>
      </c>
      <c r="F310">
        <v>94.64</v>
      </c>
      <c r="G310">
        <v>118.17</v>
      </c>
      <c r="H310">
        <v>64.459999999999994</v>
      </c>
    </row>
    <row r="311" spans="1:8" x14ac:dyDescent="0.25">
      <c r="A311" s="63">
        <f t="shared" si="4"/>
        <v>45601</v>
      </c>
      <c r="B311">
        <v>991.32999999999993</v>
      </c>
      <c r="C311">
        <v>112.2</v>
      </c>
      <c r="D311">
        <v>381.34</v>
      </c>
      <c r="E311">
        <v>250.8</v>
      </c>
      <c r="F311">
        <v>98.03</v>
      </c>
      <c r="G311">
        <v>81.900000000000006</v>
      </c>
      <c r="H311">
        <v>67.06</v>
      </c>
    </row>
    <row r="312" spans="1:8" x14ac:dyDescent="0.25">
      <c r="A312" s="63">
        <f t="shared" si="4"/>
        <v>45602</v>
      </c>
      <c r="B312">
        <v>932.82</v>
      </c>
      <c r="C312">
        <v>94.19</v>
      </c>
      <c r="D312">
        <v>349.42</v>
      </c>
      <c r="E312">
        <v>249.41</v>
      </c>
      <c r="F312">
        <v>100</v>
      </c>
      <c r="G312">
        <v>73.84</v>
      </c>
      <c r="H312">
        <v>65.959999999999994</v>
      </c>
    </row>
    <row r="313" spans="1:8" x14ac:dyDescent="0.25">
      <c r="A313" s="63">
        <f t="shared" si="4"/>
        <v>45603</v>
      </c>
      <c r="B313">
        <v>871.86999999999989</v>
      </c>
      <c r="C313">
        <v>85.87</v>
      </c>
      <c r="D313">
        <v>316.26</v>
      </c>
      <c r="E313">
        <v>246.4</v>
      </c>
      <c r="F313">
        <v>101.8</v>
      </c>
      <c r="G313">
        <v>54.74</v>
      </c>
      <c r="H313">
        <v>66.8</v>
      </c>
    </row>
    <row r="314" spans="1:8" x14ac:dyDescent="0.25">
      <c r="A314" s="63">
        <f t="shared" si="4"/>
        <v>45604</v>
      </c>
      <c r="B314">
        <v>775.56</v>
      </c>
      <c r="C314">
        <v>74.39</v>
      </c>
      <c r="D314">
        <v>274.01</v>
      </c>
      <c r="E314">
        <v>210.54000000000002</v>
      </c>
      <c r="F314">
        <v>91.4</v>
      </c>
      <c r="G314">
        <v>64.42</v>
      </c>
      <c r="H314">
        <v>60.800000000000004</v>
      </c>
    </row>
    <row r="315" spans="1:8" x14ac:dyDescent="0.25">
      <c r="A315" s="63">
        <f t="shared" si="4"/>
        <v>45605</v>
      </c>
      <c r="B315">
        <v>591.13</v>
      </c>
      <c r="C315">
        <v>67.8</v>
      </c>
      <c r="D315">
        <v>156.69999999999999</v>
      </c>
      <c r="E315">
        <v>176.19</v>
      </c>
      <c r="F315">
        <v>75.44</v>
      </c>
      <c r="G315">
        <v>65.41</v>
      </c>
      <c r="H315">
        <v>49.59</v>
      </c>
    </row>
    <row r="316" spans="1:8" x14ac:dyDescent="0.25">
      <c r="A316" s="63">
        <f t="shared" si="4"/>
        <v>45606</v>
      </c>
      <c r="B316">
        <v>627.12</v>
      </c>
      <c r="C316">
        <v>63.35</v>
      </c>
      <c r="D316">
        <v>229.65</v>
      </c>
      <c r="E316">
        <v>131.21</v>
      </c>
      <c r="F316">
        <v>72.400000000000006</v>
      </c>
      <c r="G316">
        <v>81.290000000000006</v>
      </c>
      <c r="H316">
        <v>49.22</v>
      </c>
    </row>
    <row r="317" spans="1:8" x14ac:dyDescent="0.25">
      <c r="A317" s="63">
        <f t="shared" si="4"/>
        <v>45607</v>
      </c>
      <c r="B317">
        <v>834.22</v>
      </c>
      <c r="C317">
        <v>61.06</v>
      </c>
      <c r="D317">
        <v>313.95</v>
      </c>
      <c r="E317">
        <v>236.36</v>
      </c>
      <c r="F317">
        <v>82.07</v>
      </c>
      <c r="G317">
        <v>85.81</v>
      </c>
      <c r="H317">
        <v>54.97</v>
      </c>
    </row>
    <row r="318" spans="1:8" x14ac:dyDescent="0.25">
      <c r="A318" s="63">
        <f t="shared" si="4"/>
        <v>45608</v>
      </c>
      <c r="B318">
        <v>724.42</v>
      </c>
      <c r="C318">
        <v>72.709999999999994</v>
      </c>
      <c r="D318">
        <v>240.61</v>
      </c>
      <c r="E318">
        <v>216.52</v>
      </c>
      <c r="F318">
        <v>74.55</v>
      </c>
      <c r="G318">
        <v>67.53</v>
      </c>
      <c r="H318">
        <v>52.5</v>
      </c>
    </row>
    <row r="319" spans="1:8" x14ac:dyDescent="0.25">
      <c r="A319" s="63">
        <f t="shared" si="4"/>
        <v>45609</v>
      </c>
      <c r="B319">
        <v>740.69999999999993</v>
      </c>
      <c r="C319">
        <v>78.14</v>
      </c>
      <c r="D319">
        <v>257.45</v>
      </c>
      <c r="E319">
        <v>205.76</v>
      </c>
      <c r="F319">
        <v>70.56</v>
      </c>
      <c r="G319">
        <v>77.34</v>
      </c>
      <c r="H319">
        <v>51.45</v>
      </c>
    </row>
    <row r="320" spans="1:8" x14ac:dyDescent="0.25">
      <c r="A320" s="63">
        <f t="shared" si="4"/>
        <v>45610</v>
      </c>
      <c r="B320">
        <v>725.57</v>
      </c>
      <c r="C320">
        <v>98.24</v>
      </c>
      <c r="D320">
        <v>248.91</v>
      </c>
      <c r="E320">
        <v>196.58</v>
      </c>
      <c r="F320">
        <v>54.97</v>
      </c>
      <c r="G320">
        <v>73.34</v>
      </c>
      <c r="H320">
        <v>53.53</v>
      </c>
    </row>
    <row r="321" spans="1:8" x14ac:dyDescent="0.25">
      <c r="A321" s="63">
        <f t="shared" si="4"/>
        <v>45611</v>
      </c>
      <c r="B321">
        <v>701.7</v>
      </c>
      <c r="C321">
        <v>96.2</v>
      </c>
      <c r="D321">
        <v>238.15</v>
      </c>
      <c r="E321">
        <v>163.78</v>
      </c>
      <c r="F321">
        <v>78.59</v>
      </c>
      <c r="G321">
        <v>71.33</v>
      </c>
      <c r="H321">
        <v>53.65</v>
      </c>
    </row>
    <row r="322" spans="1:8" x14ac:dyDescent="0.25">
      <c r="A322" s="63">
        <f t="shared" si="4"/>
        <v>45612</v>
      </c>
      <c r="B322">
        <v>691.3599999999999</v>
      </c>
      <c r="C322">
        <v>113.27</v>
      </c>
      <c r="D322">
        <v>223.68</v>
      </c>
      <c r="E322">
        <v>164.25</v>
      </c>
      <c r="F322">
        <v>66.59</v>
      </c>
      <c r="G322">
        <v>68.400000000000006</v>
      </c>
      <c r="H322">
        <v>55.17</v>
      </c>
    </row>
    <row r="323" spans="1:8" x14ac:dyDescent="0.25">
      <c r="A323" s="63">
        <f t="shared" si="4"/>
        <v>45613</v>
      </c>
      <c r="B323">
        <v>713.45999999999992</v>
      </c>
      <c r="C323">
        <v>97.89</v>
      </c>
      <c r="D323">
        <v>294.02</v>
      </c>
      <c r="E323">
        <v>188.4</v>
      </c>
      <c r="F323">
        <v>64.75</v>
      </c>
      <c r="G323">
        <v>68.400000000000006</v>
      </c>
    </row>
    <row r="324" spans="1:8" x14ac:dyDescent="0.25">
      <c r="A324" s="63">
        <f t="shared" ref="A324:A367" si="5">A323+1</f>
        <v>45614</v>
      </c>
      <c r="B324">
        <v>887.56</v>
      </c>
      <c r="C324">
        <v>99.44</v>
      </c>
      <c r="D324">
        <v>359.53</v>
      </c>
      <c r="E324">
        <v>202.4</v>
      </c>
      <c r="F324">
        <v>74.430000000000007</v>
      </c>
      <c r="G324">
        <v>94.58</v>
      </c>
      <c r="H324">
        <v>57.18</v>
      </c>
    </row>
    <row r="325" spans="1:8" x14ac:dyDescent="0.25">
      <c r="A325" s="63">
        <f t="shared" si="5"/>
        <v>45615</v>
      </c>
      <c r="B325">
        <v>943.99</v>
      </c>
      <c r="C325">
        <v>100.86</v>
      </c>
      <c r="D325">
        <v>375.04</v>
      </c>
      <c r="E325">
        <v>237.69</v>
      </c>
      <c r="F325">
        <v>70.540000000000006</v>
      </c>
      <c r="G325">
        <v>101.97</v>
      </c>
      <c r="H325">
        <v>57.89</v>
      </c>
    </row>
    <row r="326" spans="1:8" x14ac:dyDescent="0.25">
      <c r="A326" s="63">
        <f t="shared" si="5"/>
        <v>45616</v>
      </c>
      <c r="B326">
        <v>928.09</v>
      </c>
      <c r="C326">
        <v>100.9</v>
      </c>
      <c r="D326">
        <v>370.05</v>
      </c>
      <c r="E326">
        <v>218.87</v>
      </c>
      <c r="F326">
        <v>71.430000000000007</v>
      </c>
      <c r="G326">
        <v>104.26</v>
      </c>
      <c r="H326">
        <v>62.58</v>
      </c>
    </row>
    <row r="327" spans="1:8" x14ac:dyDescent="0.25">
      <c r="A327" s="63">
        <f t="shared" si="5"/>
        <v>45617</v>
      </c>
      <c r="B327">
        <v>857.64</v>
      </c>
      <c r="C327">
        <v>76.16</v>
      </c>
      <c r="D327">
        <v>339.02</v>
      </c>
      <c r="E327">
        <v>224.14</v>
      </c>
      <c r="F327">
        <v>66.95</v>
      </c>
      <c r="G327">
        <v>92</v>
      </c>
      <c r="H327">
        <v>59.37</v>
      </c>
    </row>
    <row r="328" spans="1:8" x14ac:dyDescent="0.25">
      <c r="A328" s="63">
        <f t="shared" si="5"/>
        <v>45618</v>
      </c>
      <c r="B328">
        <v>1000.9999999999999</v>
      </c>
      <c r="C328">
        <v>85.6</v>
      </c>
      <c r="D328">
        <v>418.16</v>
      </c>
      <c r="E328">
        <v>238.53</v>
      </c>
      <c r="F328">
        <v>89</v>
      </c>
      <c r="G328">
        <v>109.78</v>
      </c>
      <c r="H328">
        <v>59.93</v>
      </c>
    </row>
    <row r="329" spans="1:8" x14ac:dyDescent="0.25">
      <c r="A329" s="63">
        <f t="shared" si="5"/>
        <v>45619</v>
      </c>
      <c r="B329">
        <v>956.62999999999988</v>
      </c>
      <c r="C329">
        <v>98.16</v>
      </c>
      <c r="D329">
        <v>341.71</v>
      </c>
      <c r="E329">
        <v>259.01</v>
      </c>
      <c r="F329">
        <v>95.28</v>
      </c>
      <c r="G329">
        <v>108.03</v>
      </c>
      <c r="H329">
        <v>54.44</v>
      </c>
    </row>
    <row r="330" spans="1:8" x14ac:dyDescent="0.25">
      <c r="A330" s="63">
        <f t="shared" si="5"/>
        <v>45620</v>
      </c>
      <c r="B330">
        <v>843.93000000000006</v>
      </c>
      <c r="C330">
        <v>88.54</v>
      </c>
      <c r="D330">
        <v>238.17</v>
      </c>
      <c r="E330">
        <v>265.67</v>
      </c>
      <c r="F330">
        <v>90.47</v>
      </c>
      <c r="G330">
        <v>106.12</v>
      </c>
      <c r="H330">
        <v>54.96</v>
      </c>
    </row>
    <row r="331" spans="1:8" x14ac:dyDescent="0.25">
      <c r="A331" s="63">
        <f t="shared" si="5"/>
        <v>45621</v>
      </c>
      <c r="B331">
        <v>932.1</v>
      </c>
      <c r="C331">
        <v>95.78</v>
      </c>
      <c r="D331">
        <v>361.03</v>
      </c>
      <c r="E331">
        <v>221.45999999999998</v>
      </c>
      <c r="F331">
        <v>89.92</v>
      </c>
      <c r="G331">
        <v>105.06</v>
      </c>
      <c r="H331">
        <v>58.85</v>
      </c>
    </row>
    <row r="332" spans="1:8" x14ac:dyDescent="0.25">
      <c r="A332" s="63">
        <f t="shared" si="5"/>
        <v>45622</v>
      </c>
      <c r="B332">
        <v>890.3</v>
      </c>
      <c r="C332">
        <v>87.63</v>
      </c>
      <c r="D332">
        <v>355.8</v>
      </c>
      <c r="E332">
        <v>207.12</v>
      </c>
      <c r="F332">
        <v>90.76</v>
      </c>
      <c r="G332">
        <v>92.65</v>
      </c>
      <c r="H332">
        <v>56.34</v>
      </c>
    </row>
    <row r="333" spans="1:8" x14ac:dyDescent="0.25">
      <c r="A333" s="63">
        <f t="shared" si="5"/>
        <v>45623</v>
      </c>
      <c r="B333">
        <v>994.41</v>
      </c>
      <c r="C333">
        <v>103.23</v>
      </c>
      <c r="D333">
        <v>416.31</v>
      </c>
      <c r="E333">
        <v>233.13</v>
      </c>
      <c r="F333">
        <v>82.52</v>
      </c>
      <c r="G333">
        <v>98.22</v>
      </c>
      <c r="H333">
        <v>61</v>
      </c>
    </row>
    <row r="334" spans="1:8" x14ac:dyDescent="0.25">
      <c r="A334" s="63">
        <f t="shared" si="5"/>
        <v>45624</v>
      </c>
      <c r="B334">
        <v>1018.7399999999999</v>
      </c>
      <c r="C334">
        <v>97.08</v>
      </c>
      <c r="D334">
        <v>413.52</v>
      </c>
      <c r="E334">
        <v>248.18</v>
      </c>
      <c r="F334">
        <v>102.41</v>
      </c>
      <c r="G334">
        <v>95.39</v>
      </c>
      <c r="H334">
        <v>62.16</v>
      </c>
    </row>
    <row r="335" spans="1:8" x14ac:dyDescent="0.25">
      <c r="A335" s="63">
        <f t="shared" si="5"/>
        <v>45625</v>
      </c>
      <c r="B335">
        <v>1013.86</v>
      </c>
      <c r="C335">
        <v>100.89</v>
      </c>
      <c r="D335">
        <v>395.76</v>
      </c>
      <c r="E335">
        <v>229.97</v>
      </c>
      <c r="F335">
        <v>100.74</v>
      </c>
      <c r="G335">
        <v>123.25</v>
      </c>
      <c r="H335">
        <v>63.25</v>
      </c>
    </row>
    <row r="336" spans="1:8" x14ac:dyDescent="0.25">
      <c r="A336" s="63">
        <f t="shared" si="5"/>
        <v>45626</v>
      </c>
      <c r="B336">
        <v>1052</v>
      </c>
      <c r="C336">
        <v>104.05</v>
      </c>
      <c r="D336">
        <v>439.69</v>
      </c>
      <c r="E336">
        <v>237.93</v>
      </c>
      <c r="F336">
        <v>99.11</v>
      </c>
      <c r="G336">
        <v>111.68</v>
      </c>
      <c r="H336">
        <v>59.54</v>
      </c>
    </row>
    <row r="337" spans="1:8" x14ac:dyDescent="0.25">
      <c r="A337" s="63">
        <f t="shared" si="5"/>
        <v>45627</v>
      </c>
      <c r="B337">
        <v>971.0100000000001</v>
      </c>
      <c r="C337">
        <v>91.41</v>
      </c>
      <c r="D337">
        <v>375.48</v>
      </c>
      <c r="E337">
        <v>245.05</v>
      </c>
      <c r="F337">
        <v>97.83</v>
      </c>
      <c r="G337">
        <v>101.7</v>
      </c>
      <c r="H337">
        <v>59.54</v>
      </c>
    </row>
    <row r="338" spans="1:8" x14ac:dyDescent="0.25">
      <c r="A338" s="63">
        <f t="shared" si="5"/>
        <v>45628</v>
      </c>
      <c r="B338">
        <v>965.31999999999994</v>
      </c>
      <c r="C338">
        <v>74.13</v>
      </c>
      <c r="D338">
        <v>381.44</v>
      </c>
      <c r="E338">
        <v>250.95</v>
      </c>
      <c r="F338">
        <v>94.8</v>
      </c>
      <c r="G338">
        <v>102.9</v>
      </c>
      <c r="H338">
        <v>61.1</v>
      </c>
    </row>
    <row r="339" spans="1:8" x14ac:dyDescent="0.25">
      <c r="A339" s="63">
        <f t="shared" si="5"/>
        <v>45629</v>
      </c>
      <c r="B339">
        <v>946.36</v>
      </c>
      <c r="C339">
        <v>104.03</v>
      </c>
      <c r="D339">
        <v>357.89</v>
      </c>
      <c r="E339">
        <v>228.23</v>
      </c>
      <c r="F339">
        <v>85.49</v>
      </c>
      <c r="G339">
        <v>103.96</v>
      </c>
      <c r="H339">
        <v>66.760000000000005</v>
      </c>
    </row>
    <row r="340" spans="1:8" x14ac:dyDescent="0.25">
      <c r="A340" s="63">
        <f t="shared" si="5"/>
        <v>45630</v>
      </c>
      <c r="B340">
        <v>952.42</v>
      </c>
      <c r="C340">
        <v>83.98</v>
      </c>
      <c r="D340">
        <v>394.05</v>
      </c>
      <c r="E340">
        <v>227.83</v>
      </c>
      <c r="F340">
        <v>85.54</v>
      </c>
      <c r="G340">
        <v>96.27</v>
      </c>
      <c r="H340">
        <v>64.75</v>
      </c>
    </row>
    <row r="341" spans="1:8" x14ac:dyDescent="0.25">
      <c r="A341" s="63">
        <f t="shared" si="5"/>
        <v>45631</v>
      </c>
      <c r="B341">
        <v>824.10000000000014</v>
      </c>
      <c r="C341">
        <v>94.84</v>
      </c>
      <c r="D341">
        <v>322.75</v>
      </c>
      <c r="E341">
        <v>161.38</v>
      </c>
      <c r="F341">
        <v>88.2</v>
      </c>
      <c r="G341">
        <v>93.62</v>
      </c>
      <c r="H341">
        <v>63.31</v>
      </c>
    </row>
    <row r="342" spans="1:8" x14ac:dyDescent="0.25">
      <c r="A342" s="63">
        <f t="shared" si="5"/>
        <v>45632</v>
      </c>
      <c r="B342">
        <v>708.35</v>
      </c>
      <c r="C342">
        <v>80.34</v>
      </c>
      <c r="D342">
        <v>260.05</v>
      </c>
      <c r="E342">
        <v>130.96</v>
      </c>
      <c r="F342">
        <v>91.36</v>
      </c>
      <c r="G342">
        <v>85.98</v>
      </c>
      <c r="H342">
        <v>59.66</v>
      </c>
    </row>
    <row r="343" spans="1:8" x14ac:dyDescent="0.25">
      <c r="A343" s="63">
        <f t="shared" si="5"/>
        <v>45633</v>
      </c>
      <c r="B343">
        <v>648</v>
      </c>
      <c r="C343">
        <v>56.07</v>
      </c>
      <c r="D343">
        <v>230.14</v>
      </c>
      <c r="E343">
        <v>135.36000000000001</v>
      </c>
      <c r="F343">
        <v>91.55</v>
      </c>
      <c r="G343">
        <v>79.72</v>
      </c>
      <c r="H343">
        <v>55.16</v>
      </c>
    </row>
    <row r="344" spans="1:8" x14ac:dyDescent="0.25">
      <c r="A344" s="63">
        <f t="shared" si="5"/>
        <v>45634</v>
      </c>
      <c r="B344">
        <v>857.85</v>
      </c>
      <c r="C344">
        <v>74.12</v>
      </c>
      <c r="D344">
        <v>375.61</v>
      </c>
      <c r="E344">
        <v>163.4</v>
      </c>
      <c r="F344">
        <v>91.71</v>
      </c>
      <c r="G344">
        <v>96.26</v>
      </c>
      <c r="H344">
        <v>56.75</v>
      </c>
    </row>
    <row r="345" spans="1:8" x14ac:dyDescent="0.25">
      <c r="A345" s="63">
        <f t="shared" si="5"/>
        <v>45635</v>
      </c>
      <c r="B345">
        <v>836.29000000000008</v>
      </c>
      <c r="C345">
        <v>72.98</v>
      </c>
      <c r="D345">
        <v>361.25</v>
      </c>
      <c r="E345">
        <v>185.23</v>
      </c>
      <c r="F345">
        <v>80.08</v>
      </c>
      <c r="G345">
        <v>88.72</v>
      </c>
      <c r="H345">
        <v>48.03</v>
      </c>
    </row>
    <row r="346" spans="1:8" x14ac:dyDescent="0.25">
      <c r="A346" s="63">
        <f t="shared" si="5"/>
        <v>45636</v>
      </c>
      <c r="B346">
        <v>964.58999999999992</v>
      </c>
      <c r="C346">
        <v>80.27</v>
      </c>
      <c r="D346">
        <v>414.06</v>
      </c>
      <c r="E346">
        <v>211.46</v>
      </c>
      <c r="F346">
        <v>89.06</v>
      </c>
      <c r="G346">
        <v>106.99</v>
      </c>
      <c r="H346">
        <v>62.75</v>
      </c>
    </row>
    <row r="347" spans="1:8" x14ac:dyDescent="0.25">
      <c r="A347" s="63">
        <f t="shared" si="5"/>
        <v>45637</v>
      </c>
      <c r="B347">
        <v>993.35</v>
      </c>
      <c r="C347">
        <v>100.69</v>
      </c>
      <c r="D347">
        <v>422.61</v>
      </c>
      <c r="E347">
        <v>226.84</v>
      </c>
      <c r="F347">
        <v>77.7</v>
      </c>
      <c r="G347">
        <v>102.39</v>
      </c>
      <c r="H347">
        <v>63.12</v>
      </c>
    </row>
    <row r="348" spans="1:8" x14ac:dyDescent="0.25">
      <c r="A348" s="63">
        <f t="shared" si="5"/>
        <v>45638</v>
      </c>
      <c r="B348">
        <v>911.88</v>
      </c>
      <c r="C348">
        <v>91.48</v>
      </c>
      <c r="D348">
        <v>359.26</v>
      </c>
      <c r="E348">
        <v>218.52</v>
      </c>
      <c r="F348">
        <v>88.25</v>
      </c>
      <c r="G348">
        <v>90.9</v>
      </c>
      <c r="H348">
        <v>63.47</v>
      </c>
    </row>
    <row r="349" spans="1:8" x14ac:dyDescent="0.25">
      <c r="A349" s="63">
        <f t="shared" si="5"/>
        <v>45639</v>
      </c>
      <c r="B349">
        <v>930.62</v>
      </c>
      <c r="C349">
        <v>84.43</v>
      </c>
      <c r="D349">
        <v>387.26</v>
      </c>
      <c r="E349">
        <v>217.21</v>
      </c>
      <c r="F349">
        <v>90.61</v>
      </c>
      <c r="G349">
        <v>89.23</v>
      </c>
      <c r="H349">
        <v>61.88</v>
      </c>
    </row>
    <row r="350" spans="1:8" x14ac:dyDescent="0.25">
      <c r="A350" s="63">
        <f t="shared" si="5"/>
        <v>45640</v>
      </c>
      <c r="B350">
        <v>915.06999999999994</v>
      </c>
      <c r="C350">
        <v>92.56</v>
      </c>
      <c r="D350">
        <v>369.39</v>
      </c>
      <c r="E350">
        <v>206.82</v>
      </c>
      <c r="F350">
        <v>91.6</v>
      </c>
      <c r="G350">
        <v>94.27</v>
      </c>
      <c r="H350">
        <v>60.43</v>
      </c>
    </row>
    <row r="351" spans="1:8" x14ac:dyDescent="0.25">
      <c r="A351" s="63">
        <f t="shared" si="5"/>
        <v>45641</v>
      </c>
      <c r="B351">
        <v>885.27</v>
      </c>
      <c r="C351">
        <v>90.58</v>
      </c>
      <c r="D351">
        <v>324.31</v>
      </c>
      <c r="E351">
        <v>227.49</v>
      </c>
      <c r="F351">
        <v>83.24</v>
      </c>
      <c r="G351">
        <v>99.23</v>
      </c>
      <c r="H351">
        <v>60.42</v>
      </c>
    </row>
    <row r="352" spans="1:8" x14ac:dyDescent="0.25">
      <c r="A352" s="63">
        <f t="shared" si="5"/>
        <v>45642</v>
      </c>
      <c r="B352">
        <v>902.41</v>
      </c>
      <c r="C352">
        <v>99.2</v>
      </c>
      <c r="D352">
        <v>340.32</v>
      </c>
      <c r="E352">
        <v>236.58</v>
      </c>
      <c r="F352">
        <v>72.52</v>
      </c>
      <c r="G352">
        <v>95.24</v>
      </c>
      <c r="H352">
        <v>58.55</v>
      </c>
    </row>
    <row r="353" spans="1:8" x14ac:dyDescent="0.25">
      <c r="A353" s="63">
        <f t="shared" si="5"/>
        <v>45643</v>
      </c>
      <c r="B353">
        <v>855.67000000000007</v>
      </c>
      <c r="C353">
        <v>72.55</v>
      </c>
      <c r="D353">
        <v>332.87</v>
      </c>
      <c r="E353">
        <v>225.69</v>
      </c>
      <c r="F353">
        <v>75.81</v>
      </c>
      <c r="G353">
        <v>94.6</v>
      </c>
      <c r="H353">
        <v>54.15</v>
      </c>
    </row>
    <row r="354" spans="1:8" x14ac:dyDescent="0.25">
      <c r="A354" s="63">
        <f t="shared" si="5"/>
        <v>45644</v>
      </c>
      <c r="B354">
        <v>876.21</v>
      </c>
      <c r="C354">
        <v>72.489999999999995</v>
      </c>
      <c r="D354">
        <v>356.77</v>
      </c>
      <c r="E354">
        <v>210.51</v>
      </c>
      <c r="F354">
        <v>85.5</v>
      </c>
      <c r="G354">
        <v>95.23</v>
      </c>
      <c r="H354">
        <v>55.71</v>
      </c>
    </row>
    <row r="355" spans="1:8" x14ac:dyDescent="0.25">
      <c r="A355" s="63">
        <f t="shared" si="5"/>
        <v>45645</v>
      </c>
      <c r="B355">
        <v>798.03999999999985</v>
      </c>
      <c r="C355">
        <v>74.09</v>
      </c>
      <c r="D355">
        <v>295.70999999999998</v>
      </c>
      <c r="E355">
        <v>206.31</v>
      </c>
      <c r="F355">
        <v>79.540000000000006</v>
      </c>
      <c r="G355">
        <v>87.82</v>
      </c>
      <c r="H355">
        <v>54.57</v>
      </c>
    </row>
    <row r="356" spans="1:8" x14ac:dyDescent="0.25">
      <c r="A356" s="63">
        <f t="shared" si="5"/>
        <v>45646</v>
      </c>
      <c r="B356">
        <v>748.93</v>
      </c>
      <c r="C356">
        <v>62.31</v>
      </c>
      <c r="D356">
        <v>245.86</v>
      </c>
      <c r="E356">
        <v>201.06</v>
      </c>
      <c r="F356">
        <v>96.92</v>
      </c>
      <c r="G356">
        <v>85.25</v>
      </c>
      <c r="H356">
        <v>57.53</v>
      </c>
    </row>
    <row r="357" spans="1:8" x14ac:dyDescent="0.25">
      <c r="A357" s="63">
        <f t="shared" si="5"/>
        <v>45647</v>
      </c>
      <c r="B357">
        <v>735</v>
      </c>
      <c r="C357">
        <v>45.94</v>
      </c>
      <c r="D357">
        <v>264.64999999999998</v>
      </c>
      <c r="E357">
        <v>189.12</v>
      </c>
      <c r="F357">
        <v>96.46</v>
      </c>
      <c r="G357">
        <v>87.37</v>
      </c>
      <c r="H357">
        <v>51.46</v>
      </c>
    </row>
    <row r="358" spans="1:8" x14ac:dyDescent="0.25">
      <c r="A358" s="63">
        <f t="shared" si="5"/>
        <v>45648</v>
      </c>
      <c r="B358">
        <v>738.43</v>
      </c>
      <c r="C358">
        <v>82.91</v>
      </c>
      <c r="D358">
        <v>242.46</v>
      </c>
      <c r="E358">
        <v>174.48</v>
      </c>
      <c r="F358">
        <v>98.93</v>
      </c>
      <c r="G358">
        <v>84.64</v>
      </c>
      <c r="H358">
        <v>55.01</v>
      </c>
    </row>
    <row r="359" spans="1:8" x14ac:dyDescent="0.25">
      <c r="A359" s="63">
        <f t="shared" si="5"/>
        <v>45649</v>
      </c>
      <c r="B359">
        <v>917.79000000000008</v>
      </c>
      <c r="C359">
        <v>67.47</v>
      </c>
      <c r="D359">
        <v>385.63</v>
      </c>
      <c r="E359">
        <v>221.99</v>
      </c>
      <c r="F359">
        <v>93.64</v>
      </c>
      <c r="G359">
        <v>91.86</v>
      </c>
      <c r="H359">
        <v>57.2</v>
      </c>
    </row>
    <row r="360" spans="1:8" x14ac:dyDescent="0.25">
      <c r="A360" s="63">
        <f t="shared" si="5"/>
        <v>45650</v>
      </c>
      <c r="B360">
        <v>852.48</v>
      </c>
      <c r="C360">
        <v>78.19</v>
      </c>
      <c r="D360">
        <v>320.89999999999998</v>
      </c>
      <c r="E360">
        <v>221.89</v>
      </c>
      <c r="F360">
        <v>79.429999999999993</v>
      </c>
      <c r="G360">
        <v>98.74</v>
      </c>
      <c r="H360">
        <v>53.33</v>
      </c>
    </row>
    <row r="361" spans="1:8" x14ac:dyDescent="0.25">
      <c r="A361" s="63">
        <f t="shared" si="5"/>
        <v>45651</v>
      </c>
      <c r="B361">
        <v>951.32</v>
      </c>
      <c r="C361">
        <v>82.42</v>
      </c>
      <c r="D361">
        <v>424.75</v>
      </c>
      <c r="E361">
        <v>202.8</v>
      </c>
      <c r="F361">
        <v>75.02</v>
      </c>
      <c r="G361">
        <v>107.33000000000001</v>
      </c>
      <c r="H361">
        <v>59</v>
      </c>
    </row>
    <row r="362" spans="1:8" x14ac:dyDescent="0.25">
      <c r="A362" s="63">
        <f t="shared" si="5"/>
        <v>45652</v>
      </c>
      <c r="B362">
        <v>905.09</v>
      </c>
      <c r="C362">
        <v>78.56</v>
      </c>
      <c r="D362">
        <v>400.69</v>
      </c>
      <c r="E362">
        <v>205.51</v>
      </c>
      <c r="F362">
        <v>69.12</v>
      </c>
      <c r="G362">
        <v>91.37</v>
      </c>
      <c r="H362">
        <v>59.84</v>
      </c>
    </row>
    <row r="363" spans="1:8" x14ac:dyDescent="0.25">
      <c r="A363" s="63">
        <f t="shared" si="5"/>
        <v>45653</v>
      </c>
      <c r="B363">
        <v>427.07999999999993</v>
      </c>
      <c r="C363">
        <v>49.3</v>
      </c>
      <c r="D363">
        <v>226.73</v>
      </c>
      <c r="E363">
        <v>2.44</v>
      </c>
      <c r="F363">
        <v>52.02</v>
      </c>
      <c r="G363">
        <v>51.65</v>
      </c>
      <c r="H363">
        <v>44.94</v>
      </c>
    </row>
    <row r="364" spans="1:8" x14ac:dyDescent="0.25">
      <c r="A364" s="63">
        <f t="shared" si="5"/>
        <v>45654</v>
      </c>
      <c r="B364">
        <v>5.1400000000000006</v>
      </c>
      <c r="D364">
        <v>1.9</v>
      </c>
      <c r="F364">
        <v>1.08</v>
      </c>
      <c r="H364">
        <v>2.16</v>
      </c>
    </row>
    <row r="365" spans="1:8" x14ac:dyDescent="0.25">
      <c r="A365" s="63">
        <f t="shared" si="5"/>
        <v>45655</v>
      </c>
      <c r="B365">
        <v>0</v>
      </c>
    </row>
    <row r="366" spans="1:8" x14ac:dyDescent="0.25">
      <c r="A366" s="63">
        <f t="shared" si="5"/>
        <v>45656</v>
      </c>
      <c r="B366">
        <v>0</v>
      </c>
    </row>
    <row r="367" spans="1:8" x14ac:dyDescent="0.25">
      <c r="A367" s="63">
        <f t="shared" si="5"/>
        <v>45657</v>
      </c>
      <c r="B367">
        <v>0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7"/>
  <sheetViews>
    <sheetView topLeftCell="A235" workbookViewId="0">
      <selection activeCell="L259" sqref="L259"/>
    </sheetView>
  </sheetViews>
  <sheetFormatPr defaultRowHeight="15" x14ac:dyDescent="0.25"/>
  <cols>
    <col min="1" max="1" width="10.140625" bestFit="1" customWidth="1"/>
  </cols>
  <sheetData>
    <row r="1" spans="1:8" x14ac:dyDescent="0.25">
      <c r="A1" t="s">
        <v>42</v>
      </c>
      <c r="B1" t="s">
        <v>41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</row>
    <row r="2" spans="1:8" x14ac:dyDescent="0.25">
      <c r="A2" s="63">
        <v>45658</v>
      </c>
      <c r="B2">
        <v>0</v>
      </c>
    </row>
    <row r="3" spans="1:8" x14ac:dyDescent="0.25">
      <c r="A3" s="63">
        <f>A2+1</f>
        <v>45659</v>
      </c>
      <c r="B3">
        <v>0</v>
      </c>
    </row>
    <row r="4" spans="1:8" x14ac:dyDescent="0.25">
      <c r="A4" s="63">
        <f t="shared" ref="A4:A67" si="0">A3+1</f>
        <v>45660</v>
      </c>
      <c r="B4">
        <v>0</v>
      </c>
    </row>
    <row r="5" spans="1:8" x14ac:dyDescent="0.25">
      <c r="A5" s="63">
        <f t="shared" si="0"/>
        <v>45661</v>
      </c>
      <c r="B5">
        <v>0</v>
      </c>
    </row>
    <row r="6" spans="1:8" x14ac:dyDescent="0.25">
      <c r="A6" s="63">
        <f t="shared" si="0"/>
        <v>45662</v>
      </c>
      <c r="B6">
        <v>0</v>
      </c>
    </row>
    <row r="7" spans="1:8" x14ac:dyDescent="0.25">
      <c r="A7" s="63">
        <f t="shared" si="0"/>
        <v>45663</v>
      </c>
      <c r="B7">
        <v>0</v>
      </c>
    </row>
    <row r="8" spans="1:8" x14ac:dyDescent="0.25">
      <c r="A8" s="63">
        <f t="shared" si="0"/>
        <v>45664</v>
      </c>
      <c r="B8">
        <v>0</v>
      </c>
    </row>
    <row r="9" spans="1:8" x14ac:dyDescent="0.25">
      <c r="A9" s="63">
        <f t="shared" si="0"/>
        <v>45665</v>
      </c>
      <c r="B9">
        <v>0</v>
      </c>
    </row>
    <row r="10" spans="1:8" x14ac:dyDescent="0.25">
      <c r="A10" s="63">
        <f t="shared" si="0"/>
        <v>45666</v>
      </c>
      <c r="B10">
        <v>863.18999999999994</v>
      </c>
      <c r="C10">
        <v>64.489999999999995</v>
      </c>
      <c r="D10">
        <v>360.8</v>
      </c>
      <c r="E10">
        <v>207.69</v>
      </c>
      <c r="F10">
        <v>83.32</v>
      </c>
      <c r="G10">
        <v>90.92</v>
      </c>
      <c r="H10">
        <v>55.97</v>
      </c>
    </row>
    <row r="11" spans="1:8" x14ac:dyDescent="0.25">
      <c r="A11" s="63">
        <f t="shared" si="0"/>
        <v>45667</v>
      </c>
      <c r="B11">
        <v>823.6400000000001</v>
      </c>
      <c r="C11">
        <v>73.650000000000006</v>
      </c>
      <c r="D11">
        <v>350.59</v>
      </c>
      <c r="E11">
        <v>156.59</v>
      </c>
      <c r="F11">
        <v>86.15</v>
      </c>
      <c r="G11">
        <v>101.83</v>
      </c>
      <c r="H11">
        <v>54.83</v>
      </c>
    </row>
    <row r="12" spans="1:8" x14ac:dyDescent="0.25">
      <c r="A12" s="63">
        <f t="shared" si="0"/>
        <v>45668</v>
      </c>
      <c r="B12">
        <v>719.93999999999994</v>
      </c>
      <c r="C12">
        <v>60.14</v>
      </c>
      <c r="D12">
        <v>278.8</v>
      </c>
      <c r="E12">
        <v>134.19</v>
      </c>
      <c r="F12">
        <v>93.52</v>
      </c>
      <c r="G12">
        <v>98.29</v>
      </c>
      <c r="H12">
        <v>55</v>
      </c>
    </row>
    <row r="13" spans="1:8" x14ac:dyDescent="0.25">
      <c r="A13" s="63">
        <f t="shared" si="0"/>
        <v>45669</v>
      </c>
      <c r="B13">
        <v>748.35000000000014</v>
      </c>
      <c r="C13">
        <v>83.59</v>
      </c>
      <c r="D13">
        <v>304.23</v>
      </c>
      <c r="E13">
        <v>137.99</v>
      </c>
      <c r="F13">
        <v>88.75</v>
      </c>
      <c r="G13">
        <v>75.7</v>
      </c>
      <c r="H13">
        <v>58.09</v>
      </c>
    </row>
    <row r="14" spans="1:8" x14ac:dyDescent="0.25">
      <c r="A14" s="63">
        <f t="shared" si="0"/>
        <v>45670</v>
      </c>
      <c r="B14">
        <v>788.77</v>
      </c>
      <c r="C14">
        <v>78.48</v>
      </c>
      <c r="D14">
        <v>324.57</v>
      </c>
      <c r="E14">
        <v>151.9</v>
      </c>
      <c r="F14">
        <v>91.56</v>
      </c>
      <c r="G14">
        <v>87.42</v>
      </c>
      <c r="H14">
        <v>54.84</v>
      </c>
    </row>
    <row r="15" spans="1:8" x14ac:dyDescent="0.25">
      <c r="A15" s="63">
        <f t="shared" si="0"/>
        <v>45671</v>
      </c>
      <c r="B15">
        <v>662.56999999999994</v>
      </c>
      <c r="C15">
        <v>77.19</v>
      </c>
      <c r="D15">
        <v>256.89999999999998</v>
      </c>
      <c r="E15">
        <v>131.80000000000001</v>
      </c>
      <c r="F15">
        <v>75.239999999999995</v>
      </c>
      <c r="G15">
        <v>61.8</v>
      </c>
      <c r="H15">
        <v>59.64</v>
      </c>
    </row>
    <row r="16" spans="1:8" x14ac:dyDescent="0.25">
      <c r="A16" s="63">
        <f t="shared" si="0"/>
        <v>45672</v>
      </c>
      <c r="B16">
        <v>684.55000000000007</v>
      </c>
      <c r="C16">
        <v>86.23</v>
      </c>
      <c r="D16">
        <v>252.55</v>
      </c>
      <c r="E16">
        <v>148.62</v>
      </c>
      <c r="F16">
        <v>80.069999999999993</v>
      </c>
      <c r="G16">
        <v>58.38</v>
      </c>
      <c r="H16">
        <v>58.7</v>
      </c>
    </row>
    <row r="17" spans="1:8" x14ac:dyDescent="0.25">
      <c r="A17" s="63">
        <f t="shared" si="0"/>
        <v>45673</v>
      </c>
      <c r="B17">
        <v>714.33</v>
      </c>
      <c r="C17">
        <v>83.33</v>
      </c>
      <c r="D17">
        <v>262.60000000000002</v>
      </c>
      <c r="E17">
        <v>169.75</v>
      </c>
      <c r="F17">
        <v>81.760000000000005</v>
      </c>
      <c r="G17">
        <v>58.47</v>
      </c>
      <c r="H17">
        <v>58.42</v>
      </c>
    </row>
    <row r="18" spans="1:8" x14ac:dyDescent="0.25">
      <c r="A18" s="63">
        <f t="shared" si="0"/>
        <v>45674</v>
      </c>
      <c r="B18">
        <v>786.19</v>
      </c>
      <c r="C18">
        <v>71.59</v>
      </c>
      <c r="D18">
        <v>335.2</v>
      </c>
      <c r="E18">
        <v>173.7</v>
      </c>
      <c r="F18">
        <v>93.63</v>
      </c>
      <c r="G18">
        <v>56.24</v>
      </c>
      <c r="H18">
        <v>55.83</v>
      </c>
    </row>
    <row r="19" spans="1:8" x14ac:dyDescent="0.25">
      <c r="A19" s="63">
        <f t="shared" si="0"/>
        <v>45675</v>
      </c>
      <c r="B19">
        <v>709.1</v>
      </c>
      <c r="C19">
        <v>77.83</v>
      </c>
      <c r="D19">
        <v>277.02999999999997</v>
      </c>
      <c r="E19">
        <v>150.04</v>
      </c>
      <c r="F19">
        <v>93.58</v>
      </c>
      <c r="G19">
        <v>54.02</v>
      </c>
      <c r="H19">
        <v>56.6</v>
      </c>
    </row>
    <row r="20" spans="1:8" x14ac:dyDescent="0.25">
      <c r="A20" s="63">
        <f t="shared" si="0"/>
        <v>45676</v>
      </c>
      <c r="B20">
        <v>736.48</v>
      </c>
      <c r="C20">
        <v>61.25</v>
      </c>
      <c r="D20">
        <v>303.26</v>
      </c>
      <c r="E20">
        <v>160.69999999999999</v>
      </c>
      <c r="F20">
        <v>94.78</v>
      </c>
      <c r="G20">
        <v>60.33</v>
      </c>
      <c r="H20">
        <v>56.16</v>
      </c>
    </row>
    <row r="21" spans="1:8" x14ac:dyDescent="0.25">
      <c r="A21" s="63">
        <f t="shared" si="0"/>
        <v>45677</v>
      </c>
      <c r="B21">
        <v>842.72</v>
      </c>
      <c r="C21">
        <v>82.59</v>
      </c>
      <c r="D21">
        <v>340.68</v>
      </c>
      <c r="E21">
        <v>196.23</v>
      </c>
      <c r="F21">
        <v>83.18</v>
      </c>
      <c r="G21">
        <v>84.39</v>
      </c>
      <c r="H21">
        <v>55.65</v>
      </c>
    </row>
    <row r="22" spans="1:8" x14ac:dyDescent="0.25">
      <c r="A22" s="63">
        <f t="shared" si="0"/>
        <v>45678</v>
      </c>
      <c r="B22">
        <v>930.31000000000006</v>
      </c>
      <c r="C22">
        <v>92.58</v>
      </c>
      <c r="D22">
        <v>396.44</v>
      </c>
      <c r="E22">
        <v>218.2</v>
      </c>
      <c r="F22">
        <v>67.45</v>
      </c>
      <c r="G22">
        <v>96.1</v>
      </c>
      <c r="H22">
        <v>59.54</v>
      </c>
    </row>
    <row r="23" spans="1:8" x14ac:dyDescent="0.25">
      <c r="A23" s="63">
        <f t="shared" si="0"/>
        <v>45679</v>
      </c>
      <c r="B23">
        <v>968.43999999999994</v>
      </c>
      <c r="C23">
        <v>101.09</v>
      </c>
      <c r="D23">
        <v>395.33</v>
      </c>
      <c r="E23">
        <v>220.23</v>
      </c>
      <c r="F23">
        <v>92.85</v>
      </c>
      <c r="G23">
        <v>99.4</v>
      </c>
      <c r="H23">
        <v>59.54</v>
      </c>
    </row>
    <row r="24" spans="1:8" x14ac:dyDescent="0.25">
      <c r="A24" s="63">
        <f t="shared" si="0"/>
        <v>45680</v>
      </c>
      <c r="B24">
        <v>972.15</v>
      </c>
      <c r="C24">
        <v>93.539999999999992</v>
      </c>
      <c r="D24">
        <v>418.23</v>
      </c>
      <c r="E24">
        <v>211.72</v>
      </c>
      <c r="F24">
        <v>94.76</v>
      </c>
      <c r="G24">
        <v>94.64</v>
      </c>
      <c r="H24">
        <v>59.26</v>
      </c>
    </row>
    <row r="25" spans="1:8" x14ac:dyDescent="0.25">
      <c r="A25" s="63">
        <f t="shared" si="0"/>
        <v>45681</v>
      </c>
      <c r="B25">
        <v>867.86</v>
      </c>
      <c r="C25">
        <v>99.04</v>
      </c>
      <c r="D25">
        <v>317.48</v>
      </c>
      <c r="E25">
        <v>210.47</v>
      </c>
      <c r="F25">
        <v>97.29</v>
      </c>
      <c r="G25">
        <v>82.63</v>
      </c>
      <c r="H25">
        <v>60.95</v>
      </c>
    </row>
    <row r="26" spans="1:8" x14ac:dyDescent="0.25">
      <c r="A26" s="63">
        <f t="shared" si="0"/>
        <v>45682</v>
      </c>
      <c r="B26">
        <v>640.25</v>
      </c>
      <c r="C26">
        <v>91.31</v>
      </c>
      <c r="D26">
        <v>165.08</v>
      </c>
      <c r="E26">
        <v>202.23</v>
      </c>
      <c r="F26">
        <v>95.45</v>
      </c>
      <c r="G26">
        <v>27.31</v>
      </c>
      <c r="H26">
        <v>58.87</v>
      </c>
    </row>
    <row r="27" spans="1:8" x14ac:dyDescent="0.25">
      <c r="A27" s="63">
        <f t="shared" si="0"/>
        <v>45683</v>
      </c>
      <c r="B27">
        <v>312.45999999999998</v>
      </c>
      <c r="C27">
        <v>80.08</v>
      </c>
      <c r="E27">
        <v>135.57</v>
      </c>
      <c r="F27">
        <v>96.81</v>
      </c>
    </row>
    <row r="28" spans="1:8" x14ac:dyDescent="0.25">
      <c r="A28" s="63">
        <f t="shared" si="0"/>
        <v>45684</v>
      </c>
      <c r="B28">
        <v>1017.89</v>
      </c>
      <c r="C28">
        <v>96.47</v>
      </c>
      <c r="D28">
        <v>448.14</v>
      </c>
      <c r="E28">
        <v>209.59</v>
      </c>
      <c r="F28">
        <v>95.65</v>
      </c>
      <c r="G28">
        <v>109.99</v>
      </c>
      <c r="H28">
        <v>58.05</v>
      </c>
    </row>
    <row r="29" spans="1:8" x14ac:dyDescent="0.25">
      <c r="A29" s="63">
        <f t="shared" si="0"/>
        <v>45685</v>
      </c>
      <c r="B29">
        <v>845.81999999999994</v>
      </c>
      <c r="C29">
        <v>68.180000000000007</v>
      </c>
      <c r="D29">
        <v>363.8</v>
      </c>
      <c r="E29">
        <v>195.91</v>
      </c>
      <c r="F29">
        <v>61.62</v>
      </c>
      <c r="G29">
        <v>100.64</v>
      </c>
      <c r="H29">
        <v>55.67</v>
      </c>
    </row>
    <row r="30" spans="1:8" x14ac:dyDescent="0.25">
      <c r="A30" s="63">
        <f t="shared" si="0"/>
        <v>45686</v>
      </c>
      <c r="B30">
        <v>876.75999999999988</v>
      </c>
      <c r="C30">
        <v>74.489999999999995</v>
      </c>
      <c r="D30">
        <v>399.46</v>
      </c>
      <c r="E30">
        <v>187.38</v>
      </c>
      <c r="F30">
        <v>65.569999999999993</v>
      </c>
      <c r="G30">
        <v>92.86</v>
      </c>
      <c r="H30">
        <v>57</v>
      </c>
    </row>
    <row r="31" spans="1:8" x14ac:dyDescent="0.25">
      <c r="A31" s="63">
        <f t="shared" si="0"/>
        <v>45687</v>
      </c>
      <c r="B31">
        <v>881.18999999999994</v>
      </c>
      <c r="C31">
        <v>86.42</v>
      </c>
      <c r="D31">
        <v>379.51</v>
      </c>
      <c r="E31">
        <v>182.23</v>
      </c>
      <c r="F31">
        <v>80.650000000000006</v>
      </c>
      <c r="G31">
        <v>97.71</v>
      </c>
      <c r="H31">
        <v>54.67</v>
      </c>
    </row>
    <row r="32" spans="1:8" x14ac:dyDescent="0.25">
      <c r="A32" s="63">
        <f t="shared" si="0"/>
        <v>45688</v>
      </c>
      <c r="B32">
        <v>950.05000000000007</v>
      </c>
      <c r="C32">
        <v>90.59</v>
      </c>
      <c r="D32">
        <v>405.43</v>
      </c>
      <c r="E32">
        <v>203.12</v>
      </c>
      <c r="F32">
        <v>85.12</v>
      </c>
      <c r="G32">
        <v>103.84</v>
      </c>
      <c r="H32">
        <v>61.95</v>
      </c>
    </row>
    <row r="33" spans="1:8" x14ac:dyDescent="0.25">
      <c r="A33" s="63">
        <f t="shared" si="0"/>
        <v>45689</v>
      </c>
      <c r="B33">
        <v>386.96</v>
      </c>
      <c r="C33">
        <v>44.58</v>
      </c>
      <c r="D33">
        <v>159.79</v>
      </c>
      <c r="E33">
        <v>104.76</v>
      </c>
      <c r="F33">
        <v>41.7</v>
      </c>
      <c r="G33">
        <v>36.130000000000003</v>
      </c>
    </row>
    <row r="34" spans="1:8" x14ac:dyDescent="0.25">
      <c r="A34" s="63">
        <f t="shared" si="0"/>
        <v>45690</v>
      </c>
      <c r="B34">
        <v>0</v>
      </c>
    </row>
    <row r="35" spans="1:8" x14ac:dyDescent="0.25">
      <c r="A35" s="63">
        <f t="shared" si="0"/>
        <v>45691</v>
      </c>
      <c r="B35">
        <v>811.68</v>
      </c>
      <c r="C35">
        <v>55.62</v>
      </c>
      <c r="D35">
        <v>343.84</v>
      </c>
      <c r="E35">
        <v>186.37</v>
      </c>
      <c r="F35">
        <v>77.2</v>
      </c>
      <c r="G35">
        <v>101.77</v>
      </c>
      <c r="H35">
        <v>46.88</v>
      </c>
    </row>
    <row r="36" spans="1:8" x14ac:dyDescent="0.25">
      <c r="A36" s="63">
        <f t="shared" si="0"/>
        <v>45692</v>
      </c>
      <c r="B36">
        <v>834.4000000000002</v>
      </c>
      <c r="C36">
        <v>69.59</v>
      </c>
      <c r="D36">
        <v>340.36</v>
      </c>
      <c r="E36">
        <v>214.69</v>
      </c>
      <c r="F36">
        <v>78.180000000000007</v>
      </c>
      <c r="G36">
        <v>82.95</v>
      </c>
      <c r="H36">
        <v>48.63</v>
      </c>
    </row>
    <row r="37" spans="1:8" x14ac:dyDescent="0.25">
      <c r="A37" s="63">
        <f t="shared" si="0"/>
        <v>45693</v>
      </c>
      <c r="B37">
        <v>712.24</v>
      </c>
      <c r="C37">
        <v>57.34</v>
      </c>
      <c r="D37">
        <v>252.89</v>
      </c>
      <c r="E37">
        <v>206.73</v>
      </c>
      <c r="F37">
        <v>69.25</v>
      </c>
      <c r="G37">
        <v>72.27</v>
      </c>
      <c r="H37">
        <v>53.76</v>
      </c>
    </row>
    <row r="38" spans="1:8" x14ac:dyDescent="0.25">
      <c r="A38" s="63">
        <f t="shared" si="0"/>
        <v>45694</v>
      </c>
      <c r="B38">
        <v>744.51</v>
      </c>
      <c r="C38">
        <v>55.46</v>
      </c>
      <c r="D38">
        <v>303.74</v>
      </c>
      <c r="E38">
        <v>189.61</v>
      </c>
      <c r="F38">
        <v>76.459999999999994</v>
      </c>
      <c r="G38">
        <v>67.349999999999994</v>
      </c>
      <c r="H38">
        <v>51.89</v>
      </c>
    </row>
    <row r="39" spans="1:8" x14ac:dyDescent="0.25">
      <c r="A39" s="63">
        <f t="shared" si="0"/>
        <v>45695</v>
      </c>
      <c r="B39">
        <v>690.6</v>
      </c>
      <c r="C39">
        <v>65.92</v>
      </c>
      <c r="D39">
        <v>277.33999999999997</v>
      </c>
      <c r="E39">
        <v>183.64</v>
      </c>
      <c r="F39">
        <v>80.72</v>
      </c>
      <c r="G39">
        <v>26.75</v>
      </c>
      <c r="H39">
        <v>56.23</v>
      </c>
    </row>
    <row r="40" spans="1:8" x14ac:dyDescent="0.25">
      <c r="A40" s="63">
        <f t="shared" si="0"/>
        <v>45696</v>
      </c>
      <c r="B40">
        <v>1.2200000050000004</v>
      </c>
      <c r="C40">
        <v>1.0000000000000001E-9</v>
      </c>
      <c r="D40">
        <v>1.22</v>
      </c>
      <c r="E40">
        <v>1.0000000000000001E-9</v>
      </c>
      <c r="F40">
        <v>1.0000000000000001E-9</v>
      </c>
      <c r="G40">
        <v>1.0000000000000001E-9</v>
      </c>
      <c r="H40">
        <v>1.0000000000000001E-9</v>
      </c>
    </row>
    <row r="41" spans="1:8" x14ac:dyDescent="0.25">
      <c r="A41" s="63">
        <f t="shared" si="0"/>
        <v>45697</v>
      </c>
      <c r="B41">
        <v>6E-9</v>
      </c>
      <c r="C41">
        <v>1.0000000000000001E-9</v>
      </c>
      <c r="D41">
        <v>1.0000000000000001E-9</v>
      </c>
      <c r="E41">
        <v>1.0000000000000001E-9</v>
      </c>
      <c r="F41">
        <v>1.0000000000000001E-9</v>
      </c>
      <c r="G41">
        <v>1.0000000000000001E-9</v>
      </c>
      <c r="H41">
        <v>1.0000000000000001E-9</v>
      </c>
    </row>
    <row r="42" spans="1:8" x14ac:dyDescent="0.25">
      <c r="A42" s="63">
        <f t="shared" si="0"/>
        <v>45698</v>
      </c>
      <c r="B42">
        <v>834.6</v>
      </c>
      <c r="C42">
        <v>72</v>
      </c>
      <c r="D42">
        <v>331.78</v>
      </c>
      <c r="E42">
        <v>203.29</v>
      </c>
      <c r="F42">
        <v>93.43</v>
      </c>
      <c r="G42">
        <v>73.709999999999994</v>
      </c>
      <c r="H42">
        <v>60.39</v>
      </c>
    </row>
    <row r="43" spans="1:8" x14ac:dyDescent="0.25">
      <c r="A43" s="63">
        <f t="shared" si="0"/>
        <v>45699</v>
      </c>
      <c r="B43">
        <v>725.13999999999987</v>
      </c>
      <c r="C43">
        <v>60.43</v>
      </c>
      <c r="D43">
        <v>300.14999999999998</v>
      </c>
      <c r="E43">
        <v>159.69999999999999</v>
      </c>
      <c r="F43">
        <v>76.069999999999993</v>
      </c>
      <c r="G43">
        <v>67.87</v>
      </c>
      <c r="H43">
        <v>60.92</v>
      </c>
    </row>
    <row r="44" spans="1:8" x14ac:dyDescent="0.25">
      <c r="A44" s="63">
        <f t="shared" si="0"/>
        <v>45700</v>
      </c>
      <c r="B44">
        <v>731.46</v>
      </c>
      <c r="C44">
        <v>61.93</v>
      </c>
      <c r="D44">
        <v>312.42</v>
      </c>
      <c r="E44">
        <v>150.13999999999999</v>
      </c>
      <c r="F44">
        <v>76.099999999999994</v>
      </c>
      <c r="G44">
        <v>71.75</v>
      </c>
      <c r="H44">
        <v>59.12</v>
      </c>
    </row>
    <row r="45" spans="1:8" x14ac:dyDescent="0.25">
      <c r="A45" s="63">
        <f t="shared" si="0"/>
        <v>45701</v>
      </c>
      <c r="B45">
        <v>627.65000000000009</v>
      </c>
      <c r="C45">
        <v>52.47</v>
      </c>
      <c r="D45">
        <v>249.12</v>
      </c>
      <c r="E45">
        <v>135.47</v>
      </c>
      <c r="F45">
        <v>57.85</v>
      </c>
      <c r="G45">
        <v>71.16</v>
      </c>
      <c r="H45">
        <v>61.58</v>
      </c>
    </row>
    <row r="46" spans="1:8" x14ac:dyDescent="0.25">
      <c r="A46" s="63">
        <f t="shared" si="0"/>
        <v>45702</v>
      </c>
      <c r="B46">
        <v>810.88</v>
      </c>
      <c r="C46">
        <v>61.08</v>
      </c>
      <c r="D46">
        <v>319.26</v>
      </c>
      <c r="E46">
        <v>195.33</v>
      </c>
      <c r="F46">
        <v>78.989999999999995</v>
      </c>
      <c r="G46">
        <v>94.83</v>
      </c>
      <c r="H46">
        <v>61.39</v>
      </c>
    </row>
    <row r="47" spans="1:8" x14ac:dyDescent="0.25">
      <c r="A47" s="63">
        <f t="shared" si="0"/>
        <v>45703</v>
      </c>
      <c r="B47">
        <v>761.6099999999999</v>
      </c>
      <c r="C47">
        <v>63.74</v>
      </c>
      <c r="D47">
        <v>273.64999999999998</v>
      </c>
      <c r="E47">
        <v>201.91</v>
      </c>
      <c r="F47">
        <v>77.92</v>
      </c>
      <c r="G47">
        <v>92.96</v>
      </c>
      <c r="H47">
        <v>51.43</v>
      </c>
    </row>
    <row r="48" spans="1:8" x14ac:dyDescent="0.25">
      <c r="A48" s="63">
        <f t="shared" si="0"/>
        <v>45704</v>
      </c>
      <c r="B48">
        <v>730.70000000099992</v>
      </c>
      <c r="C48">
        <v>66.86</v>
      </c>
      <c r="D48">
        <v>299.35000000000002</v>
      </c>
      <c r="E48">
        <v>199.15</v>
      </c>
      <c r="F48">
        <v>79.92</v>
      </c>
      <c r="G48">
        <v>85.42</v>
      </c>
      <c r="H48">
        <v>1.0000000000000001E-9</v>
      </c>
    </row>
    <row r="49" spans="1:8" x14ac:dyDescent="0.25">
      <c r="A49" s="63">
        <f t="shared" si="0"/>
        <v>45705</v>
      </c>
      <c r="B49">
        <v>814.01</v>
      </c>
      <c r="C49">
        <v>66.3</v>
      </c>
      <c r="D49">
        <v>328.29</v>
      </c>
      <c r="E49">
        <v>203.11</v>
      </c>
      <c r="F49">
        <v>67.47</v>
      </c>
      <c r="G49">
        <v>92.78</v>
      </c>
      <c r="H49">
        <v>56.06</v>
      </c>
    </row>
    <row r="50" spans="1:8" x14ac:dyDescent="0.25">
      <c r="A50" s="63">
        <f t="shared" si="0"/>
        <v>45706</v>
      </c>
      <c r="B50">
        <v>858.3</v>
      </c>
      <c r="C50">
        <v>61.12</v>
      </c>
      <c r="D50">
        <v>387.55</v>
      </c>
      <c r="E50">
        <v>206.84</v>
      </c>
      <c r="F50">
        <v>64.849999999999994</v>
      </c>
      <c r="G50">
        <v>86.18</v>
      </c>
      <c r="H50">
        <v>51.76</v>
      </c>
    </row>
    <row r="51" spans="1:8" x14ac:dyDescent="0.25">
      <c r="A51" s="63">
        <f t="shared" si="0"/>
        <v>45707</v>
      </c>
      <c r="B51">
        <v>792.84</v>
      </c>
      <c r="C51">
        <v>73.58</v>
      </c>
      <c r="D51">
        <v>324.5</v>
      </c>
      <c r="E51">
        <v>210.45</v>
      </c>
      <c r="F51">
        <v>63.39</v>
      </c>
      <c r="G51">
        <v>66.58</v>
      </c>
      <c r="H51">
        <v>54.34</v>
      </c>
    </row>
    <row r="52" spans="1:8" x14ac:dyDescent="0.25">
      <c r="A52" s="63">
        <f t="shared" si="0"/>
        <v>45708</v>
      </c>
      <c r="B52">
        <v>741.6400000000001</v>
      </c>
      <c r="C52">
        <v>74.64</v>
      </c>
      <c r="D52">
        <v>312.42</v>
      </c>
      <c r="E52">
        <v>199.36</v>
      </c>
      <c r="F52">
        <v>59.51</v>
      </c>
      <c r="G52">
        <v>57.51</v>
      </c>
      <c r="H52">
        <v>38.199999999999996</v>
      </c>
    </row>
    <row r="53" spans="1:8" x14ac:dyDescent="0.25">
      <c r="A53" s="63">
        <f t="shared" si="0"/>
        <v>45709</v>
      </c>
      <c r="B53">
        <v>806.25</v>
      </c>
      <c r="C53">
        <v>58.62</v>
      </c>
      <c r="D53">
        <v>354.79</v>
      </c>
      <c r="E53">
        <v>201.36</v>
      </c>
      <c r="F53">
        <v>85.01</v>
      </c>
      <c r="G53">
        <v>58.7</v>
      </c>
      <c r="H53">
        <v>47.77</v>
      </c>
    </row>
    <row r="54" spans="1:8" x14ac:dyDescent="0.25">
      <c r="A54" s="63">
        <f t="shared" si="0"/>
        <v>45710</v>
      </c>
      <c r="B54">
        <v>431.76000000000005</v>
      </c>
      <c r="C54">
        <v>26.36</v>
      </c>
      <c r="D54">
        <v>169.9</v>
      </c>
      <c r="E54">
        <v>104.09</v>
      </c>
      <c r="F54">
        <v>38.99</v>
      </c>
      <c r="G54">
        <v>40.1</v>
      </c>
      <c r="H54">
        <v>52.32</v>
      </c>
    </row>
    <row r="55" spans="1:8" x14ac:dyDescent="0.25">
      <c r="A55" s="63">
        <f t="shared" si="0"/>
        <v>45711</v>
      </c>
      <c r="B55">
        <v>0</v>
      </c>
    </row>
    <row r="56" spans="1:8" x14ac:dyDescent="0.25">
      <c r="A56" s="63">
        <f t="shared" si="0"/>
        <v>45712</v>
      </c>
      <c r="B56">
        <v>924.84</v>
      </c>
      <c r="C56">
        <v>84.56</v>
      </c>
      <c r="D56">
        <v>380.01</v>
      </c>
      <c r="E56">
        <v>217.87</v>
      </c>
      <c r="F56">
        <v>84.17</v>
      </c>
      <c r="G56">
        <v>98.5</v>
      </c>
      <c r="H56">
        <v>59.73</v>
      </c>
    </row>
    <row r="57" spans="1:8" x14ac:dyDescent="0.25">
      <c r="A57" s="63">
        <f t="shared" si="0"/>
        <v>45713</v>
      </c>
      <c r="B57">
        <v>834.49</v>
      </c>
      <c r="C57">
        <v>54</v>
      </c>
      <c r="D57">
        <v>364.1</v>
      </c>
      <c r="E57">
        <v>186.02</v>
      </c>
      <c r="F57">
        <v>77.3</v>
      </c>
      <c r="G57">
        <v>96.59</v>
      </c>
      <c r="H57">
        <v>56.48</v>
      </c>
    </row>
    <row r="58" spans="1:8" x14ac:dyDescent="0.25">
      <c r="A58" s="63">
        <f t="shared" si="0"/>
        <v>45714</v>
      </c>
      <c r="B58">
        <v>821.63000000000011</v>
      </c>
      <c r="C58">
        <v>73.790000000000006</v>
      </c>
      <c r="D58">
        <v>343.91</v>
      </c>
      <c r="E58">
        <v>187.59</v>
      </c>
      <c r="F58">
        <v>88.91</v>
      </c>
      <c r="G58">
        <v>75.19</v>
      </c>
      <c r="H58">
        <v>52.24</v>
      </c>
    </row>
    <row r="59" spans="1:8" x14ac:dyDescent="0.25">
      <c r="A59" s="63">
        <f t="shared" si="0"/>
        <v>45715</v>
      </c>
      <c r="B59">
        <v>967.07</v>
      </c>
      <c r="C59">
        <v>82.13</v>
      </c>
      <c r="D59">
        <v>433.62</v>
      </c>
      <c r="E59">
        <v>203.19</v>
      </c>
      <c r="F59">
        <v>89.71</v>
      </c>
      <c r="G59">
        <v>103.07</v>
      </c>
      <c r="H59">
        <v>55.35</v>
      </c>
    </row>
    <row r="60" spans="1:8" x14ac:dyDescent="0.25">
      <c r="A60" s="63">
        <f t="shared" si="0"/>
        <v>45716</v>
      </c>
      <c r="B60">
        <v>853.47</v>
      </c>
      <c r="C60">
        <v>69.14</v>
      </c>
      <c r="D60">
        <v>347.68</v>
      </c>
      <c r="E60">
        <v>209.81</v>
      </c>
      <c r="F60">
        <v>77.459999999999994</v>
      </c>
      <c r="G60">
        <v>101.43</v>
      </c>
      <c r="H60">
        <v>47.95</v>
      </c>
    </row>
    <row r="61" spans="1:8" x14ac:dyDescent="0.25">
      <c r="A61" s="63">
        <f t="shared" si="0"/>
        <v>45717</v>
      </c>
      <c r="B61">
        <v>1.36</v>
      </c>
      <c r="D61">
        <v>1.36</v>
      </c>
    </row>
    <row r="62" spans="1:8" x14ac:dyDescent="0.25">
      <c r="A62" s="63">
        <f t="shared" si="0"/>
        <v>45718</v>
      </c>
      <c r="B62">
        <v>0</v>
      </c>
    </row>
    <row r="63" spans="1:8" x14ac:dyDescent="0.25">
      <c r="A63" s="63">
        <f t="shared" si="0"/>
        <v>45719</v>
      </c>
      <c r="B63">
        <v>738.04000000000008</v>
      </c>
      <c r="C63">
        <v>44.39</v>
      </c>
      <c r="D63">
        <v>313.75</v>
      </c>
      <c r="E63">
        <v>195.74</v>
      </c>
      <c r="F63">
        <v>57.07</v>
      </c>
      <c r="G63">
        <v>82.18</v>
      </c>
      <c r="H63">
        <v>44.91</v>
      </c>
    </row>
    <row r="64" spans="1:8" x14ac:dyDescent="0.25">
      <c r="A64" s="63">
        <f t="shared" si="0"/>
        <v>45720</v>
      </c>
      <c r="B64">
        <v>513.2700000000001</v>
      </c>
      <c r="C64">
        <v>30.42</v>
      </c>
      <c r="D64">
        <v>142.30000000000001</v>
      </c>
      <c r="E64">
        <v>177.83</v>
      </c>
      <c r="F64">
        <v>57.72</v>
      </c>
      <c r="G64">
        <v>62.11</v>
      </c>
      <c r="H64">
        <v>42.89</v>
      </c>
    </row>
    <row r="65" spans="1:8" x14ac:dyDescent="0.25">
      <c r="A65" s="63">
        <f t="shared" si="0"/>
        <v>45721</v>
      </c>
      <c r="B65">
        <v>547.46</v>
      </c>
      <c r="C65">
        <v>27.93</v>
      </c>
      <c r="D65">
        <v>168.9</v>
      </c>
      <c r="E65">
        <v>183.21</v>
      </c>
      <c r="F65">
        <v>63.69</v>
      </c>
      <c r="G65">
        <v>62.54</v>
      </c>
      <c r="H65">
        <v>41.19</v>
      </c>
    </row>
    <row r="66" spans="1:8" x14ac:dyDescent="0.25">
      <c r="A66" s="63">
        <f t="shared" si="0"/>
        <v>45722</v>
      </c>
      <c r="B66">
        <v>477.15000000000003</v>
      </c>
      <c r="C66">
        <v>30.22</v>
      </c>
      <c r="D66">
        <v>134.80000000000001</v>
      </c>
      <c r="E66">
        <v>154.83000000000001</v>
      </c>
      <c r="F66">
        <v>77.489999999999995</v>
      </c>
      <c r="G66">
        <v>42.92</v>
      </c>
      <c r="H66">
        <v>36.89</v>
      </c>
    </row>
    <row r="67" spans="1:8" x14ac:dyDescent="0.25">
      <c r="A67" s="63">
        <f t="shared" si="0"/>
        <v>45723</v>
      </c>
      <c r="B67">
        <v>346.03999999999996</v>
      </c>
      <c r="C67">
        <v>17.87</v>
      </c>
      <c r="D67">
        <v>135.97</v>
      </c>
      <c r="E67">
        <v>80.77</v>
      </c>
      <c r="F67">
        <v>41.03</v>
      </c>
      <c r="G67">
        <v>33.9</v>
      </c>
      <c r="H67">
        <v>36.5</v>
      </c>
    </row>
    <row r="68" spans="1:8" x14ac:dyDescent="0.25">
      <c r="A68" s="63">
        <f t="shared" ref="A68:A131" si="1">A67+1</f>
        <v>45724</v>
      </c>
      <c r="B68">
        <v>0</v>
      </c>
    </row>
    <row r="69" spans="1:8" x14ac:dyDescent="0.25">
      <c r="A69" s="63">
        <f t="shared" si="1"/>
        <v>45725</v>
      </c>
      <c r="B69">
        <v>0</v>
      </c>
    </row>
    <row r="70" spans="1:8" x14ac:dyDescent="0.25">
      <c r="A70" s="63">
        <f t="shared" si="1"/>
        <v>45726</v>
      </c>
      <c r="B70">
        <v>745.19</v>
      </c>
      <c r="C70">
        <v>40.86</v>
      </c>
      <c r="D70">
        <v>315.74</v>
      </c>
      <c r="E70">
        <v>173.57</v>
      </c>
      <c r="F70">
        <v>79.13</v>
      </c>
      <c r="G70">
        <v>94.79</v>
      </c>
      <c r="H70">
        <v>41.1</v>
      </c>
    </row>
    <row r="71" spans="1:8" x14ac:dyDescent="0.25">
      <c r="A71" s="63">
        <f t="shared" si="1"/>
        <v>45727</v>
      </c>
      <c r="B71">
        <v>520.11</v>
      </c>
      <c r="C71">
        <v>38.9</v>
      </c>
      <c r="D71">
        <v>168.52</v>
      </c>
      <c r="E71">
        <v>167.06</v>
      </c>
      <c r="F71">
        <v>55.330000000000005</v>
      </c>
      <c r="G71">
        <v>68.540000000000006</v>
      </c>
      <c r="H71">
        <v>21.76</v>
      </c>
    </row>
    <row r="72" spans="1:8" x14ac:dyDescent="0.25">
      <c r="A72" s="63">
        <f t="shared" si="1"/>
        <v>45728</v>
      </c>
      <c r="B72">
        <v>469.28</v>
      </c>
      <c r="C72">
        <v>42.3</v>
      </c>
      <c r="D72">
        <v>142.41999999999999</v>
      </c>
      <c r="E72">
        <v>162.65</v>
      </c>
      <c r="F72">
        <v>53.02</v>
      </c>
      <c r="G72">
        <v>48.18</v>
      </c>
      <c r="H72">
        <v>20.71</v>
      </c>
    </row>
    <row r="73" spans="1:8" x14ac:dyDescent="0.25">
      <c r="A73" s="63">
        <f t="shared" si="1"/>
        <v>45729</v>
      </c>
      <c r="B73">
        <v>470.15</v>
      </c>
      <c r="C73">
        <v>44.19</v>
      </c>
      <c r="D73">
        <v>140.51</v>
      </c>
      <c r="E73">
        <v>171.68</v>
      </c>
      <c r="F73">
        <v>48.26</v>
      </c>
      <c r="G73">
        <v>40.79</v>
      </c>
      <c r="H73">
        <v>24.72</v>
      </c>
    </row>
    <row r="74" spans="1:8" x14ac:dyDescent="0.25">
      <c r="A74" s="63">
        <f t="shared" si="1"/>
        <v>45730</v>
      </c>
      <c r="B74">
        <v>464.08</v>
      </c>
      <c r="C74">
        <v>24.28</v>
      </c>
      <c r="D74">
        <v>136.13999999999999</v>
      </c>
      <c r="E74">
        <v>104.22</v>
      </c>
      <c r="F74">
        <v>93.31</v>
      </c>
      <c r="G74">
        <v>61.24</v>
      </c>
      <c r="H74">
        <v>44.89</v>
      </c>
    </row>
    <row r="75" spans="1:8" x14ac:dyDescent="0.25">
      <c r="A75" s="63">
        <f t="shared" si="1"/>
        <v>45731</v>
      </c>
      <c r="B75">
        <v>0</v>
      </c>
    </row>
    <row r="76" spans="1:8" x14ac:dyDescent="0.25">
      <c r="A76" s="63">
        <f t="shared" si="1"/>
        <v>45732</v>
      </c>
      <c r="B76">
        <v>0</v>
      </c>
    </row>
    <row r="77" spans="1:8" x14ac:dyDescent="0.25">
      <c r="A77" s="63">
        <f t="shared" si="1"/>
        <v>45733</v>
      </c>
      <c r="B77">
        <v>930.33999999999992</v>
      </c>
      <c r="C77">
        <v>50.62</v>
      </c>
      <c r="D77">
        <v>385.77</v>
      </c>
      <c r="E77">
        <v>240.51</v>
      </c>
      <c r="F77">
        <v>99.75</v>
      </c>
      <c r="G77">
        <v>107.63</v>
      </c>
      <c r="H77">
        <v>46.06</v>
      </c>
    </row>
    <row r="78" spans="1:8" x14ac:dyDescent="0.25">
      <c r="A78" s="63">
        <f t="shared" si="1"/>
        <v>45734</v>
      </c>
      <c r="B78">
        <v>1021.3299999999999</v>
      </c>
      <c r="C78">
        <v>76.02</v>
      </c>
      <c r="D78">
        <v>428.6</v>
      </c>
      <c r="E78">
        <v>245.79</v>
      </c>
      <c r="F78">
        <v>103.01</v>
      </c>
      <c r="G78">
        <v>120.55</v>
      </c>
      <c r="H78">
        <v>47.36</v>
      </c>
    </row>
    <row r="79" spans="1:8" x14ac:dyDescent="0.25">
      <c r="A79" s="63">
        <f t="shared" si="1"/>
        <v>45735</v>
      </c>
      <c r="B79">
        <v>927.93999999999994</v>
      </c>
      <c r="C79">
        <v>68.12</v>
      </c>
      <c r="D79">
        <v>347.77</v>
      </c>
      <c r="E79">
        <v>251.5</v>
      </c>
      <c r="F79">
        <v>90.35</v>
      </c>
      <c r="G79">
        <v>120.82</v>
      </c>
      <c r="H79">
        <v>49.38</v>
      </c>
    </row>
    <row r="80" spans="1:8" x14ac:dyDescent="0.25">
      <c r="A80" s="63">
        <f t="shared" si="1"/>
        <v>45736</v>
      </c>
      <c r="B80">
        <v>319.15999999999997</v>
      </c>
      <c r="C80">
        <v>25.29</v>
      </c>
      <c r="D80">
        <v>89.42</v>
      </c>
      <c r="E80">
        <v>67.41</v>
      </c>
      <c r="F80">
        <v>49.07</v>
      </c>
      <c r="G80">
        <v>41.56</v>
      </c>
      <c r="H80">
        <v>46.41</v>
      </c>
    </row>
    <row r="81" spans="1:8" x14ac:dyDescent="0.25">
      <c r="A81" s="63">
        <f t="shared" si="1"/>
        <v>45737</v>
      </c>
      <c r="B81">
        <v>0</v>
      </c>
    </row>
    <row r="82" spans="1:8" x14ac:dyDescent="0.25">
      <c r="A82" s="63">
        <f t="shared" si="1"/>
        <v>45738</v>
      </c>
      <c r="B82">
        <v>0</v>
      </c>
    </row>
    <row r="83" spans="1:8" x14ac:dyDescent="0.25">
      <c r="A83" s="63">
        <f t="shared" si="1"/>
        <v>45739</v>
      </c>
      <c r="B83">
        <v>0</v>
      </c>
    </row>
    <row r="84" spans="1:8" x14ac:dyDescent="0.25">
      <c r="A84" s="63">
        <f t="shared" si="1"/>
        <v>45740</v>
      </c>
      <c r="B84">
        <v>554.78</v>
      </c>
      <c r="C84">
        <v>30.84</v>
      </c>
      <c r="D84">
        <v>215.57</v>
      </c>
      <c r="E84">
        <v>163.76</v>
      </c>
      <c r="F84">
        <v>72.59</v>
      </c>
      <c r="G84">
        <v>38.090000000000003</v>
      </c>
      <c r="H84">
        <v>33.93</v>
      </c>
    </row>
    <row r="85" spans="1:8" x14ac:dyDescent="0.25">
      <c r="A85" s="63">
        <f t="shared" si="1"/>
        <v>45741</v>
      </c>
      <c r="B85">
        <v>487.48</v>
      </c>
      <c r="C85">
        <v>22.48</v>
      </c>
      <c r="D85">
        <v>142.54</v>
      </c>
      <c r="E85">
        <v>147.11000000000001</v>
      </c>
      <c r="F85">
        <v>76.55</v>
      </c>
      <c r="G85">
        <v>55.52</v>
      </c>
      <c r="H85">
        <v>43.28</v>
      </c>
    </row>
    <row r="86" spans="1:8" x14ac:dyDescent="0.25">
      <c r="A86" s="63">
        <f t="shared" si="1"/>
        <v>45742</v>
      </c>
      <c r="B86">
        <v>404.39</v>
      </c>
      <c r="C86">
        <v>8.6999999999999993</v>
      </c>
      <c r="D86">
        <v>122.26</v>
      </c>
      <c r="E86">
        <v>79.489999999999995</v>
      </c>
      <c r="F86">
        <v>63.71</v>
      </c>
      <c r="G86">
        <v>81.210000000000008</v>
      </c>
      <c r="H86">
        <v>49.02</v>
      </c>
    </row>
    <row r="87" spans="1:8" x14ac:dyDescent="0.25">
      <c r="A87" s="63">
        <f t="shared" si="1"/>
        <v>45743</v>
      </c>
      <c r="B87">
        <v>0.54</v>
      </c>
      <c r="G87">
        <v>0.54</v>
      </c>
    </row>
    <row r="88" spans="1:8" x14ac:dyDescent="0.25">
      <c r="A88" s="63">
        <f t="shared" si="1"/>
        <v>45744</v>
      </c>
      <c r="B88">
        <v>0</v>
      </c>
    </row>
    <row r="89" spans="1:8" x14ac:dyDescent="0.25">
      <c r="A89" s="63">
        <f t="shared" si="1"/>
        <v>45745</v>
      </c>
      <c r="B89">
        <v>0</v>
      </c>
    </row>
    <row r="90" spans="1:8" x14ac:dyDescent="0.25">
      <c r="A90" s="63">
        <f t="shared" si="1"/>
        <v>45746</v>
      </c>
      <c r="B90">
        <v>0</v>
      </c>
    </row>
    <row r="91" spans="1:8" x14ac:dyDescent="0.25">
      <c r="A91" s="63">
        <f t="shared" si="1"/>
        <v>45747</v>
      </c>
      <c r="B91">
        <v>549.97</v>
      </c>
      <c r="C91">
        <v>36.35</v>
      </c>
      <c r="D91">
        <v>233.96</v>
      </c>
      <c r="E91">
        <v>127.54</v>
      </c>
      <c r="F91">
        <v>48.03</v>
      </c>
      <c r="G91">
        <v>55.94</v>
      </c>
      <c r="H91">
        <v>48.15</v>
      </c>
    </row>
    <row r="92" spans="1:8" x14ac:dyDescent="0.25">
      <c r="A92" s="63">
        <f t="shared" si="1"/>
        <v>45748</v>
      </c>
      <c r="B92">
        <v>555.01</v>
      </c>
      <c r="C92">
        <v>40.090000000000003</v>
      </c>
      <c r="D92">
        <v>208.05</v>
      </c>
      <c r="E92">
        <v>130.59</v>
      </c>
      <c r="F92">
        <v>74.33</v>
      </c>
      <c r="G92">
        <v>55.23</v>
      </c>
      <c r="H92">
        <v>46.72</v>
      </c>
    </row>
    <row r="93" spans="1:8" x14ac:dyDescent="0.25">
      <c r="A93" s="63">
        <f t="shared" si="1"/>
        <v>45749</v>
      </c>
      <c r="B93">
        <v>482.86</v>
      </c>
      <c r="C93">
        <v>37.700000000000003</v>
      </c>
      <c r="D93">
        <v>171.05</v>
      </c>
      <c r="E93">
        <v>130.06</v>
      </c>
      <c r="F93">
        <v>48.26</v>
      </c>
      <c r="G93">
        <v>50.86</v>
      </c>
      <c r="H93">
        <v>44.93</v>
      </c>
    </row>
    <row r="94" spans="1:8" x14ac:dyDescent="0.25">
      <c r="A94" s="63">
        <f t="shared" si="1"/>
        <v>45750</v>
      </c>
      <c r="B94">
        <v>421.62</v>
      </c>
      <c r="C94">
        <v>23.74</v>
      </c>
      <c r="D94">
        <v>145.44999999999999</v>
      </c>
      <c r="E94">
        <v>126.29</v>
      </c>
      <c r="F94">
        <v>42.89</v>
      </c>
      <c r="G94">
        <v>49.14</v>
      </c>
      <c r="H94">
        <v>34.11</v>
      </c>
    </row>
    <row r="95" spans="1:8" x14ac:dyDescent="0.25">
      <c r="A95" s="63">
        <f t="shared" si="1"/>
        <v>45751</v>
      </c>
      <c r="B95">
        <v>446.40000000000009</v>
      </c>
      <c r="C95">
        <v>20.260000000000002</v>
      </c>
      <c r="D95">
        <v>163.54</v>
      </c>
      <c r="E95">
        <v>137.55000000000001</v>
      </c>
      <c r="F95">
        <v>44.59</v>
      </c>
      <c r="G95">
        <v>43.85</v>
      </c>
      <c r="H95">
        <v>36.61</v>
      </c>
    </row>
    <row r="96" spans="1:8" x14ac:dyDescent="0.25">
      <c r="A96" s="63">
        <f t="shared" si="1"/>
        <v>45752</v>
      </c>
      <c r="B96">
        <v>0</v>
      </c>
    </row>
    <row r="97" spans="1:8" x14ac:dyDescent="0.25">
      <c r="A97" s="63">
        <f t="shared" si="1"/>
        <v>45753</v>
      </c>
      <c r="B97">
        <v>0</v>
      </c>
    </row>
    <row r="98" spans="1:8" x14ac:dyDescent="0.25">
      <c r="A98" s="63">
        <f t="shared" si="1"/>
        <v>45754</v>
      </c>
      <c r="B98">
        <v>508.42999999999995</v>
      </c>
      <c r="C98">
        <v>32.65</v>
      </c>
      <c r="D98">
        <v>230.68</v>
      </c>
      <c r="E98">
        <v>116.12</v>
      </c>
      <c r="F98">
        <v>48.2</v>
      </c>
      <c r="G98">
        <v>51.07</v>
      </c>
      <c r="H98">
        <v>29.71</v>
      </c>
    </row>
    <row r="99" spans="1:8" x14ac:dyDescent="0.25">
      <c r="A99" s="63">
        <f t="shared" si="1"/>
        <v>45755</v>
      </c>
      <c r="B99">
        <v>510.15999999999997</v>
      </c>
      <c r="C99">
        <v>45.49</v>
      </c>
      <c r="D99">
        <v>210.19</v>
      </c>
      <c r="E99">
        <v>127.43</v>
      </c>
      <c r="F99">
        <v>41.15</v>
      </c>
      <c r="G99">
        <v>52.28</v>
      </c>
      <c r="H99">
        <v>33.619999999999997</v>
      </c>
    </row>
    <row r="100" spans="1:8" x14ac:dyDescent="0.25">
      <c r="A100" s="63">
        <f t="shared" si="1"/>
        <v>45756</v>
      </c>
      <c r="B100">
        <v>523.75</v>
      </c>
      <c r="C100">
        <v>50.21</v>
      </c>
      <c r="D100">
        <v>228.05</v>
      </c>
      <c r="E100">
        <v>127.43</v>
      </c>
      <c r="F100">
        <v>40.43</v>
      </c>
      <c r="G100">
        <v>48.91</v>
      </c>
      <c r="H100">
        <v>28.72</v>
      </c>
    </row>
    <row r="101" spans="1:8" x14ac:dyDescent="0.25">
      <c r="A101" s="63">
        <f t="shared" si="1"/>
        <v>45757</v>
      </c>
      <c r="B101">
        <v>472.03</v>
      </c>
      <c r="C101">
        <v>48.05</v>
      </c>
      <c r="D101">
        <v>186.13</v>
      </c>
      <c r="E101">
        <v>129.46</v>
      </c>
      <c r="F101">
        <v>35.49</v>
      </c>
      <c r="G101">
        <v>41.32</v>
      </c>
      <c r="H101">
        <v>31.58</v>
      </c>
    </row>
    <row r="102" spans="1:8" x14ac:dyDescent="0.25">
      <c r="A102" s="63">
        <f t="shared" si="1"/>
        <v>45758</v>
      </c>
      <c r="B102">
        <v>474.46999999999997</v>
      </c>
      <c r="C102">
        <v>36.94</v>
      </c>
      <c r="D102">
        <v>184.2</v>
      </c>
      <c r="E102">
        <v>109.26</v>
      </c>
      <c r="F102">
        <v>44.6</v>
      </c>
      <c r="G102">
        <v>60.52</v>
      </c>
      <c r="H102">
        <v>38.950000000000003</v>
      </c>
    </row>
    <row r="103" spans="1:8" x14ac:dyDescent="0.25">
      <c r="A103" s="63">
        <f t="shared" si="1"/>
        <v>45759</v>
      </c>
      <c r="B103">
        <v>0</v>
      </c>
    </row>
    <row r="104" spans="1:8" x14ac:dyDescent="0.25">
      <c r="A104" s="63">
        <f t="shared" si="1"/>
        <v>45760</v>
      </c>
      <c r="B104">
        <v>0</v>
      </c>
    </row>
    <row r="105" spans="1:8" x14ac:dyDescent="0.25">
      <c r="A105" s="63">
        <f t="shared" si="1"/>
        <v>45761</v>
      </c>
      <c r="B105">
        <v>556.16999999999996</v>
      </c>
      <c r="C105">
        <v>55.42</v>
      </c>
      <c r="D105">
        <v>210.01</v>
      </c>
      <c r="E105">
        <v>131.05000000000001</v>
      </c>
      <c r="F105">
        <v>51.63</v>
      </c>
      <c r="G105">
        <v>65.91</v>
      </c>
      <c r="H105">
        <v>42.15</v>
      </c>
    </row>
    <row r="106" spans="1:8" x14ac:dyDescent="0.25">
      <c r="A106" s="63">
        <f t="shared" si="1"/>
        <v>45762</v>
      </c>
      <c r="B106">
        <v>503.76</v>
      </c>
      <c r="C106">
        <v>53.38</v>
      </c>
      <c r="D106">
        <v>176.57</v>
      </c>
      <c r="E106">
        <v>121.51</v>
      </c>
      <c r="F106">
        <v>49.42</v>
      </c>
      <c r="G106">
        <v>61.14</v>
      </c>
      <c r="H106">
        <v>41.74</v>
      </c>
    </row>
    <row r="107" spans="1:8" x14ac:dyDescent="0.25">
      <c r="A107" s="63">
        <f t="shared" si="1"/>
        <v>45763</v>
      </c>
      <c r="B107">
        <v>483.15</v>
      </c>
      <c r="C107">
        <v>46.12</v>
      </c>
      <c r="D107">
        <v>175.05</v>
      </c>
      <c r="E107">
        <v>125.57</v>
      </c>
      <c r="F107">
        <v>42.41</v>
      </c>
      <c r="G107">
        <v>54.33</v>
      </c>
      <c r="H107">
        <v>39.67</v>
      </c>
    </row>
    <row r="108" spans="1:8" x14ac:dyDescent="0.25">
      <c r="A108" s="63">
        <f t="shared" si="1"/>
        <v>45764</v>
      </c>
      <c r="B108">
        <v>386.11</v>
      </c>
      <c r="C108">
        <v>38.229999999999997</v>
      </c>
      <c r="D108">
        <v>133.03</v>
      </c>
      <c r="E108">
        <v>102.3</v>
      </c>
      <c r="F108">
        <v>39.200000000000003</v>
      </c>
      <c r="G108">
        <v>33.67</v>
      </c>
      <c r="H108">
        <v>39.68</v>
      </c>
    </row>
    <row r="109" spans="1:8" x14ac:dyDescent="0.25">
      <c r="A109" s="63">
        <f t="shared" si="1"/>
        <v>45765</v>
      </c>
      <c r="B109">
        <v>377.32</v>
      </c>
      <c r="C109">
        <v>29.75</v>
      </c>
      <c r="D109">
        <v>158.49</v>
      </c>
      <c r="E109">
        <v>110.39</v>
      </c>
      <c r="F109">
        <v>32.35</v>
      </c>
      <c r="G109">
        <v>20.02</v>
      </c>
      <c r="H109">
        <v>26.32</v>
      </c>
    </row>
    <row r="110" spans="1:8" x14ac:dyDescent="0.25">
      <c r="A110" s="63">
        <f t="shared" si="1"/>
        <v>45766</v>
      </c>
      <c r="B110">
        <v>0</v>
      </c>
    </row>
    <row r="111" spans="1:8" x14ac:dyDescent="0.25">
      <c r="A111" s="63">
        <f t="shared" si="1"/>
        <v>45767</v>
      </c>
      <c r="B111">
        <v>0</v>
      </c>
    </row>
    <row r="112" spans="1:8" x14ac:dyDescent="0.25">
      <c r="A112" s="63">
        <f t="shared" si="1"/>
        <v>45768</v>
      </c>
      <c r="B112">
        <v>490.38999999999993</v>
      </c>
      <c r="C112">
        <v>43.44</v>
      </c>
      <c r="D112">
        <v>173.95</v>
      </c>
      <c r="E112">
        <v>124.82</v>
      </c>
      <c r="F112">
        <v>58.09</v>
      </c>
      <c r="G112">
        <v>49.95</v>
      </c>
      <c r="H112">
        <v>40.14</v>
      </c>
    </row>
    <row r="113" spans="1:8" x14ac:dyDescent="0.25">
      <c r="A113" s="63">
        <f t="shared" si="1"/>
        <v>45769</v>
      </c>
      <c r="B113">
        <v>537.63999999999987</v>
      </c>
      <c r="C113">
        <v>41.19</v>
      </c>
      <c r="D113">
        <v>218.76</v>
      </c>
      <c r="E113">
        <v>132.72</v>
      </c>
      <c r="F113">
        <v>58.21</v>
      </c>
      <c r="G113">
        <v>49.59</v>
      </c>
      <c r="H113">
        <v>37.17</v>
      </c>
    </row>
    <row r="114" spans="1:8" x14ac:dyDescent="0.25">
      <c r="A114" s="63">
        <f t="shared" si="1"/>
        <v>45770</v>
      </c>
      <c r="B114">
        <v>501.62</v>
      </c>
      <c r="C114">
        <v>33.51</v>
      </c>
      <c r="D114">
        <v>185.46</v>
      </c>
      <c r="E114">
        <v>143.31</v>
      </c>
      <c r="F114">
        <v>53.34</v>
      </c>
      <c r="G114">
        <v>48.42</v>
      </c>
      <c r="H114">
        <v>37.58</v>
      </c>
    </row>
    <row r="115" spans="1:8" x14ac:dyDescent="0.25">
      <c r="A115" s="63">
        <f t="shared" si="1"/>
        <v>45771</v>
      </c>
      <c r="B115">
        <v>391.67999999999995</v>
      </c>
      <c r="C115">
        <v>26.63</v>
      </c>
      <c r="D115">
        <v>130.97999999999999</v>
      </c>
      <c r="E115">
        <v>131.05000000000001</v>
      </c>
      <c r="F115">
        <v>43.19</v>
      </c>
      <c r="G115">
        <v>21.2</v>
      </c>
      <c r="H115">
        <v>38.630000000000003</v>
      </c>
    </row>
    <row r="116" spans="1:8" x14ac:dyDescent="0.25">
      <c r="A116" s="63">
        <f t="shared" si="1"/>
        <v>45772</v>
      </c>
      <c r="B116">
        <v>501.28999999999996</v>
      </c>
      <c r="C116">
        <v>26.95</v>
      </c>
      <c r="D116">
        <v>231.47</v>
      </c>
      <c r="E116">
        <v>93.47</v>
      </c>
      <c r="F116">
        <v>50.71</v>
      </c>
      <c r="G116">
        <v>53.85</v>
      </c>
      <c r="H116">
        <v>44.84</v>
      </c>
    </row>
    <row r="117" spans="1:8" x14ac:dyDescent="0.25">
      <c r="A117" s="63">
        <f t="shared" si="1"/>
        <v>45773</v>
      </c>
      <c r="B117">
        <v>0</v>
      </c>
    </row>
    <row r="118" spans="1:8" x14ac:dyDescent="0.25">
      <c r="A118" s="63">
        <f t="shared" si="1"/>
        <v>45774</v>
      </c>
      <c r="B118">
        <v>0</v>
      </c>
    </row>
    <row r="119" spans="1:8" x14ac:dyDescent="0.25">
      <c r="A119" s="63">
        <f t="shared" si="1"/>
        <v>45775</v>
      </c>
      <c r="B119">
        <v>509.25</v>
      </c>
      <c r="C119">
        <v>34.64</v>
      </c>
      <c r="D119">
        <v>197.99</v>
      </c>
      <c r="E119">
        <v>120.19</v>
      </c>
      <c r="F119">
        <v>60.27</v>
      </c>
      <c r="G119">
        <v>55.88</v>
      </c>
      <c r="H119">
        <v>40.28</v>
      </c>
    </row>
    <row r="120" spans="1:8" x14ac:dyDescent="0.25">
      <c r="A120" s="63">
        <f t="shared" si="1"/>
        <v>45776</v>
      </c>
      <c r="B120">
        <v>443.81</v>
      </c>
      <c r="C120">
        <v>26.33</v>
      </c>
      <c r="D120">
        <v>147.78</v>
      </c>
      <c r="E120">
        <v>133.25</v>
      </c>
      <c r="F120">
        <v>57.77</v>
      </c>
      <c r="G120">
        <v>43.11</v>
      </c>
      <c r="H120">
        <v>35.569999999999993</v>
      </c>
    </row>
    <row r="121" spans="1:8" x14ac:dyDescent="0.25">
      <c r="A121" s="63">
        <f t="shared" si="1"/>
        <v>45777</v>
      </c>
      <c r="B121">
        <v>2.16</v>
      </c>
      <c r="H121">
        <v>2.16</v>
      </c>
    </row>
    <row r="122" spans="1:8" x14ac:dyDescent="0.25">
      <c r="A122" s="63">
        <f t="shared" si="1"/>
        <v>45778</v>
      </c>
      <c r="B122">
        <v>0</v>
      </c>
    </row>
    <row r="123" spans="1:8" x14ac:dyDescent="0.25">
      <c r="A123" s="63">
        <f t="shared" si="1"/>
        <v>45779</v>
      </c>
      <c r="B123">
        <v>0</v>
      </c>
    </row>
    <row r="124" spans="1:8" x14ac:dyDescent="0.25">
      <c r="A124" s="63">
        <f t="shared" si="1"/>
        <v>45780</v>
      </c>
      <c r="B124">
        <v>0</v>
      </c>
    </row>
    <row r="125" spans="1:8" x14ac:dyDescent="0.25">
      <c r="A125" s="63">
        <f t="shared" si="1"/>
        <v>45781</v>
      </c>
      <c r="B125">
        <v>0</v>
      </c>
    </row>
    <row r="126" spans="1:8" x14ac:dyDescent="0.25">
      <c r="A126" s="63">
        <f t="shared" si="1"/>
        <v>45782</v>
      </c>
      <c r="B126">
        <v>523.20999999999992</v>
      </c>
      <c r="C126">
        <v>39.729999999999997</v>
      </c>
      <c r="D126">
        <v>219.47</v>
      </c>
      <c r="E126">
        <v>130.09</v>
      </c>
      <c r="F126">
        <v>55.86</v>
      </c>
      <c r="G126">
        <v>39.07</v>
      </c>
      <c r="H126">
        <v>38.99</v>
      </c>
    </row>
    <row r="127" spans="1:8" x14ac:dyDescent="0.25">
      <c r="A127" s="63">
        <f t="shared" si="1"/>
        <v>45783</v>
      </c>
      <c r="B127">
        <v>508.08</v>
      </c>
      <c r="C127">
        <v>34.6</v>
      </c>
      <c r="D127">
        <v>187.65</v>
      </c>
      <c r="E127">
        <v>133.68</v>
      </c>
      <c r="F127">
        <v>61.39</v>
      </c>
      <c r="G127">
        <v>41.2</v>
      </c>
      <c r="H127">
        <v>49.56</v>
      </c>
    </row>
    <row r="128" spans="1:8" x14ac:dyDescent="0.25">
      <c r="A128" s="63">
        <f t="shared" si="1"/>
        <v>45784</v>
      </c>
      <c r="B128">
        <v>1.9000000000400001</v>
      </c>
      <c r="C128">
        <v>9.9999999999999994E-12</v>
      </c>
      <c r="D128">
        <v>1.36</v>
      </c>
      <c r="E128">
        <v>9.9999999999999994E-12</v>
      </c>
      <c r="F128">
        <v>9.9999999999999994E-12</v>
      </c>
      <c r="G128">
        <v>0.54</v>
      </c>
      <c r="H128">
        <v>9.9999999999999994E-12</v>
      </c>
    </row>
    <row r="129" spans="1:8" x14ac:dyDescent="0.25">
      <c r="A129" s="63">
        <f t="shared" si="1"/>
        <v>45785</v>
      </c>
      <c r="B129">
        <v>0</v>
      </c>
    </row>
    <row r="130" spans="1:8" x14ac:dyDescent="0.25">
      <c r="A130" s="63">
        <f t="shared" si="1"/>
        <v>45786</v>
      </c>
      <c r="B130">
        <v>0</v>
      </c>
    </row>
    <row r="131" spans="1:8" x14ac:dyDescent="0.25">
      <c r="A131" s="63">
        <f t="shared" si="1"/>
        <v>45787</v>
      </c>
      <c r="B131">
        <v>0</v>
      </c>
    </row>
    <row r="132" spans="1:8" x14ac:dyDescent="0.25">
      <c r="A132" s="63">
        <f t="shared" ref="A132:A195" si="2">A131+1</f>
        <v>45788</v>
      </c>
      <c r="B132">
        <v>490.53000000000003</v>
      </c>
      <c r="C132">
        <v>40.78</v>
      </c>
      <c r="D132">
        <v>204.87</v>
      </c>
      <c r="E132">
        <v>109.41</v>
      </c>
      <c r="F132">
        <v>53.43</v>
      </c>
      <c r="G132">
        <v>45.06</v>
      </c>
      <c r="H132">
        <v>36.979999999999997</v>
      </c>
    </row>
    <row r="133" spans="1:8" x14ac:dyDescent="0.25">
      <c r="A133" s="63">
        <f t="shared" si="2"/>
        <v>45789</v>
      </c>
      <c r="B133">
        <v>503.74999999999994</v>
      </c>
      <c r="C133">
        <v>42.07</v>
      </c>
      <c r="D133">
        <v>205.44</v>
      </c>
      <c r="E133">
        <v>131.63999999999999</v>
      </c>
      <c r="F133">
        <v>41.14</v>
      </c>
      <c r="G133">
        <v>34.520000000000003</v>
      </c>
      <c r="H133">
        <v>48.94</v>
      </c>
    </row>
    <row r="134" spans="1:8" x14ac:dyDescent="0.25">
      <c r="A134" s="63">
        <f t="shared" si="2"/>
        <v>45790</v>
      </c>
      <c r="B134">
        <v>417.45</v>
      </c>
      <c r="C134">
        <v>39.86</v>
      </c>
      <c r="D134">
        <v>144.22</v>
      </c>
      <c r="E134">
        <v>119.49</v>
      </c>
      <c r="F134">
        <v>38.22</v>
      </c>
      <c r="G134">
        <v>32.92</v>
      </c>
      <c r="H134">
        <v>42.74</v>
      </c>
    </row>
    <row r="135" spans="1:8" x14ac:dyDescent="0.25">
      <c r="A135" s="63">
        <f t="shared" si="2"/>
        <v>45791</v>
      </c>
      <c r="B135">
        <v>290.03000000000003</v>
      </c>
      <c r="C135">
        <v>39.32</v>
      </c>
      <c r="D135">
        <v>36.32</v>
      </c>
      <c r="E135">
        <v>116.66</v>
      </c>
      <c r="F135">
        <v>40.42</v>
      </c>
      <c r="G135">
        <v>21.53</v>
      </c>
      <c r="H135">
        <v>35.78</v>
      </c>
    </row>
    <row r="136" spans="1:8" x14ac:dyDescent="0.25">
      <c r="A136" s="63">
        <f t="shared" si="2"/>
        <v>45792</v>
      </c>
      <c r="B136">
        <v>249.3</v>
      </c>
      <c r="C136">
        <v>20.2</v>
      </c>
      <c r="D136">
        <v>20.260000000000002</v>
      </c>
      <c r="E136">
        <v>112.28</v>
      </c>
      <c r="F136">
        <v>40.020000000000003</v>
      </c>
      <c r="G136">
        <v>26.41</v>
      </c>
      <c r="H136">
        <v>30.13</v>
      </c>
    </row>
    <row r="137" spans="1:8" x14ac:dyDescent="0.25">
      <c r="A137" s="63">
        <f t="shared" si="2"/>
        <v>45793</v>
      </c>
      <c r="B137">
        <v>334.83000000000999</v>
      </c>
      <c r="C137">
        <v>32.729999999999997</v>
      </c>
      <c r="D137">
        <v>128.96</v>
      </c>
      <c r="E137">
        <v>92.77</v>
      </c>
      <c r="F137">
        <v>54.76</v>
      </c>
      <c r="G137">
        <v>25.61</v>
      </c>
      <c r="H137">
        <v>9.9999999999999994E-12</v>
      </c>
    </row>
    <row r="138" spans="1:8" x14ac:dyDescent="0.25">
      <c r="A138" s="63">
        <f t="shared" si="2"/>
        <v>45794</v>
      </c>
      <c r="B138">
        <v>0</v>
      </c>
    </row>
    <row r="139" spans="1:8" x14ac:dyDescent="0.25">
      <c r="A139" s="63">
        <f t="shared" si="2"/>
        <v>45795</v>
      </c>
      <c r="B139">
        <v>0</v>
      </c>
    </row>
    <row r="140" spans="1:8" x14ac:dyDescent="0.25">
      <c r="A140" s="63">
        <f t="shared" si="2"/>
        <v>45796</v>
      </c>
      <c r="B140">
        <v>477.97999999999996</v>
      </c>
      <c r="C140">
        <v>23.26</v>
      </c>
      <c r="D140">
        <v>210.55</v>
      </c>
      <c r="E140">
        <v>114.29</v>
      </c>
      <c r="F140">
        <v>55.96</v>
      </c>
      <c r="G140">
        <v>37.71</v>
      </c>
      <c r="H140">
        <v>36.21</v>
      </c>
    </row>
    <row r="141" spans="1:8" x14ac:dyDescent="0.25">
      <c r="A141" s="63">
        <f t="shared" si="2"/>
        <v>45797</v>
      </c>
      <c r="B141">
        <v>446.01</v>
      </c>
      <c r="C141">
        <v>42.57</v>
      </c>
      <c r="D141">
        <v>161.94</v>
      </c>
      <c r="E141">
        <v>122</v>
      </c>
      <c r="F141">
        <v>56.12</v>
      </c>
      <c r="G141">
        <v>29.95</v>
      </c>
      <c r="H141">
        <v>33.43</v>
      </c>
    </row>
    <row r="142" spans="1:8" x14ac:dyDescent="0.25">
      <c r="A142" s="63">
        <f t="shared" si="2"/>
        <v>45798</v>
      </c>
      <c r="B142">
        <v>393.96999999999997</v>
      </c>
      <c r="C142">
        <v>50.15</v>
      </c>
      <c r="D142">
        <v>140.38999999999999</v>
      </c>
      <c r="E142">
        <v>118.42</v>
      </c>
      <c r="F142">
        <v>40.590000000000003</v>
      </c>
      <c r="G142">
        <v>23.44</v>
      </c>
      <c r="H142">
        <v>20.98</v>
      </c>
    </row>
    <row r="143" spans="1:8" x14ac:dyDescent="0.25">
      <c r="A143" s="63">
        <f t="shared" si="2"/>
        <v>45799</v>
      </c>
      <c r="B143">
        <v>326.95</v>
      </c>
      <c r="C143">
        <v>42.41</v>
      </c>
      <c r="D143">
        <v>90.78</v>
      </c>
      <c r="E143">
        <v>118.24</v>
      </c>
      <c r="F143">
        <v>34.840000000000003</v>
      </c>
      <c r="G143">
        <v>19.8</v>
      </c>
      <c r="H143">
        <v>20.88</v>
      </c>
    </row>
    <row r="144" spans="1:8" x14ac:dyDescent="0.25">
      <c r="A144" s="63">
        <f t="shared" si="2"/>
        <v>45800</v>
      </c>
      <c r="B144">
        <v>460.48</v>
      </c>
      <c r="C144">
        <v>38.15</v>
      </c>
      <c r="D144">
        <v>160.47</v>
      </c>
      <c r="E144">
        <v>131.22999999999999</v>
      </c>
      <c r="F144">
        <v>42.39</v>
      </c>
      <c r="G144">
        <v>53.5</v>
      </c>
      <c r="H144">
        <v>34.74</v>
      </c>
    </row>
    <row r="145" spans="1:8" x14ac:dyDescent="0.25">
      <c r="A145" s="63">
        <f t="shared" si="2"/>
        <v>45801</v>
      </c>
      <c r="B145">
        <v>432.96000000000998</v>
      </c>
      <c r="C145">
        <v>36.47</v>
      </c>
      <c r="D145">
        <v>205.3</v>
      </c>
      <c r="E145">
        <v>95.45</v>
      </c>
      <c r="F145">
        <v>42.03</v>
      </c>
      <c r="G145">
        <v>53.71</v>
      </c>
      <c r="H145">
        <v>9.9999999999999994E-12</v>
      </c>
    </row>
    <row r="146" spans="1:8" x14ac:dyDescent="0.25">
      <c r="A146" s="63">
        <f t="shared" si="2"/>
        <v>45802</v>
      </c>
      <c r="B146">
        <v>0</v>
      </c>
    </row>
    <row r="147" spans="1:8" x14ac:dyDescent="0.25">
      <c r="A147" s="63">
        <f t="shared" si="2"/>
        <v>45803</v>
      </c>
      <c r="B147">
        <v>523.78</v>
      </c>
      <c r="C147">
        <v>52.3</v>
      </c>
      <c r="D147">
        <v>216.42</v>
      </c>
      <c r="E147">
        <v>133.65</v>
      </c>
      <c r="F147">
        <v>35.96</v>
      </c>
      <c r="G147">
        <v>47.52</v>
      </c>
      <c r="H147">
        <v>37.93</v>
      </c>
    </row>
    <row r="148" spans="1:8" x14ac:dyDescent="0.25">
      <c r="A148" s="63">
        <f t="shared" si="2"/>
        <v>45804</v>
      </c>
      <c r="B148">
        <v>494.84000000000003</v>
      </c>
      <c r="C148">
        <v>51.31</v>
      </c>
      <c r="D148">
        <v>191.49</v>
      </c>
      <c r="E148">
        <v>127.56</v>
      </c>
      <c r="F148">
        <v>43.06</v>
      </c>
      <c r="G148">
        <v>41.62</v>
      </c>
      <c r="H148">
        <v>39.799999999999997</v>
      </c>
    </row>
    <row r="149" spans="1:8" x14ac:dyDescent="0.25">
      <c r="A149" s="63">
        <f t="shared" si="2"/>
        <v>45805</v>
      </c>
      <c r="B149">
        <v>484.46999999999997</v>
      </c>
      <c r="C149">
        <v>52.09</v>
      </c>
      <c r="D149">
        <v>194.94</v>
      </c>
      <c r="E149">
        <v>124.74</v>
      </c>
      <c r="F149">
        <v>37.57</v>
      </c>
      <c r="G149">
        <v>38.08</v>
      </c>
      <c r="H149">
        <v>37.049999999999997</v>
      </c>
    </row>
    <row r="150" spans="1:8" x14ac:dyDescent="0.25">
      <c r="A150" s="63">
        <f t="shared" si="2"/>
        <v>45806</v>
      </c>
      <c r="B150">
        <v>458.32</v>
      </c>
      <c r="C150">
        <v>50.61</v>
      </c>
      <c r="D150">
        <v>186.47</v>
      </c>
      <c r="E150">
        <v>114.86</v>
      </c>
      <c r="F150">
        <v>35.369999999999997</v>
      </c>
      <c r="G150">
        <v>34.129999999999995</v>
      </c>
      <c r="H150">
        <v>36.880000000000003</v>
      </c>
    </row>
    <row r="151" spans="1:8" x14ac:dyDescent="0.25">
      <c r="A151" s="63">
        <f t="shared" si="2"/>
        <v>45807</v>
      </c>
      <c r="B151">
        <v>502.49</v>
      </c>
      <c r="C151">
        <v>44.55</v>
      </c>
      <c r="D151">
        <v>217.11</v>
      </c>
      <c r="E151">
        <v>117.09</v>
      </c>
      <c r="F151">
        <v>42.22</v>
      </c>
      <c r="G151">
        <v>42.07</v>
      </c>
      <c r="H151">
        <v>39.450000000000003</v>
      </c>
    </row>
    <row r="152" spans="1:8" x14ac:dyDescent="0.25">
      <c r="A152" s="63">
        <f t="shared" si="2"/>
        <v>45808</v>
      </c>
      <c r="B152">
        <v>338.18000000003002</v>
      </c>
      <c r="C152">
        <v>48.95</v>
      </c>
      <c r="D152">
        <v>176.46</v>
      </c>
      <c r="E152">
        <v>112.77</v>
      </c>
      <c r="F152">
        <v>9.9999999999999994E-12</v>
      </c>
      <c r="G152">
        <v>9.9999999999999994E-12</v>
      </c>
      <c r="H152">
        <v>9.9999999999999994E-12</v>
      </c>
    </row>
    <row r="153" spans="1:8" x14ac:dyDescent="0.25">
      <c r="A153" s="63">
        <f t="shared" si="2"/>
        <v>45809</v>
      </c>
      <c r="B153">
        <v>470.110000001</v>
      </c>
      <c r="C153">
        <v>48.07</v>
      </c>
      <c r="D153">
        <v>227.53</v>
      </c>
      <c r="E153">
        <v>107.8</v>
      </c>
      <c r="F153">
        <v>41.37</v>
      </c>
      <c r="G153">
        <v>45.34</v>
      </c>
      <c r="H153">
        <v>1.0000000000000001E-9</v>
      </c>
    </row>
    <row r="154" spans="1:8" x14ac:dyDescent="0.25">
      <c r="A154" s="63">
        <f t="shared" si="2"/>
        <v>45810</v>
      </c>
      <c r="B154">
        <v>520.96999999999991</v>
      </c>
      <c r="C154">
        <v>55.12</v>
      </c>
      <c r="D154">
        <v>214.9</v>
      </c>
      <c r="E154">
        <v>122.9</v>
      </c>
      <c r="F154">
        <v>40.75</v>
      </c>
      <c r="G154">
        <v>46.93</v>
      </c>
      <c r="H154">
        <v>40.369999999999997</v>
      </c>
    </row>
    <row r="155" spans="1:8" x14ac:dyDescent="0.25">
      <c r="A155" s="63">
        <f t="shared" si="2"/>
        <v>45811</v>
      </c>
      <c r="B155">
        <v>496.47999999999996</v>
      </c>
      <c r="C155">
        <v>52.09</v>
      </c>
      <c r="D155">
        <v>188.12</v>
      </c>
      <c r="E155">
        <v>122.81</v>
      </c>
      <c r="F155">
        <v>39.770000000000003</v>
      </c>
      <c r="G155">
        <v>47.63</v>
      </c>
      <c r="H155">
        <v>46.06</v>
      </c>
    </row>
    <row r="156" spans="1:8" x14ac:dyDescent="0.25">
      <c r="A156" s="63">
        <f t="shared" si="2"/>
        <v>45812</v>
      </c>
      <c r="B156">
        <v>480.23</v>
      </c>
      <c r="C156">
        <v>53.83</v>
      </c>
      <c r="D156">
        <v>174.37</v>
      </c>
      <c r="E156">
        <v>116.41</v>
      </c>
      <c r="F156">
        <v>42.07</v>
      </c>
      <c r="G156">
        <v>51.3</v>
      </c>
      <c r="H156">
        <v>42.25</v>
      </c>
    </row>
    <row r="157" spans="1:8" x14ac:dyDescent="0.25">
      <c r="A157" s="63">
        <f t="shared" si="2"/>
        <v>45813</v>
      </c>
      <c r="B157">
        <v>479.4799999999999</v>
      </c>
      <c r="C157">
        <v>64.86</v>
      </c>
      <c r="D157">
        <v>153.91</v>
      </c>
      <c r="E157">
        <v>130.66</v>
      </c>
      <c r="F157">
        <v>44.21</v>
      </c>
      <c r="G157">
        <v>45.58</v>
      </c>
      <c r="H157">
        <v>40.26</v>
      </c>
    </row>
    <row r="158" spans="1:8" x14ac:dyDescent="0.25">
      <c r="A158" s="63">
        <f t="shared" si="2"/>
        <v>45814</v>
      </c>
      <c r="B158">
        <v>443.76</v>
      </c>
      <c r="C158">
        <v>65.75</v>
      </c>
      <c r="D158">
        <v>135.35</v>
      </c>
      <c r="E158">
        <v>111.65</v>
      </c>
      <c r="F158">
        <v>45.64</v>
      </c>
      <c r="G158">
        <v>41.68</v>
      </c>
      <c r="H158">
        <v>43.69</v>
      </c>
    </row>
    <row r="159" spans="1:8" x14ac:dyDescent="0.25">
      <c r="A159" s="63">
        <f t="shared" si="2"/>
        <v>45815</v>
      </c>
      <c r="B159">
        <v>417.65000000099997</v>
      </c>
      <c r="C159">
        <v>48.16</v>
      </c>
      <c r="D159">
        <v>152.31</v>
      </c>
      <c r="E159">
        <v>110.66</v>
      </c>
      <c r="F159">
        <v>61.36</v>
      </c>
      <c r="G159">
        <v>45.16</v>
      </c>
      <c r="H159">
        <v>1.0000000000000001E-9</v>
      </c>
    </row>
    <row r="160" spans="1:8" x14ac:dyDescent="0.25">
      <c r="A160" s="63">
        <f t="shared" si="2"/>
        <v>45816</v>
      </c>
      <c r="B160">
        <v>429.11000000099995</v>
      </c>
      <c r="C160">
        <v>57.08</v>
      </c>
      <c r="D160">
        <v>156.06</v>
      </c>
      <c r="E160">
        <v>111.49</v>
      </c>
      <c r="F160">
        <v>57.33</v>
      </c>
      <c r="G160">
        <v>47.15</v>
      </c>
      <c r="H160">
        <v>1.0000000000000001E-9</v>
      </c>
    </row>
    <row r="161" spans="1:8" x14ac:dyDescent="0.25">
      <c r="A161" s="63">
        <f t="shared" si="2"/>
        <v>45817</v>
      </c>
      <c r="B161">
        <v>453.22</v>
      </c>
      <c r="C161">
        <v>53.22</v>
      </c>
      <c r="D161">
        <v>160.62</v>
      </c>
      <c r="E161">
        <v>111.9</v>
      </c>
      <c r="F161">
        <v>47.18</v>
      </c>
      <c r="G161">
        <v>39.26</v>
      </c>
      <c r="H161">
        <v>41.04</v>
      </c>
    </row>
    <row r="162" spans="1:8" x14ac:dyDescent="0.25">
      <c r="A162" s="63">
        <f t="shared" si="2"/>
        <v>45818</v>
      </c>
      <c r="B162">
        <v>422.07</v>
      </c>
      <c r="C162">
        <v>59.85</v>
      </c>
      <c r="D162">
        <v>148.61000000000001</v>
      </c>
      <c r="E162">
        <v>97.21</v>
      </c>
      <c r="F162">
        <v>37.46</v>
      </c>
      <c r="G162">
        <v>39.229999999999997</v>
      </c>
      <c r="H162">
        <v>39.71</v>
      </c>
    </row>
    <row r="163" spans="1:8" x14ac:dyDescent="0.25">
      <c r="A163" s="63">
        <f t="shared" si="2"/>
        <v>45819</v>
      </c>
      <c r="B163">
        <v>435.34000000000003</v>
      </c>
      <c r="C163">
        <v>64.12</v>
      </c>
      <c r="D163">
        <v>173.37</v>
      </c>
      <c r="E163">
        <v>93.32</v>
      </c>
      <c r="F163">
        <v>32.770000000000003</v>
      </c>
      <c r="G163">
        <v>34.909999999999997</v>
      </c>
      <c r="H163">
        <v>36.85</v>
      </c>
    </row>
    <row r="164" spans="1:8" x14ac:dyDescent="0.25">
      <c r="A164" s="63">
        <f t="shared" si="2"/>
        <v>45820</v>
      </c>
      <c r="B164">
        <v>372.90000000099997</v>
      </c>
      <c r="C164">
        <v>46.45</v>
      </c>
      <c r="D164">
        <v>160.96</v>
      </c>
      <c r="E164">
        <v>93.6</v>
      </c>
      <c r="F164">
        <v>34.39</v>
      </c>
      <c r="G164">
        <v>37.5</v>
      </c>
      <c r="H164">
        <v>1.0000000000000001E-9</v>
      </c>
    </row>
    <row r="165" spans="1:8" x14ac:dyDescent="0.25">
      <c r="A165" s="63">
        <f t="shared" si="2"/>
        <v>45821</v>
      </c>
      <c r="B165">
        <v>444.28000000000003</v>
      </c>
      <c r="C165">
        <v>40.79</v>
      </c>
      <c r="D165">
        <v>171</v>
      </c>
      <c r="E165">
        <v>112.77</v>
      </c>
      <c r="F165">
        <v>40.619999999999997</v>
      </c>
      <c r="G165">
        <v>42.12</v>
      </c>
      <c r="H165">
        <v>36.979999999999997</v>
      </c>
    </row>
    <row r="166" spans="1:8" x14ac:dyDescent="0.25">
      <c r="A166" s="63">
        <f t="shared" si="2"/>
        <v>45822</v>
      </c>
      <c r="B166">
        <v>485.35000000100001</v>
      </c>
      <c r="C166">
        <v>46.13</v>
      </c>
      <c r="D166">
        <v>235.17</v>
      </c>
      <c r="E166">
        <v>112.63</v>
      </c>
      <c r="F166">
        <v>45.6</v>
      </c>
      <c r="G166">
        <v>45.82</v>
      </c>
      <c r="H166">
        <v>1.0000000000000001E-9</v>
      </c>
    </row>
    <row r="167" spans="1:8" x14ac:dyDescent="0.25">
      <c r="A167" s="63">
        <f t="shared" si="2"/>
        <v>45823</v>
      </c>
      <c r="B167">
        <v>463.70000000100003</v>
      </c>
      <c r="C167">
        <v>50.31</v>
      </c>
      <c r="D167">
        <v>215.12</v>
      </c>
      <c r="E167">
        <v>111.28</v>
      </c>
      <c r="F167">
        <v>43.25</v>
      </c>
      <c r="G167">
        <v>43.74</v>
      </c>
      <c r="H167">
        <v>1.0000000000000001E-9</v>
      </c>
    </row>
    <row r="168" spans="1:8" x14ac:dyDescent="0.25">
      <c r="A168" s="63">
        <f t="shared" si="2"/>
        <v>45824</v>
      </c>
      <c r="B168">
        <v>474.22</v>
      </c>
      <c r="C168">
        <v>53.32</v>
      </c>
      <c r="D168">
        <v>184.49</v>
      </c>
      <c r="E168">
        <v>116.62</v>
      </c>
      <c r="F168">
        <v>41.29</v>
      </c>
      <c r="G168">
        <v>43.91</v>
      </c>
      <c r="H168">
        <v>34.590000000000003</v>
      </c>
    </row>
    <row r="169" spans="1:8" x14ac:dyDescent="0.25">
      <c r="A169" s="63">
        <f t="shared" si="2"/>
        <v>45825</v>
      </c>
      <c r="B169">
        <v>521.03</v>
      </c>
      <c r="C169">
        <v>53.59</v>
      </c>
      <c r="D169">
        <v>222.19</v>
      </c>
      <c r="E169">
        <v>122.66</v>
      </c>
      <c r="F169">
        <v>48.93</v>
      </c>
      <c r="G169">
        <v>40.19</v>
      </c>
      <c r="H169">
        <v>33.47</v>
      </c>
    </row>
    <row r="170" spans="1:8" x14ac:dyDescent="0.25">
      <c r="A170" s="63">
        <f t="shared" si="2"/>
        <v>45826</v>
      </c>
      <c r="B170">
        <v>461.56000000000006</v>
      </c>
      <c r="C170">
        <v>58.06</v>
      </c>
      <c r="D170">
        <v>173.62</v>
      </c>
      <c r="E170">
        <v>112.42</v>
      </c>
      <c r="F170">
        <v>47.3</v>
      </c>
      <c r="G170">
        <v>36.69</v>
      </c>
      <c r="H170">
        <v>33.47</v>
      </c>
    </row>
    <row r="171" spans="1:8" x14ac:dyDescent="0.25">
      <c r="A171" s="63">
        <f t="shared" si="2"/>
        <v>45827</v>
      </c>
      <c r="B171">
        <v>448.36</v>
      </c>
      <c r="C171">
        <v>55.2</v>
      </c>
      <c r="D171">
        <v>169.15</v>
      </c>
      <c r="E171">
        <v>116.73</v>
      </c>
      <c r="F171">
        <v>37.99</v>
      </c>
      <c r="G171">
        <v>36.65</v>
      </c>
      <c r="H171">
        <v>32.64</v>
      </c>
    </row>
    <row r="172" spans="1:8" x14ac:dyDescent="0.25">
      <c r="A172" s="63">
        <f t="shared" si="2"/>
        <v>45828</v>
      </c>
      <c r="B172">
        <v>507.34000000000003</v>
      </c>
      <c r="C172">
        <v>54.46</v>
      </c>
      <c r="D172">
        <v>192.5</v>
      </c>
      <c r="E172">
        <v>136.62</v>
      </c>
      <c r="F172">
        <v>43.35</v>
      </c>
      <c r="G172">
        <v>43.66</v>
      </c>
      <c r="H172">
        <v>36.75</v>
      </c>
    </row>
    <row r="173" spans="1:8" x14ac:dyDescent="0.25">
      <c r="A173" s="63">
        <f t="shared" si="2"/>
        <v>45829</v>
      </c>
      <c r="B173">
        <v>515.14000000099998</v>
      </c>
      <c r="C173">
        <v>50.03</v>
      </c>
      <c r="D173">
        <v>234.33</v>
      </c>
      <c r="E173">
        <v>137.56</v>
      </c>
      <c r="F173">
        <v>48.95</v>
      </c>
      <c r="G173">
        <v>44.27</v>
      </c>
      <c r="H173">
        <v>1.0000000000000001E-9</v>
      </c>
    </row>
    <row r="174" spans="1:8" x14ac:dyDescent="0.25">
      <c r="A174" s="63">
        <f t="shared" si="2"/>
        <v>45830</v>
      </c>
      <c r="B174">
        <v>443.29000000099995</v>
      </c>
      <c r="C174">
        <v>57.04</v>
      </c>
      <c r="D174">
        <v>168.68</v>
      </c>
      <c r="E174">
        <v>121.3</v>
      </c>
      <c r="F174">
        <v>45.57</v>
      </c>
      <c r="G174">
        <v>50.7</v>
      </c>
      <c r="H174">
        <v>1.0000000000000001E-9</v>
      </c>
    </row>
    <row r="175" spans="1:8" x14ac:dyDescent="0.25">
      <c r="A175" s="63">
        <f t="shared" si="2"/>
        <v>45831</v>
      </c>
      <c r="B175">
        <v>495.27</v>
      </c>
      <c r="C175">
        <v>57</v>
      </c>
      <c r="D175">
        <v>183.69</v>
      </c>
      <c r="E175">
        <v>125.05</v>
      </c>
      <c r="F175">
        <v>46.75</v>
      </c>
      <c r="G175">
        <v>42.13</v>
      </c>
      <c r="H175">
        <v>40.65</v>
      </c>
    </row>
    <row r="176" spans="1:8" x14ac:dyDescent="0.25">
      <c r="A176" s="63">
        <f t="shared" si="2"/>
        <v>45832</v>
      </c>
      <c r="B176">
        <v>353.78999999999996</v>
      </c>
      <c r="C176">
        <v>44.05</v>
      </c>
      <c r="D176">
        <v>100.39</v>
      </c>
      <c r="E176">
        <v>99.81</v>
      </c>
      <c r="F176">
        <v>37.31</v>
      </c>
      <c r="G176">
        <v>37.020000000000003</v>
      </c>
      <c r="H176">
        <v>35.21</v>
      </c>
    </row>
    <row r="177" spans="1:8" x14ac:dyDescent="0.25">
      <c r="A177" s="63">
        <f t="shared" si="2"/>
        <v>45833</v>
      </c>
      <c r="B177">
        <v>338.18</v>
      </c>
      <c r="C177">
        <v>51.45</v>
      </c>
      <c r="D177">
        <v>92.87</v>
      </c>
      <c r="E177">
        <v>93.66</v>
      </c>
      <c r="F177">
        <v>34.65</v>
      </c>
      <c r="G177">
        <v>35.340000000000003</v>
      </c>
      <c r="H177">
        <v>30.21</v>
      </c>
    </row>
    <row r="178" spans="1:8" x14ac:dyDescent="0.25">
      <c r="A178" s="63">
        <f t="shared" si="2"/>
        <v>45834</v>
      </c>
      <c r="B178">
        <v>217.56</v>
      </c>
      <c r="C178">
        <v>49.8</v>
      </c>
      <c r="D178">
        <v>32.590000000000003</v>
      </c>
      <c r="E178">
        <v>57.21</v>
      </c>
      <c r="F178">
        <v>30.49</v>
      </c>
      <c r="G178">
        <v>17.86</v>
      </c>
      <c r="H178">
        <v>29.61</v>
      </c>
    </row>
    <row r="179" spans="1:8" x14ac:dyDescent="0.25">
      <c r="A179" s="63">
        <f t="shared" si="2"/>
        <v>45835</v>
      </c>
      <c r="B179">
        <v>6E-9</v>
      </c>
      <c r="C179">
        <v>1.0000000000000001E-9</v>
      </c>
      <c r="D179">
        <v>1.0000000000000001E-9</v>
      </c>
      <c r="E179">
        <v>1.0000000000000001E-9</v>
      </c>
      <c r="F179">
        <v>1.0000000000000001E-9</v>
      </c>
      <c r="G179">
        <v>1.0000000000000001E-9</v>
      </c>
      <c r="H179">
        <v>1.0000000000000001E-9</v>
      </c>
    </row>
    <row r="180" spans="1:8" x14ac:dyDescent="0.25">
      <c r="A180" s="63">
        <f t="shared" si="2"/>
        <v>45836</v>
      </c>
      <c r="B180">
        <v>6E-9</v>
      </c>
      <c r="C180">
        <v>1.0000000000000001E-9</v>
      </c>
      <c r="D180">
        <v>1.0000000000000001E-9</v>
      </c>
      <c r="E180">
        <v>1.0000000000000001E-9</v>
      </c>
      <c r="F180">
        <v>1.0000000000000001E-9</v>
      </c>
      <c r="G180">
        <v>1.0000000000000001E-9</v>
      </c>
      <c r="H180">
        <v>1.0000000000000001E-9</v>
      </c>
    </row>
    <row r="181" spans="1:8" x14ac:dyDescent="0.25">
      <c r="A181" s="63">
        <f t="shared" si="2"/>
        <v>45837</v>
      </c>
      <c r="B181">
        <v>6E-9</v>
      </c>
      <c r="C181">
        <v>1.0000000000000001E-9</v>
      </c>
      <c r="D181">
        <v>1.0000000000000001E-9</v>
      </c>
      <c r="E181">
        <v>1.0000000000000001E-9</v>
      </c>
      <c r="F181">
        <v>1.0000000000000001E-9</v>
      </c>
      <c r="G181">
        <v>1.0000000000000001E-9</v>
      </c>
      <c r="H181">
        <v>1.0000000000000001E-9</v>
      </c>
    </row>
    <row r="182" spans="1:8" x14ac:dyDescent="0.25">
      <c r="A182" s="63">
        <f t="shared" si="2"/>
        <v>45838</v>
      </c>
      <c r="B182">
        <v>334.8</v>
      </c>
      <c r="C182">
        <v>39.06</v>
      </c>
      <c r="D182">
        <v>112.04</v>
      </c>
      <c r="E182">
        <v>88.71</v>
      </c>
      <c r="F182">
        <v>34.799999999999997</v>
      </c>
      <c r="G182">
        <v>29.28</v>
      </c>
      <c r="H182">
        <v>30.91</v>
      </c>
    </row>
    <row r="183" spans="1:8" x14ac:dyDescent="0.25">
      <c r="A183" s="63">
        <f t="shared" si="2"/>
        <v>45839</v>
      </c>
      <c r="B183">
        <v>331.22999999999996</v>
      </c>
      <c r="C183">
        <v>46.61</v>
      </c>
      <c r="D183">
        <v>120.32</v>
      </c>
      <c r="E183">
        <v>76.09</v>
      </c>
      <c r="F183">
        <v>33.67</v>
      </c>
      <c r="G183">
        <v>29.64</v>
      </c>
      <c r="H183">
        <v>24.9</v>
      </c>
    </row>
    <row r="184" spans="1:8" x14ac:dyDescent="0.25">
      <c r="A184" s="63">
        <f t="shared" si="2"/>
        <v>45840</v>
      </c>
      <c r="B184">
        <v>350.93</v>
      </c>
      <c r="C184">
        <v>56.37</v>
      </c>
      <c r="D184">
        <v>139.78</v>
      </c>
      <c r="E184">
        <v>71.569999999999993</v>
      </c>
      <c r="F184">
        <v>32.14</v>
      </c>
      <c r="G184">
        <v>25.57</v>
      </c>
      <c r="H184">
        <v>25.5</v>
      </c>
    </row>
    <row r="185" spans="1:8" x14ac:dyDescent="0.25">
      <c r="A185" s="63">
        <f t="shared" si="2"/>
        <v>45841</v>
      </c>
      <c r="B185">
        <v>274.30999999999995</v>
      </c>
      <c r="C185">
        <v>53.41</v>
      </c>
      <c r="D185">
        <v>88.08</v>
      </c>
      <c r="E185">
        <v>65.08</v>
      </c>
      <c r="F185">
        <v>31.76</v>
      </c>
      <c r="G185">
        <v>17.899999999999999</v>
      </c>
      <c r="H185">
        <v>18.079999999999998</v>
      </c>
    </row>
    <row r="186" spans="1:8" x14ac:dyDescent="0.25">
      <c r="A186" s="63">
        <f t="shared" si="2"/>
        <v>45842</v>
      </c>
      <c r="B186">
        <v>6E-11</v>
      </c>
      <c r="C186">
        <v>9.9999999999999994E-12</v>
      </c>
      <c r="D186">
        <v>9.9999999999999994E-12</v>
      </c>
      <c r="E186">
        <v>9.9999999999999994E-12</v>
      </c>
      <c r="F186">
        <v>9.9999999999999994E-12</v>
      </c>
      <c r="G186">
        <v>9.9999999999999994E-12</v>
      </c>
      <c r="H186">
        <v>9.9999999999999994E-12</v>
      </c>
    </row>
    <row r="187" spans="1:8" x14ac:dyDescent="0.25">
      <c r="A187" s="63">
        <f t="shared" si="2"/>
        <v>45843</v>
      </c>
      <c r="B187">
        <v>0</v>
      </c>
    </row>
    <row r="188" spans="1:8" x14ac:dyDescent="0.25">
      <c r="A188" s="63">
        <f t="shared" si="2"/>
        <v>45844</v>
      </c>
      <c r="B188">
        <v>0</v>
      </c>
    </row>
    <row r="189" spans="1:8" x14ac:dyDescent="0.25">
      <c r="A189" s="63">
        <f t="shared" si="2"/>
        <v>45845</v>
      </c>
      <c r="B189">
        <v>378.09</v>
      </c>
      <c r="C189">
        <v>49.1</v>
      </c>
      <c r="D189">
        <v>176.22</v>
      </c>
      <c r="E189">
        <v>60.5</v>
      </c>
      <c r="F189">
        <v>31.52</v>
      </c>
      <c r="G189">
        <v>28.06</v>
      </c>
      <c r="H189">
        <v>32.69</v>
      </c>
    </row>
    <row r="190" spans="1:8" x14ac:dyDescent="0.25">
      <c r="A190" s="63">
        <f t="shared" si="2"/>
        <v>45846</v>
      </c>
      <c r="B190">
        <v>397.57</v>
      </c>
      <c r="C190">
        <v>32.75</v>
      </c>
      <c r="D190">
        <v>180</v>
      </c>
      <c r="E190">
        <v>79.73</v>
      </c>
      <c r="F190">
        <v>31.83</v>
      </c>
      <c r="G190">
        <v>39.15</v>
      </c>
      <c r="H190">
        <v>34.11</v>
      </c>
    </row>
    <row r="191" spans="1:8" x14ac:dyDescent="0.25">
      <c r="A191" s="63">
        <f t="shared" si="2"/>
        <v>45847</v>
      </c>
      <c r="B191">
        <v>372.63999999999993</v>
      </c>
      <c r="C191">
        <v>30.95</v>
      </c>
      <c r="D191">
        <v>137.29</v>
      </c>
      <c r="E191">
        <v>88.67</v>
      </c>
      <c r="F191">
        <v>38.200000000000003</v>
      </c>
      <c r="G191">
        <v>40.26</v>
      </c>
      <c r="H191">
        <v>37.270000000000003</v>
      </c>
    </row>
    <row r="192" spans="1:8" x14ac:dyDescent="0.25">
      <c r="A192" s="63">
        <f t="shared" si="2"/>
        <v>45848</v>
      </c>
      <c r="B192">
        <v>177.20000001</v>
      </c>
      <c r="C192">
        <v>6.2</v>
      </c>
      <c r="D192">
        <v>107.49</v>
      </c>
      <c r="E192">
        <v>1E-8</v>
      </c>
      <c r="F192">
        <v>19.62</v>
      </c>
      <c r="G192">
        <v>12.84</v>
      </c>
      <c r="H192">
        <v>31.05</v>
      </c>
    </row>
    <row r="193" spans="1:8" x14ac:dyDescent="0.25">
      <c r="A193" s="63">
        <f t="shared" si="2"/>
        <v>45849</v>
      </c>
      <c r="B193">
        <v>0</v>
      </c>
    </row>
    <row r="194" spans="1:8" x14ac:dyDescent="0.25">
      <c r="A194" s="63">
        <f t="shared" si="2"/>
        <v>45850</v>
      </c>
      <c r="B194">
        <v>0</v>
      </c>
    </row>
    <row r="195" spans="1:8" x14ac:dyDescent="0.25">
      <c r="A195" s="63">
        <f t="shared" si="2"/>
        <v>45851</v>
      </c>
      <c r="B195">
        <v>0</v>
      </c>
    </row>
    <row r="196" spans="1:8" x14ac:dyDescent="0.25">
      <c r="A196" s="63">
        <f t="shared" ref="A196:A259" si="3">A195+1</f>
        <v>45852</v>
      </c>
      <c r="B196">
        <v>460.27</v>
      </c>
      <c r="C196">
        <v>45.04</v>
      </c>
      <c r="D196">
        <v>184.25</v>
      </c>
      <c r="E196">
        <v>86.35</v>
      </c>
      <c r="F196">
        <v>51.01</v>
      </c>
      <c r="G196">
        <v>55.98</v>
      </c>
      <c r="H196">
        <v>37.64</v>
      </c>
    </row>
    <row r="197" spans="1:8" x14ac:dyDescent="0.25">
      <c r="A197" s="63">
        <f t="shared" si="3"/>
        <v>45853</v>
      </c>
      <c r="B197">
        <v>455.37</v>
      </c>
      <c r="C197">
        <v>33.1</v>
      </c>
      <c r="D197">
        <v>201.1</v>
      </c>
      <c r="E197">
        <v>90.9</v>
      </c>
      <c r="F197">
        <v>48.44</v>
      </c>
      <c r="G197">
        <v>40.65</v>
      </c>
      <c r="H197">
        <v>41.18</v>
      </c>
    </row>
    <row r="198" spans="1:8" x14ac:dyDescent="0.25">
      <c r="A198" s="63">
        <f t="shared" si="3"/>
        <v>45854</v>
      </c>
      <c r="B198">
        <v>405.13</v>
      </c>
      <c r="C198">
        <v>28.06</v>
      </c>
      <c r="D198">
        <v>156.66</v>
      </c>
      <c r="E198">
        <v>90.33</v>
      </c>
      <c r="F198">
        <v>43.21</v>
      </c>
      <c r="G198">
        <v>44.94</v>
      </c>
      <c r="H198">
        <v>41.93</v>
      </c>
    </row>
    <row r="199" spans="1:8" x14ac:dyDescent="0.25">
      <c r="A199" s="63">
        <f t="shared" si="3"/>
        <v>45855</v>
      </c>
      <c r="B199">
        <v>362.08</v>
      </c>
      <c r="C199">
        <v>22.79</v>
      </c>
      <c r="D199">
        <v>150.12</v>
      </c>
      <c r="E199">
        <v>76.349999999999994</v>
      </c>
      <c r="F199">
        <v>51.63</v>
      </c>
      <c r="G199">
        <v>24.11</v>
      </c>
      <c r="H199">
        <v>37.08</v>
      </c>
    </row>
    <row r="200" spans="1:8" x14ac:dyDescent="0.25">
      <c r="A200" s="63">
        <f t="shared" si="3"/>
        <v>45856</v>
      </c>
      <c r="B200">
        <v>149.22</v>
      </c>
      <c r="C200">
        <v>24.05</v>
      </c>
      <c r="D200">
        <v>41.59</v>
      </c>
      <c r="E200">
        <v>1.36</v>
      </c>
      <c r="F200">
        <v>47.5</v>
      </c>
      <c r="G200">
        <v>1.02</v>
      </c>
      <c r="H200">
        <v>33.700000000000003</v>
      </c>
    </row>
    <row r="201" spans="1:8" x14ac:dyDescent="0.25">
      <c r="A201" s="63">
        <f t="shared" si="3"/>
        <v>45857</v>
      </c>
      <c r="B201">
        <v>0</v>
      </c>
    </row>
    <row r="202" spans="1:8" x14ac:dyDescent="0.25">
      <c r="A202" s="63">
        <f t="shared" si="3"/>
        <v>45858</v>
      </c>
      <c r="B202">
        <v>0</v>
      </c>
    </row>
    <row r="203" spans="1:8" x14ac:dyDescent="0.25">
      <c r="A203" s="63">
        <f t="shared" si="3"/>
        <v>45859</v>
      </c>
      <c r="B203">
        <v>372.66</v>
      </c>
      <c r="C203">
        <v>39.69</v>
      </c>
      <c r="D203">
        <v>141.38</v>
      </c>
      <c r="E203">
        <v>77.66</v>
      </c>
      <c r="F203">
        <v>40.99</v>
      </c>
      <c r="G203">
        <v>32.299999999999997</v>
      </c>
      <c r="H203">
        <v>40.64</v>
      </c>
    </row>
    <row r="204" spans="1:8" x14ac:dyDescent="0.25">
      <c r="A204" s="63">
        <f t="shared" si="3"/>
        <v>45860</v>
      </c>
      <c r="B204">
        <v>339.33000000000004</v>
      </c>
      <c r="C204">
        <v>35.99</v>
      </c>
      <c r="D204">
        <v>136.52000000000001</v>
      </c>
      <c r="E204">
        <v>43.92</v>
      </c>
      <c r="F204">
        <v>49.49</v>
      </c>
      <c r="G204">
        <v>33.99</v>
      </c>
      <c r="H204">
        <v>39.42</v>
      </c>
    </row>
    <row r="205" spans="1:8" x14ac:dyDescent="0.25">
      <c r="A205" s="63">
        <f t="shared" si="3"/>
        <v>45861</v>
      </c>
      <c r="B205">
        <v>305.96999999999997</v>
      </c>
      <c r="C205">
        <v>41.45</v>
      </c>
      <c r="D205">
        <v>110.17</v>
      </c>
      <c r="E205">
        <v>39.200000000000003</v>
      </c>
      <c r="F205">
        <v>41.02</v>
      </c>
      <c r="G205">
        <v>34.24</v>
      </c>
      <c r="H205">
        <v>39.89</v>
      </c>
    </row>
    <row r="206" spans="1:8" x14ac:dyDescent="0.25">
      <c r="A206" s="63">
        <f t="shared" si="3"/>
        <v>45862</v>
      </c>
      <c r="B206">
        <v>320.49</v>
      </c>
      <c r="C206">
        <v>36.770000000000003</v>
      </c>
      <c r="D206">
        <v>114.75</v>
      </c>
      <c r="E206">
        <v>40.28</v>
      </c>
      <c r="F206">
        <v>47.56</v>
      </c>
      <c r="G206">
        <v>40.369999999999997</v>
      </c>
      <c r="H206">
        <v>40.76</v>
      </c>
    </row>
    <row r="207" spans="1:8" x14ac:dyDescent="0.25">
      <c r="A207" s="63">
        <f t="shared" si="3"/>
        <v>45863</v>
      </c>
      <c r="B207">
        <v>338.54</v>
      </c>
      <c r="C207">
        <v>32.58</v>
      </c>
      <c r="D207">
        <v>149.22999999999999</v>
      </c>
      <c r="E207">
        <v>33.18</v>
      </c>
      <c r="F207">
        <v>49.87</v>
      </c>
      <c r="G207">
        <v>30.93</v>
      </c>
      <c r="H207">
        <v>42.75</v>
      </c>
    </row>
    <row r="208" spans="1:8" x14ac:dyDescent="0.25">
      <c r="A208" s="63">
        <f t="shared" si="3"/>
        <v>45864</v>
      </c>
      <c r="B208">
        <v>6E-11</v>
      </c>
      <c r="C208">
        <v>9.9999999999999994E-12</v>
      </c>
      <c r="D208">
        <v>9.9999999999999994E-12</v>
      </c>
      <c r="E208">
        <v>9.9999999999999994E-12</v>
      </c>
      <c r="F208">
        <v>9.9999999999999994E-12</v>
      </c>
      <c r="G208">
        <v>9.9999999999999994E-12</v>
      </c>
      <c r="H208">
        <v>9.9999999999999994E-12</v>
      </c>
    </row>
    <row r="209" spans="1:8" x14ac:dyDescent="0.25">
      <c r="A209" s="63">
        <f t="shared" si="3"/>
        <v>45865</v>
      </c>
      <c r="B209">
        <v>316.75</v>
      </c>
      <c r="C209">
        <v>32.270000000000003</v>
      </c>
      <c r="D209">
        <v>122.3</v>
      </c>
      <c r="E209">
        <v>57.6</v>
      </c>
      <c r="F209">
        <v>45.97</v>
      </c>
      <c r="G209">
        <v>19.5</v>
      </c>
      <c r="H209">
        <v>39.11</v>
      </c>
    </row>
    <row r="210" spans="1:8" x14ac:dyDescent="0.25">
      <c r="A210" s="63">
        <f t="shared" si="3"/>
        <v>45866</v>
      </c>
      <c r="B210">
        <v>404.40000000000003</v>
      </c>
      <c r="C210">
        <v>34.22</v>
      </c>
      <c r="D210">
        <v>174.34</v>
      </c>
      <c r="E210">
        <v>60.13</v>
      </c>
      <c r="F210">
        <v>55.49</v>
      </c>
      <c r="G210">
        <v>39.369999999999997</v>
      </c>
      <c r="H210">
        <v>40.85</v>
      </c>
    </row>
    <row r="211" spans="1:8" x14ac:dyDescent="0.25">
      <c r="A211" s="63">
        <f t="shared" si="3"/>
        <v>45867</v>
      </c>
      <c r="B211">
        <v>382.83000000000004</v>
      </c>
      <c r="C211">
        <v>54.08</v>
      </c>
      <c r="D211">
        <v>145.41999999999999</v>
      </c>
      <c r="E211">
        <v>69.739999999999995</v>
      </c>
      <c r="F211">
        <v>45.86</v>
      </c>
      <c r="G211">
        <v>26.76</v>
      </c>
      <c r="H211">
        <v>40.97</v>
      </c>
    </row>
    <row r="212" spans="1:8" x14ac:dyDescent="0.25">
      <c r="A212" s="63">
        <f t="shared" si="3"/>
        <v>45868</v>
      </c>
      <c r="B212">
        <v>333.07</v>
      </c>
      <c r="C212">
        <v>34.43</v>
      </c>
      <c r="D212">
        <v>119.73</v>
      </c>
      <c r="E212">
        <v>79.23</v>
      </c>
      <c r="F212">
        <v>39.53</v>
      </c>
      <c r="G212">
        <v>18.48</v>
      </c>
      <c r="H212">
        <v>41.67</v>
      </c>
    </row>
    <row r="213" spans="1:8" x14ac:dyDescent="0.25">
      <c r="A213" s="63">
        <f t="shared" si="3"/>
        <v>45869</v>
      </c>
      <c r="B213">
        <v>284.53999999999996</v>
      </c>
      <c r="C213">
        <v>43.59</v>
      </c>
      <c r="D213">
        <v>83.72</v>
      </c>
      <c r="E213">
        <v>77.33</v>
      </c>
      <c r="F213">
        <v>32.78</v>
      </c>
      <c r="G213">
        <v>17.88</v>
      </c>
      <c r="H213">
        <v>29.24</v>
      </c>
    </row>
    <row r="214" spans="1:8" x14ac:dyDescent="0.25">
      <c r="A214" s="63">
        <f t="shared" si="3"/>
        <v>45870</v>
      </c>
      <c r="B214">
        <v>231.65</v>
      </c>
      <c r="C214">
        <v>29.15</v>
      </c>
      <c r="D214">
        <v>107.63</v>
      </c>
      <c r="E214">
        <v>36.22</v>
      </c>
      <c r="F214">
        <v>34.72</v>
      </c>
      <c r="G214">
        <v>23.93</v>
      </c>
    </row>
    <row r="215" spans="1:8" x14ac:dyDescent="0.25">
      <c r="A215" s="63">
        <f t="shared" si="3"/>
        <v>45871</v>
      </c>
      <c r="B215">
        <v>0</v>
      </c>
    </row>
    <row r="216" spans="1:8" x14ac:dyDescent="0.25">
      <c r="A216" s="63">
        <f t="shared" si="3"/>
        <v>45872</v>
      </c>
      <c r="B216">
        <v>124.51000000000002</v>
      </c>
      <c r="C216">
        <v>35.04</v>
      </c>
      <c r="D216">
        <v>38.799999999999997</v>
      </c>
      <c r="E216">
        <v>32.99</v>
      </c>
      <c r="F216">
        <v>17.68</v>
      </c>
    </row>
    <row r="217" spans="1:8" x14ac:dyDescent="0.25">
      <c r="A217" s="63">
        <f t="shared" si="3"/>
        <v>45873</v>
      </c>
      <c r="B217">
        <v>296.02000000000004</v>
      </c>
      <c r="C217">
        <v>27.21</v>
      </c>
      <c r="D217">
        <v>148.72999999999999</v>
      </c>
      <c r="E217">
        <v>31</v>
      </c>
      <c r="F217">
        <v>28.38</v>
      </c>
      <c r="G217">
        <v>29.66</v>
      </c>
      <c r="H217">
        <v>31.04</v>
      </c>
    </row>
    <row r="218" spans="1:8" x14ac:dyDescent="0.25">
      <c r="A218" s="63">
        <f t="shared" si="3"/>
        <v>45874</v>
      </c>
      <c r="B218">
        <v>319.99</v>
      </c>
      <c r="C218">
        <v>40.409999999999997</v>
      </c>
      <c r="D218">
        <v>132.63</v>
      </c>
      <c r="E218">
        <v>37.93</v>
      </c>
      <c r="F218">
        <v>48.7</v>
      </c>
      <c r="G218">
        <v>33.119999999999997</v>
      </c>
      <c r="H218">
        <v>27.2</v>
      </c>
    </row>
    <row r="219" spans="1:8" x14ac:dyDescent="0.25">
      <c r="A219" s="63">
        <f t="shared" si="3"/>
        <v>45875</v>
      </c>
      <c r="B219">
        <v>330.91</v>
      </c>
      <c r="C219">
        <v>41.79</v>
      </c>
      <c r="D219">
        <v>147.11000000000001</v>
      </c>
      <c r="E219">
        <v>47.27</v>
      </c>
      <c r="F219">
        <v>46.3</v>
      </c>
      <c r="G219">
        <v>22.78</v>
      </c>
      <c r="H219">
        <v>25.66</v>
      </c>
    </row>
    <row r="220" spans="1:8" x14ac:dyDescent="0.25">
      <c r="A220" s="63">
        <f t="shared" si="3"/>
        <v>45876</v>
      </c>
      <c r="B220">
        <v>360.09000000000003</v>
      </c>
      <c r="C220">
        <v>45.37</v>
      </c>
      <c r="D220">
        <v>138.11000000000001</v>
      </c>
      <c r="E220">
        <v>63.39</v>
      </c>
      <c r="F220">
        <v>54.34</v>
      </c>
      <c r="G220">
        <v>34.42</v>
      </c>
      <c r="H220">
        <v>24.46</v>
      </c>
    </row>
    <row r="221" spans="1:8" x14ac:dyDescent="0.25">
      <c r="A221" s="63">
        <f t="shared" si="3"/>
        <v>45877</v>
      </c>
      <c r="B221">
        <v>276.08</v>
      </c>
      <c r="C221">
        <v>36.53</v>
      </c>
      <c r="D221">
        <v>69.63</v>
      </c>
      <c r="E221">
        <v>52.05</v>
      </c>
      <c r="F221">
        <v>46.08</v>
      </c>
      <c r="G221">
        <v>34.28</v>
      </c>
      <c r="H221">
        <v>37.51</v>
      </c>
    </row>
    <row r="222" spans="1:8" x14ac:dyDescent="0.25">
      <c r="A222" s="63">
        <f t="shared" si="3"/>
        <v>45878</v>
      </c>
      <c r="B222">
        <v>144.57</v>
      </c>
      <c r="C222">
        <v>33.58</v>
      </c>
      <c r="E222">
        <v>49.23</v>
      </c>
      <c r="F222">
        <v>61.76</v>
      </c>
    </row>
    <row r="223" spans="1:8" x14ac:dyDescent="0.25">
      <c r="A223" s="63">
        <f t="shared" si="3"/>
        <v>45879</v>
      </c>
      <c r="B223">
        <v>327.06</v>
      </c>
      <c r="C223">
        <v>28.28</v>
      </c>
      <c r="D223">
        <v>163.51</v>
      </c>
      <c r="E223">
        <v>46.97</v>
      </c>
      <c r="F223">
        <v>56.12</v>
      </c>
      <c r="G223">
        <v>32.18</v>
      </c>
    </row>
    <row r="224" spans="1:8" x14ac:dyDescent="0.25">
      <c r="A224" s="63">
        <f t="shared" si="3"/>
        <v>45880</v>
      </c>
      <c r="B224">
        <v>373.37</v>
      </c>
      <c r="C224">
        <v>33.56</v>
      </c>
      <c r="D224">
        <v>165.51</v>
      </c>
      <c r="E224">
        <v>51.75</v>
      </c>
      <c r="F224">
        <v>50.76</v>
      </c>
      <c r="G224">
        <v>32.07</v>
      </c>
      <c r="H224">
        <v>39.72</v>
      </c>
    </row>
    <row r="225" spans="1:8" x14ac:dyDescent="0.25">
      <c r="A225" s="63">
        <f t="shared" si="3"/>
        <v>45881</v>
      </c>
      <c r="B225">
        <v>353.66</v>
      </c>
      <c r="C225">
        <v>44.97</v>
      </c>
      <c r="D225">
        <v>140.96</v>
      </c>
      <c r="E225">
        <v>46.39</v>
      </c>
      <c r="F225">
        <v>52.53</v>
      </c>
      <c r="G225">
        <v>32.18</v>
      </c>
      <c r="H225">
        <v>36.630000000000003</v>
      </c>
    </row>
    <row r="226" spans="1:8" x14ac:dyDescent="0.25">
      <c r="A226" s="63">
        <f t="shared" si="3"/>
        <v>45882</v>
      </c>
      <c r="B226">
        <v>381.2299999999999</v>
      </c>
      <c r="C226">
        <v>41.96</v>
      </c>
      <c r="D226">
        <v>181.51</v>
      </c>
      <c r="E226">
        <v>46.44</v>
      </c>
      <c r="F226">
        <v>51.96</v>
      </c>
      <c r="G226">
        <v>25.34</v>
      </c>
      <c r="H226">
        <v>34.020000000000003</v>
      </c>
    </row>
    <row r="227" spans="1:8" x14ac:dyDescent="0.25">
      <c r="A227" s="63">
        <f t="shared" si="3"/>
        <v>45883</v>
      </c>
      <c r="B227">
        <v>268.02000000000004</v>
      </c>
      <c r="C227">
        <v>27.93</v>
      </c>
      <c r="D227">
        <v>94.68</v>
      </c>
      <c r="E227">
        <v>38.22</v>
      </c>
      <c r="F227">
        <v>46.37</v>
      </c>
      <c r="G227">
        <v>27.75</v>
      </c>
      <c r="H227">
        <v>33.07</v>
      </c>
    </row>
    <row r="228" spans="1:8" x14ac:dyDescent="0.25">
      <c r="A228" s="63">
        <f t="shared" si="3"/>
        <v>45884</v>
      </c>
      <c r="B228">
        <v>266.90999999999997</v>
      </c>
      <c r="C228">
        <v>33.25</v>
      </c>
      <c r="D228">
        <v>94.31</v>
      </c>
      <c r="E228">
        <v>22.48</v>
      </c>
      <c r="F228">
        <v>52.41</v>
      </c>
      <c r="G228">
        <v>28.23</v>
      </c>
      <c r="H228">
        <v>36.229999999999997</v>
      </c>
    </row>
    <row r="229" spans="1:8" x14ac:dyDescent="0.25">
      <c r="A229" s="63">
        <f t="shared" si="3"/>
        <v>45885</v>
      </c>
      <c r="B229">
        <v>130.63999999999999</v>
      </c>
      <c r="C229">
        <v>24.14</v>
      </c>
      <c r="E229">
        <v>20.74</v>
      </c>
      <c r="F229">
        <v>58.2</v>
      </c>
      <c r="G229">
        <v>27.56</v>
      </c>
    </row>
    <row r="230" spans="1:8" x14ac:dyDescent="0.25">
      <c r="A230" s="63">
        <f t="shared" si="3"/>
        <v>45886</v>
      </c>
      <c r="B230">
        <v>0</v>
      </c>
    </row>
    <row r="231" spans="1:8" x14ac:dyDescent="0.25">
      <c r="A231" s="63">
        <f t="shared" si="3"/>
        <v>45887</v>
      </c>
      <c r="B231">
        <v>343.18999999999994</v>
      </c>
      <c r="C231">
        <v>25.16</v>
      </c>
      <c r="D231">
        <v>175.14</v>
      </c>
      <c r="E231">
        <v>28.12</v>
      </c>
      <c r="F231">
        <v>56.97</v>
      </c>
      <c r="G231">
        <v>25.27</v>
      </c>
      <c r="H231">
        <v>32.53</v>
      </c>
    </row>
    <row r="232" spans="1:8" x14ac:dyDescent="0.25">
      <c r="A232" s="63">
        <f t="shared" si="3"/>
        <v>45888</v>
      </c>
      <c r="B232">
        <v>255.03</v>
      </c>
      <c r="C232">
        <v>22.94</v>
      </c>
      <c r="D232">
        <v>116.61</v>
      </c>
      <c r="E232">
        <v>23.33</v>
      </c>
      <c r="F232">
        <v>48.23</v>
      </c>
      <c r="G232">
        <v>12.99</v>
      </c>
      <c r="H232">
        <v>30.93</v>
      </c>
    </row>
    <row r="233" spans="1:8" x14ac:dyDescent="0.25">
      <c r="A233" s="63">
        <f t="shared" si="3"/>
        <v>45889</v>
      </c>
      <c r="B233">
        <v>190.68000000000004</v>
      </c>
      <c r="C233">
        <v>21.1</v>
      </c>
      <c r="D233">
        <v>68.3</v>
      </c>
      <c r="E233">
        <v>17.399999999999999</v>
      </c>
      <c r="F233">
        <v>38.36</v>
      </c>
      <c r="G233">
        <v>12.99</v>
      </c>
      <c r="H233">
        <v>32.53</v>
      </c>
    </row>
    <row r="234" spans="1:8" x14ac:dyDescent="0.25">
      <c r="A234" s="63">
        <f t="shared" si="3"/>
        <v>45890</v>
      </c>
      <c r="B234">
        <v>210.41</v>
      </c>
      <c r="C234">
        <v>21.56</v>
      </c>
      <c r="D234">
        <v>102.78</v>
      </c>
      <c r="E234">
        <v>14.42</v>
      </c>
      <c r="F234">
        <v>34.14</v>
      </c>
      <c r="G234">
        <v>14.74</v>
      </c>
      <c r="H234">
        <v>22.77</v>
      </c>
    </row>
    <row r="235" spans="1:8" x14ac:dyDescent="0.25">
      <c r="A235" s="63">
        <f t="shared" si="3"/>
        <v>45891</v>
      </c>
      <c r="B235">
        <v>430.33</v>
      </c>
      <c r="C235">
        <v>32.299999999999997</v>
      </c>
      <c r="D235">
        <v>190.14</v>
      </c>
      <c r="E235">
        <v>83.26</v>
      </c>
      <c r="F235">
        <v>43.52</v>
      </c>
      <c r="G235">
        <v>50.31</v>
      </c>
      <c r="H235">
        <v>30.8</v>
      </c>
    </row>
    <row r="236" spans="1:8" x14ac:dyDescent="0.25">
      <c r="A236" s="63">
        <f t="shared" si="3"/>
        <v>45892</v>
      </c>
      <c r="B236">
        <v>326.33000000000004</v>
      </c>
      <c r="C236">
        <v>30.9</v>
      </c>
      <c r="D236">
        <v>168.42</v>
      </c>
      <c r="E236">
        <v>81.78</v>
      </c>
      <c r="F236">
        <v>45.23</v>
      </c>
    </row>
    <row r="237" spans="1:8" x14ac:dyDescent="0.25">
      <c r="A237" s="63">
        <f t="shared" si="3"/>
        <v>45893</v>
      </c>
      <c r="B237">
        <v>0</v>
      </c>
    </row>
    <row r="238" spans="1:8" x14ac:dyDescent="0.25">
      <c r="A238" s="63">
        <f t="shared" si="3"/>
        <v>45894</v>
      </c>
      <c r="B238">
        <v>453.88000000000005</v>
      </c>
      <c r="C238">
        <v>48.61</v>
      </c>
      <c r="D238">
        <v>177.13</v>
      </c>
      <c r="E238">
        <v>89.48</v>
      </c>
      <c r="F238">
        <v>54.94</v>
      </c>
      <c r="G238">
        <v>45.3</v>
      </c>
      <c r="H238">
        <v>38.42</v>
      </c>
    </row>
    <row r="239" spans="1:8" x14ac:dyDescent="0.25">
      <c r="A239" s="63">
        <f t="shared" si="3"/>
        <v>45895</v>
      </c>
      <c r="B239">
        <v>452.89000000000004</v>
      </c>
      <c r="C239">
        <v>42.71</v>
      </c>
      <c r="D239">
        <v>167.21</v>
      </c>
      <c r="E239">
        <v>100.24</v>
      </c>
      <c r="F239">
        <v>54.5</v>
      </c>
      <c r="G239">
        <v>42.75</v>
      </c>
      <c r="H239">
        <v>45.48</v>
      </c>
    </row>
    <row r="240" spans="1:8" x14ac:dyDescent="0.25">
      <c r="A240" s="63">
        <f t="shared" si="3"/>
        <v>45896</v>
      </c>
      <c r="B240">
        <v>416.61</v>
      </c>
      <c r="C240">
        <v>42.05</v>
      </c>
      <c r="D240">
        <v>126.25</v>
      </c>
      <c r="E240">
        <v>100.34</v>
      </c>
      <c r="F240">
        <v>54.31</v>
      </c>
      <c r="G240">
        <v>47.54</v>
      </c>
      <c r="H240">
        <v>46.12</v>
      </c>
    </row>
    <row r="241" spans="1:8" x14ac:dyDescent="0.25">
      <c r="A241" s="63">
        <f t="shared" si="3"/>
        <v>45897</v>
      </c>
      <c r="B241">
        <v>372.52000000000004</v>
      </c>
      <c r="C241">
        <v>34.119999999999997</v>
      </c>
      <c r="D241">
        <v>101.75</v>
      </c>
      <c r="E241">
        <v>104.72</v>
      </c>
      <c r="F241">
        <v>47.16</v>
      </c>
      <c r="G241">
        <v>40.1</v>
      </c>
      <c r="H241">
        <v>44.67</v>
      </c>
    </row>
    <row r="242" spans="1:8" x14ac:dyDescent="0.25">
      <c r="A242" s="63">
        <f t="shared" si="3"/>
        <v>45898</v>
      </c>
      <c r="B242">
        <v>396.37</v>
      </c>
      <c r="C242">
        <v>35.049999999999997</v>
      </c>
      <c r="D242">
        <v>147.35</v>
      </c>
      <c r="E242">
        <v>81.5</v>
      </c>
      <c r="F242">
        <v>52.18</v>
      </c>
      <c r="G242">
        <v>40.729999999999997</v>
      </c>
      <c r="H242">
        <v>39.56</v>
      </c>
    </row>
    <row r="243" spans="1:8" x14ac:dyDescent="0.25">
      <c r="A243" s="63">
        <f t="shared" si="3"/>
        <v>45899</v>
      </c>
      <c r="B243">
        <v>299.67999999999995</v>
      </c>
      <c r="C243">
        <v>37.880000000000003</v>
      </c>
      <c r="D243">
        <v>156.94999999999999</v>
      </c>
      <c r="E243">
        <v>21.9</v>
      </c>
      <c r="F243">
        <v>50.29</v>
      </c>
      <c r="G243">
        <v>32.659999999999997</v>
      </c>
    </row>
    <row r="244" spans="1:8" x14ac:dyDescent="0.25">
      <c r="A244" s="63">
        <f t="shared" si="3"/>
        <v>45900</v>
      </c>
      <c r="B244">
        <v>0</v>
      </c>
    </row>
    <row r="245" spans="1:8" x14ac:dyDescent="0.25">
      <c r="A245" s="63">
        <f t="shared" si="3"/>
        <v>45901</v>
      </c>
      <c r="B245">
        <v>489.19</v>
      </c>
      <c r="C245">
        <v>36.61</v>
      </c>
      <c r="D245">
        <v>222.55</v>
      </c>
      <c r="E245">
        <v>93.76</v>
      </c>
      <c r="F245">
        <v>55.31</v>
      </c>
      <c r="G245">
        <v>39.270000000000003</v>
      </c>
      <c r="H245">
        <v>41.69</v>
      </c>
    </row>
    <row r="246" spans="1:8" x14ac:dyDescent="0.25">
      <c r="A246" s="63">
        <f t="shared" si="3"/>
        <v>45902</v>
      </c>
      <c r="B246">
        <v>414.73999999999995</v>
      </c>
      <c r="C246">
        <v>44.88</v>
      </c>
      <c r="D246">
        <v>183.17</v>
      </c>
      <c r="E246">
        <v>51.55</v>
      </c>
      <c r="F246">
        <v>55.75</v>
      </c>
      <c r="G246">
        <v>37.07</v>
      </c>
      <c r="H246">
        <v>42.32</v>
      </c>
    </row>
    <row r="247" spans="1:8" x14ac:dyDescent="0.25">
      <c r="A247" s="63">
        <f t="shared" si="3"/>
        <v>45903</v>
      </c>
      <c r="B247">
        <v>382.57000000000005</v>
      </c>
      <c r="C247">
        <v>41.65</v>
      </c>
      <c r="D247">
        <v>130.44</v>
      </c>
      <c r="E247">
        <v>81.78</v>
      </c>
      <c r="F247">
        <v>54.31</v>
      </c>
      <c r="G247">
        <v>33.159999999999997</v>
      </c>
      <c r="H247">
        <v>41.23</v>
      </c>
    </row>
    <row r="248" spans="1:8" x14ac:dyDescent="0.25">
      <c r="A248" s="63">
        <f t="shared" si="3"/>
        <v>45904</v>
      </c>
      <c r="B248">
        <v>347.03000000000009</v>
      </c>
      <c r="C248">
        <v>45.46</v>
      </c>
      <c r="D248">
        <v>100.03</v>
      </c>
      <c r="E248">
        <v>81.180000000000007</v>
      </c>
      <c r="F248">
        <v>49.16</v>
      </c>
      <c r="G248">
        <v>28.72</v>
      </c>
      <c r="H248">
        <v>42.48</v>
      </c>
    </row>
    <row r="249" spans="1:8" x14ac:dyDescent="0.25">
      <c r="A249" s="63">
        <f t="shared" si="3"/>
        <v>45905</v>
      </c>
      <c r="B249">
        <v>375.71999999999997</v>
      </c>
      <c r="C249">
        <v>35.19</v>
      </c>
      <c r="D249">
        <v>147.57</v>
      </c>
      <c r="E249">
        <v>86.33</v>
      </c>
      <c r="F249">
        <v>37.08</v>
      </c>
      <c r="G249">
        <v>34.479999999999997</v>
      </c>
      <c r="H249">
        <v>35.07</v>
      </c>
    </row>
    <row r="250" spans="1:8" x14ac:dyDescent="0.25">
      <c r="A250" s="63">
        <f t="shared" si="3"/>
        <v>45906</v>
      </c>
      <c r="B250">
        <v>405.98000000001002</v>
      </c>
      <c r="C250">
        <v>52.91</v>
      </c>
      <c r="D250">
        <v>183.21</v>
      </c>
      <c r="E250">
        <v>88.99</v>
      </c>
      <c r="F250">
        <v>35.299999999999997</v>
      </c>
      <c r="G250">
        <v>45.57</v>
      </c>
      <c r="H250">
        <v>9.9999999999999994E-12</v>
      </c>
    </row>
    <row r="251" spans="1:8" x14ac:dyDescent="0.25">
      <c r="A251" s="63">
        <f t="shared" si="3"/>
        <v>45907</v>
      </c>
      <c r="B251">
        <v>403.61000000001002</v>
      </c>
      <c r="C251">
        <v>41.06</v>
      </c>
      <c r="D251">
        <v>182.4</v>
      </c>
      <c r="E251">
        <v>90.39</v>
      </c>
      <c r="F251">
        <v>39.33</v>
      </c>
      <c r="G251">
        <v>50.43</v>
      </c>
      <c r="H251">
        <v>9.9999999999999994E-12</v>
      </c>
    </row>
    <row r="252" spans="1:8" x14ac:dyDescent="0.25">
      <c r="A252" s="63">
        <f t="shared" si="3"/>
        <v>45908</v>
      </c>
      <c r="B252">
        <v>445.20999999999992</v>
      </c>
      <c r="C252">
        <v>43.78</v>
      </c>
      <c r="D252">
        <v>186.4</v>
      </c>
      <c r="E252">
        <v>90.37</v>
      </c>
      <c r="F252">
        <v>38.97</v>
      </c>
      <c r="G252">
        <v>50.28</v>
      </c>
      <c r="H252">
        <v>35.409999999999997</v>
      </c>
    </row>
    <row r="253" spans="1:8" x14ac:dyDescent="0.25">
      <c r="A253" s="63">
        <f t="shared" si="3"/>
        <v>45909</v>
      </c>
      <c r="B253">
        <v>459.51</v>
      </c>
      <c r="C253">
        <v>45.36</v>
      </c>
      <c r="D253">
        <v>202.1</v>
      </c>
      <c r="E253">
        <v>91.11</v>
      </c>
      <c r="F253">
        <v>39.81</v>
      </c>
      <c r="G253">
        <v>49.669999999999995</v>
      </c>
      <c r="H253">
        <v>31.46</v>
      </c>
    </row>
    <row r="254" spans="1:8" x14ac:dyDescent="0.25">
      <c r="A254" s="63">
        <f t="shared" si="3"/>
        <v>45910</v>
      </c>
      <c r="B254">
        <v>426.34000000000003</v>
      </c>
      <c r="C254">
        <v>49.86</v>
      </c>
      <c r="D254">
        <v>181</v>
      </c>
      <c r="E254">
        <v>90.3</v>
      </c>
      <c r="F254">
        <v>31.13</v>
      </c>
      <c r="G254">
        <v>45.8</v>
      </c>
      <c r="H254">
        <v>28.25</v>
      </c>
    </row>
    <row r="255" spans="1:8" x14ac:dyDescent="0.25">
      <c r="A255" s="63">
        <f t="shared" si="3"/>
        <v>45911</v>
      </c>
      <c r="B255">
        <v>417.54999999999995</v>
      </c>
      <c r="C255">
        <v>49.97</v>
      </c>
      <c r="D255">
        <v>185.12</v>
      </c>
      <c r="E255">
        <v>86.47</v>
      </c>
      <c r="F255">
        <v>30.95</v>
      </c>
      <c r="G255">
        <v>39.96</v>
      </c>
      <c r="H255">
        <v>25.08</v>
      </c>
    </row>
    <row r="256" spans="1:8" x14ac:dyDescent="0.25">
      <c r="A256" s="63">
        <f t="shared" si="3"/>
        <v>45912</v>
      </c>
      <c r="B256">
        <v>437.4799999999999</v>
      </c>
      <c r="C256">
        <v>43.53</v>
      </c>
      <c r="D256">
        <v>168.32</v>
      </c>
      <c r="E256">
        <v>104.32</v>
      </c>
      <c r="F256">
        <v>38.159999999999997</v>
      </c>
      <c r="G256">
        <v>45.39</v>
      </c>
      <c r="H256">
        <v>37.76</v>
      </c>
    </row>
    <row r="257" spans="1:8" x14ac:dyDescent="0.25">
      <c r="A257" s="63">
        <f t="shared" si="3"/>
        <v>45913</v>
      </c>
      <c r="B257">
        <v>466.45000000000999</v>
      </c>
      <c r="C257">
        <v>50.63</v>
      </c>
      <c r="D257">
        <v>213.24</v>
      </c>
      <c r="E257">
        <v>105.16</v>
      </c>
      <c r="F257">
        <v>47.35</v>
      </c>
      <c r="G257">
        <v>50.07</v>
      </c>
      <c r="H257">
        <v>9.9999999999999994E-12</v>
      </c>
    </row>
    <row r="258" spans="1:8" x14ac:dyDescent="0.25">
      <c r="A258" s="63">
        <f t="shared" si="3"/>
        <v>45914</v>
      </c>
      <c r="B258">
        <v>474.77000000000999</v>
      </c>
      <c r="C258">
        <v>47.14</v>
      </c>
      <c r="D258">
        <v>210.2</v>
      </c>
      <c r="E258">
        <v>112.19</v>
      </c>
      <c r="F258">
        <v>47.63</v>
      </c>
      <c r="G258">
        <v>57.61</v>
      </c>
      <c r="H258">
        <v>9.9999999999999994E-12</v>
      </c>
    </row>
    <row r="259" spans="1:8" x14ac:dyDescent="0.25">
      <c r="A259" s="63">
        <f t="shared" si="3"/>
        <v>45915</v>
      </c>
      <c r="B259">
        <v>511.85999999999996</v>
      </c>
      <c r="C259">
        <v>50.22</v>
      </c>
      <c r="D259">
        <v>213.18</v>
      </c>
      <c r="E259">
        <v>110.83</v>
      </c>
      <c r="F259">
        <v>43</v>
      </c>
      <c r="G259">
        <v>49.08</v>
      </c>
      <c r="H259">
        <v>45.55</v>
      </c>
    </row>
    <row r="260" spans="1:8" x14ac:dyDescent="0.25">
      <c r="A260" s="63">
        <f t="shared" ref="A260:A323" si="4">A259+1</f>
        <v>45916</v>
      </c>
      <c r="B260">
        <v>506.02</v>
      </c>
      <c r="C260">
        <v>50.13</v>
      </c>
      <c r="D260">
        <v>212.31</v>
      </c>
      <c r="E260">
        <v>112.14</v>
      </c>
      <c r="F260">
        <v>41.38</v>
      </c>
      <c r="G260">
        <v>50.01</v>
      </c>
      <c r="H260">
        <v>40.049999999999997</v>
      </c>
    </row>
    <row r="261" spans="1:8" x14ac:dyDescent="0.25">
      <c r="A261" s="63">
        <f t="shared" si="4"/>
        <v>45917</v>
      </c>
      <c r="B261">
        <v>479.15</v>
      </c>
      <c r="C261">
        <v>48.73</v>
      </c>
      <c r="D261">
        <v>198.54</v>
      </c>
      <c r="E261">
        <v>113.18</v>
      </c>
      <c r="F261">
        <v>30.9</v>
      </c>
      <c r="G261">
        <v>44.93</v>
      </c>
      <c r="H261">
        <v>42.87</v>
      </c>
    </row>
    <row r="262" spans="1:8" x14ac:dyDescent="0.25">
      <c r="A262" s="63">
        <f t="shared" si="4"/>
        <v>45918</v>
      </c>
      <c r="B262">
        <v>415.49</v>
      </c>
      <c r="C262">
        <v>45.49</v>
      </c>
      <c r="D262">
        <v>161.96</v>
      </c>
      <c r="E262">
        <v>98.12</v>
      </c>
      <c r="F262">
        <v>26.68</v>
      </c>
      <c r="G262">
        <v>43.9</v>
      </c>
      <c r="H262">
        <v>39.340000000000003</v>
      </c>
    </row>
    <row r="263" spans="1:8" x14ac:dyDescent="0.25">
      <c r="A263" s="63">
        <f t="shared" si="4"/>
        <v>45919</v>
      </c>
      <c r="B263">
        <v>509.63</v>
      </c>
      <c r="C263">
        <v>45.72</v>
      </c>
      <c r="D263">
        <v>216.85</v>
      </c>
      <c r="E263">
        <v>118.1</v>
      </c>
      <c r="F263">
        <v>42.43</v>
      </c>
      <c r="G263">
        <v>48.36</v>
      </c>
      <c r="H263">
        <v>38.17</v>
      </c>
    </row>
    <row r="264" spans="1:8" x14ac:dyDescent="0.25">
      <c r="A264" s="63">
        <f t="shared" si="4"/>
        <v>45920</v>
      </c>
      <c r="B264">
        <v>474.49000001000002</v>
      </c>
      <c r="C264">
        <v>53.69</v>
      </c>
      <c r="D264">
        <v>203.95</v>
      </c>
      <c r="E264">
        <v>120.84</v>
      </c>
      <c r="F264">
        <v>43.33</v>
      </c>
      <c r="G264">
        <v>52.68</v>
      </c>
      <c r="H264">
        <v>1E-8</v>
      </c>
    </row>
    <row r="265" spans="1:8" x14ac:dyDescent="0.25">
      <c r="A265" s="63">
        <f t="shared" si="4"/>
        <v>45921</v>
      </c>
      <c r="B265">
        <v>477.97000000001003</v>
      </c>
      <c r="C265">
        <v>49.4</v>
      </c>
      <c r="D265">
        <v>217.52</v>
      </c>
      <c r="E265">
        <v>122.92</v>
      </c>
      <c r="F265">
        <v>35.57</v>
      </c>
      <c r="G265">
        <v>52.56</v>
      </c>
      <c r="H265">
        <v>9.9999999999999994E-12</v>
      </c>
    </row>
    <row r="266" spans="1:8" x14ac:dyDescent="0.25">
      <c r="A266" s="63">
        <f t="shared" si="4"/>
        <v>45922</v>
      </c>
      <c r="B266">
        <v>502.51999999999992</v>
      </c>
      <c r="C266">
        <v>54.18</v>
      </c>
      <c r="D266">
        <v>201.98</v>
      </c>
      <c r="E266">
        <v>124.7</v>
      </c>
      <c r="F266">
        <v>31.21</v>
      </c>
      <c r="G266">
        <v>52.08</v>
      </c>
      <c r="H266">
        <v>38.369999999999997</v>
      </c>
    </row>
    <row r="267" spans="1:8" x14ac:dyDescent="0.25">
      <c r="A267" s="63">
        <f t="shared" si="4"/>
        <v>45923</v>
      </c>
      <c r="B267">
        <v>470.12</v>
      </c>
      <c r="C267">
        <v>51.26</v>
      </c>
      <c r="D267">
        <v>218.75</v>
      </c>
      <c r="E267">
        <v>114.68</v>
      </c>
      <c r="F267">
        <v>25.61</v>
      </c>
      <c r="G267">
        <v>41.51</v>
      </c>
      <c r="H267">
        <v>18.309999999999999</v>
      </c>
    </row>
    <row r="268" spans="1:8" x14ac:dyDescent="0.25">
      <c r="A268" s="63">
        <f t="shared" si="4"/>
        <v>45924</v>
      </c>
      <c r="B268">
        <v>469.31</v>
      </c>
      <c r="C268">
        <v>49.07</v>
      </c>
      <c r="D268">
        <v>222.48</v>
      </c>
      <c r="E268">
        <v>119.11</v>
      </c>
      <c r="F268">
        <v>22.42</v>
      </c>
      <c r="G268">
        <v>40.4</v>
      </c>
      <c r="H268">
        <v>15.83</v>
      </c>
    </row>
    <row r="269" spans="1:8" x14ac:dyDescent="0.25">
      <c r="A269" s="63">
        <f t="shared" si="4"/>
        <v>45925</v>
      </c>
      <c r="B269">
        <v>439.54000000000008</v>
      </c>
      <c r="C269">
        <v>48.94</v>
      </c>
      <c r="D269">
        <v>180.52</v>
      </c>
      <c r="E269">
        <v>123.64</v>
      </c>
      <c r="F269">
        <v>17.309999999999999</v>
      </c>
      <c r="G269">
        <v>44.85</v>
      </c>
      <c r="H269">
        <v>24.28</v>
      </c>
    </row>
    <row r="270" spans="1:8" x14ac:dyDescent="0.25">
      <c r="A270" s="63">
        <f t="shared" si="4"/>
        <v>45926</v>
      </c>
      <c r="B270">
        <v>481.52</v>
      </c>
      <c r="C270">
        <v>45.93</v>
      </c>
      <c r="D270">
        <v>192.47</v>
      </c>
      <c r="E270">
        <v>126.89</v>
      </c>
      <c r="F270">
        <v>19.02</v>
      </c>
      <c r="G270">
        <v>61.08</v>
      </c>
      <c r="H270">
        <v>36.130000000000003</v>
      </c>
    </row>
    <row r="271" spans="1:8" x14ac:dyDescent="0.25">
      <c r="A271" s="63">
        <f t="shared" si="4"/>
        <v>45927</v>
      </c>
      <c r="B271">
        <v>523.80000000999996</v>
      </c>
      <c r="C271">
        <v>53.39</v>
      </c>
      <c r="D271">
        <v>240.07</v>
      </c>
      <c r="E271">
        <v>130.11000000000001</v>
      </c>
      <c r="F271">
        <v>41.52</v>
      </c>
      <c r="G271">
        <v>58.71</v>
      </c>
      <c r="H271">
        <v>1E-8</v>
      </c>
    </row>
    <row r="272" spans="1:8" x14ac:dyDescent="0.25">
      <c r="A272" s="63">
        <f t="shared" si="4"/>
        <v>45928</v>
      </c>
      <c r="B272">
        <v>539.74000009999997</v>
      </c>
      <c r="C272">
        <v>52.36</v>
      </c>
      <c r="D272">
        <v>244.14</v>
      </c>
      <c r="E272">
        <v>129.51</v>
      </c>
      <c r="F272">
        <v>51.47</v>
      </c>
      <c r="G272">
        <v>62.26</v>
      </c>
      <c r="H272">
        <v>9.9999999999999995E-8</v>
      </c>
    </row>
    <row r="273" spans="1:8" x14ac:dyDescent="0.25">
      <c r="A273" s="63">
        <f t="shared" si="4"/>
        <v>45929</v>
      </c>
      <c r="B273">
        <v>527.65</v>
      </c>
      <c r="C273">
        <v>54.81</v>
      </c>
      <c r="D273">
        <v>187.75</v>
      </c>
      <c r="E273">
        <v>133.56</v>
      </c>
      <c r="F273">
        <v>50.5</v>
      </c>
      <c r="G273">
        <v>55.17</v>
      </c>
      <c r="H273">
        <v>45.86</v>
      </c>
    </row>
    <row r="274" spans="1:8" x14ac:dyDescent="0.25">
      <c r="A274" s="63">
        <f t="shared" si="4"/>
        <v>45930</v>
      </c>
      <c r="B274">
        <v>558.5200000000001</v>
      </c>
      <c r="C274">
        <v>52.1</v>
      </c>
      <c r="D274">
        <v>217.75</v>
      </c>
      <c r="E274">
        <v>131.16</v>
      </c>
      <c r="F274">
        <v>50.42</v>
      </c>
      <c r="G274">
        <v>61.14</v>
      </c>
      <c r="H274">
        <v>45.95</v>
      </c>
    </row>
    <row r="275" spans="1:8" x14ac:dyDescent="0.25">
      <c r="A275" s="63">
        <f t="shared" si="4"/>
        <v>45931</v>
      </c>
    </row>
    <row r="276" spans="1:8" x14ac:dyDescent="0.25">
      <c r="A276" s="63">
        <f t="shared" si="4"/>
        <v>45932</v>
      </c>
    </row>
    <row r="277" spans="1:8" x14ac:dyDescent="0.25">
      <c r="A277" s="63">
        <f t="shared" si="4"/>
        <v>45933</v>
      </c>
    </row>
    <row r="278" spans="1:8" x14ac:dyDescent="0.25">
      <c r="A278" s="63">
        <f t="shared" si="4"/>
        <v>45934</v>
      </c>
    </row>
    <row r="279" spans="1:8" x14ac:dyDescent="0.25">
      <c r="A279" s="63">
        <f t="shared" si="4"/>
        <v>45935</v>
      </c>
    </row>
    <row r="280" spans="1:8" x14ac:dyDescent="0.25">
      <c r="A280" s="63">
        <f t="shared" si="4"/>
        <v>45936</v>
      </c>
    </row>
    <row r="281" spans="1:8" x14ac:dyDescent="0.25">
      <c r="A281" s="63">
        <f t="shared" si="4"/>
        <v>45937</v>
      </c>
    </row>
    <row r="282" spans="1:8" x14ac:dyDescent="0.25">
      <c r="A282" s="63">
        <f t="shared" si="4"/>
        <v>45938</v>
      </c>
    </row>
    <row r="283" spans="1:8" x14ac:dyDescent="0.25">
      <c r="A283" s="63">
        <f t="shared" si="4"/>
        <v>45939</v>
      </c>
    </row>
    <row r="284" spans="1:8" x14ac:dyDescent="0.25">
      <c r="A284" s="63">
        <f t="shared" si="4"/>
        <v>45940</v>
      </c>
    </row>
    <row r="285" spans="1:8" x14ac:dyDescent="0.25">
      <c r="A285" s="63">
        <f t="shared" si="4"/>
        <v>45941</v>
      </c>
    </row>
    <row r="286" spans="1:8" x14ac:dyDescent="0.25">
      <c r="A286" s="63">
        <f t="shared" si="4"/>
        <v>45942</v>
      </c>
    </row>
    <row r="287" spans="1:8" x14ac:dyDescent="0.25">
      <c r="A287" s="63">
        <f t="shared" si="4"/>
        <v>45943</v>
      </c>
    </row>
    <row r="288" spans="1:8" x14ac:dyDescent="0.25">
      <c r="A288" s="63">
        <f t="shared" si="4"/>
        <v>45944</v>
      </c>
    </row>
    <row r="289" spans="1:1" x14ac:dyDescent="0.25">
      <c r="A289" s="63">
        <f t="shared" si="4"/>
        <v>45945</v>
      </c>
    </row>
    <row r="290" spans="1:1" x14ac:dyDescent="0.25">
      <c r="A290" s="63">
        <f t="shared" si="4"/>
        <v>45946</v>
      </c>
    </row>
    <row r="291" spans="1:1" x14ac:dyDescent="0.25">
      <c r="A291" s="63">
        <f t="shared" si="4"/>
        <v>45947</v>
      </c>
    </row>
    <row r="292" spans="1:1" x14ac:dyDescent="0.25">
      <c r="A292" s="63">
        <f t="shared" si="4"/>
        <v>45948</v>
      </c>
    </row>
    <row r="293" spans="1:1" x14ac:dyDescent="0.25">
      <c r="A293" s="63">
        <f t="shared" si="4"/>
        <v>45949</v>
      </c>
    </row>
    <row r="294" spans="1:1" x14ac:dyDescent="0.25">
      <c r="A294" s="63">
        <f t="shared" si="4"/>
        <v>45950</v>
      </c>
    </row>
    <row r="295" spans="1:1" x14ac:dyDescent="0.25">
      <c r="A295" s="63">
        <f t="shared" si="4"/>
        <v>45951</v>
      </c>
    </row>
    <row r="296" spans="1:1" x14ac:dyDescent="0.25">
      <c r="A296" s="63">
        <f t="shared" si="4"/>
        <v>45952</v>
      </c>
    </row>
    <row r="297" spans="1:1" x14ac:dyDescent="0.25">
      <c r="A297" s="63">
        <f t="shared" si="4"/>
        <v>45953</v>
      </c>
    </row>
    <row r="298" spans="1:1" x14ac:dyDescent="0.25">
      <c r="A298" s="63">
        <f t="shared" si="4"/>
        <v>45954</v>
      </c>
    </row>
    <row r="299" spans="1:1" x14ac:dyDescent="0.25">
      <c r="A299" s="63">
        <f t="shared" si="4"/>
        <v>45955</v>
      </c>
    </row>
    <row r="300" spans="1:1" x14ac:dyDescent="0.25">
      <c r="A300" s="63">
        <f t="shared" si="4"/>
        <v>45956</v>
      </c>
    </row>
    <row r="301" spans="1:1" x14ac:dyDescent="0.25">
      <c r="A301" s="63">
        <f t="shared" si="4"/>
        <v>45957</v>
      </c>
    </row>
    <row r="302" spans="1:1" x14ac:dyDescent="0.25">
      <c r="A302" s="63">
        <f t="shared" si="4"/>
        <v>45958</v>
      </c>
    </row>
    <row r="303" spans="1:1" x14ac:dyDescent="0.25">
      <c r="A303" s="63">
        <f t="shared" si="4"/>
        <v>45959</v>
      </c>
    </row>
    <row r="304" spans="1:1" x14ac:dyDescent="0.25">
      <c r="A304" s="63">
        <f t="shared" si="4"/>
        <v>45960</v>
      </c>
    </row>
    <row r="305" spans="1:1" x14ac:dyDescent="0.25">
      <c r="A305" s="63">
        <f t="shared" si="4"/>
        <v>45961</v>
      </c>
    </row>
    <row r="306" spans="1:1" x14ac:dyDescent="0.25">
      <c r="A306" s="63">
        <f t="shared" si="4"/>
        <v>45962</v>
      </c>
    </row>
    <row r="307" spans="1:1" x14ac:dyDescent="0.25">
      <c r="A307" s="63">
        <f t="shared" si="4"/>
        <v>45963</v>
      </c>
    </row>
    <row r="308" spans="1:1" x14ac:dyDescent="0.25">
      <c r="A308" s="63">
        <f t="shared" si="4"/>
        <v>45964</v>
      </c>
    </row>
    <row r="309" spans="1:1" x14ac:dyDescent="0.25">
      <c r="A309" s="63">
        <f t="shared" si="4"/>
        <v>45965</v>
      </c>
    </row>
    <row r="310" spans="1:1" x14ac:dyDescent="0.25">
      <c r="A310" s="63">
        <f t="shared" si="4"/>
        <v>45966</v>
      </c>
    </row>
    <row r="311" spans="1:1" x14ac:dyDescent="0.25">
      <c r="A311" s="63">
        <f t="shared" si="4"/>
        <v>45967</v>
      </c>
    </row>
    <row r="312" spans="1:1" x14ac:dyDescent="0.25">
      <c r="A312" s="63">
        <f t="shared" si="4"/>
        <v>45968</v>
      </c>
    </row>
    <row r="313" spans="1:1" x14ac:dyDescent="0.25">
      <c r="A313" s="63">
        <f t="shared" si="4"/>
        <v>45969</v>
      </c>
    </row>
    <row r="314" spans="1:1" x14ac:dyDescent="0.25">
      <c r="A314" s="63">
        <f t="shared" si="4"/>
        <v>45970</v>
      </c>
    </row>
    <row r="315" spans="1:1" x14ac:dyDescent="0.25">
      <c r="A315" s="63">
        <f t="shared" si="4"/>
        <v>45971</v>
      </c>
    </row>
    <row r="316" spans="1:1" x14ac:dyDescent="0.25">
      <c r="A316" s="63">
        <f t="shared" si="4"/>
        <v>45972</v>
      </c>
    </row>
    <row r="317" spans="1:1" x14ac:dyDescent="0.25">
      <c r="A317" s="63">
        <f t="shared" si="4"/>
        <v>45973</v>
      </c>
    </row>
    <row r="318" spans="1:1" x14ac:dyDescent="0.25">
      <c r="A318" s="63">
        <f t="shared" si="4"/>
        <v>45974</v>
      </c>
    </row>
    <row r="319" spans="1:1" x14ac:dyDescent="0.25">
      <c r="A319" s="63">
        <f t="shared" si="4"/>
        <v>45975</v>
      </c>
    </row>
    <row r="320" spans="1:1" x14ac:dyDescent="0.25">
      <c r="A320" s="63">
        <f t="shared" si="4"/>
        <v>45976</v>
      </c>
    </row>
    <row r="321" spans="1:1" x14ac:dyDescent="0.25">
      <c r="A321" s="63">
        <f t="shared" si="4"/>
        <v>45977</v>
      </c>
    </row>
    <row r="322" spans="1:1" x14ac:dyDescent="0.25">
      <c r="A322" s="63">
        <f t="shared" si="4"/>
        <v>45978</v>
      </c>
    </row>
    <row r="323" spans="1:1" x14ac:dyDescent="0.25">
      <c r="A323" s="63">
        <f t="shared" si="4"/>
        <v>45979</v>
      </c>
    </row>
    <row r="324" spans="1:1" x14ac:dyDescent="0.25">
      <c r="A324" s="63">
        <f t="shared" ref="A324:A367" si="5">A323+1</f>
        <v>45980</v>
      </c>
    </row>
    <row r="325" spans="1:1" x14ac:dyDescent="0.25">
      <c r="A325" s="63">
        <f t="shared" si="5"/>
        <v>45981</v>
      </c>
    </row>
    <row r="326" spans="1:1" x14ac:dyDescent="0.25">
      <c r="A326" s="63">
        <f t="shared" si="5"/>
        <v>45982</v>
      </c>
    </row>
    <row r="327" spans="1:1" x14ac:dyDescent="0.25">
      <c r="A327" s="63">
        <f t="shared" si="5"/>
        <v>45983</v>
      </c>
    </row>
    <row r="328" spans="1:1" x14ac:dyDescent="0.25">
      <c r="A328" s="63">
        <f t="shared" si="5"/>
        <v>45984</v>
      </c>
    </row>
    <row r="329" spans="1:1" x14ac:dyDescent="0.25">
      <c r="A329" s="63">
        <f t="shared" si="5"/>
        <v>45985</v>
      </c>
    </row>
    <row r="330" spans="1:1" x14ac:dyDescent="0.25">
      <c r="A330" s="63">
        <f t="shared" si="5"/>
        <v>45986</v>
      </c>
    </row>
    <row r="331" spans="1:1" x14ac:dyDescent="0.25">
      <c r="A331" s="63">
        <f t="shared" si="5"/>
        <v>45987</v>
      </c>
    </row>
    <row r="332" spans="1:1" x14ac:dyDescent="0.25">
      <c r="A332" s="63">
        <f t="shared" si="5"/>
        <v>45988</v>
      </c>
    </row>
    <row r="333" spans="1:1" x14ac:dyDescent="0.25">
      <c r="A333" s="63">
        <f t="shared" si="5"/>
        <v>45989</v>
      </c>
    </row>
    <row r="334" spans="1:1" x14ac:dyDescent="0.25">
      <c r="A334" s="63">
        <f t="shared" si="5"/>
        <v>45990</v>
      </c>
    </row>
    <row r="335" spans="1:1" x14ac:dyDescent="0.25">
      <c r="A335" s="63">
        <f t="shared" si="5"/>
        <v>45991</v>
      </c>
    </row>
    <row r="336" spans="1:1" x14ac:dyDescent="0.25">
      <c r="A336" s="63">
        <f t="shared" si="5"/>
        <v>45992</v>
      </c>
    </row>
    <row r="337" spans="1:1" x14ac:dyDescent="0.25">
      <c r="A337" s="63">
        <f t="shared" si="5"/>
        <v>45993</v>
      </c>
    </row>
    <row r="338" spans="1:1" x14ac:dyDescent="0.25">
      <c r="A338" s="63">
        <f t="shared" si="5"/>
        <v>45994</v>
      </c>
    </row>
    <row r="339" spans="1:1" x14ac:dyDescent="0.25">
      <c r="A339" s="63">
        <f t="shared" si="5"/>
        <v>45995</v>
      </c>
    </row>
    <row r="340" spans="1:1" x14ac:dyDescent="0.25">
      <c r="A340" s="63">
        <f t="shared" si="5"/>
        <v>45996</v>
      </c>
    </row>
    <row r="341" spans="1:1" x14ac:dyDescent="0.25">
      <c r="A341" s="63">
        <f t="shared" si="5"/>
        <v>45997</v>
      </c>
    </row>
    <row r="342" spans="1:1" x14ac:dyDescent="0.25">
      <c r="A342" s="63">
        <f t="shared" si="5"/>
        <v>45998</v>
      </c>
    </row>
    <row r="343" spans="1:1" x14ac:dyDescent="0.25">
      <c r="A343" s="63">
        <f t="shared" si="5"/>
        <v>45999</v>
      </c>
    </row>
    <row r="344" spans="1:1" x14ac:dyDescent="0.25">
      <c r="A344" s="63">
        <f t="shared" si="5"/>
        <v>46000</v>
      </c>
    </row>
    <row r="345" spans="1:1" x14ac:dyDescent="0.25">
      <c r="A345" s="63">
        <f t="shared" si="5"/>
        <v>46001</v>
      </c>
    </row>
    <row r="346" spans="1:1" x14ac:dyDescent="0.25">
      <c r="A346" s="63">
        <f t="shared" si="5"/>
        <v>46002</v>
      </c>
    </row>
    <row r="347" spans="1:1" x14ac:dyDescent="0.25">
      <c r="A347" s="63">
        <f t="shared" si="5"/>
        <v>46003</v>
      </c>
    </row>
    <row r="348" spans="1:1" x14ac:dyDescent="0.25">
      <c r="A348" s="63">
        <f t="shared" si="5"/>
        <v>46004</v>
      </c>
    </row>
    <row r="349" spans="1:1" x14ac:dyDescent="0.25">
      <c r="A349" s="63">
        <f t="shared" si="5"/>
        <v>46005</v>
      </c>
    </row>
    <row r="350" spans="1:1" x14ac:dyDescent="0.25">
      <c r="A350" s="63">
        <f t="shared" si="5"/>
        <v>46006</v>
      </c>
    </row>
    <row r="351" spans="1:1" x14ac:dyDescent="0.25">
      <c r="A351" s="63">
        <f t="shared" si="5"/>
        <v>46007</v>
      </c>
    </row>
    <row r="352" spans="1:1" x14ac:dyDescent="0.25">
      <c r="A352" s="63">
        <f t="shared" si="5"/>
        <v>46008</v>
      </c>
    </row>
    <row r="353" spans="1:1" x14ac:dyDescent="0.25">
      <c r="A353" s="63">
        <f t="shared" si="5"/>
        <v>46009</v>
      </c>
    </row>
    <row r="354" spans="1:1" x14ac:dyDescent="0.25">
      <c r="A354" s="63">
        <f t="shared" si="5"/>
        <v>46010</v>
      </c>
    </row>
    <row r="355" spans="1:1" x14ac:dyDescent="0.25">
      <c r="A355" s="63">
        <f t="shared" si="5"/>
        <v>46011</v>
      </c>
    </row>
    <row r="356" spans="1:1" x14ac:dyDescent="0.25">
      <c r="A356" s="63">
        <f t="shared" si="5"/>
        <v>46012</v>
      </c>
    </row>
    <row r="357" spans="1:1" x14ac:dyDescent="0.25">
      <c r="A357" s="63">
        <f t="shared" si="5"/>
        <v>46013</v>
      </c>
    </row>
    <row r="358" spans="1:1" x14ac:dyDescent="0.25">
      <c r="A358" s="63">
        <f t="shared" si="5"/>
        <v>46014</v>
      </c>
    </row>
    <row r="359" spans="1:1" x14ac:dyDescent="0.25">
      <c r="A359" s="63">
        <f t="shared" si="5"/>
        <v>46015</v>
      </c>
    </row>
    <row r="360" spans="1:1" x14ac:dyDescent="0.25">
      <c r="A360" s="63">
        <f t="shared" si="5"/>
        <v>46016</v>
      </c>
    </row>
    <row r="361" spans="1:1" x14ac:dyDescent="0.25">
      <c r="A361" s="63">
        <f t="shared" si="5"/>
        <v>46017</v>
      </c>
    </row>
    <row r="362" spans="1:1" x14ac:dyDescent="0.25">
      <c r="A362" s="63">
        <f t="shared" si="5"/>
        <v>46018</v>
      </c>
    </row>
    <row r="363" spans="1:1" x14ac:dyDescent="0.25">
      <c r="A363" s="63">
        <f t="shared" si="5"/>
        <v>46019</v>
      </c>
    </row>
    <row r="364" spans="1:1" x14ac:dyDescent="0.25">
      <c r="A364" s="63">
        <f t="shared" si="5"/>
        <v>46020</v>
      </c>
    </row>
    <row r="365" spans="1:1" x14ac:dyDescent="0.25">
      <c r="A365" s="63">
        <f t="shared" si="5"/>
        <v>46021</v>
      </c>
    </row>
    <row r="366" spans="1:1" x14ac:dyDescent="0.25">
      <c r="A366" s="63">
        <f t="shared" si="5"/>
        <v>46022</v>
      </c>
    </row>
    <row r="367" spans="1:1" x14ac:dyDescent="0.25">
      <c r="A367" s="63">
        <f t="shared" si="5"/>
        <v>46023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371"/>
  <sheetViews>
    <sheetView zoomScaleNormal="100" workbookViewId="0">
      <selection activeCell="T13" sqref="T13"/>
    </sheetView>
  </sheetViews>
  <sheetFormatPr defaultRowHeight="12.75" x14ac:dyDescent="0.2"/>
  <cols>
    <col min="1" max="1" width="9.140625" style="44"/>
    <col min="2" max="2" width="10.85546875" style="44" customWidth="1"/>
    <col min="3" max="3" width="10.28515625" style="44" customWidth="1"/>
    <col min="4" max="4" width="9.85546875" style="44" customWidth="1"/>
    <col min="5" max="5" width="10.5703125" style="44" customWidth="1"/>
    <col min="6" max="6" width="10" style="44" customWidth="1"/>
    <col min="7" max="7" width="9.85546875" style="44" customWidth="1"/>
    <col min="8" max="8" width="10.140625" style="44" customWidth="1"/>
    <col min="9" max="9" width="13.85546875" style="44" customWidth="1"/>
    <col min="10" max="10" width="12.5703125" style="44" customWidth="1"/>
    <col min="11" max="253" width="9.140625" style="44"/>
    <col min="254" max="254" width="10.85546875" style="44" customWidth="1"/>
    <col min="255" max="255" width="10.28515625" style="44" customWidth="1"/>
    <col min="256" max="256" width="9.85546875" style="44" customWidth="1"/>
    <col min="257" max="257" width="10.5703125" style="44" customWidth="1"/>
    <col min="258" max="258" width="10" style="44" customWidth="1"/>
    <col min="259" max="259" width="9.85546875" style="44" customWidth="1"/>
    <col min="260" max="260" width="10.140625" style="44" customWidth="1"/>
    <col min="261" max="261" width="13.85546875" style="44" customWidth="1"/>
    <col min="262" max="262" width="12.5703125" style="44" customWidth="1"/>
    <col min="263" max="509" width="9.140625" style="44"/>
    <col min="510" max="510" width="10.85546875" style="44" customWidth="1"/>
    <col min="511" max="511" width="10.28515625" style="44" customWidth="1"/>
    <col min="512" max="512" width="9.85546875" style="44" customWidth="1"/>
    <col min="513" max="513" width="10.5703125" style="44" customWidth="1"/>
    <col min="514" max="514" width="10" style="44" customWidth="1"/>
    <col min="515" max="515" width="9.85546875" style="44" customWidth="1"/>
    <col min="516" max="516" width="10.140625" style="44" customWidth="1"/>
    <col min="517" max="517" width="13.85546875" style="44" customWidth="1"/>
    <col min="518" max="518" width="12.5703125" style="44" customWidth="1"/>
    <col min="519" max="765" width="9.140625" style="44"/>
    <col min="766" max="766" width="10.85546875" style="44" customWidth="1"/>
    <col min="767" max="767" width="10.28515625" style="44" customWidth="1"/>
    <col min="768" max="768" width="9.85546875" style="44" customWidth="1"/>
    <col min="769" max="769" width="10.5703125" style="44" customWidth="1"/>
    <col min="770" max="770" width="10" style="44" customWidth="1"/>
    <col min="771" max="771" width="9.85546875" style="44" customWidth="1"/>
    <col min="772" max="772" width="10.140625" style="44" customWidth="1"/>
    <col min="773" max="773" width="13.85546875" style="44" customWidth="1"/>
    <col min="774" max="774" width="12.5703125" style="44" customWidth="1"/>
    <col min="775" max="1021" width="9.140625" style="44"/>
    <col min="1022" max="1022" width="10.85546875" style="44" customWidth="1"/>
    <col min="1023" max="1023" width="10.28515625" style="44" customWidth="1"/>
    <col min="1024" max="1024" width="9.85546875" style="44" customWidth="1"/>
    <col min="1025" max="1025" width="10.5703125" style="44" customWidth="1"/>
    <col min="1026" max="1026" width="10" style="44" customWidth="1"/>
    <col min="1027" max="1027" width="9.85546875" style="44" customWidth="1"/>
    <col min="1028" max="1028" width="10.140625" style="44" customWidth="1"/>
    <col min="1029" max="1029" width="13.85546875" style="44" customWidth="1"/>
    <col min="1030" max="1030" width="12.5703125" style="44" customWidth="1"/>
    <col min="1031" max="1277" width="9.140625" style="44"/>
    <col min="1278" max="1278" width="10.85546875" style="44" customWidth="1"/>
    <col min="1279" max="1279" width="10.28515625" style="44" customWidth="1"/>
    <col min="1280" max="1280" width="9.85546875" style="44" customWidth="1"/>
    <col min="1281" max="1281" width="10.5703125" style="44" customWidth="1"/>
    <col min="1282" max="1282" width="10" style="44" customWidth="1"/>
    <col min="1283" max="1283" width="9.85546875" style="44" customWidth="1"/>
    <col min="1284" max="1284" width="10.140625" style="44" customWidth="1"/>
    <col min="1285" max="1285" width="13.85546875" style="44" customWidth="1"/>
    <col min="1286" max="1286" width="12.5703125" style="44" customWidth="1"/>
    <col min="1287" max="1533" width="9.140625" style="44"/>
    <col min="1534" max="1534" width="10.85546875" style="44" customWidth="1"/>
    <col min="1535" max="1535" width="10.28515625" style="44" customWidth="1"/>
    <col min="1536" max="1536" width="9.85546875" style="44" customWidth="1"/>
    <col min="1537" max="1537" width="10.5703125" style="44" customWidth="1"/>
    <col min="1538" max="1538" width="10" style="44" customWidth="1"/>
    <col min="1539" max="1539" width="9.85546875" style="44" customWidth="1"/>
    <col min="1540" max="1540" width="10.140625" style="44" customWidth="1"/>
    <col min="1541" max="1541" width="13.85546875" style="44" customWidth="1"/>
    <col min="1542" max="1542" width="12.5703125" style="44" customWidth="1"/>
    <col min="1543" max="1789" width="9.140625" style="44"/>
    <col min="1790" max="1790" width="10.85546875" style="44" customWidth="1"/>
    <col min="1791" max="1791" width="10.28515625" style="44" customWidth="1"/>
    <col min="1792" max="1792" width="9.85546875" style="44" customWidth="1"/>
    <col min="1793" max="1793" width="10.5703125" style="44" customWidth="1"/>
    <col min="1794" max="1794" width="10" style="44" customWidth="1"/>
    <col min="1795" max="1795" width="9.85546875" style="44" customWidth="1"/>
    <col min="1796" max="1796" width="10.140625" style="44" customWidth="1"/>
    <col min="1797" max="1797" width="13.85546875" style="44" customWidth="1"/>
    <col min="1798" max="1798" width="12.5703125" style="44" customWidth="1"/>
    <col min="1799" max="2045" width="9.140625" style="44"/>
    <col min="2046" max="2046" width="10.85546875" style="44" customWidth="1"/>
    <col min="2047" max="2047" width="10.28515625" style="44" customWidth="1"/>
    <col min="2048" max="2048" width="9.85546875" style="44" customWidth="1"/>
    <col min="2049" max="2049" width="10.5703125" style="44" customWidth="1"/>
    <col min="2050" max="2050" width="10" style="44" customWidth="1"/>
    <col min="2051" max="2051" width="9.85546875" style="44" customWidth="1"/>
    <col min="2052" max="2052" width="10.140625" style="44" customWidth="1"/>
    <col min="2053" max="2053" width="13.85546875" style="44" customWidth="1"/>
    <col min="2054" max="2054" width="12.5703125" style="44" customWidth="1"/>
    <col min="2055" max="2301" width="9.140625" style="44"/>
    <col min="2302" max="2302" width="10.85546875" style="44" customWidth="1"/>
    <col min="2303" max="2303" width="10.28515625" style="44" customWidth="1"/>
    <col min="2304" max="2304" width="9.85546875" style="44" customWidth="1"/>
    <col min="2305" max="2305" width="10.5703125" style="44" customWidth="1"/>
    <col min="2306" max="2306" width="10" style="44" customWidth="1"/>
    <col min="2307" max="2307" width="9.85546875" style="44" customWidth="1"/>
    <col min="2308" max="2308" width="10.140625" style="44" customWidth="1"/>
    <col min="2309" max="2309" width="13.85546875" style="44" customWidth="1"/>
    <col min="2310" max="2310" width="12.5703125" style="44" customWidth="1"/>
    <col min="2311" max="2557" width="9.140625" style="44"/>
    <col min="2558" max="2558" width="10.85546875" style="44" customWidth="1"/>
    <col min="2559" max="2559" width="10.28515625" style="44" customWidth="1"/>
    <col min="2560" max="2560" width="9.85546875" style="44" customWidth="1"/>
    <col min="2561" max="2561" width="10.5703125" style="44" customWidth="1"/>
    <col min="2562" max="2562" width="10" style="44" customWidth="1"/>
    <col min="2563" max="2563" width="9.85546875" style="44" customWidth="1"/>
    <col min="2564" max="2564" width="10.140625" style="44" customWidth="1"/>
    <col min="2565" max="2565" width="13.85546875" style="44" customWidth="1"/>
    <col min="2566" max="2566" width="12.5703125" style="44" customWidth="1"/>
    <col min="2567" max="2813" width="9.140625" style="44"/>
    <col min="2814" max="2814" width="10.85546875" style="44" customWidth="1"/>
    <col min="2815" max="2815" width="10.28515625" style="44" customWidth="1"/>
    <col min="2816" max="2816" width="9.85546875" style="44" customWidth="1"/>
    <col min="2817" max="2817" width="10.5703125" style="44" customWidth="1"/>
    <col min="2818" max="2818" width="10" style="44" customWidth="1"/>
    <col min="2819" max="2819" width="9.85546875" style="44" customWidth="1"/>
    <col min="2820" max="2820" width="10.140625" style="44" customWidth="1"/>
    <col min="2821" max="2821" width="13.85546875" style="44" customWidth="1"/>
    <col min="2822" max="2822" width="12.5703125" style="44" customWidth="1"/>
    <col min="2823" max="3069" width="9.140625" style="44"/>
    <col min="3070" max="3070" width="10.85546875" style="44" customWidth="1"/>
    <col min="3071" max="3071" width="10.28515625" style="44" customWidth="1"/>
    <col min="3072" max="3072" width="9.85546875" style="44" customWidth="1"/>
    <col min="3073" max="3073" width="10.5703125" style="44" customWidth="1"/>
    <col min="3074" max="3074" width="10" style="44" customWidth="1"/>
    <col min="3075" max="3075" width="9.85546875" style="44" customWidth="1"/>
    <col min="3076" max="3076" width="10.140625" style="44" customWidth="1"/>
    <col min="3077" max="3077" width="13.85546875" style="44" customWidth="1"/>
    <col min="3078" max="3078" width="12.5703125" style="44" customWidth="1"/>
    <col min="3079" max="3325" width="9.140625" style="44"/>
    <col min="3326" max="3326" width="10.85546875" style="44" customWidth="1"/>
    <col min="3327" max="3327" width="10.28515625" style="44" customWidth="1"/>
    <col min="3328" max="3328" width="9.85546875" style="44" customWidth="1"/>
    <col min="3329" max="3329" width="10.5703125" style="44" customWidth="1"/>
    <col min="3330" max="3330" width="10" style="44" customWidth="1"/>
    <col min="3331" max="3331" width="9.85546875" style="44" customWidth="1"/>
    <col min="3332" max="3332" width="10.140625" style="44" customWidth="1"/>
    <col min="3333" max="3333" width="13.85546875" style="44" customWidth="1"/>
    <col min="3334" max="3334" width="12.5703125" style="44" customWidth="1"/>
    <col min="3335" max="3581" width="9.140625" style="44"/>
    <col min="3582" max="3582" width="10.85546875" style="44" customWidth="1"/>
    <col min="3583" max="3583" width="10.28515625" style="44" customWidth="1"/>
    <col min="3584" max="3584" width="9.85546875" style="44" customWidth="1"/>
    <col min="3585" max="3585" width="10.5703125" style="44" customWidth="1"/>
    <col min="3586" max="3586" width="10" style="44" customWidth="1"/>
    <col min="3587" max="3587" width="9.85546875" style="44" customWidth="1"/>
    <col min="3588" max="3588" width="10.140625" style="44" customWidth="1"/>
    <col min="3589" max="3589" width="13.85546875" style="44" customWidth="1"/>
    <col min="3590" max="3590" width="12.5703125" style="44" customWidth="1"/>
    <col min="3591" max="3837" width="9.140625" style="44"/>
    <col min="3838" max="3838" width="10.85546875" style="44" customWidth="1"/>
    <col min="3839" max="3839" width="10.28515625" style="44" customWidth="1"/>
    <col min="3840" max="3840" width="9.85546875" style="44" customWidth="1"/>
    <col min="3841" max="3841" width="10.5703125" style="44" customWidth="1"/>
    <col min="3842" max="3842" width="10" style="44" customWidth="1"/>
    <col min="3843" max="3843" width="9.85546875" style="44" customWidth="1"/>
    <col min="3844" max="3844" width="10.140625" style="44" customWidth="1"/>
    <col min="3845" max="3845" width="13.85546875" style="44" customWidth="1"/>
    <col min="3846" max="3846" width="12.5703125" style="44" customWidth="1"/>
    <col min="3847" max="4093" width="9.140625" style="44"/>
    <col min="4094" max="4094" width="10.85546875" style="44" customWidth="1"/>
    <col min="4095" max="4095" width="10.28515625" style="44" customWidth="1"/>
    <col min="4096" max="4096" width="9.85546875" style="44" customWidth="1"/>
    <col min="4097" max="4097" width="10.5703125" style="44" customWidth="1"/>
    <col min="4098" max="4098" width="10" style="44" customWidth="1"/>
    <col min="4099" max="4099" width="9.85546875" style="44" customWidth="1"/>
    <col min="4100" max="4100" width="10.140625" style="44" customWidth="1"/>
    <col min="4101" max="4101" width="13.85546875" style="44" customWidth="1"/>
    <col min="4102" max="4102" width="12.5703125" style="44" customWidth="1"/>
    <col min="4103" max="4349" width="9.140625" style="44"/>
    <col min="4350" max="4350" width="10.85546875" style="44" customWidth="1"/>
    <col min="4351" max="4351" width="10.28515625" style="44" customWidth="1"/>
    <col min="4352" max="4352" width="9.85546875" style="44" customWidth="1"/>
    <col min="4353" max="4353" width="10.5703125" style="44" customWidth="1"/>
    <col min="4354" max="4354" width="10" style="44" customWidth="1"/>
    <col min="4355" max="4355" width="9.85546875" style="44" customWidth="1"/>
    <col min="4356" max="4356" width="10.140625" style="44" customWidth="1"/>
    <col min="4357" max="4357" width="13.85546875" style="44" customWidth="1"/>
    <col min="4358" max="4358" width="12.5703125" style="44" customWidth="1"/>
    <col min="4359" max="4605" width="9.140625" style="44"/>
    <col min="4606" max="4606" width="10.85546875" style="44" customWidth="1"/>
    <col min="4607" max="4607" width="10.28515625" style="44" customWidth="1"/>
    <col min="4608" max="4608" width="9.85546875" style="44" customWidth="1"/>
    <col min="4609" max="4609" width="10.5703125" style="44" customWidth="1"/>
    <col min="4610" max="4610" width="10" style="44" customWidth="1"/>
    <col min="4611" max="4611" width="9.85546875" style="44" customWidth="1"/>
    <col min="4612" max="4612" width="10.140625" style="44" customWidth="1"/>
    <col min="4613" max="4613" width="13.85546875" style="44" customWidth="1"/>
    <col min="4614" max="4614" width="12.5703125" style="44" customWidth="1"/>
    <col min="4615" max="4861" width="9.140625" style="44"/>
    <col min="4862" max="4862" width="10.85546875" style="44" customWidth="1"/>
    <col min="4863" max="4863" width="10.28515625" style="44" customWidth="1"/>
    <col min="4864" max="4864" width="9.85546875" style="44" customWidth="1"/>
    <col min="4865" max="4865" width="10.5703125" style="44" customWidth="1"/>
    <col min="4866" max="4866" width="10" style="44" customWidth="1"/>
    <col min="4867" max="4867" width="9.85546875" style="44" customWidth="1"/>
    <col min="4868" max="4868" width="10.140625" style="44" customWidth="1"/>
    <col min="4869" max="4869" width="13.85546875" style="44" customWidth="1"/>
    <col min="4870" max="4870" width="12.5703125" style="44" customWidth="1"/>
    <col min="4871" max="5117" width="9.140625" style="44"/>
    <col min="5118" max="5118" width="10.85546875" style="44" customWidth="1"/>
    <col min="5119" max="5119" width="10.28515625" style="44" customWidth="1"/>
    <col min="5120" max="5120" width="9.85546875" style="44" customWidth="1"/>
    <col min="5121" max="5121" width="10.5703125" style="44" customWidth="1"/>
    <col min="5122" max="5122" width="10" style="44" customWidth="1"/>
    <col min="5123" max="5123" width="9.85546875" style="44" customWidth="1"/>
    <col min="5124" max="5124" width="10.140625" style="44" customWidth="1"/>
    <col min="5125" max="5125" width="13.85546875" style="44" customWidth="1"/>
    <col min="5126" max="5126" width="12.5703125" style="44" customWidth="1"/>
    <col min="5127" max="5373" width="9.140625" style="44"/>
    <col min="5374" max="5374" width="10.85546875" style="44" customWidth="1"/>
    <col min="5375" max="5375" width="10.28515625" style="44" customWidth="1"/>
    <col min="5376" max="5376" width="9.85546875" style="44" customWidth="1"/>
    <col min="5377" max="5377" width="10.5703125" style="44" customWidth="1"/>
    <col min="5378" max="5378" width="10" style="44" customWidth="1"/>
    <col min="5379" max="5379" width="9.85546875" style="44" customWidth="1"/>
    <col min="5380" max="5380" width="10.140625" style="44" customWidth="1"/>
    <col min="5381" max="5381" width="13.85546875" style="44" customWidth="1"/>
    <col min="5382" max="5382" width="12.5703125" style="44" customWidth="1"/>
    <col min="5383" max="5629" width="9.140625" style="44"/>
    <col min="5630" max="5630" width="10.85546875" style="44" customWidth="1"/>
    <col min="5631" max="5631" width="10.28515625" style="44" customWidth="1"/>
    <col min="5632" max="5632" width="9.85546875" style="44" customWidth="1"/>
    <col min="5633" max="5633" width="10.5703125" style="44" customWidth="1"/>
    <col min="5634" max="5634" width="10" style="44" customWidth="1"/>
    <col min="5635" max="5635" width="9.85546875" style="44" customWidth="1"/>
    <col min="5636" max="5636" width="10.140625" style="44" customWidth="1"/>
    <col min="5637" max="5637" width="13.85546875" style="44" customWidth="1"/>
    <col min="5638" max="5638" width="12.5703125" style="44" customWidth="1"/>
    <col min="5639" max="5885" width="9.140625" style="44"/>
    <col min="5886" max="5886" width="10.85546875" style="44" customWidth="1"/>
    <col min="5887" max="5887" width="10.28515625" style="44" customWidth="1"/>
    <col min="5888" max="5888" width="9.85546875" style="44" customWidth="1"/>
    <col min="5889" max="5889" width="10.5703125" style="44" customWidth="1"/>
    <col min="5890" max="5890" width="10" style="44" customWidth="1"/>
    <col min="5891" max="5891" width="9.85546875" style="44" customWidth="1"/>
    <col min="5892" max="5892" width="10.140625" style="44" customWidth="1"/>
    <col min="5893" max="5893" width="13.85546875" style="44" customWidth="1"/>
    <col min="5894" max="5894" width="12.5703125" style="44" customWidth="1"/>
    <col min="5895" max="6141" width="9.140625" style="44"/>
    <col min="6142" max="6142" width="10.85546875" style="44" customWidth="1"/>
    <col min="6143" max="6143" width="10.28515625" style="44" customWidth="1"/>
    <col min="6144" max="6144" width="9.85546875" style="44" customWidth="1"/>
    <col min="6145" max="6145" width="10.5703125" style="44" customWidth="1"/>
    <col min="6146" max="6146" width="10" style="44" customWidth="1"/>
    <col min="6147" max="6147" width="9.85546875" style="44" customWidth="1"/>
    <col min="6148" max="6148" width="10.140625" style="44" customWidth="1"/>
    <col min="6149" max="6149" width="13.85546875" style="44" customWidth="1"/>
    <col min="6150" max="6150" width="12.5703125" style="44" customWidth="1"/>
    <col min="6151" max="6397" width="9.140625" style="44"/>
    <col min="6398" max="6398" width="10.85546875" style="44" customWidth="1"/>
    <col min="6399" max="6399" width="10.28515625" style="44" customWidth="1"/>
    <col min="6400" max="6400" width="9.85546875" style="44" customWidth="1"/>
    <col min="6401" max="6401" width="10.5703125" style="44" customWidth="1"/>
    <col min="6402" max="6402" width="10" style="44" customWidth="1"/>
    <col min="6403" max="6403" width="9.85546875" style="44" customWidth="1"/>
    <col min="6404" max="6404" width="10.140625" style="44" customWidth="1"/>
    <col min="6405" max="6405" width="13.85546875" style="44" customWidth="1"/>
    <col min="6406" max="6406" width="12.5703125" style="44" customWidth="1"/>
    <col min="6407" max="6653" width="9.140625" style="44"/>
    <col min="6654" max="6654" width="10.85546875" style="44" customWidth="1"/>
    <col min="6655" max="6655" width="10.28515625" style="44" customWidth="1"/>
    <col min="6656" max="6656" width="9.85546875" style="44" customWidth="1"/>
    <col min="6657" max="6657" width="10.5703125" style="44" customWidth="1"/>
    <col min="6658" max="6658" width="10" style="44" customWidth="1"/>
    <col min="6659" max="6659" width="9.85546875" style="44" customWidth="1"/>
    <col min="6660" max="6660" width="10.140625" style="44" customWidth="1"/>
    <col min="6661" max="6661" width="13.85546875" style="44" customWidth="1"/>
    <col min="6662" max="6662" width="12.5703125" style="44" customWidth="1"/>
    <col min="6663" max="6909" width="9.140625" style="44"/>
    <col min="6910" max="6910" width="10.85546875" style="44" customWidth="1"/>
    <col min="6911" max="6911" width="10.28515625" style="44" customWidth="1"/>
    <col min="6912" max="6912" width="9.85546875" style="44" customWidth="1"/>
    <col min="6913" max="6913" width="10.5703125" style="44" customWidth="1"/>
    <col min="6914" max="6914" width="10" style="44" customWidth="1"/>
    <col min="6915" max="6915" width="9.85546875" style="44" customWidth="1"/>
    <col min="6916" max="6916" width="10.140625" style="44" customWidth="1"/>
    <col min="6917" max="6917" width="13.85546875" style="44" customWidth="1"/>
    <col min="6918" max="6918" width="12.5703125" style="44" customWidth="1"/>
    <col min="6919" max="7165" width="9.140625" style="44"/>
    <col min="7166" max="7166" width="10.85546875" style="44" customWidth="1"/>
    <col min="7167" max="7167" width="10.28515625" style="44" customWidth="1"/>
    <col min="7168" max="7168" width="9.85546875" style="44" customWidth="1"/>
    <col min="7169" max="7169" width="10.5703125" style="44" customWidth="1"/>
    <col min="7170" max="7170" width="10" style="44" customWidth="1"/>
    <col min="7171" max="7171" width="9.85546875" style="44" customWidth="1"/>
    <col min="7172" max="7172" width="10.140625" style="44" customWidth="1"/>
    <col min="7173" max="7173" width="13.85546875" style="44" customWidth="1"/>
    <col min="7174" max="7174" width="12.5703125" style="44" customWidth="1"/>
    <col min="7175" max="7421" width="9.140625" style="44"/>
    <col min="7422" max="7422" width="10.85546875" style="44" customWidth="1"/>
    <col min="7423" max="7423" width="10.28515625" style="44" customWidth="1"/>
    <col min="7424" max="7424" width="9.85546875" style="44" customWidth="1"/>
    <col min="7425" max="7425" width="10.5703125" style="44" customWidth="1"/>
    <col min="7426" max="7426" width="10" style="44" customWidth="1"/>
    <col min="7427" max="7427" width="9.85546875" style="44" customWidth="1"/>
    <col min="7428" max="7428" width="10.140625" style="44" customWidth="1"/>
    <col min="7429" max="7429" width="13.85546875" style="44" customWidth="1"/>
    <col min="7430" max="7430" width="12.5703125" style="44" customWidth="1"/>
    <col min="7431" max="7677" width="9.140625" style="44"/>
    <col min="7678" max="7678" width="10.85546875" style="44" customWidth="1"/>
    <col min="7679" max="7679" width="10.28515625" style="44" customWidth="1"/>
    <col min="7680" max="7680" width="9.85546875" style="44" customWidth="1"/>
    <col min="7681" max="7681" width="10.5703125" style="44" customWidth="1"/>
    <col min="7682" max="7682" width="10" style="44" customWidth="1"/>
    <col min="7683" max="7683" width="9.85546875" style="44" customWidth="1"/>
    <col min="7684" max="7684" width="10.140625" style="44" customWidth="1"/>
    <col min="7685" max="7685" width="13.85546875" style="44" customWidth="1"/>
    <col min="7686" max="7686" width="12.5703125" style="44" customWidth="1"/>
    <col min="7687" max="7933" width="9.140625" style="44"/>
    <col min="7934" max="7934" width="10.85546875" style="44" customWidth="1"/>
    <col min="7935" max="7935" width="10.28515625" style="44" customWidth="1"/>
    <col min="7936" max="7936" width="9.85546875" style="44" customWidth="1"/>
    <col min="7937" max="7937" width="10.5703125" style="44" customWidth="1"/>
    <col min="7938" max="7938" width="10" style="44" customWidth="1"/>
    <col min="7939" max="7939" width="9.85546875" style="44" customWidth="1"/>
    <col min="7940" max="7940" width="10.140625" style="44" customWidth="1"/>
    <col min="7941" max="7941" width="13.85546875" style="44" customWidth="1"/>
    <col min="7942" max="7942" width="12.5703125" style="44" customWidth="1"/>
    <col min="7943" max="8189" width="9.140625" style="44"/>
    <col min="8190" max="8190" width="10.85546875" style="44" customWidth="1"/>
    <col min="8191" max="8191" width="10.28515625" style="44" customWidth="1"/>
    <col min="8192" max="8192" width="9.85546875" style="44" customWidth="1"/>
    <col min="8193" max="8193" width="10.5703125" style="44" customWidth="1"/>
    <col min="8194" max="8194" width="10" style="44" customWidth="1"/>
    <col min="8195" max="8195" width="9.85546875" style="44" customWidth="1"/>
    <col min="8196" max="8196" width="10.140625" style="44" customWidth="1"/>
    <col min="8197" max="8197" width="13.85546875" style="44" customWidth="1"/>
    <col min="8198" max="8198" width="12.5703125" style="44" customWidth="1"/>
    <col min="8199" max="8445" width="9.140625" style="44"/>
    <col min="8446" max="8446" width="10.85546875" style="44" customWidth="1"/>
    <col min="8447" max="8447" width="10.28515625" style="44" customWidth="1"/>
    <col min="8448" max="8448" width="9.85546875" style="44" customWidth="1"/>
    <col min="8449" max="8449" width="10.5703125" style="44" customWidth="1"/>
    <col min="8450" max="8450" width="10" style="44" customWidth="1"/>
    <col min="8451" max="8451" width="9.85546875" style="44" customWidth="1"/>
    <col min="8452" max="8452" width="10.140625" style="44" customWidth="1"/>
    <col min="8453" max="8453" width="13.85546875" style="44" customWidth="1"/>
    <col min="8454" max="8454" width="12.5703125" style="44" customWidth="1"/>
    <col min="8455" max="8701" width="9.140625" style="44"/>
    <col min="8702" max="8702" width="10.85546875" style="44" customWidth="1"/>
    <col min="8703" max="8703" width="10.28515625" style="44" customWidth="1"/>
    <col min="8704" max="8704" width="9.85546875" style="44" customWidth="1"/>
    <col min="8705" max="8705" width="10.5703125" style="44" customWidth="1"/>
    <col min="8706" max="8706" width="10" style="44" customWidth="1"/>
    <col min="8707" max="8707" width="9.85546875" style="44" customWidth="1"/>
    <col min="8708" max="8708" width="10.140625" style="44" customWidth="1"/>
    <col min="8709" max="8709" width="13.85546875" style="44" customWidth="1"/>
    <col min="8710" max="8710" width="12.5703125" style="44" customWidth="1"/>
    <col min="8711" max="8957" width="9.140625" style="44"/>
    <col min="8958" max="8958" width="10.85546875" style="44" customWidth="1"/>
    <col min="8959" max="8959" width="10.28515625" style="44" customWidth="1"/>
    <col min="8960" max="8960" width="9.85546875" style="44" customWidth="1"/>
    <col min="8961" max="8961" width="10.5703125" style="44" customWidth="1"/>
    <col min="8962" max="8962" width="10" style="44" customWidth="1"/>
    <col min="8963" max="8963" width="9.85546875" style="44" customWidth="1"/>
    <col min="8964" max="8964" width="10.140625" style="44" customWidth="1"/>
    <col min="8965" max="8965" width="13.85546875" style="44" customWidth="1"/>
    <col min="8966" max="8966" width="12.5703125" style="44" customWidth="1"/>
    <col min="8967" max="9213" width="9.140625" style="44"/>
    <col min="9214" max="9214" width="10.85546875" style="44" customWidth="1"/>
    <col min="9215" max="9215" width="10.28515625" style="44" customWidth="1"/>
    <col min="9216" max="9216" width="9.85546875" style="44" customWidth="1"/>
    <col min="9217" max="9217" width="10.5703125" style="44" customWidth="1"/>
    <col min="9218" max="9218" width="10" style="44" customWidth="1"/>
    <col min="9219" max="9219" width="9.85546875" style="44" customWidth="1"/>
    <col min="9220" max="9220" width="10.140625" style="44" customWidth="1"/>
    <col min="9221" max="9221" width="13.85546875" style="44" customWidth="1"/>
    <col min="9222" max="9222" width="12.5703125" style="44" customWidth="1"/>
    <col min="9223" max="9469" width="9.140625" style="44"/>
    <col min="9470" max="9470" width="10.85546875" style="44" customWidth="1"/>
    <col min="9471" max="9471" width="10.28515625" style="44" customWidth="1"/>
    <col min="9472" max="9472" width="9.85546875" style="44" customWidth="1"/>
    <col min="9473" max="9473" width="10.5703125" style="44" customWidth="1"/>
    <col min="9474" max="9474" width="10" style="44" customWidth="1"/>
    <col min="9475" max="9475" width="9.85546875" style="44" customWidth="1"/>
    <col min="9476" max="9476" width="10.140625" style="44" customWidth="1"/>
    <col min="9477" max="9477" width="13.85546875" style="44" customWidth="1"/>
    <col min="9478" max="9478" width="12.5703125" style="44" customWidth="1"/>
    <col min="9479" max="9725" width="9.140625" style="44"/>
    <col min="9726" max="9726" width="10.85546875" style="44" customWidth="1"/>
    <col min="9727" max="9727" width="10.28515625" style="44" customWidth="1"/>
    <col min="9728" max="9728" width="9.85546875" style="44" customWidth="1"/>
    <col min="9729" max="9729" width="10.5703125" style="44" customWidth="1"/>
    <col min="9730" max="9730" width="10" style="44" customWidth="1"/>
    <col min="9731" max="9731" width="9.85546875" style="44" customWidth="1"/>
    <col min="9732" max="9732" width="10.140625" style="44" customWidth="1"/>
    <col min="9733" max="9733" width="13.85546875" style="44" customWidth="1"/>
    <col min="9734" max="9734" width="12.5703125" style="44" customWidth="1"/>
    <col min="9735" max="9981" width="9.140625" style="44"/>
    <col min="9982" max="9982" width="10.85546875" style="44" customWidth="1"/>
    <col min="9983" max="9983" width="10.28515625" style="44" customWidth="1"/>
    <col min="9984" max="9984" width="9.85546875" style="44" customWidth="1"/>
    <col min="9985" max="9985" width="10.5703125" style="44" customWidth="1"/>
    <col min="9986" max="9986" width="10" style="44" customWidth="1"/>
    <col min="9987" max="9987" width="9.85546875" style="44" customWidth="1"/>
    <col min="9988" max="9988" width="10.140625" style="44" customWidth="1"/>
    <col min="9989" max="9989" width="13.85546875" style="44" customWidth="1"/>
    <col min="9990" max="9990" width="12.5703125" style="44" customWidth="1"/>
    <col min="9991" max="10237" width="9.140625" style="44"/>
    <col min="10238" max="10238" width="10.85546875" style="44" customWidth="1"/>
    <col min="10239" max="10239" width="10.28515625" style="44" customWidth="1"/>
    <col min="10240" max="10240" width="9.85546875" style="44" customWidth="1"/>
    <col min="10241" max="10241" width="10.5703125" style="44" customWidth="1"/>
    <col min="10242" max="10242" width="10" style="44" customWidth="1"/>
    <col min="10243" max="10243" width="9.85546875" style="44" customWidth="1"/>
    <col min="10244" max="10244" width="10.140625" style="44" customWidth="1"/>
    <col min="10245" max="10245" width="13.85546875" style="44" customWidth="1"/>
    <col min="10246" max="10246" width="12.5703125" style="44" customWidth="1"/>
    <col min="10247" max="10493" width="9.140625" style="44"/>
    <col min="10494" max="10494" width="10.85546875" style="44" customWidth="1"/>
    <col min="10495" max="10495" width="10.28515625" style="44" customWidth="1"/>
    <col min="10496" max="10496" width="9.85546875" style="44" customWidth="1"/>
    <col min="10497" max="10497" width="10.5703125" style="44" customWidth="1"/>
    <col min="10498" max="10498" width="10" style="44" customWidth="1"/>
    <col min="10499" max="10499" width="9.85546875" style="44" customWidth="1"/>
    <col min="10500" max="10500" width="10.140625" style="44" customWidth="1"/>
    <col min="10501" max="10501" width="13.85546875" style="44" customWidth="1"/>
    <col min="10502" max="10502" width="12.5703125" style="44" customWidth="1"/>
    <col min="10503" max="10749" width="9.140625" style="44"/>
    <col min="10750" max="10750" width="10.85546875" style="44" customWidth="1"/>
    <col min="10751" max="10751" width="10.28515625" style="44" customWidth="1"/>
    <col min="10752" max="10752" width="9.85546875" style="44" customWidth="1"/>
    <col min="10753" max="10753" width="10.5703125" style="44" customWidth="1"/>
    <col min="10754" max="10754" width="10" style="44" customWidth="1"/>
    <col min="10755" max="10755" width="9.85546875" style="44" customWidth="1"/>
    <col min="10756" max="10756" width="10.140625" style="44" customWidth="1"/>
    <col min="10757" max="10757" width="13.85546875" style="44" customWidth="1"/>
    <col min="10758" max="10758" width="12.5703125" style="44" customWidth="1"/>
    <col min="10759" max="11005" width="9.140625" style="44"/>
    <col min="11006" max="11006" width="10.85546875" style="44" customWidth="1"/>
    <col min="11007" max="11007" width="10.28515625" style="44" customWidth="1"/>
    <col min="11008" max="11008" width="9.85546875" style="44" customWidth="1"/>
    <col min="11009" max="11009" width="10.5703125" style="44" customWidth="1"/>
    <col min="11010" max="11010" width="10" style="44" customWidth="1"/>
    <col min="11011" max="11011" width="9.85546875" style="44" customWidth="1"/>
    <col min="11012" max="11012" width="10.140625" style="44" customWidth="1"/>
    <col min="11013" max="11013" width="13.85546875" style="44" customWidth="1"/>
    <col min="11014" max="11014" width="12.5703125" style="44" customWidth="1"/>
    <col min="11015" max="11261" width="9.140625" style="44"/>
    <col min="11262" max="11262" width="10.85546875" style="44" customWidth="1"/>
    <col min="11263" max="11263" width="10.28515625" style="44" customWidth="1"/>
    <col min="11264" max="11264" width="9.85546875" style="44" customWidth="1"/>
    <col min="11265" max="11265" width="10.5703125" style="44" customWidth="1"/>
    <col min="11266" max="11266" width="10" style="44" customWidth="1"/>
    <col min="11267" max="11267" width="9.85546875" style="44" customWidth="1"/>
    <col min="11268" max="11268" width="10.140625" style="44" customWidth="1"/>
    <col min="11269" max="11269" width="13.85546875" style="44" customWidth="1"/>
    <col min="11270" max="11270" width="12.5703125" style="44" customWidth="1"/>
    <col min="11271" max="11517" width="9.140625" style="44"/>
    <col min="11518" max="11518" width="10.85546875" style="44" customWidth="1"/>
    <col min="11519" max="11519" width="10.28515625" style="44" customWidth="1"/>
    <col min="11520" max="11520" width="9.85546875" style="44" customWidth="1"/>
    <col min="11521" max="11521" width="10.5703125" style="44" customWidth="1"/>
    <col min="11522" max="11522" width="10" style="44" customWidth="1"/>
    <col min="11523" max="11523" width="9.85546875" style="44" customWidth="1"/>
    <col min="11524" max="11524" width="10.140625" style="44" customWidth="1"/>
    <col min="11525" max="11525" width="13.85546875" style="44" customWidth="1"/>
    <col min="11526" max="11526" width="12.5703125" style="44" customWidth="1"/>
    <col min="11527" max="11773" width="9.140625" style="44"/>
    <col min="11774" max="11774" width="10.85546875" style="44" customWidth="1"/>
    <col min="11775" max="11775" width="10.28515625" style="44" customWidth="1"/>
    <col min="11776" max="11776" width="9.85546875" style="44" customWidth="1"/>
    <col min="11777" max="11777" width="10.5703125" style="44" customWidth="1"/>
    <col min="11778" max="11778" width="10" style="44" customWidth="1"/>
    <col min="11779" max="11779" width="9.85546875" style="44" customWidth="1"/>
    <col min="11780" max="11780" width="10.140625" style="44" customWidth="1"/>
    <col min="11781" max="11781" width="13.85546875" style="44" customWidth="1"/>
    <col min="11782" max="11782" width="12.5703125" style="44" customWidth="1"/>
    <col min="11783" max="12029" width="9.140625" style="44"/>
    <col min="12030" max="12030" width="10.85546875" style="44" customWidth="1"/>
    <col min="12031" max="12031" width="10.28515625" style="44" customWidth="1"/>
    <col min="12032" max="12032" width="9.85546875" style="44" customWidth="1"/>
    <col min="12033" max="12033" width="10.5703125" style="44" customWidth="1"/>
    <col min="12034" max="12034" width="10" style="44" customWidth="1"/>
    <col min="12035" max="12035" width="9.85546875" style="44" customWidth="1"/>
    <col min="12036" max="12036" width="10.140625" style="44" customWidth="1"/>
    <col min="12037" max="12037" width="13.85546875" style="44" customWidth="1"/>
    <col min="12038" max="12038" width="12.5703125" style="44" customWidth="1"/>
    <col min="12039" max="12285" width="9.140625" style="44"/>
    <col min="12286" max="12286" width="10.85546875" style="44" customWidth="1"/>
    <col min="12287" max="12287" width="10.28515625" style="44" customWidth="1"/>
    <col min="12288" max="12288" width="9.85546875" style="44" customWidth="1"/>
    <col min="12289" max="12289" width="10.5703125" style="44" customWidth="1"/>
    <col min="12290" max="12290" width="10" style="44" customWidth="1"/>
    <col min="12291" max="12291" width="9.85546875" style="44" customWidth="1"/>
    <col min="12292" max="12292" width="10.140625" style="44" customWidth="1"/>
    <col min="12293" max="12293" width="13.85546875" style="44" customWidth="1"/>
    <col min="12294" max="12294" width="12.5703125" style="44" customWidth="1"/>
    <col min="12295" max="12541" width="9.140625" style="44"/>
    <col min="12542" max="12542" width="10.85546875" style="44" customWidth="1"/>
    <col min="12543" max="12543" width="10.28515625" style="44" customWidth="1"/>
    <col min="12544" max="12544" width="9.85546875" style="44" customWidth="1"/>
    <col min="12545" max="12545" width="10.5703125" style="44" customWidth="1"/>
    <col min="12546" max="12546" width="10" style="44" customWidth="1"/>
    <col min="12547" max="12547" width="9.85546875" style="44" customWidth="1"/>
    <col min="12548" max="12548" width="10.140625" style="44" customWidth="1"/>
    <col min="12549" max="12549" width="13.85546875" style="44" customWidth="1"/>
    <col min="12550" max="12550" width="12.5703125" style="44" customWidth="1"/>
    <col min="12551" max="12797" width="9.140625" style="44"/>
    <col min="12798" max="12798" width="10.85546875" style="44" customWidth="1"/>
    <col min="12799" max="12799" width="10.28515625" style="44" customWidth="1"/>
    <col min="12800" max="12800" width="9.85546875" style="44" customWidth="1"/>
    <col min="12801" max="12801" width="10.5703125" style="44" customWidth="1"/>
    <col min="12802" max="12802" width="10" style="44" customWidth="1"/>
    <col min="12803" max="12803" width="9.85546875" style="44" customWidth="1"/>
    <col min="12804" max="12804" width="10.140625" style="44" customWidth="1"/>
    <col min="12805" max="12805" width="13.85546875" style="44" customWidth="1"/>
    <col min="12806" max="12806" width="12.5703125" style="44" customWidth="1"/>
    <col min="12807" max="13053" width="9.140625" style="44"/>
    <col min="13054" max="13054" width="10.85546875" style="44" customWidth="1"/>
    <col min="13055" max="13055" width="10.28515625" style="44" customWidth="1"/>
    <col min="13056" max="13056" width="9.85546875" style="44" customWidth="1"/>
    <col min="13057" max="13057" width="10.5703125" style="44" customWidth="1"/>
    <col min="13058" max="13058" width="10" style="44" customWidth="1"/>
    <col min="13059" max="13059" width="9.85546875" style="44" customWidth="1"/>
    <col min="13060" max="13060" width="10.140625" style="44" customWidth="1"/>
    <col min="13061" max="13061" width="13.85546875" style="44" customWidth="1"/>
    <col min="13062" max="13062" width="12.5703125" style="44" customWidth="1"/>
    <col min="13063" max="13309" width="9.140625" style="44"/>
    <col min="13310" max="13310" width="10.85546875" style="44" customWidth="1"/>
    <col min="13311" max="13311" width="10.28515625" style="44" customWidth="1"/>
    <col min="13312" max="13312" width="9.85546875" style="44" customWidth="1"/>
    <col min="13313" max="13313" width="10.5703125" style="44" customWidth="1"/>
    <col min="13314" max="13314" width="10" style="44" customWidth="1"/>
    <col min="13315" max="13315" width="9.85546875" style="44" customWidth="1"/>
    <col min="13316" max="13316" width="10.140625" style="44" customWidth="1"/>
    <col min="13317" max="13317" width="13.85546875" style="44" customWidth="1"/>
    <col min="13318" max="13318" width="12.5703125" style="44" customWidth="1"/>
    <col min="13319" max="13565" width="9.140625" style="44"/>
    <col min="13566" max="13566" width="10.85546875" style="44" customWidth="1"/>
    <col min="13567" max="13567" width="10.28515625" style="44" customWidth="1"/>
    <col min="13568" max="13568" width="9.85546875" style="44" customWidth="1"/>
    <col min="13569" max="13569" width="10.5703125" style="44" customWidth="1"/>
    <col min="13570" max="13570" width="10" style="44" customWidth="1"/>
    <col min="13571" max="13571" width="9.85546875" style="44" customWidth="1"/>
    <col min="13572" max="13572" width="10.140625" style="44" customWidth="1"/>
    <col min="13573" max="13573" width="13.85546875" style="44" customWidth="1"/>
    <col min="13574" max="13574" width="12.5703125" style="44" customWidth="1"/>
    <col min="13575" max="13821" width="9.140625" style="44"/>
    <col min="13822" max="13822" width="10.85546875" style="44" customWidth="1"/>
    <col min="13823" max="13823" width="10.28515625" style="44" customWidth="1"/>
    <col min="13824" max="13824" width="9.85546875" style="44" customWidth="1"/>
    <col min="13825" max="13825" width="10.5703125" style="44" customWidth="1"/>
    <col min="13826" max="13826" width="10" style="44" customWidth="1"/>
    <col min="13827" max="13827" width="9.85546875" style="44" customWidth="1"/>
    <col min="13828" max="13828" width="10.140625" style="44" customWidth="1"/>
    <col min="13829" max="13829" width="13.85546875" style="44" customWidth="1"/>
    <col min="13830" max="13830" width="12.5703125" style="44" customWidth="1"/>
    <col min="13831" max="14077" width="9.140625" style="44"/>
    <col min="14078" max="14078" width="10.85546875" style="44" customWidth="1"/>
    <col min="14079" max="14079" width="10.28515625" style="44" customWidth="1"/>
    <col min="14080" max="14080" width="9.85546875" style="44" customWidth="1"/>
    <col min="14081" max="14081" width="10.5703125" style="44" customWidth="1"/>
    <col min="14082" max="14082" width="10" style="44" customWidth="1"/>
    <col min="14083" max="14083" width="9.85546875" style="44" customWidth="1"/>
    <col min="14084" max="14084" width="10.140625" style="44" customWidth="1"/>
    <col min="14085" max="14085" width="13.85546875" style="44" customWidth="1"/>
    <col min="14086" max="14086" width="12.5703125" style="44" customWidth="1"/>
    <col min="14087" max="14333" width="9.140625" style="44"/>
    <col min="14334" max="14334" width="10.85546875" style="44" customWidth="1"/>
    <col min="14335" max="14335" width="10.28515625" style="44" customWidth="1"/>
    <col min="14336" max="14336" width="9.85546875" style="44" customWidth="1"/>
    <col min="14337" max="14337" width="10.5703125" style="44" customWidth="1"/>
    <col min="14338" max="14338" width="10" style="44" customWidth="1"/>
    <col min="14339" max="14339" width="9.85546875" style="44" customWidth="1"/>
    <col min="14340" max="14340" width="10.140625" style="44" customWidth="1"/>
    <col min="14341" max="14341" width="13.85546875" style="44" customWidth="1"/>
    <col min="14342" max="14342" width="12.5703125" style="44" customWidth="1"/>
    <col min="14343" max="14589" width="9.140625" style="44"/>
    <col min="14590" max="14590" width="10.85546875" style="44" customWidth="1"/>
    <col min="14591" max="14591" width="10.28515625" style="44" customWidth="1"/>
    <col min="14592" max="14592" width="9.85546875" style="44" customWidth="1"/>
    <col min="14593" max="14593" width="10.5703125" style="44" customWidth="1"/>
    <col min="14594" max="14594" width="10" style="44" customWidth="1"/>
    <col min="14595" max="14595" width="9.85546875" style="44" customWidth="1"/>
    <col min="14596" max="14596" width="10.140625" style="44" customWidth="1"/>
    <col min="14597" max="14597" width="13.85546875" style="44" customWidth="1"/>
    <col min="14598" max="14598" width="12.5703125" style="44" customWidth="1"/>
    <col min="14599" max="14845" width="9.140625" style="44"/>
    <col min="14846" max="14846" width="10.85546875" style="44" customWidth="1"/>
    <col min="14847" max="14847" width="10.28515625" style="44" customWidth="1"/>
    <col min="14848" max="14848" width="9.85546875" style="44" customWidth="1"/>
    <col min="14849" max="14849" width="10.5703125" style="44" customWidth="1"/>
    <col min="14850" max="14850" width="10" style="44" customWidth="1"/>
    <col min="14851" max="14851" width="9.85546875" style="44" customWidth="1"/>
    <col min="14852" max="14852" width="10.140625" style="44" customWidth="1"/>
    <col min="14853" max="14853" width="13.85546875" style="44" customWidth="1"/>
    <col min="14854" max="14854" width="12.5703125" style="44" customWidth="1"/>
    <col min="14855" max="15101" width="9.140625" style="44"/>
    <col min="15102" max="15102" width="10.85546875" style="44" customWidth="1"/>
    <col min="15103" max="15103" width="10.28515625" style="44" customWidth="1"/>
    <col min="15104" max="15104" width="9.85546875" style="44" customWidth="1"/>
    <col min="15105" max="15105" width="10.5703125" style="44" customWidth="1"/>
    <col min="15106" max="15106" width="10" style="44" customWidth="1"/>
    <col min="15107" max="15107" width="9.85546875" style="44" customWidth="1"/>
    <col min="15108" max="15108" width="10.140625" style="44" customWidth="1"/>
    <col min="15109" max="15109" width="13.85546875" style="44" customWidth="1"/>
    <col min="15110" max="15110" width="12.5703125" style="44" customWidth="1"/>
    <col min="15111" max="15357" width="9.140625" style="44"/>
    <col min="15358" max="15358" width="10.85546875" style="44" customWidth="1"/>
    <col min="15359" max="15359" width="10.28515625" style="44" customWidth="1"/>
    <col min="15360" max="15360" width="9.85546875" style="44" customWidth="1"/>
    <col min="15361" max="15361" width="10.5703125" style="44" customWidth="1"/>
    <col min="15362" max="15362" width="10" style="44" customWidth="1"/>
    <col min="15363" max="15363" width="9.85546875" style="44" customWidth="1"/>
    <col min="15364" max="15364" width="10.140625" style="44" customWidth="1"/>
    <col min="15365" max="15365" width="13.85546875" style="44" customWidth="1"/>
    <col min="15366" max="15366" width="12.5703125" style="44" customWidth="1"/>
    <col min="15367" max="15613" width="9.140625" style="44"/>
    <col min="15614" max="15614" width="10.85546875" style="44" customWidth="1"/>
    <col min="15615" max="15615" width="10.28515625" style="44" customWidth="1"/>
    <col min="15616" max="15616" width="9.85546875" style="44" customWidth="1"/>
    <col min="15617" max="15617" width="10.5703125" style="44" customWidth="1"/>
    <col min="15618" max="15618" width="10" style="44" customWidth="1"/>
    <col min="15619" max="15619" width="9.85546875" style="44" customWidth="1"/>
    <col min="15620" max="15620" width="10.140625" style="44" customWidth="1"/>
    <col min="15621" max="15621" width="13.85546875" style="44" customWidth="1"/>
    <col min="15622" max="15622" width="12.5703125" style="44" customWidth="1"/>
    <col min="15623" max="15869" width="9.140625" style="44"/>
    <col min="15870" max="15870" width="10.85546875" style="44" customWidth="1"/>
    <col min="15871" max="15871" width="10.28515625" style="44" customWidth="1"/>
    <col min="15872" max="15872" width="9.85546875" style="44" customWidth="1"/>
    <col min="15873" max="15873" width="10.5703125" style="44" customWidth="1"/>
    <col min="15874" max="15874" width="10" style="44" customWidth="1"/>
    <col min="15875" max="15875" width="9.85546875" style="44" customWidth="1"/>
    <col min="15876" max="15876" width="10.140625" style="44" customWidth="1"/>
    <col min="15877" max="15877" width="13.85546875" style="44" customWidth="1"/>
    <col min="15878" max="15878" width="12.5703125" style="44" customWidth="1"/>
    <col min="15879" max="16125" width="9.140625" style="44"/>
    <col min="16126" max="16126" width="10.85546875" style="44" customWidth="1"/>
    <col min="16127" max="16127" width="10.28515625" style="44" customWidth="1"/>
    <col min="16128" max="16128" width="9.85546875" style="44" customWidth="1"/>
    <col min="16129" max="16129" width="10.5703125" style="44" customWidth="1"/>
    <col min="16130" max="16130" width="10" style="44" customWidth="1"/>
    <col min="16131" max="16131" width="9.85546875" style="44" customWidth="1"/>
    <col min="16132" max="16132" width="10.140625" style="44" customWidth="1"/>
    <col min="16133" max="16133" width="13.85546875" style="44" customWidth="1"/>
    <col min="16134" max="16134" width="12.5703125" style="44" customWidth="1"/>
    <col min="16135" max="16384" width="9.140625" style="44"/>
  </cols>
  <sheetData>
    <row r="1" spans="1:23" ht="90" thickBot="1" x14ac:dyDescent="0.25">
      <c r="A1" s="40" t="s">
        <v>42</v>
      </c>
      <c r="B1" s="41" t="s">
        <v>28</v>
      </c>
      <c r="C1" s="42" t="s">
        <v>29</v>
      </c>
      <c r="D1" s="42" t="s">
        <v>30</v>
      </c>
      <c r="E1" s="42" t="s">
        <v>31</v>
      </c>
      <c r="F1" s="42" t="s">
        <v>32</v>
      </c>
      <c r="G1" s="42" t="s">
        <v>33</v>
      </c>
      <c r="H1" s="42" t="s">
        <v>34</v>
      </c>
      <c r="I1" s="43" t="s">
        <v>43</v>
      </c>
      <c r="J1" s="72" t="s">
        <v>44</v>
      </c>
      <c r="K1" s="72" t="s">
        <v>45</v>
      </c>
      <c r="L1" s="72" t="s">
        <v>46</v>
      </c>
      <c r="M1" s="73" t="s">
        <v>47</v>
      </c>
      <c r="N1" s="73" t="s">
        <v>48</v>
      </c>
      <c r="O1" s="73" t="s">
        <v>49</v>
      </c>
      <c r="P1" s="71" t="s">
        <v>50</v>
      </c>
      <c r="Q1" s="71" t="s">
        <v>51</v>
      </c>
      <c r="R1" s="71" t="s">
        <v>52</v>
      </c>
      <c r="S1" s="71" t="s">
        <v>53</v>
      </c>
      <c r="T1" s="74" t="s">
        <v>55</v>
      </c>
      <c r="U1" s="75" t="s">
        <v>56</v>
      </c>
      <c r="V1" s="75" t="s">
        <v>57</v>
      </c>
      <c r="W1" s="75" t="s">
        <v>54</v>
      </c>
    </row>
    <row r="2" spans="1:23" x14ac:dyDescent="0.2">
      <c r="A2" s="45">
        <v>42736</v>
      </c>
      <c r="B2" s="46">
        <v>1012</v>
      </c>
      <c r="C2" s="47">
        <v>964.7</v>
      </c>
      <c r="D2" s="47">
        <v>676.5</v>
      </c>
      <c r="E2" s="47">
        <v>39</v>
      </c>
      <c r="F2" s="47">
        <v>701</v>
      </c>
      <c r="G2" s="47">
        <v>1466</v>
      </c>
      <c r="H2" s="47">
        <v>1145.5999999999999</v>
      </c>
      <c r="I2" s="48">
        <v>3713.6</v>
      </c>
      <c r="J2" s="49"/>
    </row>
    <row r="3" spans="1:23" x14ac:dyDescent="0.2">
      <c r="A3" s="50">
        <f t="shared" ref="A3:A30" si="0">A2+1</f>
        <v>42737</v>
      </c>
      <c r="B3" s="51">
        <v>1007</v>
      </c>
      <c r="C3" s="52">
        <v>975</v>
      </c>
      <c r="D3" s="52">
        <v>669</v>
      </c>
      <c r="E3" s="52">
        <v>39</v>
      </c>
      <c r="F3" s="52">
        <v>701</v>
      </c>
      <c r="G3" s="52">
        <v>1314</v>
      </c>
      <c r="H3" s="52">
        <v>970.8</v>
      </c>
      <c r="I3" s="53">
        <v>3734.2</v>
      </c>
      <c r="J3" s="49"/>
    </row>
    <row r="4" spans="1:23" x14ac:dyDescent="0.2">
      <c r="A4" s="50">
        <f t="shared" si="0"/>
        <v>42738</v>
      </c>
      <c r="B4" s="51">
        <v>845.6</v>
      </c>
      <c r="C4" s="52">
        <v>994.7</v>
      </c>
      <c r="D4" s="52">
        <v>650</v>
      </c>
      <c r="E4" s="52">
        <v>122.8</v>
      </c>
      <c r="F4" s="52">
        <v>693</v>
      </c>
      <c r="G4" s="52">
        <v>1380</v>
      </c>
      <c r="H4" s="52">
        <v>1020.3</v>
      </c>
      <c r="I4" s="53">
        <v>3665.8</v>
      </c>
      <c r="J4" s="49"/>
    </row>
    <row r="5" spans="1:23" x14ac:dyDescent="0.2">
      <c r="A5" s="50">
        <f t="shared" si="0"/>
        <v>42739</v>
      </c>
      <c r="B5" s="51">
        <v>1197</v>
      </c>
      <c r="C5" s="52">
        <v>1172</v>
      </c>
      <c r="D5" s="52">
        <v>965</v>
      </c>
      <c r="E5" s="52">
        <v>1199.9000000000001</v>
      </c>
      <c r="F5" s="52">
        <v>564</v>
      </c>
      <c r="G5" s="52">
        <v>2426</v>
      </c>
      <c r="H5" s="52">
        <v>1436</v>
      </c>
      <c r="I5" s="53">
        <v>6087.9</v>
      </c>
      <c r="J5" s="49"/>
    </row>
    <row r="6" spans="1:23" x14ac:dyDescent="0.2">
      <c r="A6" s="50">
        <f t="shared" si="0"/>
        <v>42740</v>
      </c>
      <c r="B6" s="51">
        <v>1319</v>
      </c>
      <c r="C6" s="52">
        <v>1170.7</v>
      </c>
      <c r="D6" s="52">
        <v>1051.5</v>
      </c>
      <c r="E6" s="52">
        <v>432</v>
      </c>
      <c r="F6" s="52">
        <v>677</v>
      </c>
      <c r="G6" s="52">
        <v>2526</v>
      </c>
      <c r="H6" s="52">
        <v>1436.7</v>
      </c>
      <c r="I6" s="53">
        <v>5739.5</v>
      </c>
      <c r="J6" s="49"/>
    </row>
    <row r="7" spans="1:23" x14ac:dyDescent="0.2">
      <c r="A7" s="50">
        <f t="shared" si="0"/>
        <v>42741</v>
      </c>
      <c r="B7" s="51">
        <v>916.5</v>
      </c>
      <c r="C7" s="52">
        <v>926</v>
      </c>
      <c r="D7" s="52">
        <v>694</v>
      </c>
      <c r="E7" s="52">
        <v>41.2</v>
      </c>
      <c r="F7" s="52">
        <v>715</v>
      </c>
      <c r="G7" s="52">
        <v>1952</v>
      </c>
      <c r="H7" s="52">
        <v>1417.6000000000001</v>
      </c>
      <c r="I7" s="53">
        <v>3827.0999999999995</v>
      </c>
      <c r="J7" s="49"/>
    </row>
    <row r="8" spans="1:23" x14ac:dyDescent="0.2">
      <c r="A8" s="50">
        <f t="shared" si="0"/>
        <v>42742</v>
      </c>
      <c r="B8" s="51">
        <v>1164.77</v>
      </c>
      <c r="C8" s="52">
        <v>1210.98</v>
      </c>
      <c r="D8" s="52">
        <v>716.22</v>
      </c>
      <c r="E8" s="52">
        <v>39.35</v>
      </c>
      <c r="F8" s="52">
        <v>706.55</v>
      </c>
      <c r="G8" s="52">
        <v>2191.84</v>
      </c>
      <c r="H8" s="52">
        <v>1376.9800000000002</v>
      </c>
      <c r="I8" s="53">
        <v>4652.7299999999996</v>
      </c>
      <c r="J8" s="49"/>
    </row>
    <row r="9" spans="1:23" x14ac:dyDescent="0.2">
      <c r="A9" s="50">
        <f t="shared" si="0"/>
        <v>42743</v>
      </c>
      <c r="B9" s="51">
        <v>6703.5</v>
      </c>
      <c r="C9" s="52">
        <v>5281.9</v>
      </c>
      <c r="D9" s="52">
        <v>2898</v>
      </c>
      <c r="E9" s="52">
        <v>1760.9</v>
      </c>
      <c r="F9" s="52">
        <v>2836.9</v>
      </c>
      <c r="G9" s="52">
        <v>4796</v>
      </c>
      <c r="H9" s="52">
        <v>2217.8999999999996</v>
      </c>
      <c r="I9" s="53">
        <v>22059.300000000003</v>
      </c>
      <c r="J9" s="49"/>
    </row>
    <row r="10" spans="1:23" x14ac:dyDescent="0.2">
      <c r="A10" s="50">
        <f t="shared" si="0"/>
        <v>42744</v>
      </c>
      <c r="B10" s="51">
        <v>9229</v>
      </c>
      <c r="C10" s="52">
        <v>5228</v>
      </c>
      <c r="D10" s="52">
        <v>5382</v>
      </c>
      <c r="E10" s="52">
        <v>2934</v>
      </c>
      <c r="F10" s="52">
        <v>3799</v>
      </c>
      <c r="G10" s="52">
        <v>7463</v>
      </c>
      <c r="H10" s="52">
        <v>3514</v>
      </c>
      <c r="I10" s="53">
        <v>30521</v>
      </c>
      <c r="J10" s="49"/>
    </row>
    <row r="11" spans="1:23" x14ac:dyDescent="0.2">
      <c r="A11" s="50">
        <f t="shared" si="0"/>
        <v>42745</v>
      </c>
      <c r="B11" s="51">
        <v>9018.42</v>
      </c>
      <c r="C11" s="52">
        <v>4855.03</v>
      </c>
      <c r="D11" s="52">
        <v>5309.9</v>
      </c>
      <c r="E11" s="52">
        <v>2691.31</v>
      </c>
      <c r="F11" s="52">
        <v>3802.47</v>
      </c>
      <c r="G11" s="52">
        <v>7686.91</v>
      </c>
      <c r="H11" s="52">
        <v>3904.9900000000007</v>
      </c>
      <c r="I11" s="53">
        <v>29459.05</v>
      </c>
      <c r="J11" s="49"/>
    </row>
    <row r="12" spans="1:23" x14ac:dyDescent="0.2">
      <c r="A12" s="50">
        <f t="shared" si="0"/>
        <v>42746</v>
      </c>
      <c r="B12" s="51">
        <v>8106.92</v>
      </c>
      <c r="C12" s="52">
        <v>4796.2299999999996</v>
      </c>
      <c r="D12" s="52">
        <v>5332.79</v>
      </c>
      <c r="E12" s="52">
        <v>2583.11</v>
      </c>
      <c r="F12" s="52">
        <v>3557.12</v>
      </c>
      <c r="G12" s="52">
        <v>7665.56</v>
      </c>
      <c r="H12" s="52">
        <v>3757.8799999999997</v>
      </c>
      <c r="I12" s="53">
        <v>28283.85</v>
      </c>
      <c r="J12" s="49"/>
    </row>
    <row r="13" spans="1:23" x14ac:dyDescent="0.2">
      <c r="A13" s="50">
        <f t="shared" si="0"/>
        <v>42747</v>
      </c>
      <c r="B13" s="51">
        <v>8164.8</v>
      </c>
      <c r="C13" s="52">
        <v>4700.3999999999996</v>
      </c>
      <c r="D13" s="52">
        <v>5358.4</v>
      </c>
      <c r="E13" s="52">
        <v>3327.2</v>
      </c>
      <c r="F13" s="52">
        <v>3808.2</v>
      </c>
      <c r="G13" s="52">
        <v>7067.5</v>
      </c>
      <c r="H13" s="52">
        <v>3394.6</v>
      </c>
      <c r="I13" s="53">
        <v>29031.9</v>
      </c>
      <c r="J13" s="49"/>
    </row>
    <row r="14" spans="1:23" x14ac:dyDescent="0.2">
      <c r="A14" s="50">
        <f t="shared" si="0"/>
        <v>42748</v>
      </c>
      <c r="B14" s="51">
        <v>8036</v>
      </c>
      <c r="C14" s="52">
        <v>4628</v>
      </c>
      <c r="D14" s="52">
        <v>5310</v>
      </c>
      <c r="E14" s="52">
        <v>3463</v>
      </c>
      <c r="F14" s="52">
        <v>4304</v>
      </c>
      <c r="G14" s="52">
        <v>6965</v>
      </c>
      <c r="H14" s="52">
        <v>3502</v>
      </c>
      <c r="I14" s="53">
        <v>29204</v>
      </c>
      <c r="J14" s="49"/>
    </row>
    <row r="15" spans="1:23" x14ac:dyDescent="0.2">
      <c r="A15" s="50">
        <f t="shared" si="0"/>
        <v>42749</v>
      </c>
      <c r="B15" s="51">
        <v>7704.66</v>
      </c>
      <c r="C15" s="52">
        <v>3752.19</v>
      </c>
      <c r="D15" s="52">
        <v>5065.1899999999996</v>
      </c>
      <c r="E15" s="52">
        <v>3076.77</v>
      </c>
      <c r="F15" s="52">
        <v>4155.5200000000004</v>
      </c>
      <c r="G15" s="52">
        <v>4829.97</v>
      </c>
      <c r="H15" s="52">
        <v>2735.8100000000004</v>
      </c>
      <c r="I15" s="53">
        <v>25848.49</v>
      </c>
      <c r="J15" s="49"/>
    </row>
    <row r="16" spans="1:23" x14ac:dyDescent="0.2">
      <c r="A16" s="50">
        <f t="shared" si="0"/>
        <v>42750</v>
      </c>
      <c r="B16" s="51">
        <v>8304.8700000000008</v>
      </c>
      <c r="C16" s="52">
        <v>3622.49</v>
      </c>
      <c r="D16" s="52">
        <v>5078.91</v>
      </c>
      <c r="E16" s="52">
        <v>3007.96</v>
      </c>
      <c r="F16" s="52">
        <v>4766.42</v>
      </c>
      <c r="G16" s="52">
        <v>4619.6099999999997</v>
      </c>
      <c r="H16" s="52">
        <v>2872.62</v>
      </c>
      <c r="I16" s="53">
        <v>26527.640000000003</v>
      </c>
      <c r="J16" s="49"/>
    </row>
    <row r="17" spans="1:10" x14ac:dyDescent="0.2">
      <c r="A17" s="50">
        <f t="shared" si="0"/>
        <v>42751</v>
      </c>
      <c r="B17" s="51">
        <v>8909.9</v>
      </c>
      <c r="C17" s="52">
        <v>3959.5</v>
      </c>
      <c r="D17" s="52">
        <v>5216.3999999999996</v>
      </c>
      <c r="E17" s="52">
        <v>2613.6</v>
      </c>
      <c r="F17" s="52">
        <v>4088</v>
      </c>
      <c r="G17" s="52">
        <v>6900</v>
      </c>
      <c r="H17" s="52">
        <v>3541.7</v>
      </c>
      <c r="I17" s="53">
        <v>28145.699999999997</v>
      </c>
      <c r="J17" s="49"/>
    </row>
    <row r="18" spans="1:10" x14ac:dyDescent="0.2">
      <c r="A18" s="50">
        <f t="shared" si="0"/>
        <v>42752</v>
      </c>
      <c r="B18" s="51">
        <v>9169</v>
      </c>
      <c r="C18" s="52">
        <v>3795</v>
      </c>
      <c r="D18" s="52">
        <v>5312</v>
      </c>
      <c r="E18" s="52">
        <v>3507</v>
      </c>
      <c r="F18" s="52">
        <v>4747</v>
      </c>
      <c r="G18" s="52">
        <v>7436</v>
      </c>
      <c r="H18" s="52">
        <v>3863</v>
      </c>
      <c r="I18" s="53">
        <v>30103</v>
      </c>
      <c r="J18" s="49"/>
    </row>
    <row r="19" spans="1:10" x14ac:dyDescent="0.2">
      <c r="A19" s="50">
        <f t="shared" si="0"/>
        <v>42753</v>
      </c>
      <c r="B19" s="51">
        <v>9076.1</v>
      </c>
      <c r="C19" s="52">
        <v>3869.66</v>
      </c>
      <c r="D19" s="52">
        <v>5297.22</v>
      </c>
      <c r="E19" s="52">
        <v>3212.11</v>
      </c>
      <c r="F19" s="52">
        <v>4444.58</v>
      </c>
      <c r="G19" s="52">
        <v>7765.18</v>
      </c>
      <c r="H19" s="52">
        <v>4079.78</v>
      </c>
      <c r="I19" s="53">
        <v>29585.07</v>
      </c>
      <c r="J19" s="49"/>
    </row>
    <row r="20" spans="1:10" x14ac:dyDescent="0.2">
      <c r="A20" s="50">
        <f t="shared" si="0"/>
        <v>42754</v>
      </c>
      <c r="B20" s="51">
        <v>9008.0300000000007</v>
      </c>
      <c r="C20" s="52">
        <v>3936.73</v>
      </c>
      <c r="D20" s="52">
        <v>5431.12</v>
      </c>
      <c r="E20" s="52">
        <v>3330.39</v>
      </c>
      <c r="F20" s="52">
        <v>4440.47</v>
      </c>
      <c r="G20" s="52">
        <v>7413.59</v>
      </c>
      <c r="H20" s="52">
        <v>3664.7400000000002</v>
      </c>
      <c r="I20" s="53">
        <v>29895.59</v>
      </c>
      <c r="J20" s="49"/>
    </row>
    <row r="21" spans="1:10" x14ac:dyDescent="0.2">
      <c r="A21" s="50">
        <f t="shared" si="0"/>
        <v>42755</v>
      </c>
      <c r="B21" s="51">
        <v>9171.4</v>
      </c>
      <c r="C21" s="52">
        <v>3831.4</v>
      </c>
      <c r="D21" s="52">
        <v>5448.2</v>
      </c>
      <c r="E21" s="52">
        <v>3914.4</v>
      </c>
      <c r="F21" s="52">
        <v>4277.6000000000004</v>
      </c>
      <c r="G21" s="52">
        <v>7077</v>
      </c>
      <c r="H21" s="52">
        <v>3670.2000000000007</v>
      </c>
      <c r="I21" s="53">
        <v>30049.8</v>
      </c>
      <c r="J21" s="49"/>
    </row>
    <row r="22" spans="1:10" x14ac:dyDescent="0.2">
      <c r="A22" s="50">
        <f t="shared" si="0"/>
        <v>42756</v>
      </c>
      <c r="B22" s="51">
        <v>8443</v>
      </c>
      <c r="C22" s="52">
        <v>3505</v>
      </c>
      <c r="D22" s="52">
        <v>5017</v>
      </c>
      <c r="E22" s="52">
        <v>3818</v>
      </c>
      <c r="F22" s="52">
        <v>4622</v>
      </c>
      <c r="G22" s="52">
        <v>5338</v>
      </c>
      <c r="H22" s="52">
        <v>2987.5</v>
      </c>
      <c r="I22" s="53">
        <v>27755.5</v>
      </c>
      <c r="J22" s="49"/>
    </row>
    <row r="23" spans="1:10" x14ac:dyDescent="0.2">
      <c r="A23" s="50">
        <f t="shared" si="0"/>
        <v>42757</v>
      </c>
      <c r="B23" s="51">
        <v>8327.98</v>
      </c>
      <c r="C23" s="52">
        <v>3627</v>
      </c>
      <c r="D23" s="52">
        <v>4935.2299999999996</v>
      </c>
      <c r="E23" s="52">
        <v>3821.41</v>
      </c>
      <c r="F23" s="52">
        <v>5074.79</v>
      </c>
      <c r="G23" s="52">
        <v>4880.92</v>
      </c>
      <c r="H23" s="52">
        <v>3052.4900000000002</v>
      </c>
      <c r="I23" s="53">
        <v>27614.84</v>
      </c>
      <c r="J23" s="49"/>
    </row>
    <row r="24" spans="1:10" x14ac:dyDescent="0.2">
      <c r="A24" s="50">
        <f t="shared" si="0"/>
        <v>42758</v>
      </c>
      <c r="B24" s="51">
        <v>8413.2999999999993</v>
      </c>
      <c r="C24" s="52">
        <v>4029.54</v>
      </c>
      <c r="D24" s="52">
        <v>5175.38</v>
      </c>
      <c r="E24" s="52">
        <v>3951.53</v>
      </c>
      <c r="F24" s="52">
        <v>4620.4399999999996</v>
      </c>
      <c r="G24" s="52">
        <v>6462.61</v>
      </c>
      <c r="H24" s="52">
        <v>3354.93</v>
      </c>
      <c r="I24" s="53">
        <v>29297.87</v>
      </c>
      <c r="J24" s="49"/>
    </row>
    <row r="25" spans="1:10" x14ac:dyDescent="0.2">
      <c r="A25" s="50">
        <f t="shared" si="0"/>
        <v>42759</v>
      </c>
      <c r="B25" s="51">
        <v>9029.6</v>
      </c>
      <c r="C25" s="52">
        <v>4063.4</v>
      </c>
      <c r="D25" s="52">
        <v>5242.1000000000004</v>
      </c>
      <c r="E25" s="52">
        <v>4749.2</v>
      </c>
      <c r="F25" s="52">
        <v>4832.1000000000004</v>
      </c>
      <c r="G25" s="52">
        <v>7473.6</v>
      </c>
      <c r="H25" s="52">
        <v>3472.099999999999</v>
      </c>
      <c r="I25" s="53">
        <v>31917.9</v>
      </c>
      <c r="J25" s="49"/>
    </row>
    <row r="26" spans="1:10" x14ac:dyDescent="0.2">
      <c r="A26" s="50">
        <f t="shared" si="0"/>
        <v>42760</v>
      </c>
      <c r="B26" s="51">
        <v>8676</v>
      </c>
      <c r="C26" s="52">
        <v>4192</v>
      </c>
      <c r="D26" s="52">
        <v>5309</v>
      </c>
      <c r="E26" s="52">
        <v>3447.5</v>
      </c>
      <c r="F26" s="52">
        <v>4413.6000000000004</v>
      </c>
      <c r="G26" s="52">
        <v>8033</v>
      </c>
      <c r="H26" s="52">
        <v>3766.5</v>
      </c>
      <c r="I26" s="53">
        <v>30304.6</v>
      </c>
      <c r="J26" s="49"/>
    </row>
    <row r="27" spans="1:10" x14ac:dyDescent="0.2">
      <c r="A27" s="50">
        <f t="shared" si="0"/>
        <v>42761</v>
      </c>
      <c r="B27" s="51">
        <v>8948.74</v>
      </c>
      <c r="C27" s="52">
        <v>4113.37</v>
      </c>
      <c r="D27" s="52">
        <v>5476.92</v>
      </c>
      <c r="E27" s="52">
        <v>2978.69</v>
      </c>
      <c r="F27" s="52">
        <v>4207.8999999999996</v>
      </c>
      <c r="G27" s="52">
        <v>7932.11</v>
      </c>
      <c r="H27" s="52">
        <v>3848.6000000000004</v>
      </c>
      <c r="I27" s="53">
        <v>29809.129999999997</v>
      </c>
      <c r="J27" s="49"/>
    </row>
    <row r="28" spans="1:10" x14ac:dyDescent="0.2">
      <c r="A28" s="50">
        <f t="shared" si="0"/>
        <v>42762</v>
      </c>
      <c r="B28" s="51">
        <v>8861.92</v>
      </c>
      <c r="C28" s="52">
        <v>4084.06</v>
      </c>
      <c r="D28" s="52">
        <v>5243.57</v>
      </c>
      <c r="E28" s="52">
        <v>3266.71</v>
      </c>
      <c r="F28" s="52">
        <v>4784.7700000000004</v>
      </c>
      <c r="G28" s="52">
        <v>7449.37</v>
      </c>
      <c r="H28" s="52">
        <v>3764.37</v>
      </c>
      <c r="I28" s="53">
        <v>29926.030000000002</v>
      </c>
      <c r="J28" s="49"/>
    </row>
    <row r="29" spans="1:10" x14ac:dyDescent="0.2">
      <c r="A29" s="50">
        <f t="shared" si="0"/>
        <v>42763</v>
      </c>
      <c r="B29" s="51">
        <v>8919.7000000000007</v>
      </c>
      <c r="C29" s="52">
        <v>3849.5</v>
      </c>
      <c r="D29" s="52">
        <v>5082</v>
      </c>
      <c r="E29" s="52">
        <v>4435.1000000000004</v>
      </c>
      <c r="F29" s="52">
        <v>4577.8999999999996</v>
      </c>
      <c r="G29" s="52">
        <v>4836.3</v>
      </c>
      <c r="H29" s="52">
        <v>2819.5000000000005</v>
      </c>
      <c r="I29" s="53">
        <v>28881.000000000004</v>
      </c>
      <c r="J29" s="49"/>
    </row>
    <row r="30" spans="1:10" x14ac:dyDescent="0.2">
      <c r="A30" s="50">
        <f t="shared" si="0"/>
        <v>42764</v>
      </c>
      <c r="B30" s="51">
        <v>8638.5</v>
      </c>
      <c r="C30" s="52">
        <v>3810</v>
      </c>
      <c r="D30" s="52">
        <v>4949</v>
      </c>
      <c r="E30" s="52">
        <v>4442</v>
      </c>
      <c r="F30" s="52">
        <v>5311</v>
      </c>
      <c r="G30" s="52">
        <v>4843</v>
      </c>
      <c r="H30" s="52">
        <v>2793.6</v>
      </c>
      <c r="I30" s="53">
        <v>29199.9</v>
      </c>
      <c r="J30" s="49"/>
    </row>
    <row r="31" spans="1:10" x14ac:dyDescent="0.2">
      <c r="A31" s="50">
        <f>A30+1</f>
        <v>42765</v>
      </c>
      <c r="B31" s="51">
        <v>7973.16</v>
      </c>
      <c r="C31" s="52">
        <v>3905.14</v>
      </c>
      <c r="D31" s="52">
        <v>5129.1099999999997</v>
      </c>
      <c r="E31" s="52">
        <v>2707.29</v>
      </c>
      <c r="F31" s="52">
        <v>3574.13</v>
      </c>
      <c r="G31" s="52">
        <v>6910.84</v>
      </c>
      <c r="H31" s="52">
        <v>3430.91</v>
      </c>
      <c r="I31" s="53">
        <v>26768.760000000002</v>
      </c>
      <c r="J31" s="49"/>
    </row>
    <row r="32" spans="1:10" x14ac:dyDescent="0.2">
      <c r="A32" s="50">
        <f t="shared" ref="A32:A95" si="1">A31+1</f>
        <v>42766</v>
      </c>
      <c r="B32" s="51">
        <v>8834.7099999999991</v>
      </c>
      <c r="C32" s="52">
        <v>4129.1899999999996</v>
      </c>
      <c r="D32" s="52">
        <v>4586.42</v>
      </c>
      <c r="E32" s="52">
        <v>3963.77</v>
      </c>
      <c r="F32" s="52">
        <v>5356.9</v>
      </c>
      <c r="G32" s="52">
        <v>7406.17</v>
      </c>
      <c r="H32" s="52">
        <v>3792.7500000000005</v>
      </c>
      <c r="I32" s="53">
        <v>30484.409999999996</v>
      </c>
      <c r="J32" s="49"/>
    </row>
    <row r="33" spans="1:10" x14ac:dyDescent="0.2">
      <c r="A33" s="50">
        <f t="shared" si="1"/>
        <v>42767</v>
      </c>
      <c r="B33" s="51">
        <v>9184.2999999999993</v>
      </c>
      <c r="C33" s="52">
        <v>4630</v>
      </c>
      <c r="D33" s="52">
        <v>4258.3999999999996</v>
      </c>
      <c r="E33" s="52">
        <v>4365.3</v>
      </c>
      <c r="F33" s="52">
        <v>4254.2</v>
      </c>
      <c r="G33" s="52">
        <v>7516.71</v>
      </c>
      <c r="H33" s="52">
        <v>3714.0000000000009</v>
      </c>
      <c r="I33" s="53">
        <v>30494.909999999996</v>
      </c>
      <c r="J33" s="49"/>
    </row>
    <row r="34" spans="1:10" x14ac:dyDescent="0.2">
      <c r="A34" s="50">
        <f t="shared" si="1"/>
        <v>42768</v>
      </c>
      <c r="B34" s="51">
        <v>9682</v>
      </c>
      <c r="C34" s="52">
        <v>4767</v>
      </c>
      <c r="D34" s="52">
        <v>4289.5</v>
      </c>
      <c r="E34" s="52">
        <v>3924</v>
      </c>
      <c r="F34" s="52">
        <v>5430</v>
      </c>
      <c r="G34" s="52">
        <v>7631</v>
      </c>
      <c r="H34" s="52">
        <v>3802.4</v>
      </c>
      <c r="I34" s="53">
        <v>31921.1</v>
      </c>
      <c r="J34" s="49"/>
    </row>
    <row r="35" spans="1:10" x14ac:dyDescent="0.2">
      <c r="A35" s="50">
        <f t="shared" si="1"/>
        <v>42769</v>
      </c>
      <c r="B35" s="51">
        <v>9198.14</v>
      </c>
      <c r="C35" s="52">
        <v>4710.37</v>
      </c>
      <c r="D35" s="52">
        <v>4339.67</v>
      </c>
      <c r="E35" s="52">
        <v>3565.45</v>
      </c>
      <c r="F35" s="52">
        <v>4084.7</v>
      </c>
      <c r="G35" s="52">
        <v>7599.44</v>
      </c>
      <c r="H35" s="52">
        <v>3619.6800000000003</v>
      </c>
      <c r="I35" s="53">
        <v>29878.090000000004</v>
      </c>
      <c r="J35" s="49"/>
    </row>
    <row r="36" spans="1:10" x14ac:dyDescent="0.2">
      <c r="A36" s="50">
        <f t="shared" si="1"/>
        <v>42770</v>
      </c>
      <c r="B36" s="51">
        <v>9325.2000000000007</v>
      </c>
      <c r="C36" s="52">
        <v>4616.84</v>
      </c>
      <c r="D36" s="52">
        <v>4170.18</v>
      </c>
      <c r="E36" s="52">
        <v>3603.45</v>
      </c>
      <c r="F36" s="52">
        <v>5296.11</v>
      </c>
      <c r="G36" s="52">
        <v>5747.16</v>
      </c>
      <c r="H36" s="52">
        <v>2806.66</v>
      </c>
      <c r="I36" s="53">
        <v>29952.280000000002</v>
      </c>
      <c r="J36" s="49"/>
    </row>
    <row r="37" spans="1:10" x14ac:dyDescent="0.2">
      <c r="A37" s="50">
        <f t="shared" si="1"/>
        <v>42771</v>
      </c>
      <c r="B37" s="51">
        <v>9557.9</v>
      </c>
      <c r="C37" s="52">
        <v>4582.3</v>
      </c>
      <c r="D37" s="52">
        <v>4077.6</v>
      </c>
      <c r="E37" s="52">
        <v>4645.8</v>
      </c>
      <c r="F37" s="52">
        <v>4900</v>
      </c>
      <c r="G37" s="52">
        <v>4441.3999999999996</v>
      </c>
      <c r="H37" s="52">
        <v>2595.9</v>
      </c>
      <c r="I37" s="53">
        <v>29609.1</v>
      </c>
      <c r="J37" s="49"/>
    </row>
    <row r="38" spans="1:10" x14ac:dyDescent="0.2">
      <c r="A38" s="50">
        <f t="shared" si="1"/>
        <v>42772</v>
      </c>
      <c r="B38" s="51">
        <v>9215</v>
      </c>
      <c r="C38" s="52">
        <v>4995</v>
      </c>
      <c r="D38" s="52">
        <v>4320</v>
      </c>
      <c r="E38" s="52">
        <v>3505</v>
      </c>
      <c r="F38" s="52">
        <v>4540</v>
      </c>
      <c r="G38" s="52">
        <v>6878</v>
      </c>
      <c r="H38" s="52">
        <v>3486</v>
      </c>
      <c r="I38" s="53">
        <v>29967</v>
      </c>
      <c r="J38" s="49"/>
    </row>
    <row r="39" spans="1:10" x14ac:dyDescent="0.2">
      <c r="A39" s="50">
        <f t="shared" si="1"/>
        <v>42773</v>
      </c>
      <c r="B39" s="51">
        <v>9688.39</v>
      </c>
      <c r="C39" s="52">
        <v>4905.13</v>
      </c>
      <c r="D39" s="52">
        <v>4480.6099999999997</v>
      </c>
      <c r="E39" s="52">
        <v>4184.17</v>
      </c>
      <c r="F39" s="52">
        <v>4674.1499999999996</v>
      </c>
      <c r="G39" s="52">
        <v>7408.22</v>
      </c>
      <c r="H39" s="52">
        <v>3595.6599999999994</v>
      </c>
      <c r="I39" s="53">
        <v>31745.010000000006</v>
      </c>
      <c r="J39" s="49"/>
    </row>
    <row r="40" spans="1:10" x14ac:dyDescent="0.2">
      <c r="A40" s="50">
        <f t="shared" si="1"/>
        <v>42774</v>
      </c>
      <c r="B40" s="51">
        <v>9573.1200000000008</v>
      </c>
      <c r="C40" s="52">
        <v>5210.82</v>
      </c>
      <c r="D40" s="52">
        <v>4544.1499999999996</v>
      </c>
      <c r="E40" s="52">
        <v>3519.25</v>
      </c>
      <c r="F40" s="52">
        <v>4707.18</v>
      </c>
      <c r="G40" s="52">
        <v>7706.15</v>
      </c>
      <c r="H40" s="52">
        <v>3599.1800000000003</v>
      </c>
      <c r="I40" s="53">
        <v>31661.489999999998</v>
      </c>
      <c r="J40" s="49"/>
    </row>
    <row r="41" spans="1:10" x14ac:dyDescent="0.2">
      <c r="A41" s="50">
        <f t="shared" si="1"/>
        <v>42775</v>
      </c>
      <c r="B41" s="51">
        <v>10479.799999999999</v>
      </c>
      <c r="C41" s="52">
        <v>5021.6000000000004</v>
      </c>
      <c r="D41" s="52">
        <v>4532.3999999999996</v>
      </c>
      <c r="E41" s="52">
        <v>4164.7</v>
      </c>
      <c r="F41" s="52">
        <v>5477.3</v>
      </c>
      <c r="G41" s="52">
        <v>7561.8</v>
      </c>
      <c r="H41" s="52">
        <v>3682.3999999999996</v>
      </c>
      <c r="I41" s="53">
        <v>33555.199999999997</v>
      </c>
      <c r="J41" s="49"/>
    </row>
    <row r="42" spans="1:10" x14ac:dyDescent="0.2">
      <c r="A42" s="50">
        <f t="shared" si="1"/>
        <v>42776</v>
      </c>
      <c r="B42" s="51">
        <v>10313</v>
      </c>
      <c r="C42" s="52">
        <v>5022.6000000000004</v>
      </c>
      <c r="D42" s="52">
        <v>4473</v>
      </c>
      <c r="E42" s="52">
        <v>3363.5</v>
      </c>
      <c r="F42" s="52">
        <v>6764</v>
      </c>
      <c r="G42" s="52">
        <v>7782</v>
      </c>
      <c r="H42" s="52">
        <v>3701</v>
      </c>
      <c r="I42" s="53">
        <v>34017.1</v>
      </c>
      <c r="J42" s="49"/>
    </row>
    <row r="43" spans="1:10" x14ac:dyDescent="0.2">
      <c r="A43" s="50">
        <f t="shared" si="1"/>
        <v>42777</v>
      </c>
      <c r="B43" s="51">
        <v>9800.65</v>
      </c>
      <c r="C43" s="52">
        <v>4591.72</v>
      </c>
      <c r="D43" s="52">
        <v>4201.0600000000004</v>
      </c>
      <c r="E43" s="52">
        <v>2122.14</v>
      </c>
      <c r="F43" s="52">
        <v>6872.37</v>
      </c>
      <c r="G43" s="52">
        <v>6245.9</v>
      </c>
      <c r="H43" s="52">
        <v>2935.91</v>
      </c>
      <c r="I43" s="53">
        <v>30897.929999999997</v>
      </c>
      <c r="J43" s="49"/>
    </row>
    <row r="44" spans="1:10" x14ac:dyDescent="0.2">
      <c r="A44" s="50">
        <f t="shared" si="1"/>
        <v>42778</v>
      </c>
      <c r="B44" s="51">
        <v>9423.1</v>
      </c>
      <c r="C44" s="52">
        <v>4442.3100000000004</v>
      </c>
      <c r="D44" s="52">
        <v>4101.92</v>
      </c>
      <c r="E44" s="52">
        <v>1295.81</v>
      </c>
      <c r="F44" s="52">
        <v>5624.75</v>
      </c>
      <c r="G44" s="52">
        <v>4832.07</v>
      </c>
      <c r="H44" s="52">
        <v>2655.8500000000004</v>
      </c>
      <c r="I44" s="53">
        <v>27064.11</v>
      </c>
      <c r="J44" s="49"/>
    </row>
    <row r="45" spans="1:10" x14ac:dyDescent="0.2">
      <c r="A45" s="50">
        <f t="shared" si="1"/>
        <v>42779</v>
      </c>
      <c r="B45" s="51">
        <v>9584.7000000000007</v>
      </c>
      <c r="C45" s="52">
        <v>4762.7</v>
      </c>
      <c r="D45" s="52">
        <v>4341.8999999999996</v>
      </c>
      <c r="E45" s="52">
        <v>2139.5</v>
      </c>
      <c r="F45" s="52">
        <v>5979.5</v>
      </c>
      <c r="G45" s="52">
        <v>6617.8</v>
      </c>
      <c r="H45" s="52">
        <v>3265.8999999999996</v>
      </c>
      <c r="I45" s="53">
        <v>30160.200000000004</v>
      </c>
      <c r="J45" s="49"/>
    </row>
    <row r="46" spans="1:10" x14ac:dyDescent="0.2">
      <c r="A46" s="50">
        <f t="shared" si="1"/>
        <v>42780</v>
      </c>
      <c r="B46" s="51">
        <v>9771</v>
      </c>
      <c r="C46" s="52">
        <v>4928</v>
      </c>
      <c r="D46" s="52">
        <v>4177.6000000000004</v>
      </c>
      <c r="E46" s="52">
        <v>2609.6</v>
      </c>
      <c r="F46" s="52">
        <v>6731</v>
      </c>
      <c r="G46" s="52">
        <v>6665</v>
      </c>
      <c r="H46" s="52">
        <v>3033.5</v>
      </c>
      <c r="I46" s="53">
        <v>31848.699999999997</v>
      </c>
      <c r="J46" s="49"/>
    </row>
    <row r="47" spans="1:10" x14ac:dyDescent="0.2">
      <c r="A47" s="50">
        <f t="shared" si="1"/>
        <v>42781</v>
      </c>
      <c r="B47" s="51">
        <v>9192.44</v>
      </c>
      <c r="C47" s="52">
        <v>4778.95</v>
      </c>
      <c r="D47" s="52">
        <v>4250.6400000000003</v>
      </c>
      <c r="E47" s="52">
        <v>1777.08</v>
      </c>
      <c r="F47" s="52">
        <v>6407.51</v>
      </c>
      <c r="G47" s="52">
        <v>6773.07</v>
      </c>
      <c r="H47" s="52">
        <v>3285.7999999999997</v>
      </c>
      <c r="I47" s="53">
        <v>29893.890000000003</v>
      </c>
      <c r="J47" s="49"/>
    </row>
    <row r="48" spans="1:10" x14ac:dyDescent="0.2">
      <c r="A48" s="50">
        <f t="shared" si="1"/>
        <v>42782</v>
      </c>
      <c r="B48" s="51">
        <v>9277.49</v>
      </c>
      <c r="C48" s="52">
        <v>4654.3900000000003</v>
      </c>
      <c r="D48" s="52">
        <v>4186.1099999999997</v>
      </c>
      <c r="E48" s="52">
        <v>1434.49</v>
      </c>
      <c r="F48" s="52">
        <v>6442.87</v>
      </c>
      <c r="G48" s="52">
        <v>7179.06</v>
      </c>
      <c r="H48" s="52">
        <v>3364.24</v>
      </c>
      <c r="I48" s="53">
        <v>29810.170000000006</v>
      </c>
      <c r="J48" s="49"/>
    </row>
    <row r="49" spans="1:10" x14ac:dyDescent="0.2">
      <c r="A49" s="50">
        <f t="shared" si="1"/>
        <v>42783</v>
      </c>
      <c r="B49" s="51">
        <v>8126</v>
      </c>
      <c r="C49" s="52">
        <v>4535.7</v>
      </c>
      <c r="D49" s="52">
        <v>3953.3</v>
      </c>
      <c r="E49" s="52">
        <v>1025.2</v>
      </c>
      <c r="F49" s="52">
        <v>5994.2</v>
      </c>
      <c r="G49" s="52">
        <v>7032.5</v>
      </c>
      <c r="H49" s="52">
        <v>3156.2</v>
      </c>
      <c r="I49" s="53">
        <v>27510.7</v>
      </c>
      <c r="J49" s="49"/>
    </row>
    <row r="50" spans="1:10" x14ac:dyDescent="0.2">
      <c r="A50" s="50">
        <f t="shared" si="1"/>
        <v>42784</v>
      </c>
      <c r="B50" s="51">
        <v>7648.5</v>
      </c>
      <c r="C50" s="52">
        <v>4368</v>
      </c>
      <c r="D50" s="52">
        <v>3866</v>
      </c>
      <c r="E50" s="52">
        <v>2018</v>
      </c>
      <c r="F50" s="52">
        <v>6780</v>
      </c>
      <c r="G50" s="52">
        <v>4706</v>
      </c>
      <c r="H50" s="52">
        <v>2643.5</v>
      </c>
      <c r="I50" s="53">
        <v>26743</v>
      </c>
      <c r="J50" s="49"/>
    </row>
    <row r="51" spans="1:10" x14ac:dyDescent="0.2">
      <c r="A51" s="50">
        <f t="shared" si="1"/>
        <v>42785</v>
      </c>
      <c r="B51" s="51">
        <v>7102.79</v>
      </c>
      <c r="C51" s="52">
        <v>4304.45</v>
      </c>
      <c r="D51" s="52">
        <v>3623.06</v>
      </c>
      <c r="E51" s="52">
        <v>2063.8200000000002</v>
      </c>
      <c r="F51" s="52">
        <v>5589.41</v>
      </c>
      <c r="G51" s="52">
        <v>4181.49</v>
      </c>
      <c r="H51" s="52">
        <v>2387.66</v>
      </c>
      <c r="I51" s="53">
        <v>24477.359999999997</v>
      </c>
      <c r="J51" s="49"/>
    </row>
    <row r="52" spans="1:10" x14ac:dyDescent="0.2">
      <c r="A52" s="50">
        <f t="shared" si="1"/>
        <v>42786</v>
      </c>
      <c r="B52" s="51">
        <v>7911.16</v>
      </c>
      <c r="C52" s="52">
        <v>4514.32</v>
      </c>
      <c r="D52" s="52">
        <v>3997.71</v>
      </c>
      <c r="E52" s="52">
        <v>990.69</v>
      </c>
      <c r="F52" s="52">
        <v>5661.72</v>
      </c>
      <c r="G52" s="52">
        <v>5638.57</v>
      </c>
      <c r="H52" s="52">
        <v>2698.5899999999997</v>
      </c>
      <c r="I52" s="53">
        <v>26015.579999999998</v>
      </c>
      <c r="J52" s="49"/>
    </row>
    <row r="53" spans="1:10" x14ac:dyDescent="0.2">
      <c r="A53" s="50">
        <f t="shared" si="1"/>
        <v>42787</v>
      </c>
      <c r="B53" s="51">
        <v>7789.7</v>
      </c>
      <c r="C53" s="52">
        <v>5025.5</v>
      </c>
      <c r="D53" s="52">
        <v>4304.1000000000004</v>
      </c>
      <c r="E53" s="52">
        <v>3007.5</v>
      </c>
      <c r="F53" s="52">
        <v>5565.3</v>
      </c>
      <c r="G53" s="52">
        <v>5697.7</v>
      </c>
      <c r="H53" s="52">
        <v>2586.2999999999993</v>
      </c>
      <c r="I53" s="53">
        <v>28803.500000000004</v>
      </c>
      <c r="J53" s="49"/>
    </row>
    <row r="54" spans="1:10" x14ac:dyDescent="0.2">
      <c r="A54" s="50">
        <f t="shared" si="1"/>
        <v>42788</v>
      </c>
      <c r="B54" s="51">
        <v>6839.5</v>
      </c>
      <c r="C54" s="52">
        <v>5444</v>
      </c>
      <c r="D54" s="52">
        <v>4389.5</v>
      </c>
      <c r="E54" s="52">
        <v>2449</v>
      </c>
      <c r="F54" s="52">
        <v>4616</v>
      </c>
      <c r="G54" s="52">
        <v>5641</v>
      </c>
      <c r="H54" s="52">
        <v>2403</v>
      </c>
      <c r="I54" s="53">
        <v>26976</v>
      </c>
      <c r="J54" s="49"/>
    </row>
    <row r="55" spans="1:10" x14ac:dyDescent="0.2">
      <c r="A55" s="50">
        <f t="shared" si="1"/>
        <v>42789</v>
      </c>
      <c r="B55" s="51">
        <v>7771.32</v>
      </c>
      <c r="C55" s="52">
        <v>5073.95</v>
      </c>
      <c r="D55" s="52">
        <v>4388.63</v>
      </c>
      <c r="E55" s="52">
        <v>2528.0500000000002</v>
      </c>
      <c r="F55" s="52">
        <v>4548.4799999999996</v>
      </c>
      <c r="G55" s="52">
        <v>4662.88</v>
      </c>
      <c r="H55" s="52">
        <v>1594.6800000000003</v>
      </c>
      <c r="I55" s="53">
        <v>27378.63</v>
      </c>
      <c r="J55" s="49"/>
    </row>
    <row r="56" spans="1:10" x14ac:dyDescent="0.2">
      <c r="A56" s="50">
        <f t="shared" si="1"/>
        <v>42790</v>
      </c>
      <c r="B56" s="51">
        <v>7892.43</v>
      </c>
      <c r="C56" s="52">
        <v>4942.76</v>
      </c>
      <c r="D56" s="52">
        <v>4322.67</v>
      </c>
      <c r="E56" s="52">
        <v>2100.31</v>
      </c>
      <c r="F56" s="52">
        <v>4522.67</v>
      </c>
      <c r="G56" s="52">
        <v>4657.93</v>
      </c>
      <c r="H56" s="52">
        <v>1614.86</v>
      </c>
      <c r="I56" s="53">
        <v>26823.910000000003</v>
      </c>
      <c r="J56" s="49"/>
    </row>
    <row r="57" spans="1:10" x14ac:dyDescent="0.2">
      <c r="A57" s="50">
        <f t="shared" si="1"/>
        <v>42791</v>
      </c>
      <c r="B57" s="51">
        <v>8173.3</v>
      </c>
      <c r="C57" s="52">
        <v>5157.8999999999996</v>
      </c>
      <c r="D57" s="52">
        <v>4241.5</v>
      </c>
      <c r="E57" s="52">
        <v>3261.8</v>
      </c>
      <c r="F57" s="52">
        <v>5137.3</v>
      </c>
      <c r="G57" s="52">
        <v>3754.1</v>
      </c>
      <c r="H57" s="52">
        <v>1536.9</v>
      </c>
      <c r="I57" s="53">
        <v>28188.999999999996</v>
      </c>
      <c r="J57" s="49"/>
    </row>
    <row r="58" spans="1:10" x14ac:dyDescent="0.2">
      <c r="A58" s="50">
        <f t="shared" si="1"/>
        <v>42792</v>
      </c>
      <c r="B58" s="51">
        <v>7301.6</v>
      </c>
      <c r="C58" s="52">
        <v>4807.2</v>
      </c>
      <c r="D58" s="52">
        <v>3837.9</v>
      </c>
      <c r="E58" s="52">
        <v>2638.9</v>
      </c>
      <c r="F58" s="52">
        <v>5029.5</v>
      </c>
      <c r="G58" s="52">
        <v>4209.5</v>
      </c>
      <c r="H58" s="52">
        <v>2200.1</v>
      </c>
      <c r="I58" s="53">
        <v>25624.5</v>
      </c>
      <c r="J58" s="49"/>
    </row>
    <row r="59" spans="1:10" x14ac:dyDescent="0.2">
      <c r="A59" s="50">
        <f t="shared" si="1"/>
        <v>42793</v>
      </c>
      <c r="B59" s="51">
        <v>7955.71</v>
      </c>
      <c r="C59" s="52">
        <v>5237.87</v>
      </c>
      <c r="D59" s="52">
        <v>3862.74</v>
      </c>
      <c r="E59" s="52">
        <v>3037.81</v>
      </c>
      <c r="F59" s="52">
        <v>4633.07</v>
      </c>
      <c r="G59" s="52">
        <v>5832.63</v>
      </c>
      <c r="H59" s="52">
        <v>2796.8600000000006</v>
      </c>
      <c r="I59" s="53">
        <v>27762.97</v>
      </c>
      <c r="J59" s="49"/>
    </row>
    <row r="60" spans="1:10" x14ac:dyDescent="0.2">
      <c r="A60" s="50">
        <f t="shared" si="1"/>
        <v>42794</v>
      </c>
      <c r="B60" s="51">
        <v>8972.27</v>
      </c>
      <c r="C60" s="52">
        <v>4248.1099999999997</v>
      </c>
      <c r="D60" s="52">
        <v>4290.6499999999996</v>
      </c>
      <c r="E60" s="52">
        <v>3663.07</v>
      </c>
      <c r="F60" s="52">
        <v>5102.1499999999996</v>
      </c>
      <c r="G60" s="52">
        <v>6154.11</v>
      </c>
      <c r="H60" s="52">
        <v>2868.5399999999995</v>
      </c>
      <c r="I60" s="53">
        <v>29561.82</v>
      </c>
      <c r="J60" s="49"/>
    </row>
    <row r="61" spans="1:10" x14ac:dyDescent="0.2">
      <c r="A61" s="50">
        <f t="shared" si="1"/>
        <v>42795</v>
      </c>
      <c r="B61" s="51">
        <v>9107.5</v>
      </c>
      <c r="C61" s="52">
        <v>4005.5</v>
      </c>
      <c r="D61" s="52">
        <v>4520.3</v>
      </c>
      <c r="E61" s="52">
        <v>3666.2</v>
      </c>
      <c r="F61" s="52">
        <v>5071.5</v>
      </c>
      <c r="G61" s="52">
        <v>5798.3</v>
      </c>
      <c r="H61" s="52">
        <v>2535.0999999999995</v>
      </c>
      <c r="I61" s="53">
        <v>29634.2</v>
      </c>
      <c r="J61" s="49"/>
    </row>
    <row r="62" spans="1:10" x14ac:dyDescent="0.2">
      <c r="A62" s="50">
        <f t="shared" si="1"/>
        <v>42796</v>
      </c>
      <c r="B62" s="51">
        <v>9215</v>
      </c>
      <c r="C62" s="52">
        <v>4090</v>
      </c>
      <c r="D62" s="52">
        <v>4535.6000000000004</v>
      </c>
      <c r="E62" s="52">
        <v>3246</v>
      </c>
      <c r="F62" s="52">
        <v>5359</v>
      </c>
      <c r="G62" s="52">
        <v>6219</v>
      </c>
      <c r="H62" s="52">
        <v>2743.4</v>
      </c>
      <c r="I62" s="53">
        <v>29921.199999999997</v>
      </c>
      <c r="J62" s="49"/>
    </row>
    <row r="63" spans="1:10" x14ac:dyDescent="0.2">
      <c r="A63" s="50">
        <f t="shared" si="1"/>
        <v>42797</v>
      </c>
      <c r="B63" s="51">
        <v>9056.01</v>
      </c>
      <c r="C63" s="52">
        <v>3961.8</v>
      </c>
      <c r="D63" s="52">
        <v>4525.66</v>
      </c>
      <c r="E63" s="52">
        <v>1898.93</v>
      </c>
      <c r="F63" s="52">
        <v>4457.47</v>
      </c>
      <c r="G63" s="52">
        <v>6498.15</v>
      </c>
      <c r="H63" s="52">
        <v>3123.3200000000006</v>
      </c>
      <c r="I63" s="53">
        <v>27274.700000000004</v>
      </c>
      <c r="J63" s="49"/>
    </row>
    <row r="64" spans="1:10" x14ac:dyDescent="0.2">
      <c r="A64" s="50">
        <f t="shared" si="1"/>
        <v>42798</v>
      </c>
      <c r="B64" s="51">
        <v>8942.77</v>
      </c>
      <c r="C64" s="52">
        <v>3804.3</v>
      </c>
      <c r="D64" s="52">
        <v>4222.2299999999996</v>
      </c>
      <c r="E64" s="52">
        <v>3346.28</v>
      </c>
      <c r="F64" s="52">
        <v>4945.55</v>
      </c>
      <c r="G64" s="52">
        <v>4348.24</v>
      </c>
      <c r="H64" s="52">
        <v>2337.42</v>
      </c>
      <c r="I64" s="53">
        <v>27271.949999999997</v>
      </c>
      <c r="J64" s="49"/>
    </row>
    <row r="65" spans="1:10" x14ac:dyDescent="0.2">
      <c r="A65" s="50">
        <f t="shared" si="1"/>
        <v>42799</v>
      </c>
      <c r="B65" s="51">
        <v>8597.7000000000007</v>
      </c>
      <c r="C65" s="52">
        <v>3727</v>
      </c>
      <c r="D65" s="52">
        <v>4244.6000000000004</v>
      </c>
      <c r="E65" s="52">
        <v>3434.5</v>
      </c>
      <c r="F65" s="52">
        <v>4572.3</v>
      </c>
      <c r="G65" s="52">
        <v>3568.1</v>
      </c>
      <c r="H65" s="52">
        <v>2012.3000000000002</v>
      </c>
      <c r="I65" s="53">
        <v>26131.9</v>
      </c>
      <c r="J65" s="49"/>
    </row>
    <row r="66" spans="1:10" x14ac:dyDescent="0.2">
      <c r="A66" s="50">
        <f t="shared" si="1"/>
        <v>42800</v>
      </c>
      <c r="B66" s="51">
        <v>8534</v>
      </c>
      <c r="C66" s="52">
        <v>4180</v>
      </c>
      <c r="D66" s="52">
        <v>4274</v>
      </c>
      <c r="E66" s="52">
        <v>2440</v>
      </c>
      <c r="F66" s="52">
        <v>4437</v>
      </c>
      <c r="G66" s="52">
        <v>5430</v>
      </c>
      <c r="H66" s="52">
        <v>2634</v>
      </c>
      <c r="I66" s="53">
        <v>26661</v>
      </c>
      <c r="J66" s="49"/>
    </row>
    <row r="67" spans="1:10" x14ac:dyDescent="0.2">
      <c r="A67" s="50">
        <f t="shared" si="1"/>
        <v>42801</v>
      </c>
      <c r="B67" s="51">
        <v>9264.6299999999992</v>
      </c>
      <c r="C67" s="52">
        <v>3977.34</v>
      </c>
      <c r="D67" s="52">
        <v>4538.99</v>
      </c>
      <c r="E67" s="52">
        <v>3164.8</v>
      </c>
      <c r="F67" s="52">
        <v>4949.95</v>
      </c>
      <c r="G67" s="52">
        <v>6083.27</v>
      </c>
      <c r="H67" s="52">
        <v>2740.4299999999994</v>
      </c>
      <c r="I67" s="53">
        <v>29238.55</v>
      </c>
      <c r="J67" s="49"/>
    </row>
    <row r="68" spans="1:10" x14ac:dyDescent="0.2">
      <c r="A68" s="50">
        <f t="shared" si="1"/>
        <v>42802</v>
      </c>
      <c r="B68" s="51">
        <v>9178.02</v>
      </c>
      <c r="C68" s="52">
        <v>3815.43</v>
      </c>
      <c r="D68" s="52">
        <v>4481.28</v>
      </c>
      <c r="E68" s="52">
        <v>2690.26</v>
      </c>
      <c r="F68" s="52">
        <v>6143.21</v>
      </c>
      <c r="G68" s="52">
        <v>4384.8900000000003</v>
      </c>
      <c r="H68" s="52">
        <v>1733.37</v>
      </c>
      <c r="I68" s="53">
        <v>28959.719999999998</v>
      </c>
      <c r="J68" s="49"/>
    </row>
    <row r="69" spans="1:10" x14ac:dyDescent="0.2">
      <c r="A69" s="50">
        <f t="shared" si="1"/>
        <v>42803</v>
      </c>
      <c r="B69" s="51">
        <v>9112.6</v>
      </c>
      <c r="C69" s="52">
        <v>3771.5</v>
      </c>
      <c r="D69" s="52">
        <v>4733.2</v>
      </c>
      <c r="E69" s="52">
        <v>2963.6</v>
      </c>
      <c r="F69" s="52">
        <v>4855.3999999999996</v>
      </c>
      <c r="G69" s="52">
        <v>5809.2</v>
      </c>
      <c r="H69" s="52">
        <v>2543.6000000000004</v>
      </c>
      <c r="I69" s="53">
        <v>28701.899999999994</v>
      </c>
      <c r="J69" s="49"/>
    </row>
    <row r="70" spans="1:10" x14ac:dyDescent="0.2">
      <c r="A70" s="50">
        <f t="shared" si="1"/>
        <v>42804</v>
      </c>
      <c r="B70" s="51">
        <v>9341</v>
      </c>
      <c r="C70" s="52">
        <v>3861</v>
      </c>
      <c r="D70" s="52">
        <v>4680</v>
      </c>
      <c r="E70" s="52">
        <v>4100</v>
      </c>
      <c r="F70" s="52">
        <v>5567</v>
      </c>
      <c r="G70" s="52">
        <v>5798</v>
      </c>
      <c r="H70" s="52">
        <v>2499.6000000000004</v>
      </c>
      <c r="I70" s="53">
        <v>30847.4</v>
      </c>
      <c r="J70" s="49"/>
    </row>
    <row r="71" spans="1:10" x14ac:dyDescent="0.2">
      <c r="A71" s="50">
        <f t="shared" si="1"/>
        <v>42805</v>
      </c>
      <c r="B71" s="51">
        <v>8859.86</v>
      </c>
      <c r="C71" s="52">
        <v>3865.84</v>
      </c>
      <c r="D71" s="52">
        <v>4564.8500000000004</v>
      </c>
      <c r="E71" s="52">
        <v>3795.84</v>
      </c>
      <c r="F71" s="52">
        <v>5952.72</v>
      </c>
      <c r="G71" s="52">
        <v>3338.06</v>
      </c>
      <c r="H71" s="52">
        <v>1539.87</v>
      </c>
      <c r="I71" s="53">
        <v>28837.300000000007</v>
      </c>
      <c r="J71" s="49"/>
    </row>
    <row r="72" spans="1:10" x14ac:dyDescent="0.2">
      <c r="A72" s="50">
        <f t="shared" si="1"/>
        <v>42806</v>
      </c>
      <c r="B72" s="51">
        <v>8913.33</v>
      </c>
      <c r="C72" s="52">
        <v>3845.29</v>
      </c>
      <c r="D72" s="52">
        <v>4378.8900000000003</v>
      </c>
      <c r="E72" s="52">
        <v>3253.05</v>
      </c>
      <c r="F72" s="52">
        <v>5282.18</v>
      </c>
      <c r="G72" s="52">
        <v>3235.23</v>
      </c>
      <c r="H72" s="52">
        <v>1516.01</v>
      </c>
      <c r="I72" s="53">
        <v>27391.96</v>
      </c>
      <c r="J72" s="49"/>
    </row>
    <row r="73" spans="1:10" x14ac:dyDescent="0.2">
      <c r="A73" s="50">
        <f t="shared" si="1"/>
        <v>42807</v>
      </c>
      <c r="B73" s="51">
        <v>9251.6</v>
      </c>
      <c r="C73" s="52">
        <v>4216.2</v>
      </c>
      <c r="D73" s="52">
        <v>4649.3</v>
      </c>
      <c r="E73" s="52">
        <v>2653.4</v>
      </c>
      <c r="F73" s="52">
        <v>4534.8</v>
      </c>
      <c r="G73" s="52">
        <v>5436.9</v>
      </c>
      <c r="H73" s="52">
        <v>2315</v>
      </c>
      <c r="I73" s="53">
        <v>28427.199999999997</v>
      </c>
      <c r="J73" s="49"/>
    </row>
    <row r="74" spans="1:10" x14ac:dyDescent="0.2">
      <c r="A74" s="50">
        <f t="shared" si="1"/>
        <v>42808</v>
      </c>
      <c r="B74" s="51">
        <v>9340</v>
      </c>
      <c r="C74" s="52">
        <v>4417</v>
      </c>
      <c r="D74" s="52">
        <v>4729.8999999999996</v>
      </c>
      <c r="E74" s="52">
        <v>3602.5</v>
      </c>
      <c r="F74" s="52">
        <v>5423.8</v>
      </c>
      <c r="G74" s="52">
        <v>5775.8</v>
      </c>
      <c r="H74" s="52">
        <v>2455.5</v>
      </c>
      <c r="I74" s="53">
        <v>30833.5</v>
      </c>
      <c r="J74" s="49"/>
    </row>
    <row r="75" spans="1:10" x14ac:dyDescent="0.2">
      <c r="A75" s="50">
        <f t="shared" si="1"/>
        <v>42809</v>
      </c>
      <c r="B75" s="51">
        <v>9199.6299999999992</v>
      </c>
      <c r="C75" s="52">
        <v>4318.67</v>
      </c>
      <c r="D75" s="52">
        <v>4744.1099999999997</v>
      </c>
      <c r="E75" s="52">
        <v>3350.53</v>
      </c>
      <c r="F75" s="52">
        <v>5154.5600000000004</v>
      </c>
      <c r="G75" s="52">
        <v>5712.57</v>
      </c>
      <c r="H75" s="52">
        <v>2507.8799999999997</v>
      </c>
      <c r="I75" s="53">
        <v>29972.19</v>
      </c>
      <c r="J75" s="49"/>
    </row>
    <row r="76" spans="1:10" x14ac:dyDescent="0.2">
      <c r="A76" s="50">
        <f t="shared" si="1"/>
        <v>42810</v>
      </c>
      <c r="B76" s="51">
        <v>9232.2199999999993</v>
      </c>
      <c r="C76" s="52">
        <v>4131.1000000000004</v>
      </c>
      <c r="D76" s="52">
        <v>4704.32</v>
      </c>
      <c r="E76" s="52">
        <v>3601.68</v>
      </c>
      <c r="F76" s="52">
        <v>4988.07</v>
      </c>
      <c r="G76" s="52">
        <v>5697.89</v>
      </c>
      <c r="H76" s="52">
        <v>2351.09</v>
      </c>
      <c r="I76" s="53">
        <v>30004.19</v>
      </c>
      <c r="J76" s="49"/>
    </row>
    <row r="77" spans="1:10" x14ac:dyDescent="0.2">
      <c r="A77" s="50">
        <f t="shared" si="1"/>
        <v>42811</v>
      </c>
      <c r="B77" s="51">
        <v>9438.7000000000007</v>
      </c>
      <c r="C77" s="52">
        <v>4039.4</v>
      </c>
      <c r="D77" s="52">
        <v>4356.3</v>
      </c>
      <c r="E77" s="52">
        <v>3120.7</v>
      </c>
      <c r="F77" s="52">
        <v>5257</v>
      </c>
      <c r="G77" s="52">
        <v>5623.7</v>
      </c>
      <c r="H77" s="52">
        <v>2230.6000000000004</v>
      </c>
      <c r="I77" s="53">
        <v>29605.200000000004</v>
      </c>
      <c r="J77" s="49"/>
    </row>
    <row r="78" spans="1:10" x14ac:dyDescent="0.2">
      <c r="A78" s="50">
        <f t="shared" si="1"/>
        <v>42812</v>
      </c>
      <c r="B78" s="51">
        <v>9052</v>
      </c>
      <c r="C78" s="52">
        <v>3872.5</v>
      </c>
      <c r="D78" s="52">
        <v>4270</v>
      </c>
      <c r="E78" s="52">
        <v>3320</v>
      </c>
      <c r="F78" s="52">
        <v>5161</v>
      </c>
      <c r="G78" s="52">
        <v>4122</v>
      </c>
      <c r="H78" s="52">
        <v>2054</v>
      </c>
      <c r="I78" s="53">
        <v>27743.5</v>
      </c>
      <c r="J78" s="49"/>
    </row>
    <row r="79" spans="1:10" x14ac:dyDescent="0.2">
      <c r="A79" s="50">
        <f t="shared" si="1"/>
        <v>42813</v>
      </c>
      <c r="B79" s="51">
        <v>8980.2900000000009</v>
      </c>
      <c r="C79" s="52">
        <v>3598.59</v>
      </c>
      <c r="D79" s="52">
        <v>4438.4399999999996</v>
      </c>
      <c r="E79" s="52">
        <v>3604.12</v>
      </c>
      <c r="F79" s="52">
        <v>5133.41</v>
      </c>
      <c r="G79" s="52">
        <v>3530.9</v>
      </c>
      <c r="H79" s="52">
        <v>1781.8599999999997</v>
      </c>
      <c r="I79" s="53">
        <v>27503.89</v>
      </c>
      <c r="J79" s="49"/>
    </row>
    <row r="80" spans="1:10" x14ac:dyDescent="0.2">
      <c r="A80" s="50">
        <f t="shared" si="1"/>
        <v>42814</v>
      </c>
      <c r="B80" s="51">
        <v>8931.57</v>
      </c>
      <c r="C80" s="52">
        <v>4034.03</v>
      </c>
      <c r="D80" s="52">
        <v>4631.01</v>
      </c>
      <c r="E80" s="52">
        <v>3396.05</v>
      </c>
      <c r="F80" s="52">
        <v>4543.42</v>
      </c>
      <c r="G80" s="52">
        <v>5394.39</v>
      </c>
      <c r="H80" s="52">
        <v>2311.0700000000002</v>
      </c>
      <c r="I80" s="53">
        <v>28619.4</v>
      </c>
      <c r="J80" s="49"/>
    </row>
    <row r="81" spans="1:10" x14ac:dyDescent="0.2">
      <c r="A81" s="50">
        <f t="shared" si="1"/>
        <v>42815</v>
      </c>
      <c r="B81" s="51">
        <v>9472.2999999999993</v>
      </c>
      <c r="C81" s="52">
        <v>3931.8</v>
      </c>
      <c r="D81" s="52">
        <v>4550.5</v>
      </c>
      <c r="E81" s="52">
        <v>3221.3</v>
      </c>
      <c r="F81" s="52">
        <v>4139</v>
      </c>
      <c r="G81" s="52">
        <v>5798.6</v>
      </c>
      <c r="H81" s="52">
        <v>2352.5</v>
      </c>
      <c r="I81" s="53">
        <v>28761</v>
      </c>
      <c r="J81" s="49"/>
    </row>
    <row r="82" spans="1:10" x14ac:dyDescent="0.2">
      <c r="A82" s="50">
        <f t="shared" si="1"/>
        <v>42816</v>
      </c>
      <c r="B82" s="51">
        <v>9498.6</v>
      </c>
      <c r="C82" s="52">
        <v>4095</v>
      </c>
      <c r="D82" s="52">
        <v>4644</v>
      </c>
      <c r="E82" s="52">
        <v>2952</v>
      </c>
      <c r="F82" s="52">
        <v>5146</v>
      </c>
      <c r="G82" s="52">
        <v>6240</v>
      </c>
      <c r="H82" s="52">
        <v>2719.5</v>
      </c>
      <c r="I82" s="53">
        <v>29856.1</v>
      </c>
      <c r="J82" s="49"/>
    </row>
    <row r="83" spans="1:10" x14ac:dyDescent="0.2">
      <c r="A83" s="50">
        <f t="shared" si="1"/>
        <v>42817</v>
      </c>
      <c r="B83" s="51">
        <v>9379.67</v>
      </c>
      <c r="C83" s="52">
        <v>4005.64</v>
      </c>
      <c r="D83" s="52">
        <v>4728.8599999999997</v>
      </c>
      <c r="E83" s="52">
        <v>3753.73</v>
      </c>
      <c r="F83" s="52">
        <v>5452.53</v>
      </c>
      <c r="G83" s="52">
        <v>6135.49</v>
      </c>
      <c r="H83" s="52">
        <v>2611.34</v>
      </c>
      <c r="I83" s="53">
        <v>30844.579999999998</v>
      </c>
      <c r="J83" s="49"/>
    </row>
    <row r="84" spans="1:10" x14ac:dyDescent="0.2">
      <c r="A84" s="50">
        <f t="shared" si="1"/>
        <v>42818</v>
      </c>
      <c r="B84" s="51">
        <v>8945.76</v>
      </c>
      <c r="C84" s="52">
        <v>3920.25</v>
      </c>
      <c r="D84" s="52">
        <v>4540.1499999999996</v>
      </c>
      <c r="E84" s="52">
        <v>3057.54</v>
      </c>
      <c r="F84" s="52">
        <v>5320.95</v>
      </c>
      <c r="G84" s="52">
        <v>5668.16</v>
      </c>
      <c r="H84" s="52">
        <v>2402.12</v>
      </c>
      <c r="I84" s="53">
        <v>29050.690000000002</v>
      </c>
      <c r="J84" s="49"/>
    </row>
    <row r="85" spans="1:10" x14ac:dyDescent="0.2">
      <c r="A85" s="50">
        <f t="shared" si="1"/>
        <v>42819</v>
      </c>
      <c r="B85" s="51">
        <v>9689.2999999999993</v>
      </c>
      <c r="C85" s="52">
        <v>3910.7</v>
      </c>
      <c r="D85" s="52">
        <v>4342.5</v>
      </c>
      <c r="E85" s="52">
        <v>3585.5</v>
      </c>
      <c r="F85" s="52">
        <v>4811.3999999999996</v>
      </c>
      <c r="G85" s="52">
        <v>3770</v>
      </c>
      <c r="H85" s="52">
        <v>1738.6999999999998</v>
      </c>
      <c r="I85" s="53">
        <v>28370.7</v>
      </c>
      <c r="J85" s="49"/>
    </row>
    <row r="86" spans="1:10" x14ac:dyDescent="0.2">
      <c r="A86" s="50">
        <f t="shared" si="1"/>
        <v>42820</v>
      </c>
      <c r="B86" s="51">
        <v>9414</v>
      </c>
      <c r="C86" s="52">
        <v>3835</v>
      </c>
      <c r="D86" s="52">
        <v>4101</v>
      </c>
      <c r="E86" s="52">
        <v>3611</v>
      </c>
      <c r="F86" s="52">
        <v>4161</v>
      </c>
      <c r="G86" s="52">
        <v>3384</v>
      </c>
      <c r="H86" s="52">
        <v>1713.1</v>
      </c>
      <c r="I86" s="53">
        <v>26792.9</v>
      </c>
      <c r="J86" s="49"/>
    </row>
    <row r="87" spans="1:10" x14ac:dyDescent="0.2">
      <c r="A87" s="50">
        <f t="shared" si="1"/>
        <v>42821</v>
      </c>
      <c r="B87" s="51">
        <v>9488.83</v>
      </c>
      <c r="C87" s="52">
        <v>4328.26</v>
      </c>
      <c r="D87" s="52">
        <v>4464.0200000000004</v>
      </c>
      <c r="E87" s="52">
        <v>3218.53</v>
      </c>
      <c r="F87" s="52">
        <v>4252.88</v>
      </c>
      <c r="G87" s="52">
        <v>5194.12</v>
      </c>
      <c r="H87" s="52">
        <v>2393.83</v>
      </c>
      <c r="I87" s="53">
        <v>28552.809999999998</v>
      </c>
      <c r="J87" s="49"/>
    </row>
    <row r="88" spans="1:10" x14ac:dyDescent="0.2">
      <c r="A88" s="50">
        <f t="shared" si="1"/>
        <v>42822</v>
      </c>
      <c r="B88" s="51">
        <v>9198.25</v>
      </c>
      <c r="C88" s="52">
        <v>4283.13</v>
      </c>
      <c r="D88" s="52">
        <v>4496.82</v>
      </c>
      <c r="E88" s="52">
        <v>3228.57</v>
      </c>
      <c r="F88" s="52">
        <v>5128.8100000000004</v>
      </c>
      <c r="G88" s="52">
        <v>5590.99</v>
      </c>
      <c r="H88" s="52">
        <v>2388.2899999999995</v>
      </c>
      <c r="I88" s="53">
        <v>29538.28</v>
      </c>
      <c r="J88" s="49"/>
    </row>
    <row r="89" spans="1:10" x14ac:dyDescent="0.2">
      <c r="A89" s="50">
        <f t="shared" si="1"/>
        <v>42823</v>
      </c>
      <c r="B89" s="51">
        <v>9350.6</v>
      </c>
      <c r="C89" s="52">
        <v>4049.2</v>
      </c>
      <c r="D89" s="52">
        <v>4370</v>
      </c>
      <c r="E89" s="52">
        <v>3308.3</v>
      </c>
      <c r="F89" s="52">
        <v>4973.8999999999996</v>
      </c>
      <c r="G89" s="52">
        <v>5802</v>
      </c>
      <c r="H89" s="52">
        <v>2581.2999999999997</v>
      </c>
      <c r="I89" s="53">
        <v>29272.7</v>
      </c>
      <c r="J89" s="49"/>
    </row>
    <row r="90" spans="1:10" x14ac:dyDescent="0.2">
      <c r="A90" s="50">
        <f t="shared" si="1"/>
        <v>42824</v>
      </c>
      <c r="B90" s="51">
        <v>8686</v>
      </c>
      <c r="C90" s="52">
        <v>3743</v>
      </c>
      <c r="D90" s="52">
        <v>4391</v>
      </c>
      <c r="E90" s="52">
        <v>2665</v>
      </c>
      <c r="F90" s="52">
        <v>4770</v>
      </c>
      <c r="G90" s="52">
        <v>6116.5</v>
      </c>
      <c r="H90" s="52">
        <v>2863</v>
      </c>
      <c r="I90" s="53">
        <v>27508.5</v>
      </c>
      <c r="J90" s="49"/>
    </row>
    <row r="91" spans="1:10" x14ac:dyDescent="0.2">
      <c r="A91" s="50">
        <f t="shared" si="1"/>
        <v>42825</v>
      </c>
      <c r="B91" s="51">
        <v>8634.84</v>
      </c>
      <c r="C91" s="52">
        <v>3645.76</v>
      </c>
      <c r="D91" s="52">
        <v>4470.78</v>
      </c>
      <c r="E91" s="52">
        <v>3517.23</v>
      </c>
      <c r="F91" s="52">
        <v>5693.9</v>
      </c>
      <c r="G91" s="52">
        <v>6175.83</v>
      </c>
      <c r="H91" s="52">
        <v>2790.0599999999995</v>
      </c>
      <c r="I91" s="53">
        <v>29348.280000000006</v>
      </c>
      <c r="J91" s="49"/>
    </row>
    <row r="92" spans="1:10" x14ac:dyDescent="0.2">
      <c r="A92" s="50">
        <f t="shared" si="1"/>
        <v>42826</v>
      </c>
      <c r="B92" s="51">
        <v>8445</v>
      </c>
      <c r="C92" s="52">
        <v>3444</v>
      </c>
      <c r="D92" s="52">
        <v>4307</v>
      </c>
      <c r="E92" s="52">
        <v>3234</v>
      </c>
      <c r="F92" s="52">
        <v>5291</v>
      </c>
      <c r="G92" s="52">
        <v>4244</v>
      </c>
      <c r="H92" s="52">
        <v>2303.2999999999997</v>
      </c>
      <c r="I92" s="53">
        <v>26661.7</v>
      </c>
      <c r="J92" s="49"/>
    </row>
    <row r="93" spans="1:10" x14ac:dyDescent="0.2">
      <c r="A93" s="50">
        <f t="shared" si="1"/>
        <v>42827</v>
      </c>
      <c r="B93" s="51">
        <v>8336.1</v>
      </c>
      <c r="C93" s="52">
        <v>3325.9</v>
      </c>
      <c r="D93" s="52">
        <v>3945.8</v>
      </c>
      <c r="E93" s="52">
        <v>3798.3</v>
      </c>
      <c r="F93" s="52">
        <v>5734.7</v>
      </c>
      <c r="G93" s="52">
        <v>3883.2</v>
      </c>
      <c r="H93" s="52">
        <v>2191.5</v>
      </c>
      <c r="I93" s="53">
        <v>26832.5</v>
      </c>
      <c r="J93" s="49"/>
    </row>
    <row r="94" spans="1:10" x14ac:dyDescent="0.2">
      <c r="A94" s="50">
        <f t="shared" si="1"/>
        <v>42828</v>
      </c>
      <c r="B94" s="51">
        <v>8098.5</v>
      </c>
      <c r="C94" s="52">
        <v>3809</v>
      </c>
      <c r="D94" s="52">
        <v>4126</v>
      </c>
      <c r="E94" s="52">
        <v>2926</v>
      </c>
      <c r="F94" s="52">
        <v>4216</v>
      </c>
      <c r="G94" s="52">
        <v>5972</v>
      </c>
      <c r="H94" s="52">
        <v>2857.4</v>
      </c>
      <c r="I94" s="53">
        <v>26290.1</v>
      </c>
      <c r="J94" s="49"/>
    </row>
    <row r="95" spans="1:10" x14ac:dyDescent="0.2">
      <c r="A95" s="50">
        <f t="shared" si="1"/>
        <v>42829</v>
      </c>
      <c r="B95" s="51">
        <v>8735.07</v>
      </c>
      <c r="C95" s="52">
        <v>3821.34</v>
      </c>
      <c r="D95" s="52">
        <v>4453.17</v>
      </c>
      <c r="E95" s="52">
        <v>3351.25</v>
      </c>
      <c r="F95" s="52">
        <v>4702.78</v>
      </c>
      <c r="G95" s="52">
        <v>6253.51</v>
      </c>
      <c r="H95" s="52">
        <v>2791.0300000000007</v>
      </c>
      <c r="I95" s="53">
        <v>28526.090000000004</v>
      </c>
      <c r="J95" s="49"/>
    </row>
    <row r="96" spans="1:10" x14ac:dyDescent="0.2">
      <c r="A96" s="50">
        <f t="shared" ref="A96:A159" si="2">A95+1</f>
        <v>42830</v>
      </c>
      <c r="B96" s="51">
        <v>8353.77</v>
      </c>
      <c r="C96" s="52">
        <v>3885.27</v>
      </c>
      <c r="D96" s="52">
        <v>4439.59</v>
      </c>
      <c r="E96" s="52">
        <v>2704.04</v>
      </c>
      <c r="F96" s="52">
        <v>4429.0600000000004</v>
      </c>
      <c r="G96" s="52">
        <v>5877.35</v>
      </c>
      <c r="H96" s="52">
        <v>2753.1499999999996</v>
      </c>
      <c r="I96" s="53">
        <v>26935.93</v>
      </c>
      <c r="J96" s="49"/>
    </row>
    <row r="97" spans="1:10" x14ac:dyDescent="0.2">
      <c r="A97" s="50">
        <f t="shared" si="2"/>
        <v>42831</v>
      </c>
      <c r="B97" s="51">
        <v>8533</v>
      </c>
      <c r="C97" s="52">
        <v>3788.9</v>
      </c>
      <c r="D97" s="52">
        <v>4450.7</v>
      </c>
      <c r="E97" s="52">
        <v>2229.4</v>
      </c>
      <c r="F97" s="52">
        <v>3859.1</v>
      </c>
      <c r="G97" s="52">
        <v>5827.8</v>
      </c>
      <c r="H97" s="52">
        <v>2706.7000000000007</v>
      </c>
      <c r="I97" s="53">
        <v>25982.199999999997</v>
      </c>
      <c r="J97" s="49"/>
    </row>
    <row r="98" spans="1:10" x14ac:dyDescent="0.2">
      <c r="A98" s="50">
        <f t="shared" si="2"/>
        <v>42832</v>
      </c>
      <c r="B98" s="51">
        <v>8557.2000000000007</v>
      </c>
      <c r="C98" s="52">
        <v>3866.8</v>
      </c>
      <c r="D98" s="52">
        <v>4236.8</v>
      </c>
      <c r="E98" s="52">
        <v>3200.1</v>
      </c>
      <c r="F98" s="52">
        <v>5007.6000000000004</v>
      </c>
      <c r="G98" s="52">
        <v>5658.7</v>
      </c>
      <c r="H98" s="52">
        <v>2511.0999999999995</v>
      </c>
      <c r="I98" s="53">
        <v>28016.100000000002</v>
      </c>
      <c r="J98" s="49"/>
    </row>
    <row r="99" spans="1:10" x14ac:dyDescent="0.2">
      <c r="A99" s="50">
        <f t="shared" si="2"/>
        <v>42833</v>
      </c>
      <c r="B99" s="51">
        <v>8264.9699999999993</v>
      </c>
      <c r="C99" s="52">
        <v>3825.51</v>
      </c>
      <c r="D99" s="52">
        <v>3890.61</v>
      </c>
      <c r="E99" s="52">
        <v>4152.57</v>
      </c>
      <c r="F99" s="52">
        <v>4944.58</v>
      </c>
      <c r="G99" s="52">
        <v>3563.64</v>
      </c>
      <c r="H99" s="52">
        <v>1920.1399999999999</v>
      </c>
      <c r="I99" s="53">
        <v>26721.739999999998</v>
      </c>
      <c r="J99" s="49"/>
    </row>
    <row r="100" spans="1:10" x14ac:dyDescent="0.2">
      <c r="A100" s="50">
        <f t="shared" si="2"/>
        <v>42834</v>
      </c>
      <c r="B100" s="51">
        <v>8012</v>
      </c>
      <c r="C100" s="52">
        <v>3703.2</v>
      </c>
      <c r="D100" s="52">
        <v>3738.3</v>
      </c>
      <c r="E100" s="52">
        <v>3939.5</v>
      </c>
      <c r="F100" s="52">
        <v>5267.3</v>
      </c>
      <c r="G100" s="52">
        <v>3350.5</v>
      </c>
      <c r="H100" s="52">
        <v>1902.8</v>
      </c>
      <c r="I100" s="53">
        <v>26108</v>
      </c>
      <c r="J100" s="49"/>
    </row>
    <row r="101" spans="1:10" x14ac:dyDescent="0.2">
      <c r="A101" s="50">
        <f t="shared" si="2"/>
        <v>42835</v>
      </c>
      <c r="B101" s="51">
        <v>8156</v>
      </c>
      <c r="C101" s="52">
        <v>4062.2</v>
      </c>
      <c r="D101" s="52">
        <v>3865.6</v>
      </c>
      <c r="E101" s="52">
        <v>2877.8</v>
      </c>
      <c r="F101" s="52">
        <v>4878.7</v>
      </c>
      <c r="G101" s="52">
        <v>5309.3</v>
      </c>
      <c r="H101" s="52">
        <v>2644.6000000000004</v>
      </c>
      <c r="I101" s="53">
        <v>26505</v>
      </c>
      <c r="J101" s="49"/>
    </row>
    <row r="102" spans="1:10" x14ac:dyDescent="0.2">
      <c r="A102" s="50">
        <f t="shared" si="2"/>
        <v>42836</v>
      </c>
      <c r="B102" s="51">
        <v>8034.1</v>
      </c>
      <c r="C102" s="52">
        <v>3901.2</v>
      </c>
      <c r="D102" s="52">
        <v>3694.9</v>
      </c>
      <c r="E102" s="52">
        <v>3886.4</v>
      </c>
      <c r="F102" s="52">
        <v>5330.7</v>
      </c>
      <c r="G102" s="52">
        <v>5855</v>
      </c>
      <c r="H102" s="52">
        <v>2780.2999999999993</v>
      </c>
      <c r="I102" s="53">
        <v>27922</v>
      </c>
      <c r="J102" s="49"/>
    </row>
    <row r="103" spans="1:10" x14ac:dyDescent="0.2">
      <c r="A103" s="50">
        <f t="shared" si="2"/>
        <v>42837</v>
      </c>
      <c r="B103" s="51">
        <v>8024</v>
      </c>
      <c r="C103" s="52">
        <v>3650.47</v>
      </c>
      <c r="D103" s="52">
        <v>3820.17</v>
      </c>
      <c r="E103" s="52">
        <v>3418</v>
      </c>
      <c r="F103" s="52">
        <v>4170.95</v>
      </c>
      <c r="G103" s="52">
        <v>5529.16</v>
      </c>
      <c r="H103" s="52">
        <v>2608.4500000000003</v>
      </c>
      <c r="I103" s="53">
        <v>26004.3</v>
      </c>
      <c r="J103" s="49"/>
    </row>
    <row r="104" spans="1:10" x14ac:dyDescent="0.2">
      <c r="A104" s="50">
        <f t="shared" si="2"/>
        <v>42838</v>
      </c>
      <c r="B104" s="51">
        <v>7911.15</v>
      </c>
      <c r="C104" s="52">
        <v>3750.65</v>
      </c>
      <c r="D104" s="52">
        <v>3901.38</v>
      </c>
      <c r="E104" s="52">
        <v>2914.16</v>
      </c>
      <c r="F104" s="52">
        <v>4939.91</v>
      </c>
      <c r="G104" s="52">
        <v>5340.47</v>
      </c>
      <c r="H104" s="52">
        <v>2633.42</v>
      </c>
      <c r="I104" s="53">
        <v>26124.300000000003</v>
      </c>
      <c r="J104" s="49"/>
    </row>
    <row r="105" spans="1:10" x14ac:dyDescent="0.2">
      <c r="A105" s="50">
        <f t="shared" si="2"/>
        <v>42839</v>
      </c>
      <c r="B105" s="51">
        <v>6776.3</v>
      </c>
      <c r="C105" s="52">
        <v>3722.7</v>
      </c>
      <c r="D105" s="52">
        <v>3671.8</v>
      </c>
      <c r="E105" s="52">
        <v>3027.8</v>
      </c>
      <c r="F105" s="52">
        <v>4448.2</v>
      </c>
      <c r="G105" s="52">
        <v>4882</v>
      </c>
      <c r="H105" s="52">
        <v>2155.6000000000004</v>
      </c>
      <c r="I105" s="53">
        <v>24373.199999999997</v>
      </c>
      <c r="J105" s="49"/>
    </row>
    <row r="106" spans="1:10" x14ac:dyDescent="0.2">
      <c r="A106" s="50">
        <f t="shared" si="2"/>
        <v>42840</v>
      </c>
      <c r="B106" s="51">
        <v>6263.7</v>
      </c>
      <c r="C106" s="52">
        <v>3298.5</v>
      </c>
      <c r="D106" s="52">
        <v>3473.9</v>
      </c>
      <c r="E106" s="52">
        <v>2889</v>
      </c>
      <c r="F106" s="52">
        <v>5149.3</v>
      </c>
      <c r="G106" s="52">
        <v>3842.5</v>
      </c>
      <c r="H106" s="52">
        <v>2070.6</v>
      </c>
      <c r="I106" s="53">
        <v>22846.300000000003</v>
      </c>
      <c r="J106" s="49"/>
    </row>
    <row r="107" spans="1:10" x14ac:dyDescent="0.2">
      <c r="A107" s="50">
        <f t="shared" si="2"/>
        <v>42841</v>
      </c>
      <c r="B107" s="51">
        <v>2702.9</v>
      </c>
      <c r="C107" s="52">
        <v>769</v>
      </c>
      <c r="D107" s="52">
        <v>1428.8</v>
      </c>
      <c r="E107" s="52">
        <v>1959</v>
      </c>
      <c r="F107" s="52">
        <v>3052.6</v>
      </c>
      <c r="G107" s="52">
        <v>3378.5</v>
      </c>
      <c r="H107" s="52">
        <v>2050.8000000000002</v>
      </c>
      <c r="I107" s="53">
        <v>11240</v>
      </c>
      <c r="J107" s="49"/>
    </row>
    <row r="108" spans="1:10" x14ac:dyDescent="0.2">
      <c r="A108" s="50">
        <f t="shared" si="2"/>
        <v>42842</v>
      </c>
      <c r="B108" s="51">
        <v>5325.92</v>
      </c>
      <c r="C108" s="52">
        <v>3267.08</v>
      </c>
      <c r="D108" s="52">
        <v>2621.79</v>
      </c>
      <c r="E108" s="52">
        <v>2400.21</v>
      </c>
      <c r="F108" s="52">
        <v>3447.49</v>
      </c>
      <c r="G108" s="52">
        <v>5193.47</v>
      </c>
      <c r="H108" s="52">
        <v>2538.3499999999995</v>
      </c>
      <c r="I108" s="53">
        <v>19717.61</v>
      </c>
      <c r="J108" s="49"/>
    </row>
    <row r="109" spans="1:10" x14ac:dyDescent="0.2">
      <c r="A109" s="50">
        <f t="shared" si="2"/>
        <v>42843</v>
      </c>
      <c r="B109" s="51">
        <v>6608.8</v>
      </c>
      <c r="C109" s="52">
        <v>3545.4</v>
      </c>
      <c r="D109" s="52">
        <v>3683.1</v>
      </c>
      <c r="E109" s="52">
        <v>3334.6</v>
      </c>
      <c r="F109" s="52">
        <v>4267</v>
      </c>
      <c r="G109" s="52">
        <v>5210</v>
      </c>
      <c r="H109" s="52">
        <v>2446.6</v>
      </c>
      <c r="I109" s="53">
        <v>24202.300000000003</v>
      </c>
      <c r="J109" s="49"/>
    </row>
    <row r="110" spans="1:10" x14ac:dyDescent="0.2">
      <c r="A110" s="50">
        <f t="shared" si="2"/>
        <v>42844</v>
      </c>
      <c r="B110" s="51">
        <v>6377.1</v>
      </c>
      <c r="C110" s="52">
        <v>3616.6</v>
      </c>
      <c r="D110" s="52">
        <v>3726.9</v>
      </c>
      <c r="E110" s="52">
        <v>2952.8</v>
      </c>
      <c r="F110" s="52">
        <v>4776.3999999999996</v>
      </c>
      <c r="G110" s="52">
        <v>5418.9</v>
      </c>
      <c r="H110" s="52">
        <v>2764.1000000000004</v>
      </c>
      <c r="I110" s="53">
        <v>24104.600000000006</v>
      </c>
      <c r="J110" s="49"/>
    </row>
    <row r="111" spans="1:10" x14ac:dyDescent="0.2">
      <c r="A111" s="50">
        <f t="shared" si="2"/>
        <v>42845</v>
      </c>
      <c r="B111" s="51">
        <v>5959.84</v>
      </c>
      <c r="C111" s="52">
        <v>3401.02</v>
      </c>
      <c r="D111" s="52">
        <v>3542.12</v>
      </c>
      <c r="E111" s="52">
        <v>2208.58</v>
      </c>
      <c r="F111" s="52">
        <v>5187.76</v>
      </c>
      <c r="G111" s="52">
        <v>5462.57</v>
      </c>
      <c r="H111" s="52">
        <v>2680.01</v>
      </c>
      <c r="I111" s="53">
        <v>23081.879999999997</v>
      </c>
      <c r="J111" s="49"/>
    </row>
    <row r="112" spans="1:10" x14ac:dyDescent="0.2">
      <c r="A112" s="50">
        <f t="shared" si="2"/>
        <v>42846</v>
      </c>
      <c r="B112" s="51">
        <v>5021.1099999999997</v>
      </c>
      <c r="C112" s="52">
        <v>3202.26</v>
      </c>
      <c r="D112" s="52">
        <v>3531.64</v>
      </c>
      <c r="E112" s="52">
        <v>702.83</v>
      </c>
      <c r="F112" s="52">
        <v>4316.12</v>
      </c>
      <c r="G112" s="52">
        <v>4985.0600000000004</v>
      </c>
      <c r="H112" s="52">
        <v>2359.02</v>
      </c>
      <c r="I112" s="53">
        <v>19400</v>
      </c>
      <c r="J112" s="49"/>
    </row>
    <row r="113" spans="1:10" x14ac:dyDescent="0.2">
      <c r="A113" s="50">
        <f t="shared" si="2"/>
        <v>42847</v>
      </c>
      <c r="B113" s="51">
        <v>2922.1</v>
      </c>
      <c r="C113" s="52">
        <v>1545.3</v>
      </c>
      <c r="D113" s="52">
        <v>2020.6</v>
      </c>
      <c r="E113" s="52">
        <v>684.8</v>
      </c>
      <c r="F113" s="52">
        <v>4060.2</v>
      </c>
      <c r="G113" s="52">
        <v>3249</v>
      </c>
      <c r="H113" s="52">
        <v>1672.9</v>
      </c>
      <c r="I113" s="53">
        <v>12809.1</v>
      </c>
      <c r="J113" s="49"/>
    </row>
    <row r="114" spans="1:10" x14ac:dyDescent="0.2">
      <c r="A114" s="50">
        <f t="shared" si="2"/>
        <v>42848</v>
      </c>
      <c r="B114" s="51">
        <v>1603.9</v>
      </c>
      <c r="C114" s="52">
        <v>634.1</v>
      </c>
      <c r="D114" s="52">
        <v>811.4</v>
      </c>
      <c r="E114" s="52">
        <v>40.799999999999997</v>
      </c>
      <c r="F114" s="52">
        <v>163.30000000000001</v>
      </c>
      <c r="G114" s="52">
        <v>3248.8</v>
      </c>
      <c r="H114" s="52">
        <v>1977.9</v>
      </c>
      <c r="I114" s="53">
        <v>4524.4000000000015</v>
      </c>
      <c r="J114" s="49"/>
    </row>
    <row r="115" spans="1:10" x14ac:dyDescent="0.2">
      <c r="A115" s="50">
        <f t="shared" si="2"/>
        <v>42849</v>
      </c>
      <c r="B115" s="51">
        <v>5492.31</v>
      </c>
      <c r="C115" s="52">
        <v>3002.49</v>
      </c>
      <c r="D115" s="52">
        <v>2674.72</v>
      </c>
      <c r="E115" s="52">
        <v>2120.21</v>
      </c>
      <c r="F115" s="52">
        <v>3427.98</v>
      </c>
      <c r="G115" s="52">
        <v>5266.43</v>
      </c>
      <c r="H115" s="52">
        <v>2846.6499999999996</v>
      </c>
      <c r="I115" s="53">
        <v>19137.489999999998</v>
      </c>
      <c r="J115" s="49"/>
    </row>
    <row r="116" spans="1:10" x14ac:dyDescent="0.2">
      <c r="A116" s="50">
        <f t="shared" si="2"/>
        <v>42850</v>
      </c>
      <c r="B116" s="51">
        <v>6497.98</v>
      </c>
      <c r="C116" s="52">
        <v>3470.94</v>
      </c>
      <c r="D116" s="52">
        <v>3551.91</v>
      </c>
      <c r="E116" s="52">
        <v>2144.98</v>
      </c>
      <c r="F116" s="52">
        <v>4625.3100000000004</v>
      </c>
      <c r="G116" s="52">
        <v>4989.26</v>
      </c>
      <c r="H116" s="52">
        <v>2364.66</v>
      </c>
      <c r="I116" s="53">
        <v>22915.719999999998</v>
      </c>
      <c r="J116" s="49"/>
    </row>
    <row r="117" spans="1:10" x14ac:dyDescent="0.2">
      <c r="A117" s="50">
        <f t="shared" si="2"/>
        <v>42851</v>
      </c>
      <c r="B117" s="51">
        <v>6497.9</v>
      </c>
      <c r="C117" s="52">
        <v>3551.4</v>
      </c>
      <c r="D117" s="52">
        <v>3733.6</v>
      </c>
      <c r="E117" s="52">
        <v>2379.6999999999998</v>
      </c>
      <c r="F117" s="52">
        <v>5138.6000000000004</v>
      </c>
      <c r="G117" s="52">
        <v>5138.6000000000004</v>
      </c>
      <c r="H117" s="52">
        <v>2270.6000000000004</v>
      </c>
      <c r="I117" s="53">
        <v>24169.199999999997</v>
      </c>
      <c r="J117" s="49"/>
    </row>
    <row r="118" spans="1:10" x14ac:dyDescent="0.2">
      <c r="A118" s="50">
        <f t="shared" si="2"/>
        <v>42852</v>
      </c>
      <c r="B118" s="51">
        <v>6434</v>
      </c>
      <c r="C118" s="52">
        <v>3593</v>
      </c>
      <c r="D118" s="52">
        <v>3711</v>
      </c>
      <c r="E118" s="52">
        <v>2082.6999999999998</v>
      </c>
      <c r="F118" s="52">
        <v>4211</v>
      </c>
      <c r="G118" s="52">
        <v>5311</v>
      </c>
      <c r="H118" s="52">
        <v>2449.6</v>
      </c>
      <c r="I118" s="53">
        <v>22893.100000000002</v>
      </c>
      <c r="J118" s="49"/>
    </row>
    <row r="119" spans="1:10" x14ac:dyDescent="0.2">
      <c r="A119" s="50">
        <f t="shared" si="2"/>
        <v>42853</v>
      </c>
      <c r="B119" s="51">
        <v>6295.98</v>
      </c>
      <c r="C119" s="52">
        <v>3589.79</v>
      </c>
      <c r="D119" s="52">
        <v>3698.32</v>
      </c>
      <c r="E119" s="52">
        <v>1999.49</v>
      </c>
      <c r="F119" s="52">
        <v>3830.49</v>
      </c>
      <c r="G119" s="52">
        <v>5250.5</v>
      </c>
      <c r="H119" s="52">
        <v>2372.91</v>
      </c>
      <c r="I119" s="53">
        <v>22291.66</v>
      </c>
      <c r="J119" s="49"/>
    </row>
    <row r="120" spans="1:10" x14ac:dyDescent="0.2">
      <c r="A120" s="50">
        <f t="shared" si="2"/>
        <v>42854</v>
      </c>
      <c r="B120" s="51">
        <v>5535.23</v>
      </c>
      <c r="C120" s="52">
        <v>3260.3</v>
      </c>
      <c r="D120" s="52">
        <v>3424.27</v>
      </c>
      <c r="E120" s="52">
        <v>1774.83</v>
      </c>
      <c r="F120" s="52">
        <v>3967.81</v>
      </c>
      <c r="G120" s="52">
        <v>3537.01</v>
      </c>
      <c r="H120" s="52">
        <v>1836.64</v>
      </c>
      <c r="I120" s="53">
        <v>19662.809999999998</v>
      </c>
      <c r="J120" s="49"/>
    </row>
    <row r="121" spans="1:10" x14ac:dyDescent="0.2">
      <c r="A121" s="50">
        <f t="shared" si="2"/>
        <v>42855</v>
      </c>
      <c r="B121" s="51">
        <v>2130.1999999999998</v>
      </c>
      <c r="C121" s="52">
        <v>849</v>
      </c>
      <c r="D121" s="52">
        <v>1178.0999999999999</v>
      </c>
      <c r="E121" s="52">
        <v>766.8</v>
      </c>
      <c r="F121" s="52">
        <v>1209.9000000000001</v>
      </c>
      <c r="G121" s="52">
        <v>3091</v>
      </c>
      <c r="H121" s="52">
        <v>1752.3999999999999</v>
      </c>
      <c r="I121" s="53">
        <v>7472.6</v>
      </c>
      <c r="J121" s="49"/>
    </row>
    <row r="122" spans="1:10" x14ac:dyDescent="0.2">
      <c r="A122" s="50">
        <f t="shared" si="2"/>
        <v>42856</v>
      </c>
      <c r="B122" s="51">
        <v>1991.5</v>
      </c>
      <c r="C122" s="52">
        <v>572.29999999999995</v>
      </c>
      <c r="D122" s="52">
        <v>573.4</v>
      </c>
      <c r="E122" s="52">
        <v>870.4</v>
      </c>
      <c r="F122" s="52">
        <v>1207.7</v>
      </c>
      <c r="G122" s="52">
        <v>3107.8</v>
      </c>
      <c r="H122" s="52">
        <v>1636.5999999999997</v>
      </c>
      <c r="I122" s="53">
        <v>6686.5000000000009</v>
      </c>
      <c r="J122" s="49"/>
    </row>
    <row r="123" spans="1:10" x14ac:dyDescent="0.2">
      <c r="A123" s="50">
        <f t="shared" si="2"/>
        <v>42857</v>
      </c>
      <c r="B123" s="51">
        <v>5779.38</v>
      </c>
      <c r="C123" s="52">
        <v>3334.41</v>
      </c>
      <c r="D123" s="52">
        <v>2511.7800000000002</v>
      </c>
      <c r="E123" s="52">
        <v>2843.09</v>
      </c>
      <c r="F123" s="52">
        <v>3523.2</v>
      </c>
      <c r="G123" s="52">
        <v>5125.67</v>
      </c>
      <c r="H123" s="52">
        <v>2332.46</v>
      </c>
      <c r="I123" s="53">
        <v>20785.07</v>
      </c>
      <c r="J123" s="49"/>
    </row>
    <row r="124" spans="1:10" x14ac:dyDescent="0.2">
      <c r="A124" s="50">
        <f t="shared" si="2"/>
        <v>42858</v>
      </c>
      <c r="B124" s="51">
        <v>6868.82</v>
      </c>
      <c r="C124" s="52">
        <v>4043.89</v>
      </c>
      <c r="D124" s="52">
        <v>3781.48</v>
      </c>
      <c r="E124" s="52">
        <v>2451.23</v>
      </c>
      <c r="F124" s="52">
        <v>5708.82</v>
      </c>
      <c r="G124" s="52">
        <v>5296.06</v>
      </c>
      <c r="H124" s="52">
        <v>2165.33</v>
      </c>
      <c r="I124" s="53">
        <v>25984.97</v>
      </c>
      <c r="J124" s="49"/>
    </row>
    <row r="125" spans="1:10" x14ac:dyDescent="0.2">
      <c r="A125" s="50">
        <f t="shared" si="2"/>
        <v>42859</v>
      </c>
      <c r="B125" s="51">
        <v>6505.5</v>
      </c>
      <c r="C125" s="52">
        <v>3841.2</v>
      </c>
      <c r="D125" s="52">
        <v>3781.3</v>
      </c>
      <c r="E125" s="52">
        <v>3097.4</v>
      </c>
      <c r="F125" s="52">
        <v>5261.9</v>
      </c>
      <c r="G125" s="52">
        <v>5044.8</v>
      </c>
      <c r="H125" s="52">
        <v>2151.8999999999996</v>
      </c>
      <c r="I125" s="53">
        <v>25380.200000000004</v>
      </c>
      <c r="J125" s="49"/>
    </row>
    <row r="126" spans="1:10" x14ac:dyDescent="0.2">
      <c r="A126" s="50">
        <f t="shared" si="2"/>
        <v>42860</v>
      </c>
      <c r="B126" s="51">
        <v>5760.89</v>
      </c>
      <c r="C126" s="52">
        <v>3556.47</v>
      </c>
      <c r="D126" s="52">
        <v>3694.81</v>
      </c>
      <c r="E126" s="52">
        <v>1995</v>
      </c>
      <c r="F126" s="52">
        <v>3303.18</v>
      </c>
      <c r="G126" s="52">
        <v>5893.75</v>
      </c>
      <c r="H126" s="52">
        <v>2601.5999999999995</v>
      </c>
      <c r="I126" s="53">
        <v>21602.5</v>
      </c>
      <c r="J126" s="49"/>
    </row>
    <row r="127" spans="1:10" x14ac:dyDescent="0.2">
      <c r="A127" s="50">
        <f t="shared" si="2"/>
        <v>42861</v>
      </c>
      <c r="B127" s="51">
        <v>4354.43</v>
      </c>
      <c r="C127" s="52">
        <v>2481.11</v>
      </c>
      <c r="D127" s="52">
        <v>3082.05</v>
      </c>
      <c r="E127" s="52">
        <v>2214.2199999999998</v>
      </c>
      <c r="F127" s="52">
        <v>3069.92</v>
      </c>
      <c r="G127" s="52">
        <v>4077.73</v>
      </c>
      <c r="H127" s="52">
        <v>2099.3500000000004</v>
      </c>
      <c r="I127" s="53">
        <v>17180.11</v>
      </c>
      <c r="J127" s="49"/>
    </row>
    <row r="128" spans="1:10" x14ac:dyDescent="0.2">
      <c r="A128" s="50">
        <f t="shared" si="2"/>
        <v>42862</v>
      </c>
      <c r="B128" s="51">
        <v>1317.2</v>
      </c>
      <c r="C128" s="52">
        <v>1216.0999999999999</v>
      </c>
      <c r="D128" s="52">
        <v>711.9</v>
      </c>
      <c r="E128" s="52">
        <v>43.1</v>
      </c>
      <c r="F128" s="52">
        <v>648.9</v>
      </c>
      <c r="G128" s="52">
        <v>3407</v>
      </c>
      <c r="H128" s="52">
        <v>1867.9999999999998</v>
      </c>
      <c r="I128" s="53">
        <v>5476.2000000000007</v>
      </c>
      <c r="J128" s="49"/>
    </row>
    <row r="129" spans="1:10" x14ac:dyDescent="0.2">
      <c r="A129" s="50">
        <f t="shared" si="2"/>
        <v>42863</v>
      </c>
      <c r="B129" s="51">
        <v>1277.2</v>
      </c>
      <c r="C129" s="52">
        <v>1291.0999999999999</v>
      </c>
      <c r="D129" s="52">
        <v>320.2</v>
      </c>
      <c r="E129" s="52">
        <v>1427.6</v>
      </c>
      <c r="F129" s="52">
        <v>1103</v>
      </c>
      <c r="G129" s="52">
        <v>3272.7</v>
      </c>
      <c r="H129" s="52">
        <v>1806.3</v>
      </c>
      <c r="I129" s="53">
        <v>6885.4999999999991</v>
      </c>
      <c r="J129" s="49"/>
    </row>
    <row r="130" spans="1:10" x14ac:dyDescent="0.2">
      <c r="A130" s="50">
        <f t="shared" si="2"/>
        <v>42864</v>
      </c>
      <c r="B130" s="51">
        <v>1251.8</v>
      </c>
      <c r="C130" s="52">
        <v>1259.8</v>
      </c>
      <c r="D130" s="52">
        <v>281.2</v>
      </c>
      <c r="E130" s="52">
        <v>400.8</v>
      </c>
      <c r="F130" s="52">
        <v>1853</v>
      </c>
      <c r="G130" s="52">
        <v>3077.9</v>
      </c>
      <c r="H130" s="52">
        <v>1615.7</v>
      </c>
      <c r="I130" s="53">
        <v>6508.8</v>
      </c>
      <c r="J130" s="49"/>
    </row>
    <row r="131" spans="1:10" x14ac:dyDescent="0.2">
      <c r="A131" s="50">
        <f t="shared" si="2"/>
        <v>42865</v>
      </c>
      <c r="B131" s="51">
        <v>5038</v>
      </c>
      <c r="C131" s="52">
        <v>4069.1</v>
      </c>
      <c r="D131" s="52">
        <v>1971.8</v>
      </c>
      <c r="E131" s="52">
        <v>2594.1</v>
      </c>
      <c r="F131" s="52">
        <v>3929.5</v>
      </c>
      <c r="G131" s="52">
        <v>5347.9</v>
      </c>
      <c r="H131" s="52">
        <v>2447.1999999999998</v>
      </c>
      <c r="I131" s="53">
        <v>20503.2</v>
      </c>
      <c r="J131" s="49"/>
    </row>
    <row r="132" spans="1:10" x14ac:dyDescent="0.2">
      <c r="A132" s="50">
        <f t="shared" si="2"/>
        <v>42866</v>
      </c>
      <c r="B132" s="51">
        <v>6333.91</v>
      </c>
      <c r="C132" s="52">
        <v>4349.59</v>
      </c>
      <c r="D132" s="52">
        <v>3103.94</v>
      </c>
      <c r="E132" s="52">
        <v>1818.67</v>
      </c>
      <c r="F132" s="52">
        <v>3882.41</v>
      </c>
      <c r="G132" s="52">
        <v>5497.31</v>
      </c>
      <c r="H132" s="52">
        <v>2497.0100000000002</v>
      </c>
      <c r="I132" s="53">
        <v>22488.82</v>
      </c>
      <c r="J132" s="49"/>
    </row>
    <row r="133" spans="1:10" x14ac:dyDescent="0.2">
      <c r="A133" s="50">
        <f t="shared" si="2"/>
        <v>42867</v>
      </c>
      <c r="B133" s="51">
        <v>6454.92</v>
      </c>
      <c r="C133" s="52">
        <v>4204.6099999999997</v>
      </c>
      <c r="D133" s="52">
        <v>3076.92</v>
      </c>
      <c r="E133" s="52">
        <v>1963.9</v>
      </c>
      <c r="F133" s="52">
        <v>4043.35</v>
      </c>
      <c r="G133" s="52">
        <v>5619.12</v>
      </c>
      <c r="H133" s="52">
        <v>2468.6699999999996</v>
      </c>
      <c r="I133" s="53">
        <v>22894.149999999998</v>
      </c>
      <c r="J133" s="49"/>
    </row>
    <row r="134" spans="1:10" x14ac:dyDescent="0.2">
      <c r="A134" s="50">
        <f t="shared" si="2"/>
        <v>42868</v>
      </c>
      <c r="B134" s="51">
        <v>3243.5</v>
      </c>
      <c r="C134" s="52">
        <v>1836.5</v>
      </c>
      <c r="D134" s="52">
        <v>1974</v>
      </c>
      <c r="E134" s="52">
        <v>465</v>
      </c>
      <c r="F134" s="52">
        <v>1679</v>
      </c>
      <c r="G134" s="52">
        <v>3639</v>
      </c>
      <c r="H134" s="52">
        <v>1951.9</v>
      </c>
      <c r="I134" s="53">
        <v>10885.1</v>
      </c>
      <c r="J134" s="49"/>
    </row>
    <row r="135" spans="1:10" x14ac:dyDescent="0.2">
      <c r="A135" s="50">
        <f t="shared" si="2"/>
        <v>42869</v>
      </c>
      <c r="B135" s="51">
        <v>1852</v>
      </c>
      <c r="C135" s="52">
        <v>714.6</v>
      </c>
      <c r="D135" s="52">
        <v>598.70000000000005</v>
      </c>
      <c r="E135" s="52">
        <v>74</v>
      </c>
      <c r="F135" s="52">
        <v>577</v>
      </c>
      <c r="G135" s="52">
        <v>3475.5</v>
      </c>
      <c r="H135" s="52">
        <v>2045.5000000000005</v>
      </c>
      <c r="I135" s="53">
        <v>5246.2999999999993</v>
      </c>
      <c r="J135" s="49"/>
    </row>
    <row r="136" spans="1:10" x14ac:dyDescent="0.2">
      <c r="A136" s="50">
        <f t="shared" si="2"/>
        <v>42870</v>
      </c>
      <c r="B136" s="51">
        <v>8661.2000000000007</v>
      </c>
      <c r="C136" s="52">
        <v>3757.9</v>
      </c>
      <c r="D136" s="52">
        <v>2294.8000000000002</v>
      </c>
      <c r="E136" s="52">
        <v>3014</v>
      </c>
      <c r="F136" s="52">
        <v>4587.3</v>
      </c>
      <c r="G136" s="52">
        <v>5533</v>
      </c>
      <c r="H136" s="52">
        <v>2347.2000000000003</v>
      </c>
      <c r="I136" s="53">
        <v>25501</v>
      </c>
      <c r="J136" s="49"/>
    </row>
    <row r="137" spans="1:10" x14ac:dyDescent="0.2">
      <c r="A137" s="50">
        <f t="shared" si="2"/>
        <v>42871</v>
      </c>
      <c r="B137" s="51">
        <v>9506.4699999999993</v>
      </c>
      <c r="C137" s="52">
        <v>4595.2299999999996</v>
      </c>
      <c r="D137" s="52">
        <v>3318.87</v>
      </c>
      <c r="E137" s="52">
        <v>2909.59</v>
      </c>
      <c r="F137" s="52">
        <v>4636.55</v>
      </c>
      <c r="G137" s="52">
        <v>5918.87</v>
      </c>
      <c r="H137" s="52">
        <v>2220.75</v>
      </c>
      <c r="I137" s="53">
        <v>28664.829999999998</v>
      </c>
      <c r="J137" s="49"/>
    </row>
    <row r="138" spans="1:10" x14ac:dyDescent="0.2">
      <c r="A138" s="50">
        <f t="shared" si="2"/>
        <v>42872</v>
      </c>
      <c r="B138" s="51">
        <v>8940.2099999999991</v>
      </c>
      <c r="C138" s="52">
        <v>4503.32</v>
      </c>
      <c r="D138" s="52">
        <v>3211.65</v>
      </c>
      <c r="E138" s="52">
        <v>2399.64</v>
      </c>
      <c r="F138" s="52">
        <v>5033.28</v>
      </c>
      <c r="G138" s="52">
        <v>6016.94</v>
      </c>
      <c r="H138" s="52">
        <v>2663.57</v>
      </c>
      <c r="I138" s="53">
        <v>27441.469999999998</v>
      </c>
      <c r="J138" s="49"/>
    </row>
    <row r="139" spans="1:10" x14ac:dyDescent="0.2">
      <c r="A139" s="50">
        <f t="shared" si="2"/>
        <v>42873</v>
      </c>
      <c r="B139" s="51">
        <v>8619.6</v>
      </c>
      <c r="C139" s="52">
        <v>4665</v>
      </c>
      <c r="D139" s="52">
        <v>3391.6</v>
      </c>
      <c r="E139" s="52">
        <v>1613.3</v>
      </c>
      <c r="F139" s="52">
        <v>4638.2</v>
      </c>
      <c r="G139" s="52">
        <v>5852</v>
      </c>
      <c r="H139" s="52">
        <v>2605.1000000000004</v>
      </c>
      <c r="I139" s="53">
        <v>26174.6</v>
      </c>
      <c r="J139" s="49"/>
    </row>
    <row r="140" spans="1:10" x14ac:dyDescent="0.2">
      <c r="A140" s="50">
        <f t="shared" si="2"/>
        <v>42874</v>
      </c>
      <c r="B140" s="51">
        <v>9969.01</v>
      </c>
      <c r="C140" s="52">
        <v>4523.3900000000003</v>
      </c>
      <c r="D140" s="52">
        <v>3238.6</v>
      </c>
      <c r="E140" s="52">
        <v>2281.59</v>
      </c>
      <c r="F140" s="52">
        <v>5227</v>
      </c>
      <c r="G140" s="52">
        <v>5271</v>
      </c>
      <c r="H140" s="52">
        <v>2399.7200000000003</v>
      </c>
      <c r="I140" s="53">
        <v>28110.87</v>
      </c>
      <c r="J140" s="49"/>
    </row>
    <row r="141" spans="1:10" x14ac:dyDescent="0.2">
      <c r="A141" s="50">
        <f t="shared" si="2"/>
        <v>42875</v>
      </c>
      <c r="B141" s="51">
        <v>6502</v>
      </c>
      <c r="C141" s="52">
        <v>3526</v>
      </c>
      <c r="D141" s="52">
        <v>2450.4</v>
      </c>
      <c r="E141" s="52">
        <v>957</v>
      </c>
      <c r="F141" s="52">
        <v>3923.7</v>
      </c>
      <c r="G141" s="52">
        <v>3667</v>
      </c>
      <c r="H141" s="52">
        <v>1835.7</v>
      </c>
      <c r="I141" s="53">
        <v>19190.399999999998</v>
      </c>
      <c r="J141" s="49"/>
    </row>
    <row r="142" spans="1:10" x14ac:dyDescent="0.2">
      <c r="A142" s="50">
        <f t="shared" si="2"/>
        <v>42876</v>
      </c>
      <c r="B142" s="51">
        <v>1625.7</v>
      </c>
      <c r="C142" s="52">
        <v>833</v>
      </c>
      <c r="D142" s="52">
        <v>392</v>
      </c>
      <c r="E142" s="52">
        <v>71</v>
      </c>
      <c r="F142" s="52">
        <v>1691</v>
      </c>
      <c r="G142" s="52">
        <v>3417</v>
      </c>
      <c r="H142" s="52">
        <v>1971.7</v>
      </c>
      <c r="I142" s="53">
        <v>6058</v>
      </c>
      <c r="J142" s="49"/>
    </row>
    <row r="143" spans="1:10" x14ac:dyDescent="0.2">
      <c r="A143" s="50">
        <f t="shared" si="2"/>
        <v>42877</v>
      </c>
      <c r="B143" s="51">
        <v>7082.83</v>
      </c>
      <c r="C143" s="52">
        <v>4453.33</v>
      </c>
      <c r="D143" s="52">
        <v>2122.08</v>
      </c>
      <c r="E143" s="52">
        <v>3148.63</v>
      </c>
      <c r="F143" s="52">
        <v>4447.3100000000004</v>
      </c>
      <c r="G143" s="52">
        <v>5493.01</v>
      </c>
      <c r="H143" s="52">
        <v>2484.3000000000002</v>
      </c>
      <c r="I143" s="53">
        <v>24262.890000000003</v>
      </c>
      <c r="J143" s="49"/>
    </row>
    <row r="144" spans="1:10" x14ac:dyDescent="0.2">
      <c r="A144" s="50">
        <f t="shared" si="2"/>
        <v>42878</v>
      </c>
      <c r="B144" s="51">
        <v>8547.1</v>
      </c>
      <c r="C144" s="52">
        <v>5378.6</v>
      </c>
      <c r="D144" s="52">
        <v>3411.6</v>
      </c>
      <c r="E144" s="52">
        <v>2643.4</v>
      </c>
      <c r="F144" s="52">
        <v>4800.3999999999996</v>
      </c>
      <c r="G144" s="52">
        <v>6094.8</v>
      </c>
      <c r="H144" s="52">
        <v>2575.4999999999995</v>
      </c>
      <c r="I144" s="53">
        <v>28300.399999999998</v>
      </c>
      <c r="J144" s="49"/>
    </row>
    <row r="145" spans="1:10" x14ac:dyDescent="0.2">
      <c r="A145" s="50">
        <f t="shared" si="2"/>
        <v>42879</v>
      </c>
      <c r="B145" s="51">
        <v>8883.01</v>
      </c>
      <c r="C145" s="52">
        <v>4883.1000000000004</v>
      </c>
      <c r="D145" s="52">
        <v>3297.56</v>
      </c>
      <c r="E145" s="52">
        <v>2954.47</v>
      </c>
      <c r="F145" s="52">
        <v>5486.11</v>
      </c>
      <c r="G145" s="52">
        <v>5868.7</v>
      </c>
      <c r="H145" s="52">
        <v>2372</v>
      </c>
      <c r="I145" s="53">
        <v>29000.950000000004</v>
      </c>
      <c r="J145" s="49"/>
    </row>
    <row r="146" spans="1:10" x14ac:dyDescent="0.2">
      <c r="A146" s="50">
        <f t="shared" si="2"/>
        <v>42880</v>
      </c>
      <c r="B146" s="51">
        <v>7112.97</v>
      </c>
      <c r="C146" s="52">
        <v>6003</v>
      </c>
      <c r="D146" s="52">
        <v>2229.4699999999998</v>
      </c>
      <c r="E146" s="52">
        <v>2768.04</v>
      </c>
      <c r="F146" s="52">
        <v>4565.17</v>
      </c>
      <c r="G146" s="52">
        <v>5642.62</v>
      </c>
      <c r="H146" s="52">
        <v>2385.25</v>
      </c>
      <c r="I146" s="53">
        <v>25936.02</v>
      </c>
      <c r="J146" s="49"/>
    </row>
    <row r="147" spans="1:10" x14ac:dyDescent="0.2">
      <c r="A147" s="50">
        <f t="shared" si="2"/>
        <v>42881</v>
      </c>
      <c r="B147" s="51">
        <v>6748.3</v>
      </c>
      <c r="C147" s="52">
        <v>6824.6</v>
      </c>
      <c r="D147" s="52">
        <v>3077</v>
      </c>
      <c r="E147" s="52">
        <v>2528.8000000000002</v>
      </c>
      <c r="F147" s="52">
        <v>4812.3</v>
      </c>
      <c r="G147" s="52">
        <v>5623.2</v>
      </c>
      <c r="H147" s="52">
        <v>2396.0999999999995</v>
      </c>
      <c r="I147" s="53">
        <v>27218.100000000002</v>
      </c>
      <c r="J147" s="49"/>
    </row>
    <row r="148" spans="1:10" x14ac:dyDescent="0.2">
      <c r="A148" s="50">
        <f t="shared" si="2"/>
        <v>42882</v>
      </c>
      <c r="B148" s="51">
        <v>5166.6000000000004</v>
      </c>
      <c r="C148" s="52">
        <v>5024.3999999999996</v>
      </c>
      <c r="D148" s="52">
        <v>2397</v>
      </c>
      <c r="E148" s="52">
        <v>2900.4</v>
      </c>
      <c r="F148" s="52">
        <v>5534.2</v>
      </c>
      <c r="G148" s="52">
        <v>3657.9</v>
      </c>
      <c r="H148" s="52">
        <v>1691.6000000000004</v>
      </c>
      <c r="I148" s="53">
        <v>22988.9</v>
      </c>
      <c r="J148" s="49"/>
    </row>
    <row r="149" spans="1:10" x14ac:dyDescent="0.2">
      <c r="A149" s="50">
        <f t="shared" si="2"/>
        <v>42883</v>
      </c>
      <c r="B149" s="51">
        <v>1961.3</v>
      </c>
      <c r="C149" s="52">
        <v>784.2</v>
      </c>
      <c r="D149" s="52">
        <v>630.70000000000005</v>
      </c>
      <c r="E149" s="52">
        <v>1343.4</v>
      </c>
      <c r="F149" s="52">
        <v>1362</v>
      </c>
      <c r="G149" s="52">
        <v>3067.8</v>
      </c>
      <c r="H149" s="52">
        <v>1594.9</v>
      </c>
      <c r="I149" s="53">
        <v>7554.5000000000018</v>
      </c>
      <c r="J149" s="49"/>
    </row>
    <row r="150" spans="1:10" x14ac:dyDescent="0.2">
      <c r="A150" s="50">
        <f t="shared" si="2"/>
        <v>42884</v>
      </c>
      <c r="B150" s="51">
        <v>6163.78</v>
      </c>
      <c r="C150" s="52">
        <v>4527.16</v>
      </c>
      <c r="D150" s="52">
        <v>2526.77</v>
      </c>
      <c r="E150" s="52">
        <v>1998.55</v>
      </c>
      <c r="F150" s="52">
        <v>3588.54</v>
      </c>
      <c r="G150" s="52">
        <v>5534.0744999999997</v>
      </c>
      <c r="H150" s="52">
        <v>2620.0599999999995</v>
      </c>
      <c r="I150" s="53">
        <v>21718.8145</v>
      </c>
      <c r="J150" s="49"/>
    </row>
    <row r="151" spans="1:10" x14ac:dyDescent="0.2">
      <c r="A151" s="50">
        <f t="shared" si="2"/>
        <v>42885</v>
      </c>
      <c r="B151" s="51">
        <v>7519.94</v>
      </c>
      <c r="C151" s="52">
        <v>5269.79</v>
      </c>
      <c r="D151" s="52">
        <v>3638.21</v>
      </c>
      <c r="E151" s="52">
        <v>2548.4</v>
      </c>
      <c r="F151" s="52">
        <v>3817.18</v>
      </c>
      <c r="G151" s="52">
        <v>5812.96</v>
      </c>
      <c r="H151" s="52">
        <v>2410.34</v>
      </c>
      <c r="I151" s="53">
        <v>26196.14</v>
      </c>
      <c r="J151" s="49"/>
    </row>
    <row r="152" spans="1:10" x14ac:dyDescent="0.2">
      <c r="A152" s="50">
        <f t="shared" si="2"/>
        <v>42886</v>
      </c>
      <c r="B152" s="51">
        <v>7284.5</v>
      </c>
      <c r="C152" s="52">
        <v>5332.8</v>
      </c>
      <c r="D152" s="52">
        <v>3703.1</v>
      </c>
      <c r="E152" s="52">
        <v>2693.9</v>
      </c>
      <c r="F152" s="52">
        <v>4968.2</v>
      </c>
      <c r="G152" s="52">
        <v>5262</v>
      </c>
      <c r="H152" s="52">
        <v>2158.1000000000004</v>
      </c>
      <c r="I152" s="53">
        <v>27086.400000000001</v>
      </c>
      <c r="J152" s="49"/>
    </row>
    <row r="153" spans="1:10" x14ac:dyDescent="0.2">
      <c r="A153" s="50">
        <f t="shared" si="2"/>
        <v>42887</v>
      </c>
      <c r="B153" s="51">
        <v>6769.43</v>
      </c>
      <c r="C153" s="52">
        <v>4675.62</v>
      </c>
      <c r="D153" s="52">
        <v>3473.54</v>
      </c>
      <c r="E153" s="52">
        <v>3136.52</v>
      </c>
      <c r="F153" s="52">
        <v>4002.41</v>
      </c>
      <c r="G153" s="52">
        <v>5318.99</v>
      </c>
      <c r="H153" s="52">
        <v>2147.84</v>
      </c>
      <c r="I153" s="53">
        <v>25228.670000000002</v>
      </c>
      <c r="J153" s="49"/>
    </row>
    <row r="154" spans="1:10" x14ac:dyDescent="0.2">
      <c r="A154" s="50">
        <f t="shared" si="2"/>
        <v>42888</v>
      </c>
      <c r="B154" s="51">
        <v>6857.22</v>
      </c>
      <c r="C154" s="52">
        <v>5446.28</v>
      </c>
      <c r="D154" s="52">
        <v>3378.33</v>
      </c>
      <c r="E154" s="52">
        <v>2376.89</v>
      </c>
      <c r="F154" s="52">
        <v>3845.79</v>
      </c>
      <c r="G154" s="52">
        <v>5273.31</v>
      </c>
      <c r="H154" s="52">
        <v>2176.17</v>
      </c>
      <c r="I154" s="53">
        <v>25001.65</v>
      </c>
      <c r="J154" s="49"/>
    </row>
    <row r="155" spans="1:10" x14ac:dyDescent="0.2">
      <c r="A155" s="50">
        <f t="shared" si="2"/>
        <v>42889</v>
      </c>
      <c r="B155" s="51">
        <v>5516.3</v>
      </c>
      <c r="C155" s="52">
        <v>4045</v>
      </c>
      <c r="D155" s="52">
        <v>2598.5</v>
      </c>
      <c r="E155" s="52">
        <v>2667.6</v>
      </c>
      <c r="F155" s="52">
        <v>4541.8999999999996</v>
      </c>
      <c r="G155" s="52">
        <v>3188.5</v>
      </c>
      <c r="H155" s="52">
        <v>1478.6</v>
      </c>
      <c r="I155" s="53">
        <v>21079.200000000001</v>
      </c>
      <c r="J155" s="49"/>
    </row>
    <row r="156" spans="1:10" x14ac:dyDescent="0.2">
      <c r="A156" s="50">
        <f t="shared" si="2"/>
        <v>42890</v>
      </c>
      <c r="B156" s="51">
        <v>1716.1</v>
      </c>
      <c r="C156" s="52">
        <v>644.6</v>
      </c>
      <c r="D156" s="52">
        <v>544.6</v>
      </c>
      <c r="E156" s="52">
        <v>44.3</v>
      </c>
      <c r="F156" s="52">
        <v>142.80000000000001</v>
      </c>
      <c r="G156" s="52">
        <v>2648</v>
      </c>
      <c r="H156" s="52">
        <v>1214.5</v>
      </c>
      <c r="I156" s="53">
        <v>4525.8999999999996</v>
      </c>
      <c r="J156" s="49"/>
    </row>
    <row r="157" spans="1:10" x14ac:dyDescent="0.2">
      <c r="A157" s="50">
        <f t="shared" si="2"/>
        <v>42891</v>
      </c>
      <c r="B157" s="51">
        <v>6144.6</v>
      </c>
      <c r="C157" s="52">
        <v>4487.7</v>
      </c>
      <c r="D157" s="52">
        <v>2945</v>
      </c>
      <c r="E157" s="52">
        <v>1856.3</v>
      </c>
      <c r="F157" s="52">
        <v>3532.4</v>
      </c>
      <c r="G157" s="52">
        <v>5098.2</v>
      </c>
      <c r="H157" s="52">
        <v>2312.3000000000002</v>
      </c>
      <c r="I157" s="53">
        <v>21751.9</v>
      </c>
      <c r="J157" s="49"/>
    </row>
    <row r="158" spans="1:10" x14ac:dyDescent="0.2">
      <c r="A158" s="50">
        <f t="shared" si="2"/>
        <v>42892</v>
      </c>
      <c r="B158" s="51">
        <v>7667.98</v>
      </c>
      <c r="C158" s="52">
        <v>5453.75</v>
      </c>
      <c r="D158" s="52">
        <v>3814.02</v>
      </c>
      <c r="E158" s="52">
        <v>2313.77</v>
      </c>
      <c r="F158" s="52">
        <v>4646.43</v>
      </c>
      <c r="G158" s="52">
        <v>5487.84</v>
      </c>
      <c r="H158" s="52">
        <v>2294.6000000000004</v>
      </c>
      <c r="I158" s="53">
        <v>27089.190000000002</v>
      </c>
      <c r="J158" s="49"/>
    </row>
    <row r="159" spans="1:10" x14ac:dyDescent="0.2">
      <c r="A159" s="50">
        <f t="shared" si="2"/>
        <v>42893</v>
      </c>
      <c r="B159" s="51">
        <v>7295.26</v>
      </c>
      <c r="C159" s="52">
        <v>5412</v>
      </c>
      <c r="D159" s="52">
        <v>3820.91</v>
      </c>
      <c r="E159" s="52">
        <v>2357.66</v>
      </c>
      <c r="F159" s="52">
        <v>3817.65</v>
      </c>
      <c r="G159" s="52">
        <v>5324.11</v>
      </c>
      <c r="H159" s="52">
        <v>2400.1800000000003</v>
      </c>
      <c r="I159" s="53">
        <v>25627.41</v>
      </c>
      <c r="J159" s="49"/>
    </row>
    <row r="160" spans="1:10" x14ac:dyDescent="0.2">
      <c r="A160" s="50">
        <f t="shared" ref="A160:A223" si="3">A159+1</f>
        <v>42894</v>
      </c>
      <c r="B160" s="51">
        <v>7382.6</v>
      </c>
      <c r="C160" s="52">
        <v>5358.2</v>
      </c>
      <c r="D160" s="52">
        <v>3719.4</v>
      </c>
      <c r="E160" s="52">
        <v>2553.8000000000002</v>
      </c>
      <c r="F160" s="52">
        <v>4209.8999999999996</v>
      </c>
      <c r="G160" s="52">
        <v>5800.2</v>
      </c>
      <c r="H160" s="52">
        <v>2561.8999999999996</v>
      </c>
      <c r="I160" s="53">
        <v>26462.200000000004</v>
      </c>
      <c r="J160" s="49"/>
    </row>
    <row r="161" spans="1:10" x14ac:dyDescent="0.2">
      <c r="A161" s="50">
        <f t="shared" si="3"/>
        <v>42895</v>
      </c>
      <c r="B161" s="51">
        <v>6835.07</v>
      </c>
      <c r="C161" s="52">
        <v>5067.2</v>
      </c>
      <c r="D161" s="52">
        <v>3708.94</v>
      </c>
      <c r="E161" s="52">
        <v>2110.56</v>
      </c>
      <c r="F161" s="52">
        <v>3726.55</v>
      </c>
      <c r="G161" s="52">
        <v>3098.33</v>
      </c>
      <c r="H161" s="52">
        <v>2353.14</v>
      </c>
      <c r="I161" s="53">
        <v>22193.510000000002</v>
      </c>
      <c r="J161" s="49"/>
    </row>
    <row r="162" spans="1:10" x14ac:dyDescent="0.2">
      <c r="A162" s="50">
        <f t="shared" si="3"/>
        <v>42896</v>
      </c>
      <c r="B162" s="51">
        <v>2533.8000000000002</v>
      </c>
      <c r="C162" s="52">
        <v>1198.2</v>
      </c>
      <c r="D162" s="52">
        <v>1030.0999999999999</v>
      </c>
      <c r="E162" s="52">
        <v>314</v>
      </c>
      <c r="F162" s="52">
        <v>1296.3</v>
      </c>
      <c r="G162" s="52">
        <v>3306.8</v>
      </c>
      <c r="H162" s="52">
        <v>1938.8</v>
      </c>
      <c r="I162" s="53">
        <v>7740.4000000000005</v>
      </c>
      <c r="J162" s="49"/>
    </row>
    <row r="163" spans="1:10" x14ac:dyDescent="0.2">
      <c r="A163" s="50">
        <f t="shared" si="3"/>
        <v>42897</v>
      </c>
      <c r="B163" s="51">
        <v>1904.1</v>
      </c>
      <c r="C163" s="52">
        <v>634</v>
      </c>
      <c r="D163" s="52">
        <v>522.4</v>
      </c>
      <c r="E163" s="52">
        <v>1379.9</v>
      </c>
      <c r="F163" s="52">
        <v>1592.8</v>
      </c>
      <c r="G163" s="52">
        <v>3062.6459</v>
      </c>
      <c r="H163" s="52">
        <v>1692.8</v>
      </c>
      <c r="I163" s="53">
        <v>7403.0459000000001</v>
      </c>
      <c r="J163" s="49"/>
    </row>
    <row r="164" spans="1:10" x14ac:dyDescent="0.2">
      <c r="A164" s="50">
        <f t="shared" si="3"/>
        <v>42898</v>
      </c>
      <c r="B164" s="51">
        <v>6298.27</v>
      </c>
      <c r="C164" s="52">
        <v>4024.6</v>
      </c>
      <c r="D164" s="52">
        <v>2279.83</v>
      </c>
      <c r="E164" s="52">
        <v>3583.76</v>
      </c>
      <c r="F164" s="52">
        <v>3864.65</v>
      </c>
      <c r="G164" s="52">
        <v>3269.39</v>
      </c>
      <c r="H164" s="52">
        <v>1743.6299999999999</v>
      </c>
      <c r="I164" s="53">
        <v>21576.87</v>
      </c>
      <c r="J164" s="49"/>
    </row>
    <row r="165" spans="1:10" x14ac:dyDescent="0.2">
      <c r="A165" s="50">
        <f t="shared" si="3"/>
        <v>42899</v>
      </c>
      <c r="B165" s="51">
        <v>7145.9</v>
      </c>
      <c r="C165" s="52">
        <v>5066.7</v>
      </c>
      <c r="D165" s="52">
        <v>3226.6</v>
      </c>
      <c r="E165" s="52">
        <v>2229.1999999999998</v>
      </c>
      <c r="F165" s="52">
        <v>4110.3</v>
      </c>
      <c r="G165" s="52">
        <v>4963.3</v>
      </c>
      <c r="H165" s="52">
        <v>2378.1</v>
      </c>
      <c r="I165" s="53">
        <v>24363.899999999998</v>
      </c>
      <c r="J165" s="49"/>
    </row>
    <row r="166" spans="1:10" x14ac:dyDescent="0.2">
      <c r="A166" s="50">
        <f t="shared" si="3"/>
        <v>42900</v>
      </c>
      <c r="B166" s="51">
        <v>6836.73</v>
      </c>
      <c r="C166" s="52">
        <v>4926.74</v>
      </c>
      <c r="D166" s="52">
        <v>3038.99</v>
      </c>
      <c r="E166" s="52">
        <v>2365.09</v>
      </c>
      <c r="F166" s="52">
        <v>4640.62</v>
      </c>
      <c r="G166" s="52">
        <v>5187.1899999999996</v>
      </c>
      <c r="H166" s="52">
        <v>2368.84</v>
      </c>
      <c r="I166" s="53">
        <v>24626.519999999997</v>
      </c>
      <c r="J166" s="49"/>
    </row>
    <row r="167" spans="1:10" x14ac:dyDescent="0.2">
      <c r="A167" s="50">
        <f t="shared" si="3"/>
        <v>42901</v>
      </c>
      <c r="B167" s="51">
        <v>6352</v>
      </c>
      <c r="C167" s="52">
        <v>4859.67</v>
      </c>
      <c r="D167" s="52">
        <v>3435.16</v>
      </c>
      <c r="E167" s="52">
        <v>2038.39</v>
      </c>
      <c r="F167" s="52">
        <v>2905.45</v>
      </c>
      <c r="G167" s="52">
        <v>5241.13</v>
      </c>
      <c r="H167" s="52">
        <v>2230.48</v>
      </c>
      <c r="I167" s="53">
        <v>22601.320000000003</v>
      </c>
      <c r="J167" s="49"/>
    </row>
    <row r="168" spans="1:10" x14ac:dyDescent="0.2">
      <c r="A168" s="50">
        <f t="shared" si="3"/>
        <v>42902</v>
      </c>
      <c r="B168" s="51">
        <v>6226</v>
      </c>
      <c r="C168" s="52">
        <v>5042.3</v>
      </c>
      <c r="D168" s="52">
        <v>2852.5</v>
      </c>
      <c r="E168" s="52">
        <v>1994.1</v>
      </c>
      <c r="F168" s="52">
        <v>3586.6</v>
      </c>
      <c r="G168" s="52">
        <v>4708.3999999999996</v>
      </c>
      <c r="H168" s="52">
        <v>2142.1</v>
      </c>
      <c r="I168" s="53">
        <v>22267.800000000003</v>
      </c>
      <c r="J168" s="49"/>
    </row>
    <row r="169" spans="1:10" x14ac:dyDescent="0.2">
      <c r="A169" s="50">
        <f t="shared" si="3"/>
        <v>42903</v>
      </c>
      <c r="B169" s="51">
        <v>2128</v>
      </c>
      <c r="C169" s="52">
        <v>1425.7</v>
      </c>
      <c r="D169" s="52">
        <v>1312.2</v>
      </c>
      <c r="E169" s="52">
        <v>220.3</v>
      </c>
      <c r="F169" s="52">
        <v>951.7</v>
      </c>
      <c r="G169" s="52">
        <v>2596.1</v>
      </c>
      <c r="H169" s="52">
        <v>1476.3</v>
      </c>
      <c r="I169" s="53">
        <v>7157.7</v>
      </c>
      <c r="J169" s="49"/>
    </row>
    <row r="170" spans="1:10" x14ac:dyDescent="0.2">
      <c r="A170" s="50">
        <f t="shared" si="3"/>
        <v>42904</v>
      </c>
      <c r="B170" s="51">
        <v>1811</v>
      </c>
      <c r="C170" s="52">
        <v>601.29999999999995</v>
      </c>
      <c r="D170" s="52">
        <v>555.29999999999995</v>
      </c>
      <c r="E170" s="52">
        <v>1602.8</v>
      </c>
      <c r="F170" s="52">
        <v>2011.4</v>
      </c>
      <c r="G170" s="52">
        <v>2939</v>
      </c>
      <c r="H170" s="52">
        <v>1702.3999999999999</v>
      </c>
      <c r="I170" s="53">
        <v>7818.4000000000015</v>
      </c>
      <c r="J170" s="49"/>
    </row>
    <row r="171" spans="1:10" x14ac:dyDescent="0.2">
      <c r="A171" s="50">
        <f t="shared" si="3"/>
        <v>42905</v>
      </c>
      <c r="B171" s="51">
        <v>6713.84</v>
      </c>
      <c r="C171" s="52">
        <v>6191.94</v>
      </c>
      <c r="D171" s="52">
        <v>3423.76</v>
      </c>
      <c r="E171" s="52">
        <v>2278.19</v>
      </c>
      <c r="F171" s="52">
        <v>2932.34</v>
      </c>
      <c r="G171" s="52">
        <v>4791.75</v>
      </c>
      <c r="H171" s="52">
        <v>2158.9700000000003</v>
      </c>
      <c r="I171" s="53">
        <v>24172.85</v>
      </c>
      <c r="J171" s="49"/>
    </row>
    <row r="172" spans="1:10" x14ac:dyDescent="0.2">
      <c r="A172" s="50">
        <f t="shared" si="3"/>
        <v>42906</v>
      </c>
      <c r="B172" s="51">
        <v>6869.21</v>
      </c>
      <c r="C172" s="52">
        <v>6713.42</v>
      </c>
      <c r="D172" s="52">
        <v>3616.2</v>
      </c>
      <c r="E172" s="52">
        <v>2746.67</v>
      </c>
      <c r="F172" s="52">
        <v>4150.2</v>
      </c>
      <c r="G172" s="52">
        <v>5565.79</v>
      </c>
      <c r="H172" s="52">
        <v>2083.67</v>
      </c>
      <c r="I172" s="53">
        <v>27577.82</v>
      </c>
      <c r="J172" s="49"/>
    </row>
    <row r="173" spans="1:10" x14ac:dyDescent="0.2">
      <c r="A173" s="50">
        <f t="shared" si="3"/>
        <v>42907</v>
      </c>
      <c r="B173" s="51">
        <v>5073.4003000000002</v>
      </c>
      <c r="C173" s="52">
        <v>5472.6849000000002</v>
      </c>
      <c r="D173" s="52">
        <v>3719.3566999999998</v>
      </c>
      <c r="E173" s="52">
        <v>1823.1320000000001</v>
      </c>
      <c r="F173" s="52">
        <v>3575.6788000000001</v>
      </c>
      <c r="G173" s="52">
        <v>5973.73</v>
      </c>
      <c r="H173" s="52">
        <v>2271.4</v>
      </c>
      <c r="I173" s="53">
        <v>23366.582699999999</v>
      </c>
      <c r="J173" s="49"/>
    </row>
    <row r="174" spans="1:10" x14ac:dyDescent="0.2">
      <c r="A174" s="50">
        <f t="shared" si="3"/>
        <v>42908</v>
      </c>
      <c r="B174" s="51">
        <v>5071.5</v>
      </c>
      <c r="C174" s="52">
        <v>5454</v>
      </c>
      <c r="D174" s="52">
        <v>3689.7</v>
      </c>
      <c r="E174" s="52">
        <v>1727</v>
      </c>
      <c r="F174" s="52">
        <v>3199</v>
      </c>
      <c r="G174" s="52">
        <v>6137.8</v>
      </c>
      <c r="H174" s="52">
        <v>2328.8000000000002</v>
      </c>
      <c r="I174" s="53">
        <v>22950.2</v>
      </c>
      <c r="J174" s="49"/>
    </row>
    <row r="175" spans="1:10" x14ac:dyDescent="0.2">
      <c r="A175" s="50">
        <f t="shared" si="3"/>
        <v>42909</v>
      </c>
      <c r="B175" s="51">
        <v>5173.55</v>
      </c>
      <c r="C175" s="52">
        <v>5410.21</v>
      </c>
      <c r="D175" s="52">
        <v>3669.7</v>
      </c>
      <c r="E175" s="52">
        <v>1985.59</v>
      </c>
      <c r="F175" s="52">
        <v>3965.39</v>
      </c>
      <c r="G175" s="52">
        <v>5607.49</v>
      </c>
      <c r="H175" s="52">
        <v>2050.73</v>
      </c>
      <c r="I175" s="53">
        <v>23761.200000000001</v>
      </c>
      <c r="J175" s="49"/>
    </row>
    <row r="176" spans="1:10" x14ac:dyDescent="0.2">
      <c r="A176" s="50">
        <f t="shared" si="3"/>
        <v>42910</v>
      </c>
      <c r="B176" s="51">
        <v>2416</v>
      </c>
      <c r="C176" s="52">
        <v>1570.9</v>
      </c>
      <c r="D176" s="52">
        <v>1436.3</v>
      </c>
      <c r="E176" s="52">
        <v>779.9</v>
      </c>
      <c r="F176" s="52">
        <v>2502.8000000000002</v>
      </c>
      <c r="G176" s="52">
        <v>3052.8</v>
      </c>
      <c r="H176" s="52">
        <v>1722.6</v>
      </c>
      <c r="I176" s="53">
        <v>10036.1</v>
      </c>
      <c r="J176" s="49"/>
    </row>
    <row r="177" spans="1:10" x14ac:dyDescent="0.2">
      <c r="A177" s="50">
        <f t="shared" si="3"/>
        <v>42911</v>
      </c>
      <c r="B177" s="51">
        <v>1760.4</v>
      </c>
      <c r="C177" s="52">
        <v>563.20000000000005</v>
      </c>
      <c r="D177" s="52">
        <v>561.20000000000005</v>
      </c>
      <c r="E177" s="52">
        <v>619</v>
      </c>
      <c r="F177" s="52">
        <v>1412.4</v>
      </c>
      <c r="G177" s="52">
        <v>3094.6</v>
      </c>
      <c r="H177" s="52">
        <v>1721.2999999999997</v>
      </c>
      <c r="I177" s="53">
        <v>6289.5000000000018</v>
      </c>
      <c r="J177" s="49"/>
    </row>
    <row r="178" spans="1:10" x14ac:dyDescent="0.2">
      <c r="A178" s="50">
        <f t="shared" si="3"/>
        <v>42912</v>
      </c>
      <c r="B178" s="51">
        <v>4479.93</v>
      </c>
      <c r="C178" s="52">
        <v>4353.71</v>
      </c>
      <c r="D178" s="52">
        <v>2699.71</v>
      </c>
      <c r="E178" s="52">
        <v>2464.44</v>
      </c>
      <c r="F178" s="52">
        <v>3104.85</v>
      </c>
      <c r="G178" s="52">
        <v>5219.6400000000003</v>
      </c>
      <c r="H178" s="52">
        <v>2453.7299999999996</v>
      </c>
      <c r="I178" s="53">
        <v>19868.55</v>
      </c>
      <c r="J178" s="49"/>
    </row>
    <row r="179" spans="1:10" x14ac:dyDescent="0.2">
      <c r="A179" s="50">
        <f t="shared" si="3"/>
        <v>42913</v>
      </c>
      <c r="B179" s="51">
        <v>5488</v>
      </c>
      <c r="C179" s="52">
        <v>5455.5</v>
      </c>
      <c r="D179" s="52">
        <v>3617.5</v>
      </c>
      <c r="E179" s="52">
        <v>3094</v>
      </c>
      <c r="F179" s="52">
        <v>5372</v>
      </c>
      <c r="G179" s="52">
        <v>4856</v>
      </c>
      <c r="H179" s="52">
        <v>2326.5</v>
      </c>
      <c r="I179" s="53">
        <v>25556.5</v>
      </c>
      <c r="J179" s="49"/>
    </row>
    <row r="180" spans="1:10" x14ac:dyDescent="0.2">
      <c r="A180" s="50">
        <f t="shared" si="3"/>
        <v>42914</v>
      </c>
      <c r="B180" s="51">
        <v>5344.73</v>
      </c>
      <c r="C180" s="52">
        <v>5324.09</v>
      </c>
      <c r="D180" s="52">
        <v>3507.55</v>
      </c>
      <c r="E180" s="52">
        <v>3354.38</v>
      </c>
      <c r="F180" s="52">
        <v>4645.6400000000003</v>
      </c>
      <c r="G180" s="52">
        <v>4190.5995000000003</v>
      </c>
      <c r="H180" s="52">
        <v>1767.0600000000004</v>
      </c>
      <c r="I180" s="53">
        <v>24599.929499999998</v>
      </c>
      <c r="J180" s="49"/>
    </row>
    <row r="181" spans="1:10" x14ac:dyDescent="0.2">
      <c r="A181" s="50">
        <f t="shared" si="3"/>
        <v>42915</v>
      </c>
      <c r="B181" s="51">
        <v>5070.72</v>
      </c>
      <c r="C181" s="52">
        <v>5447.81</v>
      </c>
      <c r="D181" s="52">
        <v>3568.49</v>
      </c>
      <c r="E181" s="52">
        <v>2737.9</v>
      </c>
      <c r="F181" s="52">
        <v>4852.5</v>
      </c>
      <c r="G181" s="52">
        <v>4427.87</v>
      </c>
      <c r="H181" s="52">
        <v>1820.73</v>
      </c>
      <c r="I181" s="53">
        <v>24284.560000000001</v>
      </c>
      <c r="J181" s="49"/>
    </row>
    <row r="182" spans="1:10" x14ac:dyDescent="0.2">
      <c r="A182" s="50">
        <f t="shared" si="3"/>
        <v>42916</v>
      </c>
      <c r="B182" s="51">
        <v>4633</v>
      </c>
      <c r="C182" s="52">
        <v>4717</v>
      </c>
      <c r="D182" s="52">
        <v>3428.5</v>
      </c>
      <c r="E182" s="52">
        <v>2691</v>
      </c>
      <c r="F182" s="52">
        <v>4404</v>
      </c>
      <c r="G182" s="52">
        <v>4472</v>
      </c>
      <c r="H182" s="52">
        <v>2023.1999999999998</v>
      </c>
      <c r="I182" s="53">
        <v>22322.3</v>
      </c>
      <c r="J182" s="49"/>
    </row>
    <row r="183" spans="1:10" x14ac:dyDescent="0.2">
      <c r="A183" s="50">
        <f t="shared" si="3"/>
        <v>42917</v>
      </c>
      <c r="B183" s="51">
        <v>2049</v>
      </c>
      <c r="C183" s="52">
        <v>1185.0999999999999</v>
      </c>
      <c r="D183" s="52">
        <v>1045.9000000000001</v>
      </c>
      <c r="E183" s="52">
        <v>234</v>
      </c>
      <c r="F183" s="52">
        <v>937.6</v>
      </c>
      <c r="G183" s="52">
        <v>2758.7</v>
      </c>
      <c r="H183" s="52">
        <v>1462.5</v>
      </c>
      <c r="I183" s="53">
        <v>6747.7999999999993</v>
      </c>
      <c r="J183" s="49"/>
    </row>
    <row r="184" spans="1:10" x14ac:dyDescent="0.2">
      <c r="A184" s="50">
        <f t="shared" si="3"/>
        <v>42918</v>
      </c>
      <c r="B184" s="51">
        <v>1744.5</v>
      </c>
      <c r="C184" s="52">
        <v>620</v>
      </c>
      <c r="D184" s="52">
        <v>606.4</v>
      </c>
      <c r="E184" s="52">
        <v>864</v>
      </c>
      <c r="F184" s="52">
        <v>1496.9</v>
      </c>
      <c r="G184" s="52">
        <v>2148.8000000000002</v>
      </c>
      <c r="H184" s="52">
        <v>1156.9000000000001</v>
      </c>
      <c r="I184" s="53">
        <v>6323.7000000000007</v>
      </c>
      <c r="J184" s="49"/>
    </row>
    <row r="185" spans="1:10" x14ac:dyDescent="0.2">
      <c r="A185" s="50">
        <f t="shared" si="3"/>
        <v>42919</v>
      </c>
      <c r="B185" s="51">
        <v>4063.75</v>
      </c>
      <c r="C185" s="52">
        <v>4210.03</v>
      </c>
      <c r="D185" s="52">
        <v>2356.85</v>
      </c>
      <c r="E185" s="52">
        <v>2326.9299999999998</v>
      </c>
      <c r="F185" s="52">
        <v>2929.17</v>
      </c>
      <c r="G185" s="52">
        <v>4777.4273999999996</v>
      </c>
      <c r="H185" s="52">
        <v>2308.6400000000003</v>
      </c>
      <c r="I185" s="53">
        <v>18355.517400000001</v>
      </c>
      <c r="J185" s="49"/>
    </row>
    <row r="186" spans="1:10" x14ac:dyDescent="0.2">
      <c r="A186" s="50">
        <f t="shared" si="3"/>
        <v>42920</v>
      </c>
      <c r="B186" s="51">
        <v>3778.55</v>
      </c>
      <c r="C186" s="52">
        <v>3801.91</v>
      </c>
      <c r="D186" s="52">
        <v>2837.73</v>
      </c>
      <c r="E186" s="52">
        <v>1346.24</v>
      </c>
      <c r="F186" s="52">
        <v>2965.24</v>
      </c>
      <c r="G186" s="52">
        <v>4152.8599999999997</v>
      </c>
      <c r="H186" s="52">
        <v>1895.91</v>
      </c>
      <c r="I186" s="53">
        <v>16986.62</v>
      </c>
      <c r="J186" s="49"/>
    </row>
    <row r="187" spans="1:10" x14ac:dyDescent="0.2">
      <c r="A187" s="50">
        <f t="shared" si="3"/>
        <v>42921</v>
      </c>
      <c r="B187" s="51">
        <v>3118.6</v>
      </c>
      <c r="C187" s="52">
        <v>3146.3</v>
      </c>
      <c r="D187" s="52">
        <v>2309</v>
      </c>
      <c r="E187" s="52">
        <v>1078.3</v>
      </c>
      <c r="F187" s="52">
        <v>2670.5</v>
      </c>
      <c r="G187" s="52">
        <v>4416.8999999999996</v>
      </c>
      <c r="H187" s="52">
        <v>2129.8999999999996</v>
      </c>
      <c r="I187" s="53">
        <v>14609.699999999999</v>
      </c>
      <c r="J187" s="49"/>
    </row>
    <row r="188" spans="1:10" x14ac:dyDescent="0.2">
      <c r="A188" s="50">
        <f t="shared" si="3"/>
        <v>42922</v>
      </c>
      <c r="B188" s="51">
        <v>2985.7</v>
      </c>
      <c r="C188" s="52">
        <v>2939.93</v>
      </c>
      <c r="D188" s="52">
        <v>2235.4699999999998</v>
      </c>
      <c r="E188" s="52">
        <v>1012.47</v>
      </c>
      <c r="F188" s="52">
        <v>1767.43</v>
      </c>
      <c r="G188" s="52">
        <v>4451.83</v>
      </c>
      <c r="H188" s="52">
        <v>2314.2600000000002</v>
      </c>
      <c r="I188" s="53">
        <v>13078.569999999998</v>
      </c>
      <c r="J188" s="49"/>
    </row>
    <row r="189" spans="1:10" x14ac:dyDescent="0.2">
      <c r="A189" s="50">
        <f t="shared" si="3"/>
        <v>42923</v>
      </c>
      <c r="B189" s="51">
        <v>2849.5</v>
      </c>
      <c r="C189" s="52">
        <v>2876.39</v>
      </c>
      <c r="D189" s="52">
        <v>2053.86</v>
      </c>
      <c r="E189" s="52">
        <v>977.07</v>
      </c>
      <c r="F189" s="52">
        <v>1672.88</v>
      </c>
      <c r="G189" s="52">
        <v>3273.14</v>
      </c>
      <c r="H189" s="52">
        <v>1926.3000000000002</v>
      </c>
      <c r="I189" s="53">
        <v>11776.54</v>
      </c>
      <c r="J189" s="49"/>
    </row>
    <row r="190" spans="1:10" x14ac:dyDescent="0.2">
      <c r="A190" s="50">
        <f t="shared" si="3"/>
        <v>42924</v>
      </c>
      <c r="B190" s="51">
        <v>2875.57</v>
      </c>
      <c r="C190" s="52">
        <v>2836.3</v>
      </c>
      <c r="D190" s="52">
        <v>1709.55</v>
      </c>
      <c r="E190" s="52">
        <v>902.43</v>
      </c>
      <c r="F190" s="52">
        <v>1997.85</v>
      </c>
      <c r="G190" s="52">
        <v>2212.67</v>
      </c>
      <c r="H190" s="52">
        <v>1148.31</v>
      </c>
      <c r="I190" s="53">
        <v>11386.060000000001</v>
      </c>
      <c r="J190" s="49"/>
    </row>
    <row r="191" spans="1:10" x14ac:dyDescent="0.2">
      <c r="A191" s="50">
        <f t="shared" si="3"/>
        <v>42925</v>
      </c>
      <c r="B191" s="51">
        <v>3041.5</v>
      </c>
      <c r="C191" s="52">
        <v>2610.9</v>
      </c>
      <c r="D191" s="52">
        <v>1800.8</v>
      </c>
      <c r="E191" s="52">
        <v>1230.8</v>
      </c>
      <c r="F191" s="52">
        <v>2874.1</v>
      </c>
      <c r="G191" s="52">
        <v>2205.8000000000002</v>
      </c>
      <c r="H191" s="52">
        <v>1040.5999999999999</v>
      </c>
      <c r="I191" s="53">
        <v>12723.300000000001</v>
      </c>
      <c r="J191" s="49"/>
    </row>
    <row r="192" spans="1:10" x14ac:dyDescent="0.2">
      <c r="A192" s="50">
        <f t="shared" si="3"/>
        <v>42926</v>
      </c>
      <c r="B192" s="51">
        <v>3315.5</v>
      </c>
      <c r="C192" s="52">
        <v>3313.2</v>
      </c>
      <c r="D192" s="52">
        <v>2331.6999999999998</v>
      </c>
      <c r="E192" s="52">
        <v>1234.5999999999999</v>
      </c>
      <c r="F192" s="52">
        <v>2092.6999999999998</v>
      </c>
      <c r="G192" s="52">
        <v>4467.1000000000004</v>
      </c>
      <c r="H192" s="52">
        <v>2329.3999999999996</v>
      </c>
      <c r="I192" s="53">
        <v>14425.400000000003</v>
      </c>
      <c r="J192" s="49"/>
    </row>
    <row r="193" spans="1:10" x14ac:dyDescent="0.2">
      <c r="A193" s="50">
        <f t="shared" si="3"/>
        <v>42927</v>
      </c>
      <c r="B193" s="51">
        <v>3992.1</v>
      </c>
      <c r="C193" s="52">
        <v>3274.6</v>
      </c>
      <c r="D193" s="52">
        <v>2196.4</v>
      </c>
      <c r="E193" s="52">
        <v>2253.6999999999998</v>
      </c>
      <c r="F193" s="52">
        <v>3208.6</v>
      </c>
      <c r="G193" s="52">
        <v>4751</v>
      </c>
      <c r="H193" s="52">
        <v>1522.8000000000002</v>
      </c>
      <c r="I193" s="53">
        <v>18153.600000000002</v>
      </c>
      <c r="J193" s="49"/>
    </row>
    <row r="194" spans="1:10" x14ac:dyDescent="0.2">
      <c r="A194" s="50">
        <f t="shared" si="3"/>
        <v>42928</v>
      </c>
      <c r="B194" s="51">
        <v>3365.6</v>
      </c>
      <c r="C194" s="52">
        <v>3235.6</v>
      </c>
      <c r="D194" s="52">
        <v>2220.5</v>
      </c>
      <c r="E194" s="52">
        <v>1543.9</v>
      </c>
      <c r="F194" s="52">
        <v>2367.4</v>
      </c>
      <c r="G194" s="52">
        <v>4254.6000000000004</v>
      </c>
      <c r="H194" s="52">
        <v>2238.6000000000004</v>
      </c>
      <c r="I194" s="53">
        <v>14748.999999999998</v>
      </c>
      <c r="J194" s="49"/>
    </row>
    <row r="195" spans="1:10" x14ac:dyDescent="0.2">
      <c r="A195" s="50">
        <f t="shared" si="3"/>
        <v>42929</v>
      </c>
      <c r="B195" s="51">
        <v>3788.5</v>
      </c>
      <c r="C195" s="52">
        <v>3263.7</v>
      </c>
      <c r="D195" s="52">
        <v>2452.6</v>
      </c>
      <c r="E195" s="52">
        <v>1301.9000000000001</v>
      </c>
      <c r="F195" s="52">
        <v>2712.1</v>
      </c>
      <c r="G195" s="52">
        <v>4264.5</v>
      </c>
      <c r="H195" s="52">
        <v>2206</v>
      </c>
      <c r="I195" s="53">
        <v>15577.3</v>
      </c>
      <c r="J195" s="49"/>
    </row>
    <row r="196" spans="1:10" x14ac:dyDescent="0.2">
      <c r="A196" s="50">
        <f t="shared" si="3"/>
        <v>42930</v>
      </c>
      <c r="B196" s="51">
        <v>3807.69</v>
      </c>
      <c r="C196" s="52">
        <v>3324.81</v>
      </c>
      <c r="D196" s="52">
        <v>2324.12</v>
      </c>
      <c r="E196" s="52">
        <v>1374.06</v>
      </c>
      <c r="F196" s="52">
        <v>3443.67</v>
      </c>
      <c r="G196" s="52">
        <v>3670.96</v>
      </c>
      <c r="H196" s="52">
        <v>2265.16</v>
      </c>
      <c r="I196" s="53">
        <v>15680.149999999998</v>
      </c>
      <c r="J196" s="49"/>
    </row>
    <row r="197" spans="1:10" x14ac:dyDescent="0.2">
      <c r="A197" s="50">
        <f t="shared" si="3"/>
        <v>42931</v>
      </c>
      <c r="B197" s="51">
        <v>3343.97</v>
      </c>
      <c r="C197" s="52">
        <v>2811.09</v>
      </c>
      <c r="D197" s="52">
        <v>1898.91</v>
      </c>
      <c r="E197" s="52">
        <v>1174.56</v>
      </c>
      <c r="F197" s="52">
        <v>1902.51</v>
      </c>
      <c r="G197" s="52">
        <v>2890.82</v>
      </c>
      <c r="H197" s="52">
        <v>1694.01</v>
      </c>
      <c r="I197" s="53">
        <v>12327.849999999999</v>
      </c>
      <c r="J197" s="49"/>
    </row>
    <row r="198" spans="1:10" x14ac:dyDescent="0.2">
      <c r="A198" s="50">
        <f t="shared" si="3"/>
        <v>42932</v>
      </c>
      <c r="B198" s="51">
        <v>3697.5</v>
      </c>
      <c r="C198" s="52">
        <v>2947.4</v>
      </c>
      <c r="D198" s="52">
        <v>2063.5</v>
      </c>
      <c r="E198" s="52">
        <v>1371.1</v>
      </c>
      <c r="F198" s="52">
        <v>3599.4</v>
      </c>
      <c r="G198" s="52">
        <v>2727.4</v>
      </c>
      <c r="H198" s="52">
        <v>1487.7</v>
      </c>
      <c r="I198" s="53">
        <v>14918.599999999999</v>
      </c>
      <c r="J198" s="49"/>
    </row>
    <row r="199" spans="1:10" x14ac:dyDescent="0.2">
      <c r="A199" s="50">
        <f t="shared" si="3"/>
        <v>42933</v>
      </c>
      <c r="B199" s="51">
        <v>3633.6</v>
      </c>
      <c r="C199" s="52">
        <v>3455</v>
      </c>
      <c r="D199" s="52">
        <v>2242.4</v>
      </c>
      <c r="E199" s="52">
        <v>1048.3</v>
      </c>
      <c r="F199" s="52">
        <v>3123.5</v>
      </c>
      <c r="G199" s="52">
        <v>4432.8</v>
      </c>
      <c r="H199" s="52">
        <v>2128.7000000000003</v>
      </c>
      <c r="I199" s="53">
        <v>15806.899999999998</v>
      </c>
      <c r="J199" s="49"/>
    </row>
    <row r="200" spans="1:10" x14ac:dyDescent="0.2">
      <c r="A200" s="50">
        <f t="shared" si="3"/>
        <v>42934</v>
      </c>
      <c r="B200" s="51">
        <v>3510.9</v>
      </c>
      <c r="C200" s="52">
        <v>3472.8</v>
      </c>
      <c r="D200" s="52">
        <v>2131.1999999999998</v>
      </c>
      <c r="E200" s="52">
        <v>2199.5</v>
      </c>
      <c r="F200" s="52">
        <v>3225.5</v>
      </c>
      <c r="G200" s="52">
        <v>4532.2</v>
      </c>
      <c r="H200" s="52">
        <v>2274.1999999999998</v>
      </c>
      <c r="I200" s="53">
        <v>16797.900000000001</v>
      </c>
      <c r="J200" s="49"/>
    </row>
    <row r="201" spans="1:10" x14ac:dyDescent="0.2">
      <c r="A201" s="50">
        <f t="shared" si="3"/>
        <v>42935</v>
      </c>
      <c r="B201" s="51">
        <v>3676.9</v>
      </c>
      <c r="C201" s="52">
        <v>3339.8</v>
      </c>
      <c r="D201" s="52">
        <v>2341.4</v>
      </c>
      <c r="E201" s="52">
        <v>1423.8</v>
      </c>
      <c r="F201" s="52">
        <v>2696.6</v>
      </c>
      <c r="G201" s="52">
        <v>4342.7</v>
      </c>
      <c r="H201" s="52">
        <v>2329.2999999999997</v>
      </c>
      <c r="I201" s="53">
        <v>15491.900000000001</v>
      </c>
      <c r="J201" s="49"/>
    </row>
    <row r="202" spans="1:10" x14ac:dyDescent="0.2">
      <c r="A202" s="50">
        <f t="shared" si="3"/>
        <v>42936</v>
      </c>
      <c r="B202" s="51">
        <v>3606.2</v>
      </c>
      <c r="C202" s="52">
        <v>3515.3</v>
      </c>
      <c r="D202" s="52">
        <v>2542.6</v>
      </c>
      <c r="E202" s="52">
        <v>1465.8</v>
      </c>
      <c r="F202" s="52">
        <v>2584</v>
      </c>
      <c r="G202" s="52">
        <v>4218.3999999999996</v>
      </c>
      <c r="H202" s="52">
        <v>2146.1999999999998</v>
      </c>
      <c r="I202" s="53">
        <v>15786.099999999999</v>
      </c>
      <c r="J202" s="49"/>
    </row>
    <row r="203" spans="1:10" x14ac:dyDescent="0.2">
      <c r="A203" s="50">
        <f t="shared" si="3"/>
        <v>42937</v>
      </c>
      <c r="B203" s="51">
        <v>3684.53</v>
      </c>
      <c r="C203" s="52">
        <v>3323.71</v>
      </c>
      <c r="D203" s="52">
        <v>2456.5100000000002</v>
      </c>
      <c r="E203" s="52">
        <v>1942.11</v>
      </c>
      <c r="F203" s="52">
        <v>2494.81</v>
      </c>
      <c r="G203" s="52">
        <v>3026.06</v>
      </c>
      <c r="H203" s="52">
        <v>1656.51</v>
      </c>
      <c r="I203" s="53">
        <v>15271.22</v>
      </c>
      <c r="J203" s="49"/>
    </row>
    <row r="204" spans="1:10" x14ac:dyDescent="0.2">
      <c r="A204" s="50">
        <f t="shared" si="3"/>
        <v>42938</v>
      </c>
      <c r="B204" s="51">
        <v>3361.86</v>
      </c>
      <c r="C204" s="52">
        <v>2779.47</v>
      </c>
      <c r="D204" s="52">
        <v>2075.34</v>
      </c>
      <c r="E204" s="52">
        <v>1315.02</v>
      </c>
      <c r="F204" s="52">
        <v>2299.5700000000002</v>
      </c>
      <c r="G204" s="52">
        <v>2916.22</v>
      </c>
      <c r="H204" s="52">
        <v>1600.1299999999999</v>
      </c>
      <c r="I204" s="53">
        <v>13147.35</v>
      </c>
      <c r="J204" s="49"/>
    </row>
    <row r="205" spans="1:10" x14ac:dyDescent="0.2">
      <c r="A205" s="50">
        <f t="shared" si="3"/>
        <v>42939</v>
      </c>
      <c r="B205" s="51">
        <v>2478.5</v>
      </c>
      <c r="C205" s="52">
        <v>2701</v>
      </c>
      <c r="D205" s="52">
        <v>2101.5</v>
      </c>
      <c r="E205" s="52">
        <v>1218.4000000000001</v>
      </c>
      <c r="F205" s="52">
        <v>1467.3</v>
      </c>
      <c r="G205" s="52">
        <v>2835.3</v>
      </c>
      <c r="H205" s="52">
        <v>1669.7999999999997</v>
      </c>
      <c r="I205" s="53">
        <v>11132.2</v>
      </c>
      <c r="J205" s="49"/>
    </row>
    <row r="206" spans="1:10" x14ac:dyDescent="0.2">
      <c r="A206" s="50">
        <f t="shared" si="3"/>
        <v>42940</v>
      </c>
      <c r="B206" s="51">
        <v>3727</v>
      </c>
      <c r="C206" s="52">
        <v>2947.6</v>
      </c>
      <c r="D206" s="52">
        <v>2324</v>
      </c>
      <c r="E206" s="52">
        <v>1892.1</v>
      </c>
      <c r="F206" s="52">
        <v>3097</v>
      </c>
      <c r="G206" s="52">
        <v>3693.4</v>
      </c>
      <c r="H206" s="52">
        <v>1901.6</v>
      </c>
      <c r="I206" s="53">
        <v>15779.500000000002</v>
      </c>
      <c r="J206" s="49"/>
    </row>
    <row r="207" spans="1:10" x14ac:dyDescent="0.2">
      <c r="A207" s="50">
        <f t="shared" si="3"/>
        <v>42941</v>
      </c>
      <c r="B207" s="51">
        <v>3548.5</v>
      </c>
      <c r="C207" s="52">
        <v>3122.2</v>
      </c>
      <c r="D207" s="52">
        <v>2387.6</v>
      </c>
      <c r="E207" s="52">
        <v>1266.5</v>
      </c>
      <c r="F207" s="52">
        <v>2121.1</v>
      </c>
      <c r="G207" s="52">
        <v>3631.1</v>
      </c>
      <c r="H207" s="52">
        <v>1876.8000000000002</v>
      </c>
      <c r="I207" s="53">
        <v>14200.2</v>
      </c>
      <c r="J207" s="49"/>
    </row>
    <row r="208" spans="1:10" x14ac:dyDescent="0.2">
      <c r="A208" s="50">
        <f t="shared" si="3"/>
        <v>42942</v>
      </c>
      <c r="B208" s="51">
        <v>3864.5</v>
      </c>
      <c r="C208" s="52">
        <v>3120</v>
      </c>
      <c r="D208" s="52">
        <v>2156.6999999999998</v>
      </c>
      <c r="E208" s="52">
        <v>2023.8</v>
      </c>
      <c r="F208" s="52">
        <v>3332.6</v>
      </c>
      <c r="G208" s="52">
        <v>4278.1000000000004</v>
      </c>
      <c r="H208" s="52">
        <v>2242.7999999999997</v>
      </c>
      <c r="I208" s="53">
        <v>16532.900000000001</v>
      </c>
      <c r="J208" s="49"/>
    </row>
    <row r="209" spans="1:10" x14ac:dyDescent="0.2">
      <c r="A209" s="50">
        <f t="shared" si="3"/>
        <v>42943</v>
      </c>
      <c r="B209" s="51">
        <v>3475.41</v>
      </c>
      <c r="C209" s="52">
        <v>3004.77</v>
      </c>
      <c r="D209" s="52">
        <v>2212.9</v>
      </c>
      <c r="E209" s="52">
        <v>1505.06</v>
      </c>
      <c r="F209" s="52">
        <v>2582.5700000000002</v>
      </c>
      <c r="G209" s="52">
        <v>4176.4799999999996</v>
      </c>
      <c r="H209" s="52">
        <v>2325.65</v>
      </c>
      <c r="I209" s="53">
        <v>14631.539999999999</v>
      </c>
      <c r="J209" s="49"/>
    </row>
    <row r="210" spans="1:10" x14ac:dyDescent="0.2">
      <c r="A210" s="50">
        <f t="shared" si="3"/>
        <v>42944</v>
      </c>
      <c r="B210" s="51">
        <v>3288.6</v>
      </c>
      <c r="C210" s="52">
        <v>2648.9</v>
      </c>
      <c r="D210" s="52">
        <v>2200.5700000000002</v>
      </c>
      <c r="E210" s="52">
        <v>1233.95</v>
      </c>
      <c r="F210" s="52">
        <v>2327.87</v>
      </c>
      <c r="G210" s="52">
        <v>3425.57</v>
      </c>
      <c r="H210" s="52">
        <v>2061.4899999999998</v>
      </c>
      <c r="I210" s="53">
        <v>13063.97</v>
      </c>
      <c r="J210" s="49"/>
    </row>
    <row r="211" spans="1:10" x14ac:dyDescent="0.2">
      <c r="A211" s="50">
        <f t="shared" si="3"/>
        <v>42945</v>
      </c>
      <c r="B211" s="51">
        <v>3103.99</v>
      </c>
      <c r="C211" s="52">
        <v>2467.38</v>
      </c>
      <c r="D211" s="52">
        <v>2070.1</v>
      </c>
      <c r="E211" s="52">
        <v>1030.2</v>
      </c>
      <c r="F211" s="52">
        <v>1758.6</v>
      </c>
      <c r="G211" s="52">
        <v>2671.5</v>
      </c>
      <c r="H211" s="52">
        <v>1411.23</v>
      </c>
      <c r="I211" s="53">
        <v>11690.54</v>
      </c>
      <c r="J211" s="49"/>
    </row>
    <row r="212" spans="1:10" x14ac:dyDescent="0.2">
      <c r="A212" s="50">
        <f t="shared" si="3"/>
        <v>42946</v>
      </c>
      <c r="B212" s="51">
        <v>2962</v>
      </c>
      <c r="C212" s="52">
        <v>2302.6</v>
      </c>
      <c r="D212" s="52">
        <v>1723.2</v>
      </c>
      <c r="E212" s="52">
        <v>1608</v>
      </c>
      <c r="F212" s="52">
        <v>3115.1</v>
      </c>
      <c r="G212" s="52">
        <v>2491.6</v>
      </c>
      <c r="H212" s="52">
        <v>1342</v>
      </c>
      <c r="I212" s="53">
        <v>12860.5</v>
      </c>
      <c r="J212" s="49"/>
    </row>
    <row r="213" spans="1:10" x14ac:dyDescent="0.2">
      <c r="A213" s="50">
        <f t="shared" si="3"/>
        <v>42947</v>
      </c>
      <c r="B213" s="51">
        <v>4037.6</v>
      </c>
      <c r="C213" s="52">
        <v>3200.2</v>
      </c>
      <c r="D213" s="52">
        <v>2284.8000000000002</v>
      </c>
      <c r="E213" s="52">
        <v>2009.3</v>
      </c>
      <c r="F213" s="52">
        <v>3287.8</v>
      </c>
      <c r="G213" s="52">
        <v>3630.5</v>
      </c>
      <c r="H213" s="52">
        <v>1997.5</v>
      </c>
      <c r="I213" s="53">
        <v>16452.699999999997</v>
      </c>
      <c r="J213" s="49"/>
    </row>
    <row r="214" spans="1:10" x14ac:dyDescent="0.2">
      <c r="A214" s="50">
        <f t="shared" si="3"/>
        <v>42948</v>
      </c>
      <c r="B214" s="51">
        <v>4138.8999999999996</v>
      </c>
      <c r="C214" s="52">
        <v>3162.1</v>
      </c>
      <c r="D214" s="52">
        <v>2502.8000000000002</v>
      </c>
      <c r="E214" s="52">
        <v>2041.6</v>
      </c>
      <c r="F214" s="52">
        <v>3496.8</v>
      </c>
      <c r="G214" s="52">
        <v>4038.3</v>
      </c>
      <c r="H214" s="52">
        <v>2039.7000000000003</v>
      </c>
      <c r="I214" s="53">
        <v>17340.8</v>
      </c>
      <c r="J214" s="49"/>
    </row>
    <row r="215" spans="1:10" x14ac:dyDescent="0.2">
      <c r="A215" s="50">
        <f t="shared" si="3"/>
        <v>42949</v>
      </c>
      <c r="B215" s="51">
        <v>4007.5</v>
      </c>
      <c r="C215" s="52">
        <v>3291.4</v>
      </c>
      <c r="D215" s="52">
        <v>2474.3000000000002</v>
      </c>
      <c r="E215" s="52">
        <v>1995.3</v>
      </c>
      <c r="F215" s="52">
        <v>3817.2</v>
      </c>
      <c r="G215" s="52">
        <v>4584.8</v>
      </c>
      <c r="H215" s="52">
        <v>2106.1000000000004</v>
      </c>
      <c r="I215" s="53">
        <v>18064.400000000001</v>
      </c>
      <c r="J215" s="49"/>
    </row>
    <row r="216" spans="1:10" x14ac:dyDescent="0.2">
      <c r="A216" s="50">
        <f t="shared" si="3"/>
        <v>42950</v>
      </c>
      <c r="B216" s="51">
        <v>3363.63</v>
      </c>
      <c r="C216" s="52">
        <v>3134.96</v>
      </c>
      <c r="D216" s="52">
        <v>2470.4299999999998</v>
      </c>
      <c r="E216" s="52">
        <v>1215.28</v>
      </c>
      <c r="F216" s="52">
        <v>2344.86</v>
      </c>
      <c r="G216" s="52">
        <v>4606.95</v>
      </c>
      <c r="H216" s="52">
        <v>2389.38</v>
      </c>
      <c r="I216" s="53">
        <v>14746.73</v>
      </c>
      <c r="J216" s="49"/>
    </row>
    <row r="217" spans="1:10" x14ac:dyDescent="0.2">
      <c r="A217" s="50">
        <f t="shared" si="3"/>
        <v>42951</v>
      </c>
      <c r="B217" s="51">
        <v>3518.8</v>
      </c>
      <c r="C217" s="52">
        <v>2903.8</v>
      </c>
      <c r="D217" s="52">
        <v>2384.4</v>
      </c>
      <c r="E217" s="52">
        <v>2410.5</v>
      </c>
      <c r="F217" s="52">
        <v>2955.5</v>
      </c>
      <c r="G217" s="52">
        <v>2959.3</v>
      </c>
      <c r="H217" s="52">
        <v>1823.9</v>
      </c>
      <c r="I217" s="53">
        <v>15308.4</v>
      </c>
      <c r="J217" s="49"/>
    </row>
    <row r="218" spans="1:10" x14ac:dyDescent="0.2">
      <c r="A218" s="50">
        <f t="shared" si="3"/>
        <v>42952</v>
      </c>
      <c r="B218" s="51">
        <v>3319.3</v>
      </c>
      <c r="C218" s="52">
        <v>2836.1</v>
      </c>
      <c r="D218" s="52">
        <v>2115.4</v>
      </c>
      <c r="E218" s="52">
        <v>1170.4000000000001</v>
      </c>
      <c r="F218" s="52">
        <v>1955</v>
      </c>
      <c r="G218" s="52">
        <v>1813.4</v>
      </c>
      <c r="H218" s="52">
        <v>869.3</v>
      </c>
      <c r="I218" s="53">
        <v>12340.3</v>
      </c>
      <c r="J218" s="49"/>
    </row>
    <row r="219" spans="1:10" x14ac:dyDescent="0.2">
      <c r="A219" s="50">
        <f t="shared" si="3"/>
        <v>42953</v>
      </c>
      <c r="B219" s="51">
        <v>3181.7</v>
      </c>
      <c r="C219" s="52">
        <v>2690.8</v>
      </c>
      <c r="D219" s="52">
        <v>2197.1</v>
      </c>
      <c r="E219" s="52">
        <v>1136.4000000000001</v>
      </c>
      <c r="F219" s="52">
        <v>1928</v>
      </c>
      <c r="G219" s="52">
        <v>1974.9</v>
      </c>
      <c r="H219" s="52">
        <v>1024.5999999999999</v>
      </c>
      <c r="I219" s="53">
        <v>12084.3</v>
      </c>
      <c r="J219" s="49"/>
    </row>
    <row r="220" spans="1:10" x14ac:dyDescent="0.2">
      <c r="A220" s="50">
        <f t="shared" si="3"/>
        <v>42954</v>
      </c>
      <c r="B220" s="51">
        <v>3681.1</v>
      </c>
      <c r="C220" s="52">
        <v>3075.7</v>
      </c>
      <c r="D220" s="52">
        <v>2291.9</v>
      </c>
      <c r="E220" s="52">
        <v>1870.1</v>
      </c>
      <c r="F220" s="52">
        <v>3763.2</v>
      </c>
      <c r="G220" s="52">
        <v>4046.1</v>
      </c>
      <c r="H220" s="52">
        <v>1975.5999999999997</v>
      </c>
      <c r="I220" s="53">
        <v>16752.5</v>
      </c>
      <c r="J220" s="49"/>
    </row>
    <row r="221" spans="1:10" x14ac:dyDescent="0.2">
      <c r="A221" s="50">
        <f t="shared" si="3"/>
        <v>42955</v>
      </c>
      <c r="B221" s="51">
        <v>3638.1</v>
      </c>
      <c r="C221" s="52">
        <v>3096.2</v>
      </c>
      <c r="D221" s="52">
        <v>2492.1999999999998</v>
      </c>
      <c r="E221" s="52">
        <v>1775.6</v>
      </c>
      <c r="F221" s="52">
        <v>3007.2</v>
      </c>
      <c r="G221" s="52">
        <v>4489.3999999999996</v>
      </c>
      <c r="H221" s="52">
        <v>2168.7000000000003</v>
      </c>
      <c r="I221" s="53">
        <v>16329.999999999996</v>
      </c>
      <c r="J221" s="49"/>
    </row>
    <row r="222" spans="1:10" x14ac:dyDescent="0.2">
      <c r="A222" s="50">
        <f t="shared" si="3"/>
        <v>42956</v>
      </c>
      <c r="B222" s="51">
        <v>3273.1</v>
      </c>
      <c r="C222" s="52">
        <v>3220.5</v>
      </c>
      <c r="D222" s="52">
        <v>2306.8000000000002</v>
      </c>
      <c r="E222" s="52">
        <v>1417.1</v>
      </c>
      <c r="F222" s="52">
        <v>2331.4</v>
      </c>
      <c r="G222" s="52">
        <v>3797.3</v>
      </c>
      <c r="H222" s="52">
        <v>1789.5</v>
      </c>
      <c r="I222" s="53">
        <v>14556.7</v>
      </c>
      <c r="J222" s="49"/>
    </row>
    <row r="223" spans="1:10" x14ac:dyDescent="0.2">
      <c r="A223" s="50">
        <f t="shared" si="3"/>
        <v>42957</v>
      </c>
      <c r="B223" s="51">
        <v>3375.03</v>
      </c>
      <c r="C223" s="52">
        <v>3221.12</v>
      </c>
      <c r="D223" s="52">
        <v>2378.4</v>
      </c>
      <c r="E223" s="52">
        <v>1341.34</v>
      </c>
      <c r="F223" s="52">
        <v>2481.3000000000002</v>
      </c>
      <c r="G223" s="52">
        <v>3646.8</v>
      </c>
      <c r="H223" s="52">
        <v>1832.0000000000002</v>
      </c>
      <c r="I223" s="53">
        <v>14611.989999999998</v>
      </c>
      <c r="J223" s="49"/>
    </row>
    <row r="224" spans="1:10" x14ac:dyDescent="0.2">
      <c r="A224" s="50">
        <f t="shared" ref="A224:A287" si="4">A223+1</f>
        <v>42958</v>
      </c>
      <c r="B224" s="51">
        <v>2902.83</v>
      </c>
      <c r="C224" s="52">
        <v>2667.72</v>
      </c>
      <c r="D224" s="52">
        <v>1932.63</v>
      </c>
      <c r="E224" s="52">
        <v>1083.21</v>
      </c>
      <c r="F224" s="52">
        <v>2081.46</v>
      </c>
      <c r="G224" s="52">
        <v>3130.7</v>
      </c>
      <c r="H224" s="52">
        <v>1840.06</v>
      </c>
      <c r="I224" s="53">
        <v>11958.49</v>
      </c>
      <c r="J224" s="49"/>
    </row>
    <row r="225" spans="1:10" x14ac:dyDescent="0.2">
      <c r="A225" s="50">
        <f t="shared" si="4"/>
        <v>42959</v>
      </c>
      <c r="B225" s="51">
        <v>3128</v>
      </c>
      <c r="C225" s="52">
        <v>2444</v>
      </c>
      <c r="D225" s="52">
        <v>1967</v>
      </c>
      <c r="E225" s="52">
        <v>1892.6</v>
      </c>
      <c r="F225" s="52">
        <v>2548</v>
      </c>
      <c r="G225" s="52">
        <v>1790</v>
      </c>
      <c r="H225" s="52">
        <v>870.4</v>
      </c>
      <c r="I225" s="53">
        <v>12899.2</v>
      </c>
      <c r="J225" s="49"/>
    </row>
    <row r="226" spans="1:10" x14ac:dyDescent="0.2">
      <c r="A226" s="50">
        <f t="shared" si="4"/>
        <v>42960</v>
      </c>
      <c r="B226" s="51">
        <v>3108.6</v>
      </c>
      <c r="C226" s="52">
        <v>2531.6</v>
      </c>
      <c r="D226" s="52">
        <v>1828.5</v>
      </c>
      <c r="E226" s="52">
        <v>994.4</v>
      </c>
      <c r="F226" s="52">
        <v>1781.8</v>
      </c>
      <c r="G226" s="52">
        <v>1847.4</v>
      </c>
      <c r="H226" s="52">
        <v>801.19999999999993</v>
      </c>
      <c r="I226" s="53">
        <v>11291.099999999999</v>
      </c>
      <c r="J226" s="49"/>
    </row>
    <row r="227" spans="1:10" x14ac:dyDescent="0.2">
      <c r="A227" s="50">
        <f t="shared" si="4"/>
        <v>42961</v>
      </c>
      <c r="B227" s="51">
        <v>3926</v>
      </c>
      <c r="C227" s="52">
        <v>3214</v>
      </c>
      <c r="D227" s="52">
        <v>2155.5</v>
      </c>
      <c r="E227" s="52">
        <v>1798.7</v>
      </c>
      <c r="F227" s="52">
        <v>3423.8</v>
      </c>
      <c r="G227" s="52">
        <v>3886.8</v>
      </c>
      <c r="H227" s="52">
        <v>2005.7</v>
      </c>
      <c r="I227" s="53">
        <v>16399.099999999999</v>
      </c>
      <c r="J227" s="49"/>
    </row>
    <row r="228" spans="1:10" x14ac:dyDescent="0.2">
      <c r="A228" s="50">
        <f t="shared" si="4"/>
        <v>42962</v>
      </c>
      <c r="B228" s="51">
        <v>3378</v>
      </c>
      <c r="C228" s="52">
        <v>2898.2</v>
      </c>
      <c r="D228" s="52">
        <v>2068</v>
      </c>
      <c r="E228" s="52">
        <v>1188.5</v>
      </c>
      <c r="F228" s="52">
        <v>2079.6999999999998</v>
      </c>
      <c r="G228" s="52">
        <v>4232</v>
      </c>
      <c r="H228" s="52">
        <v>2113.7000000000003</v>
      </c>
      <c r="I228" s="53">
        <v>13730.7</v>
      </c>
      <c r="J228" s="49"/>
    </row>
    <row r="229" spans="1:10" x14ac:dyDescent="0.2">
      <c r="A229" s="50">
        <f t="shared" si="4"/>
        <v>42963</v>
      </c>
      <c r="B229" s="51">
        <v>3634.2</v>
      </c>
      <c r="C229" s="52">
        <v>2718.9</v>
      </c>
      <c r="D229" s="52">
        <v>2378.3000000000002</v>
      </c>
      <c r="E229" s="52">
        <v>1924</v>
      </c>
      <c r="F229" s="52">
        <v>2632.9</v>
      </c>
      <c r="G229" s="52">
        <v>3967.5</v>
      </c>
      <c r="H229" s="52">
        <v>2003.9</v>
      </c>
      <c r="I229" s="53">
        <v>15251.900000000003</v>
      </c>
      <c r="J229" s="49"/>
    </row>
    <row r="230" spans="1:10" x14ac:dyDescent="0.2">
      <c r="A230" s="50">
        <f t="shared" si="4"/>
        <v>42964</v>
      </c>
      <c r="B230" s="51">
        <v>3336.13</v>
      </c>
      <c r="C230" s="52">
        <v>2823.19</v>
      </c>
      <c r="D230" s="52">
        <v>2174.58</v>
      </c>
      <c r="E230" s="52">
        <v>1212.3499999999999</v>
      </c>
      <c r="F230" s="52">
        <v>2123.46</v>
      </c>
      <c r="G230" s="52">
        <v>3957.9</v>
      </c>
      <c r="H230" s="52">
        <v>2036.9300000000003</v>
      </c>
      <c r="I230" s="53">
        <v>13590.679999999998</v>
      </c>
      <c r="J230" s="49"/>
    </row>
    <row r="231" spans="1:10" x14ac:dyDescent="0.2">
      <c r="A231" s="50">
        <f t="shared" si="4"/>
        <v>42965</v>
      </c>
      <c r="B231" s="51">
        <v>2537</v>
      </c>
      <c r="C231" s="52">
        <v>2404.8000000000002</v>
      </c>
      <c r="D231" s="52">
        <v>1842</v>
      </c>
      <c r="E231" s="52">
        <v>998.6</v>
      </c>
      <c r="F231" s="52">
        <v>1555</v>
      </c>
      <c r="G231" s="52">
        <v>2963</v>
      </c>
      <c r="H231" s="52">
        <v>1846.2</v>
      </c>
      <c r="I231" s="53">
        <v>10454.200000000001</v>
      </c>
      <c r="J231" s="49"/>
    </row>
    <row r="232" spans="1:10" x14ac:dyDescent="0.2">
      <c r="A232" s="50">
        <f t="shared" si="4"/>
        <v>42966</v>
      </c>
      <c r="B232" s="51">
        <v>1488.4</v>
      </c>
      <c r="C232" s="52">
        <v>584.20000000000005</v>
      </c>
      <c r="D232" s="52">
        <v>756</v>
      </c>
      <c r="E232" s="52">
        <v>739.5</v>
      </c>
      <c r="F232" s="52">
        <v>1582</v>
      </c>
      <c r="G232" s="52">
        <v>2442</v>
      </c>
      <c r="H232" s="52">
        <v>1216.6000000000001</v>
      </c>
      <c r="I232" s="53">
        <v>6375.5</v>
      </c>
      <c r="J232" s="49"/>
    </row>
    <row r="233" spans="1:10" x14ac:dyDescent="0.2">
      <c r="A233" s="50">
        <f t="shared" si="4"/>
        <v>42967</v>
      </c>
      <c r="B233" s="51">
        <v>1135.5999999999999</v>
      </c>
      <c r="C233" s="52">
        <v>550.6</v>
      </c>
      <c r="D233" s="52">
        <v>556</v>
      </c>
      <c r="E233" s="52">
        <v>42.1</v>
      </c>
      <c r="F233" s="52">
        <v>150</v>
      </c>
      <c r="G233" s="52">
        <v>2322.5</v>
      </c>
      <c r="H233" s="52">
        <v>1072</v>
      </c>
      <c r="I233" s="53">
        <v>3684.7999999999993</v>
      </c>
      <c r="J233" s="49"/>
    </row>
    <row r="234" spans="1:10" x14ac:dyDescent="0.2">
      <c r="A234" s="50">
        <f t="shared" si="4"/>
        <v>42968</v>
      </c>
      <c r="B234" s="51">
        <v>3592.5</v>
      </c>
      <c r="C234" s="52">
        <v>3127.2</v>
      </c>
      <c r="D234" s="52">
        <v>2197</v>
      </c>
      <c r="E234" s="52">
        <v>1462.3</v>
      </c>
      <c r="F234" s="52">
        <v>2584.8000000000002</v>
      </c>
      <c r="G234" s="52">
        <v>3787.5</v>
      </c>
      <c r="H234" s="52">
        <v>1967.5</v>
      </c>
      <c r="I234" s="53">
        <v>14783.8</v>
      </c>
      <c r="J234" s="49"/>
    </row>
    <row r="235" spans="1:10" x14ac:dyDescent="0.2">
      <c r="A235" s="50">
        <f t="shared" si="4"/>
        <v>42969</v>
      </c>
      <c r="B235" s="51">
        <v>3753.9</v>
      </c>
      <c r="C235" s="52">
        <v>3220.7</v>
      </c>
      <c r="D235" s="52">
        <v>2116.4</v>
      </c>
      <c r="E235" s="52">
        <v>2181.4</v>
      </c>
      <c r="F235" s="52">
        <v>2955</v>
      </c>
      <c r="G235" s="52">
        <v>3730.7</v>
      </c>
      <c r="H235" s="52">
        <v>1872.5</v>
      </c>
      <c r="I235" s="53">
        <v>16085.599999999999</v>
      </c>
      <c r="J235" s="49"/>
    </row>
    <row r="236" spans="1:10" x14ac:dyDescent="0.2">
      <c r="A236" s="50">
        <f t="shared" si="4"/>
        <v>42970</v>
      </c>
      <c r="B236" s="51">
        <v>3556.1</v>
      </c>
      <c r="C236" s="52">
        <v>3184.3</v>
      </c>
      <c r="D236" s="52">
        <v>2219.6999999999998</v>
      </c>
      <c r="E236" s="52">
        <v>1270.3</v>
      </c>
      <c r="F236" s="52">
        <v>2336.8000000000002</v>
      </c>
      <c r="G236" s="52">
        <v>4071.8</v>
      </c>
      <c r="H236" s="52">
        <v>1951.6999999999998</v>
      </c>
      <c r="I236" s="53">
        <v>14687.299999999996</v>
      </c>
      <c r="J236" s="49"/>
    </row>
    <row r="237" spans="1:10" x14ac:dyDescent="0.2">
      <c r="A237" s="50">
        <f t="shared" si="4"/>
        <v>42971</v>
      </c>
      <c r="B237" s="51">
        <v>3948.88</v>
      </c>
      <c r="C237" s="52">
        <v>3007.16</v>
      </c>
      <c r="D237" s="52">
        <v>2120.7800000000002</v>
      </c>
      <c r="E237" s="52">
        <v>1750.4</v>
      </c>
      <c r="F237" s="52">
        <v>4055.88</v>
      </c>
      <c r="G237" s="52">
        <v>4483.1499999999996</v>
      </c>
      <c r="H237" s="52">
        <v>2117.5600000000004</v>
      </c>
      <c r="I237" s="53">
        <v>17248.689999999999</v>
      </c>
      <c r="J237" s="49"/>
    </row>
    <row r="238" spans="1:10" x14ac:dyDescent="0.2">
      <c r="A238" s="50">
        <f t="shared" si="4"/>
        <v>42972</v>
      </c>
      <c r="B238" s="51">
        <v>3709.43</v>
      </c>
      <c r="C238" s="52">
        <v>3218.87</v>
      </c>
      <c r="D238" s="52">
        <v>2129.06</v>
      </c>
      <c r="E238" s="52">
        <v>982.98</v>
      </c>
      <c r="F238" s="52">
        <v>4247.12</v>
      </c>
      <c r="G238" s="52">
        <v>3572.94</v>
      </c>
      <c r="H238" s="52">
        <v>1957.1999999999998</v>
      </c>
      <c r="I238" s="53">
        <v>15903.199999999997</v>
      </c>
      <c r="J238" s="49"/>
    </row>
    <row r="239" spans="1:10" x14ac:dyDescent="0.2">
      <c r="A239" s="50">
        <f t="shared" si="4"/>
        <v>42973</v>
      </c>
      <c r="B239" s="51">
        <v>3252.11</v>
      </c>
      <c r="C239" s="52">
        <v>3049.48</v>
      </c>
      <c r="D239" s="52">
        <v>2258.29</v>
      </c>
      <c r="E239" s="52">
        <v>505.7</v>
      </c>
      <c r="F239" s="52">
        <v>2989.69</v>
      </c>
      <c r="G239" s="52">
        <v>2224.96</v>
      </c>
      <c r="H239" s="52">
        <v>1028.67</v>
      </c>
      <c r="I239" s="53">
        <v>13251.560000000003</v>
      </c>
      <c r="J239" s="49"/>
    </row>
    <row r="240" spans="1:10" x14ac:dyDescent="0.2">
      <c r="A240" s="50">
        <f t="shared" si="4"/>
        <v>42974</v>
      </c>
      <c r="B240" s="51">
        <v>2599.0100000000002</v>
      </c>
      <c r="C240" s="52">
        <v>2164.04</v>
      </c>
      <c r="D240" s="52">
        <v>1819.54</v>
      </c>
      <c r="E240" s="52">
        <v>429.47</v>
      </c>
      <c r="F240" s="52">
        <v>2666.86</v>
      </c>
      <c r="G240" s="52">
        <v>1748.57</v>
      </c>
      <c r="H240" s="52">
        <v>799.56000000000006</v>
      </c>
      <c r="I240" s="53">
        <v>10627.93</v>
      </c>
      <c r="J240" s="49"/>
    </row>
    <row r="241" spans="1:10" x14ac:dyDescent="0.2">
      <c r="A241" s="50">
        <f t="shared" si="4"/>
        <v>42975</v>
      </c>
      <c r="B241" s="51">
        <v>1645.26</v>
      </c>
      <c r="C241" s="52">
        <v>1675.1</v>
      </c>
      <c r="D241" s="52">
        <v>910.94</v>
      </c>
      <c r="E241" s="52">
        <v>138.13999999999999</v>
      </c>
      <c r="F241" s="52">
        <v>1368.99</v>
      </c>
      <c r="G241" s="52">
        <v>2751.09</v>
      </c>
      <c r="H241" s="52">
        <v>1539.3600000000001</v>
      </c>
      <c r="I241" s="53">
        <v>6950.16</v>
      </c>
      <c r="J241" s="49"/>
    </row>
    <row r="242" spans="1:10" x14ac:dyDescent="0.2">
      <c r="A242" s="50">
        <f t="shared" si="4"/>
        <v>42976</v>
      </c>
      <c r="B242" s="51">
        <v>2027</v>
      </c>
      <c r="C242" s="52">
        <v>1679</v>
      </c>
      <c r="D242" s="52">
        <v>989.5</v>
      </c>
      <c r="E242" s="52">
        <v>1079.3</v>
      </c>
      <c r="F242" s="52">
        <v>1933.2</v>
      </c>
      <c r="G242" s="52">
        <v>3087.9</v>
      </c>
      <c r="H242" s="52">
        <v>1695</v>
      </c>
      <c r="I242" s="53">
        <v>9100.9</v>
      </c>
      <c r="J242" s="49"/>
    </row>
    <row r="243" spans="1:10" x14ac:dyDescent="0.2">
      <c r="A243" s="50">
        <f t="shared" si="4"/>
        <v>42977</v>
      </c>
      <c r="B243" s="51">
        <v>3810.8</v>
      </c>
      <c r="C243" s="52">
        <v>2006.8</v>
      </c>
      <c r="D243" s="52">
        <v>1688.2</v>
      </c>
      <c r="E243" s="52">
        <v>1234.5999999999999</v>
      </c>
      <c r="F243" s="52">
        <v>3918</v>
      </c>
      <c r="G243" s="52">
        <v>4189.1000000000004</v>
      </c>
      <c r="H243" s="52">
        <v>2195.4</v>
      </c>
      <c r="I243" s="53">
        <v>14652.1</v>
      </c>
      <c r="J243" s="49"/>
    </row>
    <row r="244" spans="1:10" x14ac:dyDescent="0.2">
      <c r="A244" s="50">
        <f t="shared" si="4"/>
        <v>42978</v>
      </c>
      <c r="B244" s="51">
        <v>3753.28</v>
      </c>
      <c r="C244" s="52">
        <v>2049.17</v>
      </c>
      <c r="D244" s="52">
        <v>2110.71</v>
      </c>
      <c r="E244" s="52">
        <v>958.86</v>
      </c>
      <c r="F244" s="52">
        <v>3202.06</v>
      </c>
      <c r="G244" s="52">
        <v>4121.8999999999996</v>
      </c>
      <c r="H244" s="52">
        <v>2219.3200000000002</v>
      </c>
      <c r="I244" s="53">
        <v>13976.66</v>
      </c>
      <c r="J244" s="49"/>
    </row>
    <row r="245" spans="1:10" x14ac:dyDescent="0.2">
      <c r="A245" s="50">
        <f t="shared" si="4"/>
        <v>42979</v>
      </c>
      <c r="B245" s="51">
        <v>3736.53</v>
      </c>
      <c r="C245" s="52">
        <v>1933.55</v>
      </c>
      <c r="D245" s="52">
        <v>1867.39</v>
      </c>
      <c r="E245" s="52">
        <v>303.42</v>
      </c>
      <c r="F245" s="52">
        <v>2710.72</v>
      </c>
      <c r="G245" s="52">
        <v>3250.97</v>
      </c>
      <c r="H245" s="52">
        <v>2095.61</v>
      </c>
      <c r="I245" s="53">
        <v>11706.97</v>
      </c>
      <c r="J245" s="49"/>
    </row>
    <row r="246" spans="1:10" x14ac:dyDescent="0.2">
      <c r="A246" s="50">
        <f t="shared" si="4"/>
        <v>42980</v>
      </c>
      <c r="B246" s="51">
        <v>2266</v>
      </c>
      <c r="C246" s="52">
        <v>1342.7</v>
      </c>
      <c r="D246" s="52">
        <v>1005</v>
      </c>
      <c r="E246" s="52">
        <v>739</v>
      </c>
      <c r="F246" s="52">
        <v>3085</v>
      </c>
      <c r="G246" s="52">
        <v>2465</v>
      </c>
      <c r="H246" s="52">
        <v>1387.4</v>
      </c>
      <c r="I246" s="53">
        <v>9515.3000000000011</v>
      </c>
      <c r="J246" s="49"/>
    </row>
    <row r="247" spans="1:10" x14ac:dyDescent="0.2">
      <c r="A247" s="50">
        <f t="shared" si="4"/>
        <v>42981</v>
      </c>
      <c r="B247" s="51">
        <v>1477.5</v>
      </c>
      <c r="C247" s="52">
        <v>455.3</v>
      </c>
      <c r="D247" s="52">
        <v>370</v>
      </c>
      <c r="E247" s="52">
        <v>38</v>
      </c>
      <c r="F247" s="52">
        <v>152</v>
      </c>
      <c r="G247" s="52">
        <v>2359.5</v>
      </c>
      <c r="H247" s="52">
        <v>1259.5999999999999</v>
      </c>
      <c r="I247" s="53">
        <v>3592.7000000000003</v>
      </c>
      <c r="J247" s="49"/>
    </row>
    <row r="248" spans="1:10" x14ac:dyDescent="0.2">
      <c r="A248" s="50">
        <f t="shared" si="4"/>
        <v>42982</v>
      </c>
      <c r="B248" s="51">
        <v>3937.5</v>
      </c>
      <c r="C248" s="52">
        <v>2172</v>
      </c>
      <c r="D248" s="52">
        <v>2002</v>
      </c>
      <c r="E248" s="52">
        <v>612</v>
      </c>
      <c r="F248" s="52">
        <v>3254</v>
      </c>
      <c r="G248" s="52">
        <v>4123</v>
      </c>
      <c r="H248" s="52">
        <v>2101.65</v>
      </c>
      <c r="I248" s="53">
        <v>13998.85</v>
      </c>
      <c r="J248" s="49"/>
    </row>
    <row r="249" spans="1:10" x14ac:dyDescent="0.2">
      <c r="A249" s="50">
        <f t="shared" si="4"/>
        <v>42983</v>
      </c>
      <c r="B249" s="51">
        <v>4073</v>
      </c>
      <c r="C249" s="52">
        <v>2149</v>
      </c>
      <c r="D249" s="52">
        <v>2199.5</v>
      </c>
      <c r="E249" s="52">
        <v>382</v>
      </c>
      <c r="F249" s="52">
        <v>3056</v>
      </c>
      <c r="G249" s="52">
        <v>4474</v>
      </c>
      <c r="H249" s="52">
        <v>2383</v>
      </c>
      <c r="I249" s="53">
        <v>13950.5</v>
      </c>
      <c r="J249" s="49"/>
    </row>
    <row r="250" spans="1:10" x14ac:dyDescent="0.2">
      <c r="A250" s="50">
        <f t="shared" si="4"/>
        <v>42984</v>
      </c>
      <c r="B250" s="51">
        <v>4300</v>
      </c>
      <c r="C250" s="52">
        <v>2277</v>
      </c>
      <c r="D250" s="52">
        <v>2197.6</v>
      </c>
      <c r="E250" s="52">
        <v>639</v>
      </c>
      <c r="F250" s="52">
        <v>3334.6</v>
      </c>
      <c r="G250" s="52">
        <v>4494</v>
      </c>
      <c r="H250" s="52">
        <v>2210</v>
      </c>
      <c r="I250" s="53">
        <v>15032.2</v>
      </c>
      <c r="J250" s="49"/>
    </row>
    <row r="251" spans="1:10" x14ac:dyDescent="0.2">
      <c r="A251" s="50">
        <f t="shared" si="4"/>
        <v>42985</v>
      </c>
      <c r="B251" s="51">
        <v>4119.2299999999996</v>
      </c>
      <c r="C251" s="52">
        <v>2284.1999999999998</v>
      </c>
      <c r="D251" s="52">
        <v>2004.18</v>
      </c>
      <c r="E251" s="52">
        <v>597.29999999999995</v>
      </c>
      <c r="F251" s="52">
        <v>3092.73</v>
      </c>
      <c r="G251" s="52">
        <v>4556.95</v>
      </c>
      <c r="H251" s="52">
        <v>2252.0499999999997</v>
      </c>
      <c r="I251" s="53">
        <v>14402.539999999997</v>
      </c>
      <c r="J251" s="49"/>
    </row>
    <row r="252" spans="1:10" x14ac:dyDescent="0.2">
      <c r="A252" s="50">
        <f t="shared" si="4"/>
        <v>42986</v>
      </c>
      <c r="B252" s="51">
        <v>4302.2299999999996</v>
      </c>
      <c r="C252" s="52">
        <v>2094.27</v>
      </c>
      <c r="D252" s="52">
        <v>2061.2399999999998</v>
      </c>
      <c r="E252" s="52">
        <v>1972.67</v>
      </c>
      <c r="F252" s="52">
        <v>4181.28</v>
      </c>
      <c r="G252" s="52">
        <v>4139.03</v>
      </c>
      <c r="H252" s="52">
        <v>2203.7800000000002</v>
      </c>
      <c r="I252" s="53">
        <v>16546.939999999999</v>
      </c>
      <c r="J252" s="49"/>
    </row>
    <row r="253" spans="1:10" x14ac:dyDescent="0.2">
      <c r="A253" s="50">
        <f t="shared" si="4"/>
        <v>42987</v>
      </c>
      <c r="B253" s="51">
        <v>4262.09</v>
      </c>
      <c r="C253" s="52">
        <v>1984.92</v>
      </c>
      <c r="D253" s="52">
        <v>2050.0300000000002</v>
      </c>
      <c r="E253" s="52">
        <v>2427.84</v>
      </c>
      <c r="F253" s="52">
        <v>3358.86</v>
      </c>
      <c r="G253" s="52">
        <v>2860.28</v>
      </c>
      <c r="H253" s="52">
        <v>1126.2800000000002</v>
      </c>
      <c r="I253" s="53">
        <v>15817.74</v>
      </c>
      <c r="J253" s="49"/>
    </row>
    <row r="254" spans="1:10" x14ac:dyDescent="0.2">
      <c r="A254" s="50">
        <f t="shared" si="4"/>
        <v>42988</v>
      </c>
      <c r="B254" s="51">
        <v>4142</v>
      </c>
      <c r="C254" s="52">
        <v>2002</v>
      </c>
      <c r="D254" s="52">
        <v>2037</v>
      </c>
      <c r="E254" s="52">
        <v>1470</v>
      </c>
      <c r="F254" s="52">
        <v>2712</v>
      </c>
      <c r="G254" s="52">
        <v>2636</v>
      </c>
      <c r="H254" s="52">
        <v>1009.5</v>
      </c>
      <c r="I254" s="53">
        <v>13989.5</v>
      </c>
      <c r="J254" s="49"/>
    </row>
    <row r="255" spans="1:10" x14ac:dyDescent="0.2">
      <c r="A255" s="50">
        <f t="shared" si="4"/>
        <v>42989</v>
      </c>
      <c r="B255" s="51">
        <v>4452.1099999999997</v>
      </c>
      <c r="C255" s="52">
        <v>2622.85</v>
      </c>
      <c r="D255" s="52">
        <v>2303.8000000000002</v>
      </c>
      <c r="E255" s="52">
        <v>773.87</v>
      </c>
      <c r="F255" s="52">
        <v>3191.67</v>
      </c>
      <c r="G255" s="52">
        <v>4510.1099999999997</v>
      </c>
      <c r="H255" s="52">
        <v>2340.0199999999995</v>
      </c>
      <c r="I255" s="53">
        <v>15514.39</v>
      </c>
      <c r="J255" s="49"/>
    </row>
    <row r="256" spans="1:10" x14ac:dyDescent="0.2">
      <c r="A256" s="50">
        <f t="shared" si="4"/>
        <v>42990</v>
      </c>
      <c r="B256" s="51">
        <v>4522.24</v>
      </c>
      <c r="C256" s="52">
        <v>2616.9499999999998</v>
      </c>
      <c r="D256" s="52">
        <v>2317.7199999999998</v>
      </c>
      <c r="E256" s="52">
        <v>511.26</v>
      </c>
      <c r="F256" s="52">
        <v>2757.98</v>
      </c>
      <c r="G256" s="52">
        <v>4732.6899999999996</v>
      </c>
      <c r="H256" s="52">
        <v>2296.11</v>
      </c>
      <c r="I256" s="53">
        <v>15162.73</v>
      </c>
      <c r="J256" s="49"/>
    </row>
    <row r="257" spans="1:10" x14ac:dyDescent="0.2">
      <c r="A257" s="50">
        <f t="shared" si="4"/>
        <v>42991</v>
      </c>
      <c r="B257" s="51">
        <v>4885.5</v>
      </c>
      <c r="C257" s="52">
        <v>2548</v>
      </c>
      <c r="D257" s="52">
        <v>2346</v>
      </c>
      <c r="E257" s="52">
        <v>1549</v>
      </c>
      <c r="F257" s="52">
        <v>3814</v>
      </c>
      <c r="G257" s="52">
        <v>4889</v>
      </c>
      <c r="H257" s="52">
        <v>2327.6000000000004</v>
      </c>
      <c r="I257" s="53">
        <v>17703.900000000001</v>
      </c>
      <c r="J257" s="49"/>
    </row>
    <row r="258" spans="1:10" x14ac:dyDescent="0.2">
      <c r="A258" s="50">
        <f t="shared" si="4"/>
        <v>42992</v>
      </c>
      <c r="B258" s="51">
        <v>4354.95</v>
      </c>
      <c r="C258" s="52">
        <v>2374.21</v>
      </c>
      <c r="D258" s="52">
        <v>2265.75</v>
      </c>
      <c r="E258" s="52">
        <v>940.59</v>
      </c>
      <c r="F258" s="52">
        <v>3069.57</v>
      </c>
      <c r="G258" s="52">
        <v>4227.57</v>
      </c>
      <c r="H258" s="52">
        <v>2002.9300000000003</v>
      </c>
      <c r="I258" s="53">
        <v>15229.71</v>
      </c>
      <c r="J258" s="49"/>
    </row>
    <row r="259" spans="1:10" x14ac:dyDescent="0.2">
      <c r="A259" s="50">
        <f t="shared" si="4"/>
        <v>42993</v>
      </c>
      <c r="B259" s="51">
        <v>4316.7</v>
      </c>
      <c r="C259" s="52">
        <v>2236.6</v>
      </c>
      <c r="D259" s="52">
        <v>2309.6</v>
      </c>
      <c r="E259" s="52">
        <v>1150.0999999999999</v>
      </c>
      <c r="F259" s="52">
        <v>3280.4</v>
      </c>
      <c r="G259" s="52">
        <v>3689.5</v>
      </c>
      <c r="H259" s="52">
        <v>1951.4</v>
      </c>
      <c r="I259" s="53">
        <v>15031.500000000002</v>
      </c>
      <c r="J259" s="49"/>
    </row>
    <row r="260" spans="1:10" x14ac:dyDescent="0.2">
      <c r="A260" s="50">
        <f t="shared" si="4"/>
        <v>42994</v>
      </c>
      <c r="B260" s="51">
        <v>4227.83</v>
      </c>
      <c r="C260" s="52">
        <v>2331.0500000000002</v>
      </c>
      <c r="D260" s="52">
        <v>1958.16</v>
      </c>
      <c r="E260" s="52">
        <v>2345.29</v>
      </c>
      <c r="F260" s="52">
        <v>3547.68</v>
      </c>
      <c r="G260" s="52">
        <v>2788.51</v>
      </c>
      <c r="H260" s="52">
        <v>1011.8100000000002</v>
      </c>
      <c r="I260" s="53">
        <v>16186.710000000005</v>
      </c>
      <c r="J260" s="49"/>
    </row>
    <row r="261" spans="1:10" x14ac:dyDescent="0.2">
      <c r="A261" s="50">
        <f t="shared" si="4"/>
        <v>42995</v>
      </c>
      <c r="B261" s="51">
        <v>3981</v>
      </c>
      <c r="C261" s="52">
        <v>2293</v>
      </c>
      <c r="D261" s="52">
        <v>1816</v>
      </c>
      <c r="E261" s="52">
        <v>1498</v>
      </c>
      <c r="F261" s="52">
        <v>3481</v>
      </c>
      <c r="G261" s="52">
        <v>2751.5</v>
      </c>
      <c r="H261" s="52">
        <v>944.4</v>
      </c>
      <c r="I261" s="53">
        <v>14876.1</v>
      </c>
      <c r="J261" s="49"/>
    </row>
    <row r="262" spans="1:10" x14ac:dyDescent="0.2">
      <c r="A262" s="50">
        <f t="shared" si="4"/>
        <v>42996</v>
      </c>
      <c r="B262" s="51">
        <v>4538.6000000000004</v>
      </c>
      <c r="C262" s="52">
        <v>2493.6999999999998</v>
      </c>
      <c r="D262" s="52">
        <v>2225.6</v>
      </c>
      <c r="E262" s="52">
        <v>1971.1</v>
      </c>
      <c r="F262" s="52">
        <v>3503</v>
      </c>
      <c r="G262" s="52">
        <v>4698.6000000000004</v>
      </c>
      <c r="H262" s="52">
        <v>2118.3000000000002</v>
      </c>
      <c r="I262" s="53">
        <v>17312.3</v>
      </c>
      <c r="J262" s="49"/>
    </row>
    <row r="263" spans="1:10" x14ac:dyDescent="0.2">
      <c r="A263" s="50">
        <f t="shared" si="4"/>
        <v>42997</v>
      </c>
      <c r="B263" s="51">
        <v>4667</v>
      </c>
      <c r="C263" s="52">
        <v>2739</v>
      </c>
      <c r="D263" s="52">
        <v>2435</v>
      </c>
      <c r="E263" s="52">
        <v>1955</v>
      </c>
      <c r="F263" s="52">
        <v>3590</v>
      </c>
      <c r="G263" s="52">
        <v>4787.6000000000004</v>
      </c>
      <c r="H263" s="52">
        <v>2370.5</v>
      </c>
      <c r="I263" s="53">
        <v>17803.099999999999</v>
      </c>
      <c r="J263" s="49"/>
    </row>
    <row r="264" spans="1:10" x14ac:dyDescent="0.2">
      <c r="A264" s="50">
        <f t="shared" si="4"/>
        <v>42998</v>
      </c>
      <c r="B264" s="51">
        <v>4543</v>
      </c>
      <c r="C264" s="52">
        <v>2765</v>
      </c>
      <c r="D264" s="52">
        <v>2522</v>
      </c>
      <c r="E264" s="52">
        <v>1151</v>
      </c>
      <c r="F264" s="52">
        <v>3172</v>
      </c>
      <c r="G264" s="52">
        <v>4711</v>
      </c>
      <c r="H264" s="52">
        <v>2347.3999999999996</v>
      </c>
      <c r="I264" s="53">
        <v>16516.599999999999</v>
      </c>
      <c r="J264" s="49"/>
    </row>
    <row r="265" spans="1:10" x14ac:dyDescent="0.2">
      <c r="A265" s="50">
        <f t="shared" si="4"/>
        <v>42999</v>
      </c>
      <c r="B265" s="51">
        <v>4270.3599999999997</v>
      </c>
      <c r="C265" s="52">
        <v>2604.71</v>
      </c>
      <c r="D265" s="52">
        <v>2426.09</v>
      </c>
      <c r="E265" s="52">
        <v>1770.58</v>
      </c>
      <c r="F265" s="52">
        <v>3051.78</v>
      </c>
      <c r="G265" s="52">
        <v>4789.16</v>
      </c>
      <c r="H265" s="52">
        <v>2506.7600000000002</v>
      </c>
      <c r="I265" s="53">
        <v>16405.919999999998</v>
      </c>
      <c r="J265" s="49"/>
    </row>
    <row r="266" spans="1:10" x14ac:dyDescent="0.2">
      <c r="A266" s="50">
        <f t="shared" si="4"/>
        <v>43000</v>
      </c>
      <c r="B266" s="51">
        <v>4334.66</v>
      </c>
      <c r="C266" s="52">
        <v>2632.64</v>
      </c>
      <c r="D266" s="52">
        <v>2376.17</v>
      </c>
      <c r="E266" s="52">
        <v>1716</v>
      </c>
      <c r="F266" s="52">
        <v>3008.1</v>
      </c>
      <c r="G266" s="52">
        <v>4626.93</v>
      </c>
      <c r="H266" s="52">
        <v>2207.34</v>
      </c>
      <c r="I266" s="53">
        <v>16487.16</v>
      </c>
      <c r="J266" s="49"/>
    </row>
    <row r="267" spans="1:10" x14ac:dyDescent="0.2">
      <c r="A267" s="50">
        <f t="shared" si="4"/>
        <v>43001</v>
      </c>
      <c r="B267" s="51">
        <v>4765.47</v>
      </c>
      <c r="C267" s="52">
        <v>2399.16</v>
      </c>
      <c r="D267" s="52">
        <v>2390.59</v>
      </c>
      <c r="E267" s="52">
        <v>1584.01</v>
      </c>
      <c r="F267" s="52">
        <v>3354.78</v>
      </c>
      <c r="G267" s="52">
        <v>3734.39</v>
      </c>
      <c r="H267" s="52">
        <v>1436.9799999999998</v>
      </c>
      <c r="I267" s="53">
        <v>16791.420000000002</v>
      </c>
      <c r="J267" s="49"/>
    </row>
    <row r="268" spans="1:10" x14ac:dyDescent="0.2">
      <c r="A268" s="50">
        <f t="shared" si="4"/>
        <v>43002</v>
      </c>
      <c r="B268" s="51">
        <v>4725</v>
      </c>
      <c r="C268" s="52">
        <v>2392</v>
      </c>
      <c r="D268" s="52">
        <v>2265</v>
      </c>
      <c r="E268" s="52">
        <v>1261</v>
      </c>
      <c r="F268" s="52">
        <v>3718</v>
      </c>
      <c r="G268" s="52">
        <v>3282</v>
      </c>
      <c r="H268" s="52">
        <v>1419.6</v>
      </c>
      <c r="I268" s="53">
        <v>16223.4</v>
      </c>
      <c r="J268" s="49"/>
    </row>
    <row r="269" spans="1:10" x14ac:dyDescent="0.2">
      <c r="A269" s="50">
        <f t="shared" si="4"/>
        <v>43003</v>
      </c>
      <c r="B269" s="51">
        <v>5062</v>
      </c>
      <c r="C269" s="52">
        <v>2792.5</v>
      </c>
      <c r="D269" s="52">
        <v>2526</v>
      </c>
      <c r="E269" s="52">
        <v>852.5</v>
      </c>
      <c r="F269" s="52">
        <v>3405</v>
      </c>
      <c r="G269" s="52">
        <v>4899</v>
      </c>
      <c r="H269" s="52">
        <v>2296.3000000000002</v>
      </c>
      <c r="I269" s="53">
        <v>17240.7</v>
      </c>
      <c r="J269" s="49"/>
    </row>
    <row r="270" spans="1:10" x14ac:dyDescent="0.2">
      <c r="A270" s="50">
        <f t="shared" si="4"/>
        <v>43004</v>
      </c>
      <c r="B270" s="51">
        <v>5257.7</v>
      </c>
      <c r="C270" s="52">
        <v>2712.1</v>
      </c>
      <c r="D270" s="52">
        <v>2594.5</v>
      </c>
      <c r="E270" s="52">
        <v>2522.1999999999998</v>
      </c>
      <c r="F270" s="52">
        <v>4170.2</v>
      </c>
      <c r="G270" s="52">
        <v>4984.5</v>
      </c>
      <c r="H270" s="52">
        <v>2212.4</v>
      </c>
      <c r="I270" s="53">
        <v>20028.8</v>
      </c>
      <c r="J270" s="49"/>
    </row>
    <row r="271" spans="1:10" x14ac:dyDescent="0.2">
      <c r="A271" s="50">
        <f t="shared" si="4"/>
        <v>43005</v>
      </c>
      <c r="B271" s="51">
        <v>5033.37</v>
      </c>
      <c r="C271" s="52">
        <v>2644.6</v>
      </c>
      <c r="D271" s="52">
        <v>2486.35</v>
      </c>
      <c r="E271" s="52">
        <v>2287.4699999999998</v>
      </c>
      <c r="F271" s="52">
        <v>3549.22</v>
      </c>
      <c r="G271" s="52">
        <v>5049.49</v>
      </c>
      <c r="H271" s="52">
        <v>2301.42</v>
      </c>
      <c r="I271" s="53">
        <v>18749.080000000002</v>
      </c>
      <c r="J271" s="49"/>
    </row>
    <row r="272" spans="1:10" x14ac:dyDescent="0.2">
      <c r="A272" s="50">
        <f t="shared" si="4"/>
        <v>43006</v>
      </c>
      <c r="B272" s="51">
        <v>5450.59</v>
      </c>
      <c r="C272" s="52">
        <v>2715.46</v>
      </c>
      <c r="D272" s="52">
        <v>2536.9</v>
      </c>
      <c r="E272" s="52">
        <v>1963.19</v>
      </c>
      <c r="F272" s="52">
        <v>4142.7</v>
      </c>
      <c r="G272" s="52">
        <v>4807.3999999999996</v>
      </c>
      <c r="H272" s="52">
        <v>2395.34</v>
      </c>
      <c r="I272" s="53">
        <v>19220.899999999998</v>
      </c>
      <c r="J272" s="49"/>
    </row>
    <row r="273" spans="1:10" x14ac:dyDescent="0.2">
      <c r="A273" s="50">
        <f t="shared" si="4"/>
        <v>43007</v>
      </c>
      <c r="B273" s="51">
        <v>4736</v>
      </c>
      <c r="C273" s="52">
        <v>2609.5</v>
      </c>
      <c r="D273" s="52">
        <v>2492</v>
      </c>
      <c r="E273" s="52">
        <v>1169.4000000000001</v>
      </c>
      <c r="F273" s="52">
        <v>3503</v>
      </c>
      <c r="G273" s="52">
        <v>4318.7</v>
      </c>
      <c r="H273" s="52">
        <v>2141.4</v>
      </c>
      <c r="I273" s="53">
        <v>16687.199999999997</v>
      </c>
      <c r="J273" s="49"/>
    </row>
    <row r="274" spans="1:10" x14ac:dyDescent="0.2">
      <c r="A274" s="50">
        <f t="shared" si="4"/>
        <v>43008</v>
      </c>
      <c r="B274" s="51">
        <v>4950.8100000000004</v>
      </c>
      <c r="C274" s="52">
        <v>2560.5700000000002</v>
      </c>
      <c r="D274" s="52">
        <v>2573.2800000000002</v>
      </c>
      <c r="E274" s="52">
        <v>1865.73</v>
      </c>
      <c r="F274" s="52">
        <v>3838.22</v>
      </c>
      <c r="G274" s="52">
        <v>3468.74</v>
      </c>
      <c r="H274" s="52">
        <v>1172.6399999999999</v>
      </c>
      <c r="I274" s="53">
        <v>18084.71</v>
      </c>
      <c r="J274" s="49"/>
    </row>
    <row r="275" spans="1:10" x14ac:dyDescent="0.2">
      <c r="A275" s="50">
        <f t="shared" si="4"/>
        <v>43009</v>
      </c>
      <c r="B275" s="51">
        <v>4816.7</v>
      </c>
      <c r="C275" s="52">
        <v>2475</v>
      </c>
      <c r="D275" s="52">
        <v>2525</v>
      </c>
      <c r="E275" s="52">
        <v>1548</v>
      </c>
      <c r="F275" s="52">
        <v>3497</v>
      </c>
      <c r="G275" s="52">
        <v>2937</v>
      </c>
      <c r="H275" s="52">
        <v>1006.4</v>
      </c>
      <c r="I275" s="53">
        <v>16792.3</v>
      </c>
      <c r="J275" s="49"/>
    </row>
    <row r="276" spans="1:10" x14ac:dyDescent="0.2">
      <c r="A276" s="50">
        <f t="shared" si="4"/>
        <v>43010</v>
      </c>
      <c r="B276" s="51">
        <v>6783.5</v>
      </c>
      <c r="C276" s="52">
        <v>3341.02</v>
      </c>
      <c r="D276" s="52">
        <v>3187.2</v>
      </c>
      <c r="E276" s="52">
        <v>1636.2</v>
      </c>
      <c r="F276" s="52">
        <v>4059.4</v>
      </c>
      <c r="G276" s="52">
        <v>5385.55</v>
      </c>
      <c r="H276" s="52">
        <v>2436.21</v>
      </c>
      <c r="I276" s="53">
        <v>21956.660000000003</v>
      </c>
      <c r="J276" s="49"/>
    </row>
    <row r="277" spans="1:10" x14ac:dyDescent="0.2">
      <c r="A277" s="50">
        <f t="shared" si="4"/>
        <v>43011</v>
      </c>
      <c r="B277" s="51">
        <v>8200.75</v>
      </c>
      <c r="C277" s="52">
        <v>3876.23</v>
      </c>
      <c r="D277" s="52">
        <v>4158.84</v>
      </c>
      <c r="E277" s="52">
        <v>1411.21</v>
      </c>
      <c r="F277" s="52">
        <v>5161.3599999999997</v>
      </c>
      <c r="G277" s="52">
        <v>5935.9</v>
      </c>
      <c r="H277" s="52">
        <v>2554.41</v>
      </c>
      <c r="I277" s="53">
        <v>26189.88</v>
      </c>
      <c r="J277" s="49"/>
    </row>
    <row r="278" spans="1:10" x14ac:dyDescent="0.2">
      <c r="A278" s="50">
        <f t="shared" si="4"/>
        <v>43012</v>
      </c>
      <c r="B278" s="51">
        <v>4391.6000000000004</v>
      </c>
      <c r="C278" s="52">
        <v>1871</v>
      </c>
      <c r="D278" s="52">
        <v>2473</v>
      </c>
      <c r="E278" s="52">
        <v>1033</v>
      </c>
      <c r="F278" s="52">
        <v>2736</v>
      </c>
      <c r="G278" s="52">
        <v>4916.5</v>
      </c>
      <c r="H278" s="52">
        <v>2707.7</v>
      </c>
      <c r="I278" s="53">
        <v>14713.399999999998</v>
      </c>
      <c r="J278" s="49"/>
    </row>
    <row r="279" spans="1:10" x14ac:dyDescent="0.2">
      <c r="A279" s="50">
        <f t="shared" si="4"/>
        <v>43013</v>
      </c>
      <c r="B279" s="51">
        <v>7706.59</v>
      </c>
      <c r="C279" s="52">
        <v>3248.78</v>
      </c>
      <c r="D279" s="52">
        <v>2954.7</v>
      </c>
      <c r="E279" s="52">
        <v>1738.87</v>
      </c>
      <c r="F279" s="52">
        <v>4444.8</v>
      </c>
      <c r="G279" s="52">
        <v>6460.17</v>
      </c>
      <c r="H279" s="52">
        <v>3027.3999999999996</v>
      </c>
      <c r="I279" s="53">
        <v>23526.509999999995</v>
      </c>
      <c r="J279" s="49"/>
    </row>
    <row r="280" spans="1:10" x14ac:dyDescent="0.2">
      <c r="A280" s="50">
        <f t="shared" si="4"/>
        <v>43014</v>
      </c>
      <c r="B280" s="51">
        <v>8692.9699999999993</v>
      </c>
      <c r="C280" s="52">
        <v>3778.39</v>
      </c>
      <c r="D280" s="52">
        <v>3905.22</v>
      </c>
      <c r="E280" s="52">
        <v>2272.11</v>
      </c>
      <c r="F280" s="52">
        <v>5994.28</v>
      </c>
      <c r="G280" s="52">
        <v>6452.62</v>
      </c>
      <c r="H280" s="52">
        <v>3163.1499999999992</v>
      </c>
      <c r="I280" s="53">
        <v>27932.44</v>
      </c>
      <c r="J280" s="49"/>
    </row>
    <row r="281" spans="1:10" x14ac:dyDescent="0.2">
      <c r="A281" s="50">
        <f t="shared" si="4"/>
        <v>43015</v>
      </c>
      <c r="B281" s="51">
        <v>3254.4</v>
      </c>
      <c r="C281" s="52">
        <v>1289</v>
      </c>
      <c r="D281" s="52">
        <v>1820</v>
      </c>
      <c r="E281" s="52">
        <v>388.6</v>
      </c>
      <c r="F281" s="52">
        <v>1867.5</v>
      </c>
      <c r="G281" s="52">
        <v>3967.7</v>
      </c>
      <c r="H281" s="52">
        <v>2549</v>
      </c>
      <c r="I281" s="53">
        <v>10038.200000000001</v>
      </c>
      <c r="J281" s="49"/>
    </row>
    <row r="282" spans="1:10" x14ac:dyDescent="0.2">
      <c r="A282" s="50">
        <f t="shared" si="4"/>
        <v>43016</v>
      </c>
      <c r="B282" s="51">
        <v>1792.5</v>
      </c>
      <c r="C282" s="52">
        <v>546</v>
      </c>
      <c r="D282" s="52">
        <v>751.5</v>
      </c>
      <c r="E282" s="52">
        <v>44</v>
      </c>
      <c r="F282" s="52">
        <v>150</v>
      </c>
      <c r="G282" s="52">
        <v>3602</v>
      </c>
      <c r="H282" s="52">
        <v>2330.2000000000003</v>
      </c>
      <c r="I282" s="53">
        <v>4555.7999999999993</v>
      </c>
      <c r="J282" s="49"/>
    </row>
    <row r="283" spans="1:10" x14ac:dyDescent="0.2">
      <c r="A283" s="50">
        <f t="shared" si="4"/>
        <v>43017</v>
      </c>
      <c r="B283" s="51">
        <v>7897.5</v>
      </c>
      <c r="C283" s="52">
        <v>3553.1</v>
      </c>
      <c r="D283" s="52">
        <v>2933.95</v>
      </c>
      <c r="E283" s="52">
        <v>1476.8</v>
      </c>
      <c r="F283" s="52">
        <v>4243.6000000000004</v>
      </c>
      <c r="G283" s="52">
        <v>5874.8</v>
      </c>
      <c r="H283" s="52">
        <v>3088.2000000000003</v>
      </c>
      <c r="I283" s="53">
        <v>22891.549999999996</v>
      </c>
      <c r="J283" s="49"/>
    </row>
    <row r="284" spans="1:10" x14ac:dyDescent="0.2">
      <c r="A284" s="50">
        <f t="shared" si="4"/>
        <v>43018</v>
      </c>
      <c r="B284" s="51">
        <v>9607.81</v>
      </c>
      <c r="C284" s="52">
        <v>3982.65</v>
      </c>
      <c r="D284" s="52">
        <v>3871.24</v>
      </c>
      <c r="E284" s="52">
        <v>2074.65</v>
      </c>
      <c r="F284" s="52">
        <v>5788.32</v>
      </c>
      <c r="G284" s="52">
        <v>6285.12</v>
      </c>
      <c r="H284" s="52">
        <v>3074.74</v>
      </c>
      <c r="I284" s="53">
        <v>28535.049999999996</v>
      </c>
      <c r="J284" s="49"/>
    </row>
    <row r="285" spans="1:10" x14ac:dyDescent="0.2">
      <c r="A285" s="50">
        <f t="shared" si="4"/>
        <v>43019</v>
      </c>
      <c r="B285" s="51">
        <v>4229</v>
      </c>
      <c r="C285" s="52">
        <v>1856.7</v>
      </c>
      <c r="D285" s="52">
        <v>2296.3000000000002</v>
      </c>
      <c r="E285" s="52">
        <v>481.7</v>
      </c>
      <c r="F285" s="52">
        <v>2622.4</v>
      </c>
      <c r="G285" s="52">
        <v>4971.6000000000004</v>
      </c>
      <c r="H285" s="52">
        <v>3060.2</v>
      </c>
      <c r="I285" s="53">
        <v>13397.5</v>
      </c>
      <c r="J285" s="49"/>
    </row>
    <row r="286" spans="1:10" x14ac:dyDescent="0.2">
      <c r="A286" s="50">
        <f t="shared" si="4"/>
        <v>43020</v>
      </c>
      <c r="B286" s="51">
        <v>7485.59</v>
      </c>
      <c r="C286" s="52">
        <v>3400.59</v>
      </c>
      <c r="D286" s="52">
        <v>2888.84</v>
      </c>
      <c r="E286" s="52">
        <v>1096.33</v>
      </c>
      <c r="F286" s="52">
        <v>4492.43</v>
      </c>
      <c r="G286" s="52">
        <v>5732.51</v>
      </c>
      <c r="H286" s="52">
        <v>2937.329999999999</v>
      </c>
      <c r="I286" s="53">
        <v>22158.960000000003</v>
      </c>
      <c r="J286" s="49"/>
    </row>
    <row r="287" spans="1:10" x14ac:dyDescent="0.2">
      <c r="A287" s="50">
        <f t="shared" si="4"/>
        <v>43021</v>
      </c>
      <c r="B287" s="51">
        <v>8782.24</v>
      </c>
      <c r="C287" s="52">
        <v>4032.56</v>
      </c>
      <c r="D287" s="52">
        <v>4046.08</v>
      </c>
      <c r="E287" s="52">
        <v>1373.35</v>
      </c>
      <c r="F287" s="52">
        <v>6770.45</v>
      </c>
      <c r="G287" s="52">
        <v>5805.88</v>
      </c>
      <c r="H287" s="52">
        <v>2482.3199999999997</v>
      </c>
      <c r="I287" s="53">
        <v>28328.239999999998</v>
      </c>
      <c r="J287" s="49"/>
    </row>
    <row r="288" spans="1:10" x14ac:dyDescent="0.2">
      <c r="A288" s="50">
        <f t="shared" ref="A288:A351" si="5">A287+1</f>
        <v>43022</v>
      </c>
      <c r="B288" s="51">
        <v>3454.4</v>
      </c>
      <c r="C288" s="52">
        <v>1366.9</v>
      </c>
      <c r="D288" s="52">
        <v>1769.5</v>
      </c>
      <c r="E288" s="52">
        <v>406.5</v>
      </c>
      <c r="F288" s="52">
        <v>3426.3</v>
      </c>
      <c r="G288" s="52">
        <v>3374.3</v>
      </c>
      <c r="H288" s="52">
        <v>1943.1999999999998</v>
      </c>
      <c r="I288" s="53">
        <v>11854.7</v>
      </c>
      <c r="J288" s="49"/>
    </row>
    <row r="289" spans="1:10" x14ac:dyDescent="0.2">
      <c r="A289" s="50">
        <f t="shared" si="5"/>
        <v>43023</v>
      </c>
      <c r="B289" s="51">
        <v>1697.7</v>
      </c>
      <c r="C289" s="52">
        <v>557.79999999999995</v>
      </c>
      <c r="D289" s="52">
        <v>612</v>
      </c>
      <c r="E289" s="52">
        <v>47.2</v>
      </c>
      <c r="F289" s="52">
        <v>608.6</v>
      </c>
      <c r="G289" s="52">
        <v>2976.6</v>
      </c>
      <c r="H289" s="52">
        <v>1910.5</v>
      </c>
      <c r="I289" s="53">
        <v>4589.3999999999996</v>
      </c>
      <c r="J289" s="49"/>
    </row>
    <row r="290" spans="1:10" x14ac:dyDescent="0.2">
      <c r="A290" s="50">
        <f t="shared" si="5"/>
        <v>43024</v>
      </c>
      <c r="B290" s="51">
        <v>8071.8</v>
      </c>
      <c r="C290" s="52">
        <v>3502.89</v>
      </c>
      <c r="D290" s="52">
        <v>3094.51</v>
      </c>
      <c r="E290" s="52">
        <v>1798.02</v>
      </c>
      <c r="F290" s="52">
        <v>5432.17</v>
      </c>
      <c r="G290" s="52">
        <v>5618.04</v>
      </c>
      <c r="H290" s="52">
        <v>2807.5200000000004</v>
      </c>
      <c r="I290" s="53">
        <v>24709.91</v>
      </c>
      <c r="J290" s="49"/>
    </row>
    <row r="291" spans="1:10" x14ac:dyDescent="0.2">
      <c r="A291" s="50">
        <f t="shared" si="5"/>
        <v>43025</v>
      </c>
      <c r="B291" s="51">
        <v>9214.58</v>
      </c>
      <c r="C291" s="52">
        <v>4050.28</v>
      </c>
      <c r="D291" s="52">
        <v>4079.59</v>
      </c>
      <c r="E291" s="52">
        <v>1382.06</v>
      </c>
      <c r="F291" s="52">
        <v>6725.57</v>
      </c>
      <c r="G291" s="52">
        <v>5944.4</v>
      </c>
      <c r="H291" s="52">
        <v>2850.04</v>
      </c>
      <c r="I291" s="53">
        <v>28546.440000000002</v>
      </c>
      <c r="J291" s="49"/>
    </row>
    <row r="292" spans="1:10" x14ac:dyDescent="0.2">
      <c r="A292" s="50">
        <f t="shared" si="5"/>
        <v>43026</v>
      </c>
      <c r="B292" s="51">
        <v>4821</v>
      </c>
      <c r="C292" s="52">
        <v>2346.5</v>
      </c>
      <c r="D292" s="52">
        <v>2865.5</v>
      </c>
      <c r="E292" s="52">
        <v>470.4</v>
      </c>
      <c r="F292" s="52">
        <v>4193.2</v>
      </c>
      <c r="G292" s="52">
        <v>4931</v>
      </c>
      <c r="H292" s="52">
        <v>2872.1</v>
      </c>
      <c r="I292" s="53">
        <v>16755.5</v>
      </c>
      <c r="J292" s="49"/>
    </row>
    <row r="293" spans="1:10" x14ac:dyDescent="0.2">
      <c r="A293" s="50">
        <f t="shared" si="5"/>
        <v>43027</v>
      </c>
      <c r="B293" s="51">
        <v>5852.32</v>
      </c>
      <c r="C293" s="52">
        <v>4819.8</v>
      </c>
      <c r="D293" s="52">
        <v>3788.28</v>
      </c>
      <c r="E293" s="52">
        <v>1048.47</v>
      </c>
      <c r="F293" s="52">
        <v>4850</v>
      </c>
      <c r="G293" s="52">
        <v>5604.26</v>
      </c>
      <c r="H293" s="52">
        <v>2814.3300000000004</v>
      </c>
      <c r="I293" s="53">
        <v>23148.799999999996</v>
      </c>
      <c r="J293" s="49"/>
    </row>
    <row r="294" spans="1:10" x14ac:dyDescent="0.2">
      <c r="A294" s="50">
        <f t="shared" si="5"/>
        <v>43028</v>
      </c>
      <c r="B294" s="51">
        <v>8903.7999999999993</v>
      </c>
      <c r="C294" s="52">
        <v>5228.6400000000003</v>
      </c>
      <c r="D294" s="52">
        <v>4379.6400000000003</v>
      </c>
      <c r="E294" s="52">
        <v>1511.58</v>
      </c>
      <c r="F294" s="52">
        <v>6712.96</v>
      </c>
      <c r="G294" s="52">
        <v>5511.79</v>
      </c>
      <c r="H294" s="52">
        <v>2643.5299999999997</v>
      </c>
      <c r="I294" s="53">
        <v>29604.879999999997</v>
      </c>
      <c r="J294" s="49"/>
    </row>
    <row r="295" spans="1:10" x14ac:dyDescent="0.2">
      <c r="A295" s="50">
        <f t="shared" si="5"/>
        <v>43029</v>
      </c>
      <c r="B295" s="51">
        <v>3571.6</v>
      </c>
      <c r="C295" s="52">
        <v>1690.6</v>
      </c>
      <c r="D295" s="52">
        <v>1079.5</v>
      </c>
      <c r="E295" s="52">
        <v>127.1</v>
      </c>
      <c r="F295" s="52">
        <v>3614.3</v>
      </c>
      <c r="G295" s="52">
        <v>3349.1</v>
      </c>
      <c r="H295" s="52">
        <v>1937.3999999999999</v>
      </c>
      <c r="I295" s="53">
        <v>11494.800000000001</v>
      </c>
      <c r="J295" s="49"/>
    </row>
    <row r="296" spans="1:10" x14ac:dyDescent="0.2">
      <c r="A296" s="50">
        <f t="shared" si="5"/>
        <v>43030</v>
      </c>
      <c r="B296" s="51">
        <v>1903.7</v>
      </c>
      <c r="C296" s="52">
        <v>855.9</v>
      </c>
      <c r="D296" s="52">
        <v>310.60000000000002</v>
      </c>
      <c r="E296" s="52">
        <v>480.8</v>
      </c>
      <c r="F296" s="52">
        <v>1618.7</v>
      </c>
      <c r="G296" s="52">
        <v>3100.9</v>
      </c>
      <c r="H296" s="52">
        <v>1978.7000000000003</v>
      </c>
      <c r="I296" s="53">
        <v>6291.9</v>
      </c>
      <c r="J296" s="49"/>
    </row>
    <row r="297" spans="1:10" x14ac:dyDescent="0.2">
      <c r="A297" s="50">
        <f t="shared" si="5"/>
        <v>43031</v>
      </c>
      <c r="B297" s="51">
        <v>9199.1299999999992</v>
      </c>
      <c r="C297" s="52">
        <v>5393.23</v>
      </c>
      <c r="D297" s="52">
        <v>3965.61</v>
      </c>
      <c r="E297" s="52">
        <v>1472.04</v>
      </c>
      <c r="F297" s="52">
        <v>4979.93</v>
      </c>
      <c r="G297" s="52">
        <v>5727.69</v>
      </c>
      <c r="H297" s="52">
        <v>2739.5600000000004</v>
      </c>
      <c r="I297" s="53">
        <v>27998.069999999996</v>
      </c>
      <c r="J297" s="49"/>
    </row>
    <row r="298" spans="1:10" x14ac:dyDescent="0.2">
      <c r="A298" s="50">
        <f t="shared" si="5"/>
        <v>43032</v>
      </c>
      <c r="B298" s="51">
        <v>9949.34</v>
      </c>
      <c r="C298" s="52">
        <v>5532.28</v>
      </c>
      <c r="D298" s="52">
        <v>4581.25</v>
      </c>
      <c r="E298" s="52">
        <v>2200.39</v>
      </c>
      <c r="F298" s="52">
        <v>7084.29</v>
      </c>
      <c r="G298" s="52">
        <v>5908.88</v>
      </c>
      <c r="H298" s="52">
        <v>2586.8399999999992</v>
      </c>
      <c r="I298" s="53">
        <v>32669.59</v>
      </c>
      <c r="J298" s="49"/>
    </row>
    <row r="299" spans="1:10" x14ac:dyDescent="0.2">
      <c r="A299" s="50">
        <f t="shared" si="5"/>
        <v>43033</v>
      </c>
      <c r="B299" s="51">
        <v>5078.8</v>
      </c>
      <c r="C299" s="52">
        <v>2711.9</v>
      </c>
      <c r="D299" s="52">
        <v>2601.4</v>
      </c>
      <c r="E299" s="52">
        <v>1027.5999999999999</v>
      </c>
      <c r="F299" s="52">
        <v>4811.8999999999996</v>
      </c>
      <c r="G299" s="52">
        <v>4832.7</v>
      </c>
      <c r="H299" s="52">
        <v>2944.3999999999996</v>
      </c>
      <c r="I299" s="53">
        <v>18119.900000000001</v>
      </c>
      <c r="J299" s="49"/>
    </row>
    <row r="300" spans="1:10" x14ac:dyDescent="0.2">
      <c r="A300" s="50">
        <f t="shared" si="5"/>
        <v>43034</v>
      </c>
      <c r="B300" s="51">
        <v>8703.5400000000009</v>
      </c>
      <c r="C300" s="52">
        <v>5098.74</v>
      </c>
      <c r="D300" s="52">
        <v>3612.32</v>
      </c>
      <c r="E300" s="52">
        <v>1146.52</v>
      </c>
      <c r="F300" s="52">
        <v>5000.51</v>
      </c>
      <c r="G300" s="52">
        <v>5703.66</v>
      </c>
      <c r="H300" s="52">
        <v>2739.5499999999997</v>
      </c>
      <c r="I300" s="53">
        <v>26525.740000000005</v>
      </c>
      <c r="J300" s="49"/>
    </row>
    <row r="301" spans="1:10" x14ac:dyDescent="0.2">
      <c r="A301" s="50">
        <f t="shared" si="5"/>
        <v>43035</v>
      </c>
      <c r="B301" s="51">
        <v>9740.3700000000008</v>
      </c>
      <c r="C301" s="52">
        <v>5214.95</v>
      </c>
      <c r="D301" s="52">
        <v>4244.91</v>
      </c>
      <c r="E301" s="52">
        <v>1029.6400000000001</v>
      </c>
      <c r="F301" s="52">
        <v>6719.85</v>
      </c>
      <c r="G301" s="52">
        <v>5989.21</v>
      </c>
      <c r="H301" s="52">
        <v>2624.01</v>
      </c>
      <c r="I301" s="53">
        <v>30314.92</v>
      </c>
      <c r="J301" s="49"/>
    </row>
    <row r="302" spans="1:10" x14ac:dyDescent="0.2">
      <c r="A302" s="50">
        <f t="shared" si="5"/>
        <v>43036</v>
      </c>
      <c r="B302" s="51">
        <v>3509.5</v>
      </c>
      <c r="C302" s="52">
        <v>1708.9</v>
      </c>
      <c r="D302" s="52">
        <v>1674</v>
      </c>
      <c r="E302" s="52">
        <v>186.3</v>
      </c>
      <c r="F302" s="52">
        <v>2279.5</v>
      </c>
      <c r="G302" s="52">
        <v>3660</v>
      </c>
      <c r="H302" s="52">
        <v>2200.6</v>
      </c>
      <c r="I302" s="53">
        <v>10817.6</v>
      </c>
      <c r="J302" s="49"/>
    </row>
    <row r="303" spans="1:10" x14ac:dyDescent="0.2">
      <c r="A303" s="50">
        <f t="shared" si="5"/>
        <v>43037</v>
      </c>
      <c r="B303" s="51">
        <v>1699</v>
      </c>
      <c r="C303" s="52">
        <v>757.2</v>
      </c>
      <c r="D303" s="52">
        <v>855</v>
      </c>
      <c r="E303" s="52">
        <v>41.4</v>
      </c>
      <c r="F303" s="52">
        <v>425</v>
      </c>
      <c r="G303" s="52">
        <v>3244</v>
      </c>
      <c r="H303" s="52">
        <v>2174.3000000000002</v>
      </c>
      <c r="I303" s="53">
        <v>4847.3</v>
      </c>
      <c r="J303" s="49"/>
    </row>
    <row r="304" spans="1:10" x14ac:dyDescent="0.2">
      <c r="A304" s="50">
        <f t="shared" si="5"/>
        <v>43038</v>
      </c>
      <c r="B304" s="51">
        <v>9201.7999999999993</v>
      </c>
      <c r="C304" s="52">
        <v>5314.7</v>
      </c>
      <c r="D304" s="52">
        <v>3761.2</v>
      </c>
      <c r="E304" s="52">
        <v>1783.9</v>
      </c>
      <c r="F304" s="52">
        <v>5356.6</v>
      </c>
      <c r="G304" s="52">
        <v>6147</v>
      </c>
      <c r="H304" s="52">
        <v>3046.6999999999994</v>
      </c>
      <c r="I304" s="53">
        <v>28518.500000000004</v>
      </c>
      <c r="J304" s="49"/>
    </row>
    <row r="305" spans="1:10" x14ac:dyDescent="0.2">
      <c r="A305" s="50">
        <f t="shared" si="5"/>
        <v>43039</v>
      </c>
      <c r="B305" s="51">
        <v>10220</v>
      </c>
      <c r="C305" s="52">
        <v>5421.6</v>
      </c>
      <c r="D305" s="52">
        <v>4087</v>
      </c>
      <c r="E305" s="52">
        <v>2850</v>
      </c>
      <c r="F305" s="52">
        <v>7066</v>
      </c>
      <c r="G305" s="52">
        <v>6244.5</v>
      </c>
      <c r="H305" s="52">
        <v>2957.5</v>
      </c>
      <c r="I305" s="53">
        <v>32931.599999999999</v>
      </c>
      <c r="J305" s="49"/>
    </row>
    <row r="306" spans="1:10" x14ac:dyDescent="0.2">
      <c r="A306" s="50">
        <f t="shared" si="5"/>
        <v>43040</v>
      </c>
      <c r="B306" s="51">
        <v>4625.6000000000004</v>
      </c>
      <c r="C306" s="52">
        <v>2672.6</v>
      </c>
      <c r="D306" s="52">
        <v>2247.1</v>
      </c>
      <c r="E306" s="52">
        <v>698.1</v>
      </c>
      <c r="F306" s="52">
        <v>3541</v>
      </c>
      <c r="G306" s="52">
        <v>5296.8</v>
      </c>
      <c r="H306" s="52">
        <v>3146.1000000000004</v>
      </c>
      <c r="I306" s="53">
        <v>15935.1</v>
      </c>
      <c r="J306" s="49"/>
    </row>
    <row r="307" spans="1:10" x14ac:dyDescent="0.2">
      <c r="A307" s="50">
        <f t="shared" si="5"/>
        <v>43041</v>
      </c>
      <c r="B307" s="51">
        <v>8475.42</v>
      </c>
      <c r="C307" s="52">
        <v>5089.7</v>
      </c>
      <c r="D307" s="52">
        <v>3379.79</v>
      </c>
      <c r="E307" s="52">
        <v>29.2</v>
      </c>
      <c r="F307" s="52">
        <v>4455</v>
      </c>
      <c r="G307" s="52">
        <v>6160.03</v>
      </c>
      <c r="H307" s="52">
        <v>3063.1800000000003</v>
      </c>
      <c r="I307" s="53">
        <v>24525.96</v>
      </c>
      <c r="J307" s="49"/>
    </row>
    <row r="308" spans="1:10" x14ac:dyDescent="0.2">
      <c r="A308" s="50">
        <f t="shared" si="5"/>
        <v>43042</v>
      </c>
      <c r="B308" s="51">
        <v>8889.8799999999992</v>
      </c>
      <c r="C308" s="52">
        <v>5222.3599999999997</v>
      </c>
      <c r="D308" s="52">
        <v>3356.64</v>
      </c>
      <c r="E308" s="52">
        <v>479.53</v>
      </c>
      <c r="F308" s="52">
        <v>5717.46</v>
      </c>
      <c r="G308" s="52">
        <v>4431.37</v>
      </c>
      <c r="H308" s="52">
        <v>2498.37</v>
      </c>
      <c r="I308" s="53">
        <v>25598.869999999995</v>
      </c>
      <c r="J308" s="49"/>
    </row>
    <row r="309" spans="1:10" x14ac:dyDescent="0.2">
      <c r="A309" s="50">
        <f t="shared" si="5"/>
        <v>43043</v>
      </c>
      <c r="B309" s="51">
        <v>2913.92</v>
      </c>
      <c r="C309" s="52">
        <v>1679.88</v>
      </c>
      <c r="D309" s="52">
        <v>1012.6</v>
      </c>
      <c r="E309" s="52">
        <v>97.41</v>
      </c>
      <c r="F309" s="52">
        <v>2145.2600000000002</v>
      </c>
      <c r="G309" s="52">
        <v>2499.1</v>
      </c>
      <c r="H309" s="52">
        <v>1612.15</v>
      </c>
      <c r="I309" s="53">
        <v>8736.02</v>
      </c>
      <c r="J309" s="49"/>
    </row>
    <row r="310" spans="1:10" x14ac:dyDescent="0.2">
      <c r="A310" s="50">
        <f t="shared" si="5"/>
        <v>43044</v>
      </c>
      <c r="B310" s="51">
        <v>1672.34</v>
      </c>
      <c r="C310" s="52">
        <v>780.99</v>
      </c>
      <c r="D310" s="52">
        <v>358.34</v>
      </c>
      <c r="E310" s="52">
        <v>43.88</v>
      </c>
      <c r="F310" s="52">
        <v>165.11</v>
      </c>
      <c r="G310" s="52">
        <v>2559.5700000000002</v>
      </c>
      <c r="H310" s="52">
        <v>1467.12</v>
      </c>
      <c r="I310" s="53">
        <v>4113.1100000000006</v>
      </c>
      <c r="J310" s="49"/>
    </row>
    <row r="311" spans="1:10" x14ac:dyDescent="0.2">
      <c r="A311" s="50">
        <f t="shared" si="5"/>
        <v>43045</v>
      </c>
      <c r="B311" s="51">
        <v>7661.62</v>
      </c>
      <c r="C311" s="52">
        <v>4235.47</v>
      </c>
      <c r="D311" s="52">
        <v>3098.37</v>
      </c>
      <c r="E311" s="52">
        <v>2240.48</v>
      </c>
      <c r="F311" s="52">
        <v>5296.08</v>
      </c>
      <c r="G311" s="52">
        <v>4775.5</v>
      </c>
      <c r="H311" s="52">
        <v>2003.5100000000002</v>
      </c>
      <c r="I311" s="53">
        <v>25304.009999999995</v>
      </c>
      <c r="J311" s="49"/>
    </row>
    <row r="312" spans="1:10" x14ac:dyDescent="0.2">
      <c r="A312" s="50">
        <f t="shared" si="5"/>
        <v>43046</v>
      </c>
      <c r="B312" s="51">
        <v>10225.1</v>
      </c>
      <c r="C312" s="52">
        <v>5623.41</v>
      </c>
      <c r="D312" s="52">
        <v>3699.84</v>
      </c>
      <c r="E312" s="52">
        <v>1486</v>
      </c>
      <c r="F312" s="52">
        <v>6316.74</v>
      </c>
      <c r="G312" s="52">
        <v>6072.45</v>
      </c>
      <c r="H312" s="52">
        <v>2750.0299999999993</v>
      </c>
      <c r="I312" s="53">
        <v>30673.509999999995</v>
      </c>
      <c r="J312" s="49"/>
    </row>
    <row r="313" spans="1:10" x14ac:dyDescent="0.2">
      <c r="A313" s="50">
        <f t="shared" si="5"/>
        <v>43047</v>
      </c>
      <c r="B313" s="51">
        <v>4594.2</v>
      </c>
      <c r="C313" s="52">
        <v>2637.5</v>
      </c>
      <c r="D313" s="52">
        <v>2333.4</v>
      </c>
      <c r="E313" s="52">
        <v>504.1</v>
      </c>
      <c r="F313" s="52">
        <v>2762</v>
      </c>
      <c r="G313" s="52">
        <v>5287.8</v>
      </c>
      <c r="H313" s="52">
        <v>3077.2000000000003</v>
      </c>
      <c r="I313" s="53">
        <v>15041.8</v>
      </c>
      <c r="J313" s="49"/>
    </row>
    <row r="314" spans="1:10" x14ac:dyDescent="0.2">
      <c r="A314" s="50">
        <f t="shared" si="5"/>
        <v>43048</v>
      </c>
      <c r="B314" s="51">
        <v>7035.5</v>
      </c>
      <c r="C314" s="52">
        <v>4203.78</v>
      </c>
      <c r="D314" s="52">
        <v>2585.54</v>
      </c>
      <c r="E314" s="52">
        <v>539.66</v>
      </c>
      <c r="F314" s="52">
        <v>4501.09</v>
      </c>
      <c r="G314" s="52">
        <v>6054.25</v>
      </c>
      <c r="H314" s="52">
        <v>3175.95</v>
      </c>
      <c r="I314" s="53">
        <v>21743.87</v>
      </c>
      <c r="J314" s="49"/>
    </row>
    <row r="315" spans="1:10" x14ac:dyDescent="0.2">
      <c r="A315" s="50">
        <f t="shared" si="5"/>
        <v>43049</v>
      </c>
      <c r="B315" s="51">
        <v>8512.6299999999992</v>
      </c>
      <c r="C315" s="52">
        <v>5112.3900000000003</v>
      </c>
      <c r="D315" s="52">
        <v>3023.79</v>
      </c>
      <c r="E315" s="52">
        <v>1409.77</v>
      </c>
      <c r="F315" s="52">
        <v>5508.46</v>
      </c>
      <c r="G315" s="52">
        <v>5555.02</v>
      </c>
      <c r="H315" s="52">
        <v>2901.7599999999993</v>
      </c>
      <c r="I315" s="53">
        <v>26220.300000000003</v>
      </c>
      <c r="J315" s="49"/>
    </row>
    <row r="316" spans="1:10" x14ac:dyDescent="0.2">
      <c r="A316" s="50">
        <f t="shared" si="5"/>
        <v>43050</v>
      </c>
      <c r="B316" s="51">
        <v>2891.2</v>
      </c>
      <c r="C316" s="52">
        <v>1505</v>
      </c>
      <c r="D316" s="52">
        <v>925.1</v>
      </c>
      <c r="E316" s="52">
        <v>490</v>
      </c>
      <c r="F316" s="52">
        <v>2948.6</v>
      </c>
      <c r="G316" s="52">
        <v>3588.4</v>
      </c>
      <c r="H316" s="52">
        <v>2378.1</v>
      </c>
      <c r="I316" s="53">
        <v>9970.1999999999989</v>
      </c>
      <c r="J316" s="49"/>
    </row>
    <row r="317" spans="1:10" x14ac:dyDescent="0.2">
      <c r="A317" s="50">
        <f t="shared" si="5"/>
        <v>43051</v>
      </c>
      <c r="B317" s="51">
        <v>1583</v>
      </c>
      <c r="C317" s="52">
        <v>852.8</v>
      </c>
      <c r="D317" s="52">
        <v>347.9</v>
      </c>
      <c r="E317" s="52">
        <v>43.6</v>
      </c>
      <c r="F317" s="52">
        <v>167.1</v>
      </c>
      <c r="G317" s="52">
        <v>3931.1</v>
      </c>
      <c r="H317" s="52">
        <v>2600.9</v>
      </c>
      <c r="I317" s="53">
        <v>4324.6000000000004</v>
      </c>
      <c r="J317" s="49"/>
    </row>
    <row r="318" spans="1:10" x14ac:dyDescent="0.2">
      <c r="A318" s="50">
        <f t="shared" si="5"/>
        <v>43052</v>
      </c>
      <c r="B318" s="51">
        <v>7679.64</v>
      </c>
      <c r="C318" s="52">
        <v>4362.93</v>
      </c>
      <c r="D318" s="52">
        <v>3090.85</v>
      </c>
      <c r="E318" s="52">
        <v>1565.83</v>
      </c>
      <c r="F318" s="52">
        <v>4721.1499999999996</v>
      </c>
      <c r="G318" s="52">
        <v>6153.66</v>
      </c>
      <c r="H318" s="52">
        <v>3266.54</v>
      </c>
      <c r="I318" s="53">
        <v>24307.52</v>
      </c>
      <c r="J318" s="49"/>
    </row>
    <row r="319" spans="1:10" x14ac:dyDescent="0.2">
      <c r="A319" s="50">
        <f t="shared" si="5"/>
        <v>43053</v>
      </c>
      <c r="B319" s="51">
        <v>10142.94</v>
      </c>
      <c r="C319" s="52">
        <v>5444.85</v>
      </c>
      <c r="D319" s="52">
        <v>4117.09</v>
      </c>
      <c r="E319" s="52">
        <v>2075.3000000000002</v>
      </c>
      <c r="F319" s="52">
        <v>5869.25</v>
      </c>
      <c r="G319" s="52">
        <v>6727.22</v>
      </c>
      <c r="H319" s="52">
        <v>3245.7799999999997</v>
      </c>
      <c r="I319" s="53">
        <v>31130.870000000003</v>
      </c>
      <c r="J319" s="49"/>
    </row>
    <row r="320" spans="1:10" x14ac:dyDescent="0.2">
      <c r="A320" s="50">
        <f t="shared" si="5"/>
        <v>43054</v>
      </c>
      <c r="B320" s="51">
        <v>4759.6000000000004</v>
      </c>
      <c r="C320" s="52">
        <v>2522.9</v>
      </c>
      <c r="D320" s="52">
        <v>2120.6</v>
      </c>
      <c r="E320" s="52">
        <v>284.39999999999998</v>
      </c>
      <c r="F320" s="52">
        <v>2941.3</v>
      </c>
      <c r="G320" s="52">
        <v>5492.1</v>
      </c>
      <c r="H320" s="52">
        <v>3312.2000000000003</v>
      </c>
      <c r="I320" s="53">
        <v>14808.7</v>
      </c>
      <c r="J320" s="49"/>
    </row>
    <row r="321" spans="1:10" x14ac:dyDescent="0.2">
      <c r="A321" s="50">
        <f t="shared" si="5"/>
        <v>43055</v>
      </c>
      <c r="B321" s="51">
        <v>6302.4</v>
      </c>
      <c r="C321" s="52">
        <v>3966.1</v>
      </c>
      <c r="D321" s="52">
        <v>2823.9</v>
      </c>
      <c r="E321" s="52">
        <v>2028</v>
      </c>
      <c r="F321" s="52">
        <v>4598.7</v>
      </c>
      <c r="G321" s="52">
        <v>6391.6</v>
      </c>
      <c r="H321" s="52">
        <v>3383.1000000000004</v>
      </c>
      <c r="I321" s="53">
        <v>22727.599999999999</v>
      </c>
      <c r="J321" s="49"/>
    </row>
    <row r="322" spans="1:10" x14ac:dyDescent="0.2">
      <c r="A322" s="50">
        <f t="shared" si="5"/>
        <v>43056</v>
      </c>
      <c r="B322" s="51">
        <v>8473.4</v>
      </c>
      <c r="C322" s="52">
        <v>4601.2</v>
      </c>
      <c r="D322" s="52">
        <v>3906.8</v>
      </c>
      <c r="E322" s="52">
        <v>1906.9</v>
      </c>
      <c r="F322" s="52">
        <v>5543.7</v>
      </c>
      <c r="G322" s="52">
        <v>6215.9</v>
      </c>
      <c r="H322" s="52">
        <v>3101.3</v>
      </c>
      <c r="I322" s="53">
        <v>27546.600000000002</v>
      </c>
      <c r="J322" s="49"/>
    </row>
    <row r="323" spans="1:10" x14ac:dyDescent="0.2">
      <c r="A323" s="50">
        <f t="shared" si="5"/>
        <v>43057</v>
      </c>
      <c r="B323" s="51">
        <v>3578</v>
      </c>
      <c r="C323" s="52">
        <v>1811.6</v>
      </c>
      <c r="D323" s="52">
        <v>1274.2</v>
      </c>
      <c r="E323" s="52">
        <v>530.6</v>
      </c>
      <c r="F323" s="52">
        <v>3091.6</v>
      </c>
      <c r="G323" s="52">
        <v>4129.5</v>
      </c>
      <c r="H323" s="52">
        <v>2536.3000000000002</v>
      </c>
      <c r="I323" s="53">
        <v>11879.2</v>
      </c>
      <c r="J323" s="49"/>
    </row>
    <row r="324" spans="1:10" x14ac:dyDescent="0.2">
      <c r="A324" s="50">
        <f t="shared" si="5"/>
        <v>43058</v>
      </c>
      <c r="B324" s="51">
        <v>1765</v>
      </c>
      <c r="C324" s="52">
        <v>779.5</v>
      </c>
      <c r="D324" s="52">
        <v>317.2</v>
      </c>
      <c r="E324" s="52">
        <v>42.8</v>
      </c>
      <c r="F324" s="52">
        <v>179.5</v>
      </c>
      <c r="G324" s="52">
        <v>3837.7</v>
      </c>
      <c r="H324" s="52">
        <v>2470</v>
      </c>
      <c r="I324" s="53">
        <v>4451.7</v>
      </c>
      <c r="J324" s="49"/>
    </row>
    <row r="325" spans="1:10" x14ac:dyDescent="0.2">
      <c r="A325" s="50">
        <f t="shared" si="5"/>
        <v>43059</v>
      </c>
      <c r="B325" s="51">
        <v>7746.3</v>
      </c>
      <c r="C325" s="52">
        <v>4485.5</v>
      </c>
      <c r="D325" s="52">
        <v>2874.6</v>
      </c>
      <c r="E325" s="52">
        <v>1834.5</v>
      </c>
      <c r="F325" s="52">
        <v>4242.6000000000004</v>
      </c>
      <c r="G325" s="52">
        <v>6394.1</v>
      </c>
      <c r="H325" s="52">
        <v>3266.3</v>
      </c>
      <c r="I325" s="53">
        <v>24311.3</v>
      </c>
      <c r="J325" s="49"/>
    </row>
    <row r="326" spans="1:10" x14ac:dyDescent="0.2">
      <c r="A326" s="50">
        <f t="shared" si="5"/>
        <v>43060</v>
      </c>
      <c r="B326" s="51">
        <v>10333.1</v>
      </c>
      <c r="C326" s="52">
        <v>5747.7</v>
      </c>
      <c r="D326" s="52">
        <v>3886.2</v>
      </c>
      <c r="E326" s="52">
        <v>1849</v>
      </c>
      <c r="F326" s="52">
        <v>5778.4</v>
      </c>
      <c r="G326" s="52">
        <v>6302.9</v>
      </c>
      <c r="H326" s="52">
        <v>3058.6000000000004</v>
      </c>
      <c r="I326" s="53">
        <v>30838.700000000004</v>
      </c>
      <c r="J326" s="49"/>
    </row>
    <row r="327" spans="1:10" x14ac:dyDescent="0.2">
      <c r="A327" s="50">
        <f t="shared" si="5"/>
        <v>43061</v>
      </c>
      <c r="B327" s="51">
        <v>5282.6</v>
      </c>
      <c r="C327" s="52">
        <v>3125.8</v>
      </c>
      <c r="D327" s="52">
        <v>2310.9</v>
      </c>
      <c r="E327" s="52">
        <v>1583</v>
      </c>
      <c r="F327" s="52">
        <v>4452.1000000000004</v>
      </c>
      <c r="G327" s="52">
        <v>5453.6</v>
      </c>
      <c r="H327" s="52">
        <v>3022.2999999999997</v>
      </c>
      <c r="I327" s="53">
        <v>19185.7</v>
      </c>
      <c r="J327" s="49"/>
    </row>
    <row r="328" spans="1:10" x14ac:dyDescent="0.2">
      <c r="A328" s="50">
        <f t="shared" si="5"/>
        <v>43062</v>
      </c>
      <c r="B328" s="51">
        <v>7210.28</v>
      </c>
      <c r="C328" s="52">
        <v>4524.95</v>
      </c>
      <c r="D328" s="52">
        <v>3200.09</v>
      </c>
      <c r="E328" s="52">
        <v>1084.98</v>
      </c>
      <c r="F328" s="52">
        <v>4573.28</v>
      </c>
      <c r="G328" s="52">
        <v>5997.01</v>
      </c>
      <c r="H328" s="52">
        <v>2951.6299999999997</v>
      </c>
      <c r="I328" s="53">
        <v>23638.959999999995</v>
      </c>
      <c r="J328" s="49"/>
    </row>
    <row r="329" spans="1:10" x14ac:dyDescent="0.2">
      <c r="A329" s="50">
        <f t="shared" si="5"/>
        <v>43063</v>
      </c>
      <c r="B329" s="51">
        <v>8203.7000000000007</v>
      </c>
      <c r="C329" s="52">
        <v>5170.8599999999997</v>
      </c>
      <c r="D329" s="52">
        <v>3454.64</v>
      </c>
      <c r="E329" s="52">
        <v>711.48</v>
      </c>
      <c r="F329" s="52">
        <v>5798.87</v>
      </c>
      <c r="G329" s="52">
        <v>5682.52</v>
      </c>
      <c r="H329" s="52">
        <v>2692.92</v>
      </c>
      <c r="I329" s="53">
        <v>26329.15</v>
      </c>
      <c r="J329" s="49"/>
    </row>
    <row r="330" spans="1:10" x14ac:dyDescent="0.2">
      <c r="A330" s="50">
        <f t="shared" si="5"/>
        <v>43064</v>
      </c>
      <c r="B330" s="51">
        <v>2607.6</v>
      </c>
      <c r="C330" s="52">
        <v>1524.1</v>
      </c>
      <c r="D330" s="52">
        <v>1040.2</v>
      </c>
      <c r="E330" s="52">
        <v>537.6</v>
      </c>
      <c r="F330" s="52">
        <v>2457.3000000000002</v>
      </c>
      <c r="G330" s="52">
        <v>3476.5</v>
      </c>
      <c r="H330" s="52">
        <v>2234.3999999999996</v>
      </c>
      <c r="I330" s="53">
        <v>9408.9</v>
      </c>
      <c r="J330" s="49"/>
    </row>
    <row r="331" spans="1:10" x14ac:dyDescent="0.2">
      <c r="A331" s="50">
        <f t="shared" si="5"/>
        <v>43065</v>
      </c>
      <c r="B331" s="51">
        <v>1883.5</v>
      </c>
      <c r="C331" s="52">
        <v>792</v>
      </c>
      <c r="D331" s="52">
        <v>426.7</v>
      </c>
      <c r="E331" s="52">
        <v>377</v>
      </c>
      <c r="F331" s="52">
        <v>1152.4000000000001</v>
      </c>
      <c r="G331" s="52">
        <v>2518.4</v>
      </c>
      <c r="H331" s="52">
        <v>1447.5</v>
      </c>
      <c r="I331" s="53">
        <v>5702.5</v>
      </c>
      <c r="J331" s="49"/>
    </row>
    <row r="332" spans="1:10" x14ac:dyDescent="0.2">
      <c r="A332" s="50">
        <f t="shared" si="5"/>
        <v>43066</v>
      </c>
      <c r="B332" s="51">
        <v>8176.7</v>
      </c>
      <c r="C332" s="52">
        <v>5114.8</v>
      </c>
      <c r="D332" s="52">
        <v>3322.3</v>
      </c>
      <c r="E332" s="52">
        <v>2664.6</v>
      </c>
      <c r="F332" s="52">
        <v>4445.6000000000004</v>
      </c>
      <c r="G332" s="52">
        <v>5530.3</v>
      </c>
      <c r="H332" s="52">
        <v>2538.5</v>
      </c>
      <c r="I332" s="53">
        <v>26715.8</v>
      </c>
      <c r="J332" s="49"/>
    </row>
    <row r="333" spans="1:10" x14ac:dyDescent="0.2">
      <c r="A333" s="50">
        <f t="shared" si="5"/>
        <v>43067</v>
      </c>
      <c r="B333" s="51">
        <v>11094.5</v>
      </c>
      <c r="C333" s="52">
        <v>7252.7</v>
      </c>
      <c r="D333" s="52">
        <v>4100</v>
      </c>
      <c r="E333" s="52">
        <v>2662.5</v>
      </c>
      <c r="F333" s="52">
        <v>5652</v>
      </c>
      <c r="G333" s="52">
        <v>6120</v>
      </c>
      <c r="H333" s="52">
        <v>2646.2999999999997</v>
      </c>
      <c r="I333" s="53">
        <v>34235.399999999994</v>
      </c>
      <c r="J333" s="49"/>
    </row>
    <row r="334" spans="1:10" x14ac:dyDescent="0.2">
      <c r="A334" s="50">
        <f t="shared" si="5"/>
        <v>43068</v>
      </c>
      <c r="B334" s="51">
        <v>5140.5</v>
      </c>
      <c r="C334" s="52">
        <v>3167.3</v>
      </c>
      <c r="D334" s="52">
        <v>2441.3000000000002</v>
      </c>
      <c r="E334" s="52">
        <v>661</v>
      </c>
      <c r="F334" s="52">
        <v>2961.9</v>
      </c>
      <c r="G334" s="52">
        <v>5103.7</v>
      </c>
      <c r="H334" s="52">
        <v>2655.5</v>
      </c>
      <c r="I334" s="53">
        <v>16820.199999999997</v>
      </c>
      <c r="J334" s="49"/>
    </row>
    <row r="335" spans="1:10" x14ac:dyDescent="0.2">
      <c r="A335" s="50">
        <f t="shared" si="5"/>
        <v>43069</v>
      </c>
      <c r="B335" s="51">
        <v>7845.83</v>
      </c>
      <c r="C335" s="52">
        <v>4046.42</v>
      </c>
      <c r="D335" s="52">
        <v>3234.55</v>
      </c>
      <c r="E335" s="52">
        <v>879.89</v>
      </c>
      <c r="F335" s="52">
        <v>3730.37</v>
      </c>
      <c r="G335" s="52">
        <v>5378.37</v>
      </c>
      <c r="H335" s="52">
        <v>2688.7900000000004</v>
      </c>
      <c r="I335" s="53">
        <v>22426.639999999996</v>
      </c>
      <c r="J335" s="49"/>
    </row>
    <row r="336" spans="1:10" x14ac:dyDescent="0.2">
      <c r="A336" s="50">
        <f t="shared" si="5"/>
        <v>43070</v>
      </c>
      <c r="B336" s="51">
        <v>7165.83</v>
      </c>
      <c r="C336" s="52">
        <v>4201.47</v>
      </c>
      <c r="D336" s="52">
        <v>3067.12</v>
      </c>
      <c r="E336" s="52">
        <v>765.56</v>
      </c>
      <c r="F336" s="52">
        <v>5155.82</v>
      </c>
      <c r="G336" s="52">
        <v>4775.3599999999997</v>
      </c>
      <c r="H336" s="52">
        <v>2791.7799999999997</v>
      </c>
      <c r="I336" s="53">
        <v>22339.379999999997</v>
      </c>
      <c r="J336" s="49"/>
    </row>
    <row r="337" spans="1:10" x14ac:dyDescent="0.2">
      <c r="A337" s="50">
        <f t="shared" si="5"/>
        <v>43071</v>
      </c>
      <c r="B337" s="51">
        <v>2674.84</v>
      </c>
      <c r="C337" s="52">
        <v>1171.8</v>
      </c>
      <c r="D337" s="52">
        <v>611.62</v>
      </c>
      <c r="E337" s="52">
        <v>38.33</v>
      </c>
      <c r="F337" s="52">
        <v>728.15</v>
      </c>
      <c r="G337" s="52">
        <v>2807.09</v>
      </c>
      <c r="H337" s="52">
        <v>1852.98</v>
      </c>
      <c r="I337" s="53">
        <v>6178.85</v>
      </c>
      <c r="J337" s="49"/>
    </row>
    <row r="338" spans="1:10" x14ac:dyDescent="0.2">
      <c r="A338" s="50">
        <f t="shared" si="5"/>
        <v>43072</v>
      </c>
      <c r="B338" s="51">
        <v>2436.77</v>
      </c>
      <c r="C338" s="52">
        <v>950.85</v>
      </c>
      <c r="D338" s="52">
        <v>316.83</v>
      </c>
      <c r="E338" s="52">
        <v>39.06</v>
      </c>
      <c r="F338" s="52">
        <v>172.55</v>
      </c>
      <c r="G338" s="52">
        <v>2726.35</v>
      </c>
      <c r="H338" s="52">
        <v>1695.81</v>
      </c>
      <c r="I338" s="53">
        <v>4946.6000000000004</v>
      </c>
      <c r="J338" s="49"/>
    </row>
    <row r="339" spans="1:10" x14ac:dyDescent="0.2">
      <c r="A339" s="50">
        <f t="shared" si="5"/>
        <v>43073</v>
      </c>
      <c r="B339" s="51">
        <v>7555</v>
      </c>
      <c r="C339" s="52">
        <v>3953</v>
      </c>
      <c r="D339" s="52">
        <v>2896.6</v>
      </c>
      <c r="E339" s="52">
        <v>2393</v>
      </c>
      <c r="F339" s="52">
        <v>4410.5</v>
      </c>
      <c r="G339" s="52">
        <v>5214</v>
      </c>
      <c r="H339" s="52">
        <v>2639.8</v>
      </c>
      <c r="I339" s="53">
        <v>23782.3</v>
      </c>
      <c r="J339" s="49"/>
    </row>
    <row r="340" spans="1:10" x14ac:dyDescent="0.2">
      <c r="A340" s="50">
        <f t="shared" si="5"/>
        <v>43074</v>
      </c>
      <c r="B340" s="51">
        <v>10738.6</v>
      </c>
      <c r="C340" s="52">
        <v>5756.6</v>
      </c>
      <c r="D340" s="52">
        <v>4272.8999999999996</v>
      </c>
      <c r="E340" s="52">
        <v>2306</v>
      </c>
      <c r="F340" s="52">
        <v>5615</v>
      </c>
      <c r="G340" s="52">
        <v>5091</v>
      </c>
      <c r="H340" s="52">
        <v>2739.7</v>
      </c>
      <c r="I340" s="53">
        <v>31040.399999999998</v>
      </c>
      <c r="J340" s="49"/>
    </row>
    <row r="341" spans="1:10" x14ac:dyDescent="0.2">
      <c r="A341" s="50">
        <f t="shared" si="5"/>
        <v>43075</v>
      </c>
      <c r="B341" s="51">
        <v>5535.1</v>
      </c>
      <c r="C341" s="52">
        <v>2856.6</v>
      </c>
      <c r="D341" s="52">
        <v>2469.4</v>
      </c>
      <c r="E341" s="52">
        <v>597.20000000000005</v>
      </c>
      <c r="F341" s="52">
        <v>3607.7</v>
      </c>
      <c r="G341" s="52">
        <v>4612.5</v>
      </c>
      <c r="H341" s="52">
        <v>2880.2</v>
      </c>
      <c r="I341" s="53">
        <v>16798.3</v>
      </c>
      <c r="J341" s="49"/>
    </row>
    <row r="342" spans="1:10" x14ac:dyDescent="0.2">
      <c r="A342" s="50">
        <f t="shared" si="5"/>
        <v>43076</v>
      </c>
      <c r="B342" s="51">
        <v>7834.13</v>
      </c>
      <c r="C342" s="52">
        <v>4396.28</v>
      </c>
      <c r="D342" s="52">
        <v>3222.5</v>
      </c>
      <c r="E342" s="52">
        <v>984.33</v>
      </c>
      <c r="F342" s="52">
        <v>4592.3100000000004</v>
      </c>
      <c r="G342" s="52">
        <v>5660.94</v>
      </c>
      <c r="H342" s="52">
        <v>2953.84</v>
      </c>
      <c r="I342" s="53">
        <v>23736.65</v>
      </c>
      <c r="J342" s="49"/>
    </row>
    <row r="343" spans="1:10" x14ac:dyDescent="0.2">
      <c r="A343" s="50">
        <f t="shared" si="5"/>
        <v>43077</v>
      </c>
      <c r="B343" s="51">
        <v>7390.02</v>
      </c>
      <c r="C343" s="52">
        <v>4269.82</v>
      </c>
      <c r="D343" s="52">
        <v>3079.54</v>
      </c>
      <c r="E343" s="52">
        <v>571.77</v>
      </c>
      <c r="F343" s="52">
        <v>4233.74</v>
      </c>
      <c r="G343" s="52">
        <v>5505.49</v>
      </c>
      <c r="H343" s="52">
        <v>2914.3799999999997</v>
      </c>
      <c r="I343" s="53">
        <v>22135.999999999996</v>
      </c>
      <c r="J343" s="49"/>
    </row>
    <row r="344" spans="1:10" x14ac:dyDescent="0.2">
      <c r="A344" s="50">
        <f t="shared" si="5"/>
        <v>43078</v>
      </c>
      <c r="B344" s="51">
        <v>2132</v>
      </c>
      <c r="C344" s="52">
        <v>1125.7</v>
      </c>
      <c r="D344" s="52">
        <v>743</v>
      </c>
      <c r="E344" s="52">
        <v>88.9</v>
      </c>
      <c r="F344" s="52">
        <v>1210.5</v>
      </c>
      <c r="G344" s="52">
        <v>3767</v>
      </c>
      <c r="H344" s="52">
        <v>2404.2399999999998</v>
      </c>
      <c r="I344" s="53">
        <v>6662.8600000000006</v>
      </c>
      <c r="J344" s="49"/>
    </row>
    <row r="345" spans="1:10" x14ac:dyDescent="0.2">
      <c r="A345" s="50">
        <f t="shared" si="5"/>
        <v>43079</v>
      </c>
      <c r="B345" s="51">
        <v>1676</v>
      </c>
      <c r="C345" s="52">
        <v>909</v>
      </c>
      <c r="D345" s="52">
        <v>402.3</v>
      </c>
      <c r="E345" s="52">
        <v>41.4</v>
      </c>
      <c r="F345" s="52">
        <v>177.3</v>
      </c>
      <c r="G345" s="52">
        <v>3694.6</v>
      </c>
      <c r="H345" s="52">
        <v>2495.2399999999998</v>
      </c>
      <c r="I345" s="53">
        <v>4405.3600000000006</v>
      </c>
      <c r="J345" s="49"/>
    </row>
    <row r="346" spans="1:10" x14ac:dyDescent="0.2">
      <c r="A346" s="50">
        <f t="shared" si="5"/>
        <v>43080</v>
      </c>
      <c r="B346" s="51">
        <v>7712.77</v>
      </c>
      <c r="C346" s="52">
        <v>4494.9399999999996</v>
      </c>
      <c r="D346" s="52">
        <v>3172.52</v>
      </c>
      <c r="E346" s="52">
        <v>1099.3</v>
      </c>
      <c r="F346" s="52">
        <v>4340.67</v>
      </c>
      <c r="G346" s="52">
        <v>6306.99</v>
      </c>
      <c r="H346" s="52">
        <v>3319.5600000000004</v>
      </c>
      <c r="I346" s="53">
        <v>23807.629999999994</v>
      </c>
      <c r="J346" s="49"/>
    </row>
    <row r="347" spans="1:10" x14ac:dyDescent="0.2">
      <c r="A347" s="50">
        <f t="shared" si="5"/>
        <v>43081</v>
      </c>
      <c r="B347" s="51">
        <v>10812.77</v>
      </c>
      <c r="C347" s="52">
        <v>5572.74</v>
      </c>
      <c r="D347" s="52">
        <v>4174.8900000000003</v>
      </c>
      <c r="E347" s="52">
        <v>1373.15</v>
      </c>
      <c r="F347" s="52">
        <v>5784.8</v>
      </c>
      <c r="G347" s="52">
        <v>6593.83</v>
      </c>
      <c r="H347" s="52">
        <v>3460.6800000000003</v>
      </c>
      <c r="I347" s="53">
        <v>30851.5</v>
      </c>
      <c r="J347" s="49"/>
    </row>
    <row r="348" spans="1:10" x14ac:dyDescent="0.2">
      <c r="A348" s="50">
        <f t="shared" si="5"/>
        <v>43082</v>
      </c>
      <c r="B348" s="51">
        <v>5139</v>
      </c>
      <c r="C348" s="52">
        <v>2682</v>
      </c>
      <c r="D348" s="52">
        <v>2817</v>
      </c>
      <c r="E348" s="52">
        <v>573</v>
      </c>
      <c r="F348" s="52">
        <v>4101.6000000000004</v>
      </c>
      <c r="G348" s="52">
        <v>5672.5</v>
      </c>
      <c r="H348" s="52">
        <v>3580.83</v>
      </c>
      <c r="I348" s="53">
        <v>17404.269999999997</v>
      </c>
      <c r="J348" s="49"/>
    </row>
    <row r="349" spans="1:10" x14ac:dyDescent="0.2">
      <c r="A349" s="50">
        <f t="shared" si="5"/>
        <v>43083</v>
      </c>
      <c r="B349" s="51">
        <v>7779.23</v>
      </c>
      <c r="C349" s="52">
        <v>4299.5</v>
      </c>
      <c r="D349" s="52">
        <v>3305.93</v>
      </c>
      <c r="E349" s="52">
        <v>761.52</v>
      </c>
      <c r="F349" s="52">
        <v>4534.43</v>
      </c>
      <c r="G349" s="52">
        <v>6222.19</v>
      </c>
      <c r="H349" s="52">
        <v>3521.4599999999991</v>
      </c>
      <c r="I349" s="53">
        <v>23381.34</v>
      </c>
      <c r="J349" s="49"/>
    </row>
    <row r="350" spans="1:10" x14ac:dyDescent="0.2">
      <c r="A350" s="50">
        <f t="shared" si="5"/>
        <v>43084</v>
      </c>
      <c r="B350" s="51">
        <v>9515.4</v>
      </c>
      <c r="C350" s="52">
        <v>4947.5</v>
      </c>
      <c r="D350" s="52">
        <v>3338.68</v>
      </c>
      <c r="E350" s="52">
        <v>1627.27</v>
      </c>
      <c r="F350" s="52">
        <v>5892.81</v>
      </c>
      <c r="G350" s="52">
        <v>6309.7</v>
      </c>
      <c r="H350" s="52">
        <v>3372.91</v>
      </c>
      <c r="I350" s="53">
        <v>28258.45</v>
      </c>
      <c r="J350" s="49"/>
    </row>
    <row r="351" spans="1:10" x14ac:dyDescent="0.2">
      <c r="A351" s="50">
        <f t="shared" si="5"/>
        <v>43085</v>
      </c>
      <c r="B351" s="51">
        <v>3281.6</v>
      </c>
      <c r="C351" s="52">
        <v>1320.4</v>
      </c>
      <c r="D351" s="52">
        <v>800.1</v>
      </c>
      <c r="E351" s="52">
        <v>63.6</v>
      </c>
      <c r="F351" s="52">
        <v>1679.6</v>
      </c>
      <c r="G351" s="52">
        <v>4334.5</v>
      </c>
      <c r="H351" s="52">
        <v>2815.1000000000004</v>
      </c>
      <c r="I351" s="53">
        <v>8664.7000000000007</v>
      </c>
      <c r="J351" s="49"/>
    </row>
    <row r="352" spans="1:10" x14ac:dyDescent="0.2">
      <c r="A352" s="50">
        <f t="shared" ref="A352:A366" si="6">A351+1</f>
        <v>43086</v>
      </c>
      <c r="B352" s="51">
        <v>2810.1</v>
      </c>
      <c r="C352" s="52">
        <v>937.8</v>
      </c>
      <c r="D352" s="52">
        <v>449.2</v>
      </c>
      <c r="E352" s="52">
        <v>40.700000000000003</v>
      </c>
      <c r="F352" s="52">
        <v>502.6</v>
      </c>
      <c r="G352" s="52">
        <v>4400</v>
      </c>
      <c r="H352" s="52">
        <v>2880.6</v>
      </c>
      <c r="I352" s="53">
        <v>6259.7999999999993</v>
      </c>
      <c r="J352" s="49"/>
    </row>
    <row r="353" spans="1:10" x14ac:dyDescent="0.2">
      <c r="A353" s="50">
        <f t="shared" si="6"/>
        <v>43087</v>
      </c>
      <c r="B353" s="51">
        <v>9221.65</v>
      </c>
      <c r="C353" s="52">
        <v>4797.45</v>
      </c>
      <c r="D353" s="52">
        <v>3796.54</v>
      </c>
      <c r="E353" s="52">
        <v>1536.13</v>
      </c>
      <c r="F353" s="52">
        <v>5088.5</v>
      </c>
      <c r="G353" s="52">
        <v>6929.24</v>
      </c>
      <c r="H353" s="52">
        <v>3392.7699999999995</v>
      </c>
      <c r="I353" s="53">
        <v>27976.74</v>
      </c>
      <c r="J353" s="49"/>
    </row>
    <row r="354" spans="1:10" x14ac:dyDescent="0.2">
      <c r="A354" s="50">
        <f t="shared" si="6"/>
        <v>43088</v>
      </c>
      <c r="B354" s="51">
        <v>12219.41</v>
      </c>
      <c r="C354" s="52">
        <v>6014.83</v>
      </c>
      <c r="D354" s="52">
        <v>4504.34</v>
      </c>
      <c r="E354" s="52">
        <v>1947.66</v>
      </c>
      <c r="F354" s="52">
        <v>7345</v>
      </c>
      <c r="G354" s="52">
        <v>7012.15</v>
      </c>
      <c r="H354" s="52">
        <v>3701.5200000000004</v>
      </c>
      <c r="I354" s="53">
        <v>35341.869999999995</v>
      </c>
      <c r="J354" s="49"/>
    </row>
    <row r="355" spans="1:10" x14ac:dyDescent="0.2">
      <c r="A355" s="50">
        <f t="shared" si="6"/>
        <v>43089</v>
      </c>
      <c r="B355" s="51">
        <v>6055</v>
      </c>
      <c r="C355" s="52">
        <v>2890.5</v>
      </c>
      <c r="D355" s="52">
        <v>3062.5</v>
      </c>
      <c r="E355" s="52">
        <v>473.7</v>
      </c>
      <c r="F355" s="52">
        <v>3219</v>
      </c>
      <c r="G355" s="52">
        <v>5988</v>
      </c>
      <c r="H355" s="52">
        <v>3690.6000000000004</v>
      </c>
      <c r="I355" s="53">
        <v>17998.099999999999</v>
      </c>
      <c r="J355" s="49"/>
    </row>
    <row r="356" spans="1:10" x14ac:dyDescent="0.2">
      <c r="A356" s="50">
        <f t="shared" si="6"/>
        <v>43090</v>
      </c>
      <c r="B356" s="51">
        <v>8793.07</v>
      </c>
      <c r="C356" s="52">
        <v>4584.63</v>
      </c>
      <c r="D356" s="52">
        <v>3777.56</v>
      </c>
      <c r="E356" s="52">
        <v>1846.39</v>
      </c>
      <c r="F356" s="52">
        <v>4565.1499999999996</v>
      </c>
      <c r="G356" s="52">
        <v>6948.16</v>
      </c>
      <c r="H356" s="52">
        <v>3696.4</v>
      </c>
      <c r="I356" s="53">
        <v>26818.560000000001</v>
      </c>
      <c r="J356" s="49"/>
    </row>
    <row r="357" spans="1:10" x14ac:dyDescent="0.2">
      <c r="A357" s="50">
        <f t="shared" si="6"/>
        <v>43091</v>
      </c>
      <c r="B357" s="51">
        <v>10255.06</v>
      </c>
      <c r="C357" s="52">
        <v>5341.66</v>
      </c>
      <c r="D357" s="52">
        <v>4054.34</v>
      </c>
      <c r="E357" s="52">
        <v>1425.72</v>
      </c>
      <c r="F357" s="52">
        <v>6170.58</v>
      </c>
      <c r="G357" s="52">
        <v>6736.97</v>
      </c>
      <c r="H357" s="52">
        <v>3387.66</v>
      </c>
      <c r="I357" s="53">
        <v>30596.670000000002</v>
      </c>
      <c r="J357" s="49"/>
    </row>
    <row r="358" spans="1:10" x14ac:dyDescent="0.2">
      <c r="A358" s="50">
        <f t="shared" si="6"/>
        <v>43092</v>
      </c>
      <c r="B358" s="51">
        <v>4116.5</v>
      </c>
      <c r="C358" s="52">
        <v>1673.4</v>
      </c>
      <c r="D358" s="52">
        <v>2054</v>
      </c>
      <c r="E358" s="52">
        <v>368.7</v>
      </c>
      <c r="F358" s="52">
        <v>1871</v>
      </c>
      <c r="G358" s="52">
        <v>4355.5</v>
      </c>
      <c r="H358" s="52">
        <v>2524.23</v>
      </c>
      <c r="I358" s="53">
        <v>11914.87</v>
      </c>
      <c r="J358" s="49"/>
    </row>
    <row r="359" spans="1:10" x14ac:dyDescent="0.2">
      <c r="A359" s="50">
        <f t="shared" si="6"/>
        <v>43093</v>
      </c>
      <c r="B359" s="51">
        <v>2791.2</v>
      </c>
      <c r="C359" s="52">
        <v>867.7</v>
      </c>
      <c r="D359" s="52">
        <v>1192.2</v>
      </c>
      <c r="E359" s="52">
        <v>39.9</v>
      </c>
      <c r="F359" s="52">
        <v>310.89999999999998</v>
      </c>
      <c r="G359" s="52">
        <v>4138.3</v>
      </c>
      <c r="H359" s="52">
        <v>2500.7299999999996</v>
      </c>
      <c r="I359" s="53">
        <v>6839.4699999999993</v>
      </c>
      <c r="J359" s="49"/>
    </row>
    <row r="360" spans="1:10" x14ac:dyDescent="0.2">
      <c r="A360" s="50">
        <f t="shared" si="6"/>
        <v>43094</v>
      </c>
      <c r="B360" s="51">
        <v>9284.39</v>
      </c>
      <c r="C360" s="52">
        <v>4803.1499999999996</v>
      </c>
      <c r="D360" s="52">
        <v>3619.64</v>
      </c>
      <c r="E360" s="52">
        <v>2797.84</v>
      </c>
      <c r="F360" s="52">
        <v>4590.8500000000004</v>
      </c>
      <c r="G360" s="52">
        <v>7091.6</v>
      </c>
      <c r="H360" s="52">
        <v>3792.1399999999994</v>
      </c>
      <c r="I360" s="53">
        <v>28395.33</v>
      </c>
      <c r="J360" s="49"/>
    </row>
    <row r="361" spans="1:10" x14ac:dyDescent="0.2">
      <c r="A361" s="50">
        <f t="shared" si="6"/>
        <v>43095</v>
      </c>
      <c r="B361" s="51">
        <v>11062.33</v>
      </c>
      <c r="C361" s="52">
        <v>5661.22</v>
      </c>
      <c r="D361" s="52">
        <v>4053.65</v>
      </c>
      <c r="E361" s="52">
        <v>1337.14</v>
      </c>
      <c r="F361" s="52">
        <v>6621.47</v>
      </c>
      <c r="G361" s="52">
        <v>6833.84</v>
      </c>
      <c r="H361" s="52">
        <v>3621.1500000000005</v>
      </c>
      <c r="I361" s="53">
        <v>31948.5</v>
      </c>
      <c r="J361" s="49"/>
    </row>
    <row r="362" spans="1:10" x14ac:dyDescent="0.2">
      <c r="A362" s="50">
        <f t="shared" si="6"/>
        <v>43096</v>
      </c>
      <c r="B362" s="51">
        <v>6260.3</v>
      </c>
      <c r="C362" s="52">
        <v>3465.9</v>
      </c>
      <c r="D362" s="52">
        <v>3171.4</v>
      </c>
      <c r="E362" s="52">
        <v>539.5</v>
      </c>
      <c r="F362" s="52">
        <v>3788.5</v>
      </c>
      <c r="G362" s="52">
        <v>5959.6</v>
      </c>
      <c r="H362" s="52">
        <v>3380.0000000000005</v>
      </c>
      <c r="I362" s="53">
        <v>19805.199999999997</v>
      </c>
      <c r="J362" s="49"/>
    </row>
    <row r="363" spans="1:10" x14ac:dyDescent="0.2">
      <c r="A363" s="50">
        <f t="shared" si="6"/>
        <v>43097</v>
      </c>
      <c r="B363" s="51">
        <v>5469.15</v>
      </c>
      <c r="C363" s="52">
        <v>3295.44</v>
      </c>
      <c r="D363" s="52">
        <v>3002.96</v>
      </c>
      <c r="E363" s="52">
        <v>504.6</v>
      </c>
      <c r="F363" s="52">
        <v>3579.53</v>
      </c>
      <c r="G363" s="52">
        <v>4974.3900000000003</v>
      </c>
      <c r="H363" s="52">
        <v>2626.41</v>
      </c>
      <c r="I363" s="53">
        <v>18199.66</v>
      </c>
      <c r="J363" s="49"/>
    </row>
    <row r="364" spans="1:10" x14ac:dyDescent="0.2">
      <c r="A364" s="50">
        <f t="shared" si="6"/>
        <v>43098</v>
      </c>
      <c r="B364" s="51">
        <v>2650.2</v>
      </c>
      <c r="C364" s="52">
        <v>1223.5</v>
      </c>
      <c r="D364" s="52">
        <v>1181.3</v>
      </c>
      <c r="E364" s="52">
        <v>860.9</v>
      </c>
      <c r="F364" s="52">
        <v>1849</v>
      </c>
      <c r="G364" s="52">
        <v>3139.1</v>
      </c>
      <c r="H364" s="52">
        <v>1804.1</v>
      </c>
      <c r="I364" s="53">
        <v>9099.9</v>
      </c>
      <c r="J364" s="49"/>
    </row>
    <row r="365" spans="1:10" x14ac:dyDescent="0.2">
      <c r="A365" s="50">
        <f t="shared" si="6"/>
        <v>43099</v>
      </c>
      <c r="B365" s="51">
        <v>1452</v>
      </c>
      <c r="C365" s="52">
        <v>580.79999999999995</v>
      </c>
      <c r="D365" s="52">
        <v>218.9</v>
      </c>
      <c r="E365" s="52">
        <v>39.799999999999997</v>
      </c>
      <c r="F365" s="52">
        <v>298.10000000000002</v>
      </c>
      <c r="G365" s="52">
        <v>1735.2</v>
      </c>
      <c r="H365" s="52">
        <v>1105.3</v>
      </c>
      <c r="I365" s="53">
        <v>3219.5</v>
      </c>
      <c r="J365" s="49"/>
    </row>
    <row r="366" spans="1:10" x14ac:dyDescent="0.2">
      <c r="A366" s="50">
        <f t="shared" si="6"/>
        <v>43100</v>
      </c>
      <c r="B366" s="51">
        <v>1447</v>
      </c>
      <c r="C366" s="52">
        <v>593.70000000000005</v>
      </c>
      <c r="D366" s="52">
        <v>232.7</v>
      </c>
      <c r="E366" s="52">
        <v>41.1</v>
      </c>
      <c r="F366" s="52">
        <v>303</v>
      </c>
      <c r="G366" s="52">
        <v>1128.5999999999999</v>
      </c>
      <c r="H366" s="52">
        <v>798</v>
      </c>
      <c r="I366" s="53">
        <v>2948.1</v>
      </c>
      <c r="J366" s="49"/>
    </row>
    <row r="367" spans="1:10" x14ac:dyDescent="0.2">
      <c r="A367" s="50"/>
      <c r="B367" s="51"/>
      <c r="C367" s="52"/>
      <c r="D367" s="52"/>
      <c r="E367" s="52"/>
      <c r="F367" s="52"/>
      <c r="G367" s="52"/>
      <c r="H367" s="52"/>
      <c r="I367" s="53"/>
      <c r="J367" s="49"/>
    </row>
    <row r="368" spans="1:10" x14ac:dyDescent="0.2">
      <c r="A368" s="50"/>
      <c r="B368" s="51"/>
      <c r="C368" s="52"/>
      <c r="D368" s="52"/>
      <c r="E368" s="52"/>
      <c r="F368" s="52"/>
      <c r="G368" s="52"/>
      <c r="H368" s="52"/>
      <c r="I368" s="53"/>
      <c r="J368" s="49"/>
    </row>
    <row r="369" spans="1:10" ht="13.5" thickBot="1" x14ac:dyDescent="0.25">
      <c r="A369" s="54"/>
      <c r="B369" s="55"/>
      <c r="C369" s="56"/>
      <c r="D369" s="56"/>
      <c r="E369" s="56"/>
      <c r="F369" s="56"/>
      <c r="G369" s="56"/>
      <c r="H369" s="56"/>
      <c r="I369" s="57"/>
      <c r="J369" s="49"/>
    </row>
    <row r="371" spans="1:10" x14ac:dyDescent="0.2">
      <c r="I371" s="58">
        <f>MAX(I2:I367)</f>
        <v>35341.869999999995</v>
      </c>
    </row>
  </sheetData>
  <conditionalFormatting sqref="A31">
    <cfRule type="expression" dxfId="36" priority="3" stopIfTrue="1">
      <formula>WEEKDAY(A31:A51,2)&gt;5</formula>
    </cfRule>
  </conditionalFormatting>
  <conditionalFormatting sqref="A32:A369">
    <cfRule type="expression" dxfId="35" priority="2" stopIfTrue="1">
      <formula>WEEKDAY(A32:A52,2)&gt;5</formula>
    </cfRule>
  </conditionalFormatting>
  <conditionalFormatting sqref="A2:A30">
    <cfRule type="expression" dxfId="34" priority="1" stopIfTrue="1">
      <formula>WEEKDAY(A2:A22,2)&gt;5</formula>
    </cfRule>
  </conditionalFormatting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371"/>
  <sheetViews>
    <sheetView zoomScaleNormal="100" workbookViewId="0">
      <selection activeCell="T1" sqref="T1:W1048576"/>
    </sheetView>
  </sheetViews>
  <sheetFormatPr defaultRowHeight="12.75" x14ac:dyDescent="0.2"/>
  <cols>
    <col min="1" max="1" width="9.140625" style="44"/>
    <col min="2" max="2" width="10.85546875" style="44" customWidth="1"/>
    <col min="3" max="3" width="10.28515625" style="44" customWidth="1"/>
    <col min="4" max="4" width="9.85546875" style="44" customWidth="1"/>
    <col min="5" max="5" width="10.5703125" style="44" customWidth="1"/>
    <col min="6" max="6" width="10" style="44" customWidth="1"/>
    <col min="7" max="7" width="9.85546875" style="44" customWidth="1"/>
    <col min="8" max="8" width="10.140625" style="44" customWidth="1"/>
    <col min="9" max="9" width="13.85546875" style="44" customWidth="1"/>
    <col min="10" max="10" width="12.5703125" style="44" customWidth="1"/>
    <col min="11" max="253" width="9.140625" style="44"/>
    <col min="254" max="254" width="10.85546875" style="44" customWidth="1"/>
    <col min="255" max="255" width="10.28515625" style="44" customWidth="1"/>
    <col min="256" max="256" width="9.85546875" style="44" customWidth="1"/>
    <col min="257" max="257" width="10.5703125" style="44" customWidth="1"/>
    <col min="258" max="258" width="10" style="44" customWidth="1"/>
    <col min="259" max="259" width="9.85546875" style="44" customWidth="1"/>
    <col min="260" max="260" width="10.140625" style="44" customWidth="1"/>
    <col min="261" max="261" width="13.85546875" style="44" customWidth="1"/>
    <col min="262" max="262" width="12.5703125" style="44" customWidth="1"/>
    <col min="263" max="509" width="9.140625" style="44"/>
    <col min="510" max="510" width="10.85546875" style="44" customWidth="1"/>
    <col min="511" max="511" width="10.28515625" style="44" customWidth="1"/>
    <col min="512" max="512" width="9.85546875" style="44" customWidth="1"/>
    <col min="513" max="513" width="10.5703125" style="44" customWidth="1"/>
    <col min="514" max="514" width="10" style="44" customWidth="1"/>
    <col min="515" max="515" width="9.85546875" style="44" customWidth="1"/>
    <col min="516" max="516" width="10.140625" style="44" customWidth="1"/>
    <col min="517" max="517" width="13.85546875" style="44" customWidth="1"/>
    <col min="518" max="518" width="12.5703125" style="44" customWidth="1"/>
    <col min="519" max="765" width="9.140625" style="44"/>
    <col min="766" max="766" width="10.85546875" style="44" customWidth="1"/>
    <col min="767" max="767" width="10.28515625" style="44" customWidth="1"/>
    <col min="768" max="768" width="9.85546875" style="44" customWidth="1"/>
    <col min="769" max="769" width="10.5703125" style="44" customWidth="1"/>
    <col min="770" max="770" width="10" style="44" customWidth="1"/>
    <col min="771" max="771" width="9.85546875" style="44" customWidth="1"/>
    <col min="772" max="772" width="10.140625" style="44" customWidth="1"/>
    <col min="773" max="773" width="13.85546875" style="44" customWidth="1"/>
    <col min="774" max="774" width="12.5703125" style="44" customWidth="1"/>
    <col min="775" max="1021" width="9.140625" style="44"/>
    <col min="1022" max="1022" width="10.85546875" style="44" customWidth="1"/>
    <col min="1023" max="1023" width="10.28515625" style="44" customWidth="1"/>
    <col min="1024" max="1024" width="9.85546875" style="44" customWidth="1"/>
    <col min="1025" max="1025" width="10.5703125" style="44" customWidth="1"/>
    <col min="1026" max="1026" width="10" style="44" customWidth="1"/>
    <col min="1027" max="1027" width="9.85546875" style="44" customWidth="1"/>
    <col min="1028" max="1028" width="10.140625" style="44" customWidth="1"/>
    <col min="1029" max="1029" width="13.85546875" style="44" customWidth="1"/>
    <col min="1030" max="1030" width="12.5703125" style="44" customWidth="1"/>
    <col min="1031" max="1277" width="9.140625" style="44"/>
    <col min="1278" max="1278" width="10.85546875" style="44" customWidth="1"/>
    <col min="1279" max="1279" width="10.28515625" style="44" customWidth="1"/>
    <col min="1280" max="1280" width="9.85546875" style="44" customWidth="1"/>
    <col min="1281" max="1281" width="10.5703125" style="44" customWidth="1"/>
    <col min="1282" max="1282" width="10" style="44" customWidth="1"/>
    <col min="1283" max="1283" width="9.85546875" style="44" customWidth="1"/>
    <col min="1284" max="1284" width="10.140625" style="44" customWidth="1"/>
    <col min="1285" max="1285" width="13.85546875" style="44" customWidth="1"/>
    <col min="1286" max="1286" width="12.5703125" style="44" customWidth="1"/>
    <col min="1287" max="1533" width="9.140625" style="44"/>
    <col min="1534" max="1534" width="10.85546875" style="44" customWidth="1"/>
    <col min="1535" max="1535" width="10.28515625" style="44" customWidth="1"/>
    <col min="1536" max="1536" width="9.85546875" style="44" customWidth="1"/>
    <col min="1537" max="1537" width="10.5703125" style="44" customWidth="1"/>
    <col min="1538" max="1538" width="10" style="44" customWidth="1"/>
    <col min="1539" max="1539" width="9.85546875" style="44" customWidth="1"/>
    <col min="1540" max="1540" width="10.140625" style="44" customWidth="1"/>
    <col min="1541" max="1541" width="13.85546875" style="44" customWidth="1"/>
    <col min="1542" max="1542" width="12.5703125" style="44" customWidth="1"/>
    <col min="1543" max="1789" width="9.140625" style="44"/>
    <col min="1790" max="1790" width="10.85546875" style="44" customWidth="1"/>
    <col min="1791" max="1791" width="10.28515625" style="44" customWidth="1"/>
    <col min="1792" max="1792" width="9.85546875" style="44" customWidth="1"/>
    <col min="1793" max="1793" width="10.5703125" style="44" customWidth="1"/>
    <col min="1794" max="1794" width="10" style="44" customWidth="1"/>
    <col min="1795" max="1795" width="9.85546875" style="44" customWidth="1"/>
    <col min="1796" max="1796" width="10.140625" style="44" customWidth="1"/>
    <col min="1797" max="1797" width="13.85546875" style="44" customWidth="1"/>
    <col min="1798" max="1798" width="12.5703125" style="44" customWidth="1"/>
    <col min="1799" max="2045" width="9.140625" style="44"/>
    <col min="2046" max="2046" width="10.85546875" style="44" customWidth="1"/>
    <col min="2047" max="2047" width="10.28515625" style="44" customWidth="1"/>
    <col min="2048" max="2048" width="9.85546875" style="44" customWidth="1"/>
    <col min="2049" max="2049" width="10.5703125" style="44" customWidth="1"/>
    <col min="2050" max="2050" width="10" style="44" customWidth="1"/>
    <col min="2051" max="2051" width="9.85546875" style="44" customWidth="1"/>
    <col min="2052" max="2052" width="10.140625" style="44" customWidth="1"/>
    <col min="2053" max="2053" width="13.85546875" style="44" customWidth="1"/>
    <col min="2054" max="2054" width="12.5703125" style="44" customWidth="1"/>
    <col min="2055" max="2301" width="9.140625" style="44"/>
    <col min="2302" max="2302" width="10.85546875" style="44" customWidth="1"/>
    <col min="2303" max="2303" width="10.28515625" style="44" customWidth="1"/>
    <col min="2304" max="2304" width="9.85546875" style="44" customWidth="1"/>
    <col min="2305" max="2305" width="10.5703125" style="44" customWidth="1"/>
    <col min="2306" max="2306" width="10" style="44" customWidth="1"/>
    <col min="2307" max="2307" width="9.85546875" style="44" customWidth="1"/>
    <col min="2308" max="2308" width="10.140625" style="44" customWidth="1"/>
    <col min="2309" max="2309" width="13.85546875" style="44" customWidth="1"/>
    <col min="2310" max="2310" width="12.5703125" style="44" customWidth="1"/>
    <col min="2311" max="2557" width="9.140625" style="44"/>
    <col min="2558" max="2558" width="10.85546875" style="44" customWidth="1"/>
    <col min="2559" max="2559" width="10.28515625" style="44" customWidth="1"/>
    <col min="2560" max="2560" width="9.85546875" style="44" customWidth="1"/>
    <col min="2561" max="2561" width="10.5703125" style="44" customWidth="1"/>
    <col min="2562" max="2562" width="10" style="44" customWidth="1"/>
    <col min="2563" max="2563" width="9.85546875" style="44" customWidth="1"/>
    <col min="2564" max="2564" width="10.140625" style="44" customWidth="1"/>
    <col min="2565" max="2565" width="13.85546875" style="44" customWidth="1"/>
    <col min="2566" max="2566" width="12.5703125" style="44" customWidth="1"/>
    <col min="2567" max="2813" width="9.140625" style="44"/>
    <col min="2814" max="2814" width="10.85546875" style="44" customWidth="1"/>
    <col min="2815" max="2815" width="10.28515625" style="44" customWidth="1"/>
    <col min="2816" max="2816" width="9.85546875" style="44" customWidth="1"/>
    <col min="2817" max="2817" width="10.5703125" style="44" customWidth="1"/>
    <col min="2818" max="2818" width="10" style="44" customWidth="1"/>
    <col min="2819" max="2819" width="9.85546875" style="44" customWidth="1"/>
    <col min="2820" max="2820" width="10.140625" style="44" customWidth="1"/>
    <col min="2821" max="2821" width="13.85546875" style="44" customWidth="1"/>
    <col min="2822" max="2822" width="12.5703125" style="44" customWidth="1"/>
    <col min="2823" max="3069" width="9.140625" style="44"/>
    <col min="3070" max="3070" width="10.85546875" style="44" customWidth="1"/>
    <col min="3071" max="3071" width="10.28515625" style="44" customWidth="1"/>
    <col min="3072" max="3072" width="9.85546875" style="44" customWidth="1"/>
    <col min="3073" max="3073" width="10.5703125" style="44" customWidth="1"/>
    <col min="3074" max="3074" width="10" style="44" customWidth="1"/>
    <col min="3075" max="3075" width="9.85546875" style="44" customWidth="1"/>
    <col min="3076" max="3076" width="10.140625" style="44" customWidth="1"/>
    <col min="3077" max="3077" width="13.85546875" style="44" customWidth="1"/>
    <col min="3078" max="3078" width="12.5703125" style="44" customWidth="1"/>
    <col min="3079" max="3325" width="9.140625" style="44"/>
    <col min="3326" max="3326" width="10.85546875" style="44" customWidth="1"/>
    <col min="3327" max="3327" width="10.28515625" style="44" customWidth="1"/>
    <col min="3328" max="3328" width="9.85546875" style="44" customWidth="1"/>
    <col min="3329" max="3329" width="10.5703125" style="44" customWidth="1"/>
    <col min="3330" max="3330" width="10" style="44" customWidth="1"/>
    <col min="3331" max="3331" width="9.85546875" style="44" customWidth="1"/>
    <col min="3332" max="3332" width="10.140625" style="44" customWidth="1"/>
    <col min="3333" max="3333" width="13.85546875" style="44" customWidth="1"/>
    <col min="3334" max="3334" width="12.5703125" style="44" customWidth="1"/>
    <col min="3335" max="3581" width="9.140625" style="44"/>
    <col min="3582" max="3582" width="10.85546875" style="44" customWidth="1"/>
    <col min="3583" max="3583" width="10.28515625" style="44" customWidth="1"/>
    <col min="3584" max="3584" width="9.85546875" style="44" customWidth="1"/>
    <col min="3585" max="3585" width="10.5703125" style="44" customWidth="1"/>
    <col min="3586" max="3586" width="10" style="44" customWidth="1"/>
    <col min="3587" max="3587" width="9.85546875" style="44" customWidth="1"/>
    <col min="3588" max="3588" width="10.140625" style="44" customWidth="1"/>
    <col min="3589" max="3589" width="13.85546875" style="44" customWidth="1"/>
    <col min="3590" max="3590" width="12.5703125" style="44" customWidth="1"/>
    <col min="3591" max="3837" width="9.140625" style="44"/>
    <col min="3838" max="3838" width="10.85546875" style="44" customWidth="1"/>
    <col min="3839" max="3839" width="10.28515625" style="44" customWidth="1"/>
    <col min="3840" max="3840" width="9.85546875" style="44" customWidth="1"/>
    <col min="3841" max="3841" width="10.5703125" style="44" customWidth="1"/>
    <col min="3842" max="3842" width="10" style="44" customWidth="1"/>
    <col min="3843" max="3843" width="9.85546875" style="44" customWidth="1"/>
    <col min="3844" max="3844" width="10.140625" style="44" customWidth="1"/>
    <col min="3845" max="3845" width="13.85546875" style="44" customWidth="1"/>
    <col min="3846" max="3846" width="12.5703125" style="44" customWidth="1"/>
    <col min="3847" max="4093" width="9.140625" style="44"/>
    <col min="4094" max="4094" width="10.85546875" style="44" customWidth="1"/>
    <col min="4095" max="4095" width="10.28515625" style="44" customWidth="1"/>
    <col min="4096" max="4096" width="9.85546875" style="44" customWidth="1"/>
    <col min="4097" max="4097" width="10.5703125" style="44" customWidth="1"/>
    <col min="4098" max="4098" width="10" style="44" customWidth="1"/>
    <col min="4099" max="4099" width="9.85546875" style="44" customWidth="1"/>
    <col min="4100" max="4100" width="10.140625" style="44" customWidth="1"/>
    <col min="4101" max="4101" width="13.85546875" style="44" customWidth="1"/>
    <col min="4102" max="4102" width="12.5703125" style="44" customWidth="1"/>
    <col min="4103" max="4349" width="9.140625" style="44"/>
    <col min="4350" max="4350" width="10.85546875" style="44" customWidth="1"/>
    <col min="4351" max="4351" width="10.28515625" style="44" customWidth="1"/>
    <col min="4352" max="4352" width="9.85546875" style="44" customWidth="1"/>
    <col min="4353" max="4353" width="10.5703125" style="44" customWidth="1"/>
    <col min="4354" max="4354" width="10" style="44" customWidth="1"/>
    <col min="4355" max="4355" width="9.85546875" style="44" customWidth="1"/>
    <col min="4356" max="4356" width="10.140625" style="44" customWidth="1"/>
    <col min="4357" max="4357" width="13.85546875" style="44" customWidth="1"/>
    <col min="4358" max="4358" width="12.5703125" style="44" customWidth="1"/>
    <col min="4359" max="4605" width="9.140625" style="44"/>
    <col min="4606" max="4606" width="10.85546875" style="44" customWidth="1"/>
    <col min="4607" max="4607" width="10.28515625" style="44" customWidth="1"/>
    <col min="4608" max="4608" width="9.85546875" style="44" customWidth="1"/>
    <col min="4609" max="4609" width="10.5703125" style="44" customWidth="1"/>
    <col min="4610" max="4610" width="10" style="44" customWidth="1"/>
    <col min="4611" max="4611" width="9.85546875" style="44" customWidth="1"/>
    <col min="4612" max="4612" width="10.140625" style="44" customWidth="1"/>
    <col min="4613" max="4613" width="13.85546875" style="44" customWidth="1"/>
    <col min="4614" max="4614" width="12.5703125" style="44" customWidth="1"/>
    <col min="4615" max="4861" width="9.140625" style="44"/>
    <col min="4862" max="4862" width="10.85546875" style="44" customWidth="1"/>
    <col min="4863" max="4863" width="10.28515625" style="44" customWidth="1"/>
    <col min="4864" max="4864" width="9.85546875" style="44" customWidth="1"/>
    <col min="4865" max="4865" width="10.5703125" style="44" customWidth="1"/>
    <col min="4866" max="4866" width="10" style="44" customWidth="1"/>
    <col min="4867" max="4867" width="9.85546875" style="44" customWidth="1"/>
    <col min="4868" max="4868" width="10.140625" style="44" customWidth="1"/>
    <col min="4869" max="4869" width="13.85546875" style="44" customWidth="1"/>
    <col min="4870" max="4870" width="12.5703125" style="44" customWidth="1"/>
    <col min="4871" max="5117" width="9.140625" style="44"/>
    <col min="5118" max="5118" width="10.85546875" style="44" customWidth="1"/>
    <col min="5119" max="5119" width="10.28515625" style="44" customWidth="1"/>
    <col min="5120" max="5120" width="9.85546875" style="44" customWidth="1"/>
    <col min="5121" max="5121" width="10.5703125" style="44" customWidth="1"/>
    <col min="5122" max="5122" width="10" style="44" customWidth="1"/>
    <col min="5123" max="5123" width="9.85546875" style="44" customWidth="1"/>
    <col min="5124" max="5124" width="10.140625" style="44" customWidth="1"/>
    <col min="5125" max="5125" width="13.85546875" style="44" customWidth="1"/>
    <col min="5126" max="5126" width="12.5703125" style="44" customWidth="1"/>
    <col min="5127" max="5373" width="9.140625" style="44"/>
    <col min="5374" max="5374" width="10.85546875" style="44" customWidth="1"/>
    <col min="5375" max="5375" width="10.28515625" style="44" customWidth="1"/>
    <col min="5376" max="5376" width="9.85546875" style="44" customWidth="1"/>
    <col min="5377" max="5377" width="10.5703125" style="44" customWidth="1"/>
    <col min="5378" max="5378" width="10" style="44" customWidth="1"/>
    <col min="5379" max="5379" width="9.85546875" style="44" customWidth="1"/>
    <col min="5380" max="5380" width="10.140625" style="44" customWidth="1"/>
    <col min="5381" max="5381" width="13.85546875" style="44" customWidth="1"/>
    <col min="5382" max="5382" width="12.5703125" style="44" customWidth="1"/>
    <col min="5383" max="5629" width="9.140625" style="44"/>
    <col min="5630" max="5630" width="10.85546875" style="44" customWidth="1"/>
    <col min="5631" max="5631" width="10.28515625" style="44" customWidth="1"/>
    <col min="5632" max="5632" width="9.85546875" style="44" customWidth="1"/>
    <col min="5633" max="5633" width="10.5703125" style="44" customWidth="1"/>
    <col min="5634" max="5634" width="10" style="44" customWidth="1"/>
    <col min="5635" max="5635" width="9.85546875" style="44" customWidth="1"/>
    <col min="5636" max="5636" width="10.140625" style="44" customWidth="1"/>
    <col min="5637" max="5637" width="13.85546875" style="44" customWidth="1"/>
    <col min="5638" max="5638" width="12.5703125" style="44" customWidth="1"/>
    <col min="5639" max="5885" width="9.140625" style="44"/>
    <col min="5886" max="5886" width="10.85546875" style="44" customWidth="1"/>
    <col min="5887" max="5887" width="10.28515625" style="44" customWidth="1"/>
    <col min="5888" max="5888" width="9.85546875" style="44" customWidth="1"/>
    <col min="5889" max="5889" width="10.5703125" style="44" customWidth="1"/>
    <col min="5890" max="5890" width="10" style="44" customWidth="1"/>
    <col min="5891" max="5891" width="9.85546875" style="44" customWidth="1"/>
    <col min="5892" max="5892" width="10.140625" style="44" customWidth="1"/>
    <col min="5893" max="5893" width="13.85546875" style="44" customWidth="1"/>
    <col min="5894" max="5894" width="12.5703125" style="44" customWidth="1"/>
    <col min="5895" max="6141" width="9.140625" style="44"/>
    <col min="6142" max="6142" width="10.85546875" style="44" customWidth="1"/>
    <col min="6143" max="6143" width="10.28515625" style="44" customWidth="1"/>
    <col min="6144" max="6144" width="9.85546875" style="44" customWidth="1"/>
    <col min="6145" max="6145" width="10.5703125" style="44" customWidth="1"/>
    <col min="6146" max="6146" width="10" style="44" customWidth="1"/>
    <col min="6147" max="6147" width="9.85546875" style="44" customWidth="1"/>
    <col min="6148" max="6148" width="10.140625" style="44" customWidth="1"/>
    <col min="6149" max="6149" width="13.85546875" style="44" customWidth="1"/>
    <col min="6150" max="6150" width="12.5703125" style="44" customWidth="1"/>
    <col min="6151" max="6397" width="9.140625" style="44"/>
    <col min="6398" max="6398" width="10.85546875" style="44" customWidth="1"/>
    <col min="6399" max="6399" width="10.28515625" style="44" customWidth="1"/>
    <col min="6400" max="6400" width="9.85546875" style="44" customWidth="1"/>
    <col min="6401" max="6401" width="10.5703125" style="44" customWidth="1"/>
    <col min="6402" max="6402" width="10" style="44" customWidth="1"/>
    <col min="6403" max="6403" width="9.85546875" style="44" customWidth="1"/>
    <col min="6404" max="6404" width="10.140625" style="44" customWidth="1"/>
    <col min="6405" max="6405" width="13.85546875" style="44" customWidth="1"/>
    <col min="6406" max="6406" width="12.5703125" style="44" customWidth="1"/>
    <col min="6407" max="6653" width="9.140625" style="44"/>
    <col min="6654" max="6654" width="10.85546875" style="44" customWidth="1"/>
    <col min="6655" max="6655" width="10.28515625" style="44" customWidth="1"/>
    <col min="6656" max="6656" width="9.85546875" style="44" customWidth="1"/>
    <col min="6657" max="6657" width="10.5703125" style="44" customWidth="1"/>
    <col min="6658" max="6658" width="10" style="44" customWidth="1"/>
    <col min="6659" max="6659" width="9.85546875" style="44" customWidth="1"/>
    <col min="6660" max="6660" width="10.140625" style="44" customWidth="1"/>
    <col min="6661" max="6661" width="13.85546875" style="44" customWidth="1"/>
    <col min="6662" max="6662" width="12.5703125" style="44" customWidth="1"/>
    <col min="6663" max="6909" width="9.140625" style="44"/>
    <col min="6910" max="6910" width="10.85546875" style="44" customWidth="1"/>
    <col min="6911" max="6911" width="10.28515625" style="44" customWidth="1"/>
    <col min="6912" max="6912" width="9.85546875" style="44" customWidth="1"/>
    <col min="6913" max="6913" width="10.5703125" style="44" customWidth="1"/>
    <col min="6914" max="6914" width="10" style="44" customWidth="1"/>
    <col min="6915" max="6915" width="9.85546875" style="44" customWidth="1"/>
    <col min="6916" max="6916" width="10.140625" style="44" customWidth="1"/>
    <col min="6917" max="6917" width="13.85546875" style="44" customWidth="1"/>
    <col min="6918" max="6918" width="12.5703125" style="44" customWidth="1"/>
    <col min="6919" max="7165" width="9.140625" style="44"/>
    <col min="7166" max="7166" width="10.85546875" style="44" customWidth="1"/>
    <col min="7167" max="7167" width="10.28515625" style="44" customWidth="1"/>
    <col min="7168" max="7168" width="9.85546875" style="44" customWidth="1"/>
    <col min="7169" max="7169" width="10.5703125" style="44" customWidth="1"/>
    <col min="7170" max="7170" width="10" style="44" customWidth="1"/>
    <col min="7171" max="7171" width="9.85546875" style="44" customWidth="1"/>
    <col min="7172" max="7172" width="10.140625" style="44" customWidth="1"/>
    <col min="7173" max="7173" width="13.85546875" style="44" customWidth="1"/>
    <col min="7174" max="7174" width="12.5703125" style="44" customWidth="1"/>
    <col min="7175" max="7421" width="9.140625" style="44"/>
    <col min="7422" max="7422" width="10.85546875" style="44" customWidth="1"/>
    <col min="7423" max="7423" width="10.28515625" style="44" customWidth="1"/>
    <col min="7424" max="7424" width="9.85546875" style="44" customWidth="1"/>
    <col min="7425" max="7425" width="10.5703125" style="44" customWidth="1"/>
    <col min="7426" max="7426" width="10" style="44" customWidth="1"/>
    <col min="7427" max="7427" width="9.85546875" style="44" customWidth="1"/>
    <col min="7428" max="7428" width="10.140625" style="44" customWidth="1"/>
    <col min="7429" max="7429" width="13.85546875" style="44" customWidth="1"/>
    <col min="7430" max="7430" width="12.5703125" style="44" customWidth="1"/>
    <col min="7431" max="7677" width="9.140625" style="44"/>
    <col min="7678" max="7678" width="10.85546875" style="44" customWidth="1"/>
    <col min="7679" max="7679" width="10.28515625" style="44" customWidth="1"/>
    <col min="7680" max="7680" width="9.85546875" style="44" customWidth="1"/>
    <col min="7681" max="7681" width="10.5703125" style="44" customWidth="1"/>
    <col min="7682" max="7682" width="10" style="44" customWidth="1"/>
    <col min="7683" max="7683" width="9.85546875" style="44" customWidth="1"/>
    <col min="7684" max="7684" width="10.140625" style="44" customWidth="1"/>
    <col min="7685" max="7685" width="13.85546875" style="44" customWidth="1"/>
    <col min="7686" max="7686" width="12.5703125" style="44" customWidth="1"/>
    <col min="7687" max="7933" width="9.140625" style="44"/>
    <col min="7934" max="7934" width="10.85546875" style="44" customWidth="1"/>
    <col min="7935" max="7935" width="10.28515625" style="44" customWidth="1"/>
    <col min="7936" max="7936" width="9.85546875" style="44" customWidth="1"/>
    <col min="7937" max="7937" width="10.5703125" style="44" customWidth="1"/>
    <col min="7938" max="7938" width="10" style="44" customWidth="1"/>
    <col min="7939" max="7939" width="9.85546875" style="44" customWidth="1"/>
    <col min="7940" max="7940" width="10.140625" style="44" customWidth="1"/>
    <col min="7941" max="7941" width="13.85546875" style="44" customWidth="1"/>
    <col min="7942" max="7942" width="12.5703125" style="44" customWidth="1"/>
    <col min="7943" max="8189" width="9.140625" style="44"/>
    <col min="8190" max="8190" width="10.85546875" style="44" customWidth="1"/>
    <col min="8191" max="8191" width="10.28515625" style="44" customWidth="1"/>
    <col min="8192" max="8192" width="9.85546875" style="44" customWidth="1"/>
    <col min="8193" max="8193" width="10.5703125" style="44" customWidth="1"/>
    <col min="8194" max="8194" width="10" style="44" customWidth="1"/>
    <col min="8195" max="8195" width="9.85546875" style="44" customWidth="1"/>
    <col min="8196" max="8196" width="10.140625" style="44" customWidth="1"/>
    <col min="8197" max="8197" width="13.85546875" style="44" customWidth="1"/>
    <col min="8198" max="8198" width="12.5703125" style="44" customWidth="1"/>
    <col min="8199" max="8445" width="9.140625" style="44"/>
    <col min="8446" max="8446" width="10.85546875" style="44" customWidth="1"/>
    <col min="8447" max="8447" width="10.28515625" style="44" customWidth="1"/>
    <col min="8448" max="8448" width="9.85546875" style="44" customWidth="1"/>
    <col min="8449" max="8449" width="10.5703125" style="44" customWidth="1"/>
    <col min="8450" max="8450" width="10" style="44" customWidth="1"/>
    <col min="8451" max="8451" width="9.85546875" style="44" customWidth="1"/>
    <col min="8452" max="8452" width="10.140625" style="44" customWidth="1"/>
    <col min="8453" max="8453" width="13.85546875" style="44" customWidth="1"/>
    <col min="8454" max="8454" width="12.5703125" style="44" customWidth="1"/>
    <col min="8455" max="8701" width="9.140625" style="44"/>
    <col min="8702" max="8702" width="10.85546875" style="44" customWidth="1"/>
    <col min="8703" max="8703" width="10.28515625" style="44" customWidth="1"/>
    <col min="8704" max="8704" width="9.85546875" style="44" customWidth="1"/>
    <col min="8705" max="8705" width="10.5703125" style="44" customWidth="1"/>
    <col min="8706" max="8706" width="10" style="44" customWidth="1"/>
    <col min="8707" max="8707" width="9.85546875" style="44" customWidth="1"/>
    <col min="8708" max="8708" width="10.140625" style="44" customWidth="1"/>
    <col min="8709" max="8709" width="13.85546875" style="44" customWidth="1"/>
    <col min="8710" max="8710" width="12.5703125" style="44" customWidth="1"/>
    <col min="8711" max="8957" width="9.140625" style="44"/>
    <col min="8958" max="8958" width="10.85546875" style="44" customWidth="1"/>
    <col min="8959" max="8959" width="10.28515625" style="44" customWidth="1"/>
    <col min="8960" max="8960" width="9.85546875" style="44" customWidth="1"/>
    <col min="8961" max="8961" width="10.5703125" style="44" customWidth="1"/>
    <col min="8962" max="8962" width="10" style="44" customWidth="1"/>
    <col min="8963" max="8963" width="9.85546875" style="44" customWidth="1"/>
    <col min="8964" max="8964" width="10.140625" style="44" customWidth="1"/>
    <col min="8965" max="8965" width="13.85546875" style="44" customWidth="1"/>
    <col min="8966" max="8966" width="12.5703125" style="44" customWidth="1"/>
    <col min="8967" max="9213" width="9.140625" style="44"/>
    <col min="9214" max="9214" width="10.85546875" style="44" customWidth="1"/>
    <col min="9215" max="9215" width="10.28515625" style="44" customWidth="1"/>
    <col min="9216" max="9216" width="9.85546875" style="44" customWidth="1"/>
    <col min="9217" max="9217" width="10.5703125" style="44" customWidth="1"/>
    <col min="9218" max="9218" width="10" style="44" customWidth="1"/>
    <col min="9219" max="9219" width="9.85546875" style="44" customWidth="1"/>
    <col min="9220" max="9220" width="10.140625" style="44" customWidth="1"/>
    <col min="9221" max="9221" width="13.85546875" style="44" customWidth="1"/>
    <col min="9222" max="9222" width="12.5703125" style="44" customWidth="1"/>
    <col min="9223" max="9469" width="9.140625" style="44"/>
    <col min="9470" max="9470" width="10.85546875" style="44" customWidth="1"/>
    <col min="9471" max="9471" width="10.28515625" style="44" customWidth="1"/>
    <col min="9472" max="9472" width="9.85546875" style="44" customWidth="1"/>
    <col min="9473" max="9473" width="10.5703125" style="44" customWidth="1"/>
    <col min="9474" max="9474" width="10" style="44" customWidth="1"/>
    <col min="9475" max="9475" width="9.85546875" style="44" customWidth="1"/>
    <col min="9476" max="9476" width="10.140625" style="44" customWidth="1"/>
    <col min="9477" max="9477" width="13.85546875" style="44" customWidth="1"/>
    <col min="9478" max="9478" width="12.5703125" style="44" customWidth="1"/>
    <col min="9479" max="9725" width="9.140625" style="44"/>
    <col min="9726" max="9726" width="10.85546875" style="44" customWidth="1"/>
    <col min="9727" max="9727" width="10.28515625" style="44" customWidth="1"/>
    <col min="9728" max="9728" width="9.85546875" style="44" customWidth="1"/>
    <col min="9729" max="9729" width="10.5703125" style="44" customWidth="1"/>
    <col min="9730" max="9730" width="10" style="44" customWidth="1"/>
    <col min="9731" max="9731" width="9.85546875" style="44" customWidth="1"/>
    <col min="9732" max="9732" width="10.140625" style="44" customWidth="1"/>
    <col min="9733" max="9733" width="13.85546875" style="44" customWidth="1"/>
    <col min="9734" max="9734" width="12.5703125" style="44" customWidth="1"/>
    <col min="9735" max="9981" width="9.140625" style="44"/>
    <col min="9982" max="9982" width="10.85546875" style="44" customWidth="1"/>
    <col min="9983" max="9983" width="10.28515625" style="44" customWidth="1"/>
    <col min="9984" max="9984" width="9.85546875" style="44" customWidth="1"/>
    <col min="9985" max="9985" width="10.5703125" style="44" customWidth="1"/>
    <col min="9986" max="9986" width="10" style="44" customWidth="1"/>
    <col min="9987" max="9987" width="9.85546875" style="44" customWidth="1"/>
    <col min="9988" max="9988" width="10.140625" style="44" customWidth="1"/>
    <col min="9989" max="9989" width="13.85546875" style="44" customWidth="1"/>
    <col min="9990" max="9990" width="12.5703125" style="44" customWidth="1"/>
    <col min="9991" max="10237" width="9.140625" style="44"/>
    <col min="10238" max="10238" width="10.85546875" style="44" customWidth="1"/>
    <col min="10239" max="10239" width="10.28515625" style="44" customWidth="1"/>
    <col min="10240" max="10240" width="9.85546875" style="44" customWidth="1"/>
    <col min="10241" max="10241" width="10.5703125" style="44" customWidth="1"/>
    <col min="10242" max="10242" width="10" style="44" customWidth="1"/>
    <col min="10243" max="10243" width="9.85546875" style="44" customWidth="1"/>
    <col min="10244" max="10244" width="10.140625" style="44" customWidth="1"/>
    <col min="10245" max="10245" width="13.85546875" style="44" customWidth="1"/>
    <col min="10246" max="10246" width="12.5703125" style="44" customWidth="1"/>
    <col min="10247" max="10493" width="9.140625" style="44"/>
    <col min="10494" max="10494" width="10.85546875" style="44" customWidth="1"/>
    <col min="10495" max="10495" width="10.28515625" style="44" customWidth="1"/>
    <col min="10496" max="10496" width="9.85546875" style="44" customWidth="1"/>
    <col min="10497" max="10497" width="10.5703125" style="44" customWidth="1"/>
    <col min="10498" max="10498" width="10" style="44" customWidth="1"/>
    <col min="10499" max="10499" width="9.85546875" style="44" customWidth="1"/>
    <col min="10500" max="10500" width="10.140625" style="44" customWidth="1"/>
    <col min="10501" max="10501" width="13.85546875" style="44" customWidth="1"/>
    <col min="10502" max="10502" width="12.5703125" style="44" customWidth="1"/>
    <col min="10503" max="10749" width="9.140625" style="44"/>
    <col min="10750" max="10750" width="10.85546875" style="44" customWidth="1"/>
    <col min="10751" max="10751" width="10.28515625" style="44" customWidth="1"/>
    <col min="10752" max="10752" width="9.85546875" style="44" customWidth="1"/>
    <col min="10753" max="10753" width="10.5703125" style="44" customWidth="1"/>
    <col min="10754" max="10754" width="10" style="44" customWidth="1"/>
    <col min="10755" max="10755" width="9.85546875" style="44" customWidth="1"/>
    <col min="10756" max="10756" width="10.140625" style="44" customWidth="1"/>
    <col min="10757" max="10757" width="13.85546875" style="44" customWidth="1"/>
    <col min="10758" max="10758" width="12.5703125" style="44" customWidth="1"/>
    <col min="10759" max="11005" width="9.140625" style="44"/>
    <col min="11006" max="11006" width="10.85546875" style="44" customWidth="1"/>
    <col min="11007" max="11007" width="10.28515625" style="44" customWidth="1"/>
    <col min="11008" max="11008" width="9.85546875" style="44" customWidth="1"/>
    <col min="11009" max="11009" width="10.5703125" style="44" customWidth="1"/>
    <col min="11010" max="11010" width="10" style="44" customWidth="1"/>
    <col min="11011" max="11011" width="9.85546875" style="44" customWidth="1"/>
    <col min="11012" max="11012" width="10.140625" style="44" customWidth="1"/>
    <col min="11013" max="11013" width="13.85546875" style="44" customWidth="1"/>
    <col min="11014" max="11014" width="12.5703125" style="44" customWidth="1"/>
    <col min="11015" max="11261" width="9.140625" style="44"/>
    <col min="11262" max="11262" width="10.85546875" style="44" customWidth="1"/>
    <col min="11263" max="11263" width="10.28515625" style="44" customWidth="1"/>
    <col min="11264" max="11264" width="9.85546875" style="44" customWidth="1"/>
    <col min="11265" max="11265" width="10.5703125" style="44" customWidth="1"/>
    <col min="11266" max="11266" width="10" style="44" customWidth="1"/>
    <col min="11267" max="11267" width="9.85546875" style="44" customWidth="1"/>
    <col min="11268" max="11268" width="10.140625" style="44" customWidth="1"/>
    <col min="11269" max="11269" width="13.85546875" style="44" customWidth="1"/>
    <col min="11270" max="11270" width="12.5703125" style="44" customWidth="1"/>
    <col min="11271" max="11517" width="9.140625" style="44"/>
    <col min="11518" max="11518" width="10.85546875" style="44" customWidth="1"/>
    <col min="11519" max="11519" width="10.28515625" style="44" customWidth="1"/>
    <col min="11520" max="11520" width="9.85546875" style="44" customWidth="1"/>
    <col min="11521" max="11521" width="10.5703125" style="44" customWidth="1"/>
    <col min="11522" max="11522" width="10" style="44" customWidth="1"/>
    <col min="11523" max="11523" width="9.85546875" style="44" customWidth="1"/>
    <col min="11524" max="11524" width="10.140625" style="44" customWidth="1"/>
    <col min="11525" max="11525" width="13.85546875" style="44" customWidth="1"/>
    <col min="11526" max="11526" width="12.5703125" style="44" customWidth="1"/>
    <col min="11527" max="11773" width="9.140625" style="44"/>
    <col min="11774" max="11774" width="10.85546875" style="44" customWidth="1"/>
    <col min="11775" max="11775" width="10.28515625" style="44" customWidth="1"/>
    <col min="11776" max="11776" width="9.85546875" style="44" customWidth="1"/>
    <col min="11777" max="11777" width="10.5703125" style="44" customWidth="1"/>
    <col min="11778" max="11778" width="10" style="44" customWidth="1"/>
    <col min="11779" max="11779" width="9.85546875" style="44" customWidth="1"/>
    <col min="11780" max="11780" width="10.140625" style="44" customWidth="1"/>
    <col min="11781" max="11781" width="13.85546875" style="44" customWidth="1"/>
    <col min="11782" max="11782" width="12.5703125" style="44" customWidth="1"/>
    <col min="11783" max="12029" width="9.140625" style="44"/>
    <col min="12030" max="12030" width="10.85546875" style="44" customWidth="1"/>
    <col min="12031" max="12031" width="10.28515625" style="44" customWidth="1"/>
    <col min="12032" max="12032" width="9.85546875" style="44" customWidth="1"/>
    <col min="12033" max="12033" width="10.5703125" style="44" customWidth="1"/>
    <col min="12034" max="12034" width="10" style="44" customWidth="1"/>
    <col min="12035" max="12035" width="9.85546875" style="44" customWidth="1"/>
    <col min="12036" max="12036" width="10.140625" style="44" customWidth="1"/>
    <col min="12037" max="12037" width="13.85546875" style="44" customWidth="1"/>
    <col min="12038" max="12038" width="12.5703125" style="44" customWidth="1"/>
    <col min="12039" max="12285" width="9.140625" style="44"/>
    <col min="12286" max="12286" width="10.85546875" style="44" customWidth="1"/>
    <col min="12287" max="12287" width="10.28515625" style="44" customWidth="1"/>
    <col min="12288" max="12288" width="9.85546875" style="44" customWidth="1"/>
    <col min="12289" max="12289" width="10.5703125" style="44" customWidth="1"/>
    <col min="12290" max="12290" width="10" style="44" customWidth="1"/>
    <col min="12291" max="12291" width="9.85546875" style="44" customWidth="1"/>
    <col min="12292" max="12292" width="10.140625" style="44" customWidth="1"/>
    <col min="12293" max="12293" width="13.85546875" style="44" customWidth="1"/>
    <col min="12294" max="12294" width="12.5703125" style="44" customWidth="1"/>
    <col min="12295" max="12541" width="9.140625" style="44"/>
    <col min="12542" max="12542" width="10.85546875" style="44" customWidth="1"/>
    <col min="12543" max="12543" width="10.28515625" style="44" customWidth="1"/>
    <col min="12544" max="12544" width="9.85546875" style="44" customWidth="1"/>
    <col min="12545" max="12545" width="10.5703125" style="44" customWidth="1"/>
    <col min="12546" max="12546" width="10" style="44" customWidth="1"/>
    <col min="12547" max="12547" width="9.85546875" style="44" customWidth="1"/>
    <col min="12548" max="12548" width="10.140625" style="44" customWidth="1"/>
    <col min="12549" max="12549" width="13.85546875" style="44" customWidth="1"/>
    <col min="12550" max="12550" width="12.5703125" style="44" customWidth="1"/>
    <col min="12551" max="12797" width="9.140625" style="44"/>
    <col min="12798" max="12798" width="10.85546875" style="44" customWidth="1"/>
    <col min="12799" max="12799" width="10.28515625" style="44" customWidth="1"/>
    <col min="12800" max="12800" width="9.85546875" style="44" customWidth="1"/>
    <col min="12801" max="12801" width="10.5703125" style="44" customWidth="1"/>
    <col min="12802" max="12802" width="10" style="44" customWidth="1"/>
    <col min="12803" max="12803" width="9.85546875" style="44" customWidth="1"/>
    <col min="12804" max="12804" width="10.140625" style="44" customWidth="1"/>
    <col min="12805" max="12805" width="13.85546875" style="44" customWidth="1"/>
    <col min="12806" max="12806" width="12.5703125" style="44" customWidth="1"/>
    <col min="12807" max="13053" width="9.140625" style="44"/>
    <col min="13054" max="13054" width="10.85546875" style="44" customWidth="1"/>
    <col min="13055" max="13055" width="10.28515625" style="44" customWidth="1"/>
    <col min="13056" max="13056" width="9.85546875" style="44" customWidth="1"/>
    <col min="13057" max="13057" width="10.5703125" style="44" customWidth="1"/>
    <col min="13058" max="13058" width="10" style="44" customWidth="1"/>
    <col min="13059" max="13059" width="9.85546875" style="44" customWidth="1"/>
    <col min="13060" max="13060" width="10.140625" style="44" customWidth="1"/>
    <col min="13061" max="13061" width="13.85546875" style="44" customWidth="1"/>
    <col min="13062" max="13062" width="12.5703125" style="44" customWidth="1"/>
    <col min="13063" max="13309" width="9.140625" style="44"/>
    <col min="13310" max="13310" width="10.85546875" style="44" customWidth="1"/>
    <col min="13311" max="13311" width="10.28515625" style="44" customWidth="1"/>
    <col min="13312" max="13312" width="9.85546875" style="44" customWidth="1"/>
    <col min="13313" max="13313" width="10.5703125" style="44" customWidth="1"/>
    <col min="13314" max="13314" width="10" style="44" customWidth="1"/>
    <col min="13315" max="13315" width="9.85546875" style="44" customWidth="1"/>
    <col min="13316" max="13316" width="10.140625" style="44" customWidth="1"/>
    <col min="13317" max="13317" width="13.85546875" style="44" customWidth="1"/>
    <col min="13318" max="13318" width="12.5703125" style="44" customWidth="1"/>
    <col min="13319" max="13565" width="9.140625" style="44"/>
    <col min="13566" max="13566" width="10.85546875" style="44" customWidth="1"/>
    <col min="13567" max="13567" width="10.28515625" style="44" customWidth="1"/>
    <col min="13568" max="13568" width="9.85546875" style="44" customWidth="1"/>
    <col min="13569" max="13569" width="10.5703125" style="44" customWidth="1"/>
    <col min="13570" max="13570" width="10" style="44" customWidth="1"/>
    <col min="13571" max="13571" width="9.85546875" style="44" customWidth="1"/>
    <col min="13572" max="13572" width="10.140625" style="44" customWidth="1"/>
    <col min="13573" max="13573" width="13.85546875" style="44" customWidth="1"/>
    <col min="13574" max="13574" width="12.5703125" style="44" customWidth="1"/>
    <col min="13575" max="13821" width="9.140625" style="44"/>
    <col min="13822" max="13822" width="10.85546875" style="44" customWidth="1"/>
    <col min="13823" max="13823" width="10.28515625" style="44" customWidth="1"/>
    <col min="13824" max="13824" width="9.85546875" style="44" customWidth="1"/>
    <col min="13825" max="13825" width="10.5703125" style="44" customWidth="1"/>
    <col min="13826" max="13826" width="10" style="44" customWidth="1"/>
    <col min="13827" max="13827" width="9.85546875" style="44" customWidth="1"/>
    <col min="13828" max="13828" width="10.140625" style="44" customWidth="1"/>
    <col min="13829" max="13829" width="13.85546875" style="44" customWidth="1"/>
    <col min="13830" max="13830" width="12.5703125" style="44" customWidth="1"/>
    <col min="13831" max="14077" width="9.140625" style="44"/>
    <col min="14078" max="14078" width="10.85546875" style="44" customWidth="1"/>
    <col min="14079" max="14079" width="10.28515625" style="44" customWidth="1"/>
    <col min="14080" max="14080" width="9.85546875" style="44" customWidth="1"/>
    <col min="14081" max="14081" width="10.5703125" style="44" customWidth="1"/>
    <col min="14082" max="14082" width="10" style="44" customWidth="1"/>
    <col min="14083" max="14083" width="9.85546875" style="44" customWidth="1"/>
    <col min="14084" max="14084" width="10.140625" style="44" customWidth="1"/>
    <col min="14085" max="14085" width="13.85546875" style="44" customWidth="1"/>
    <col min="14086" max="14086" width="12.5703125" style="44" customWidth="1"/>
    <col min="14087" max="14333" width="9.140625" style="44"/>
    <col min="14334" max="14334" width="10.85546875" style="44" customWidth="1"/>
    <col min="14335" max="14335" width="10.28515625" style="44" customWidth="1"/>
    <col min="14336" max="14336" width="9.85546875" style="44" customWidth="1"/>
    <col min="14337" max="14337" width="10.5703125" style="44" customWidth="1"/>
    <col min="14338" max="14338" width="10" style="44" customWidth="1"/>
    <col min="14339" max="14339" width="9.85546875" style="44" customWidth="1"/>
    <col min="14340" max="14340" width="10.140625" style="44" customWidth="1"/>
    <col min="14341" max="14341" width="13.85546875" style="44" customWidth="1"/>
    <col min="14342" max="14342" width="12.5703125" style="44" customWidth="1"/>
    <col min="14343" max="14589" width="9.140625" style="44"/>
    <col min="14590" max="14590" width="10.85546875" style="44" customWidth="1"/>
    <col min="14591" max="14591" width="10.28515625" style="44" customWidth="1"/>
    <col min="14592" max="14592" width="9.85546875" style="44" customWidth="1"/>
    <col min="14593" max="14593" width="10.5703125" style="44" customWidth="1"/>
    <col min="14594" max="14594" width="10" style="44" customWidth="1"/>
    <col min="14595" max="14595" width="9.85546875" style="44" customWidth="1"/>
    <col min="14596" max="14596" width="10.140625" style="44" customWidth="1"/>
    <col min="14597" max="14597" width="13.85546875" style="44" customWidth="1"/>
    <col min="14598" max="14598" width="12.5703125" style="44" customWidth="1"/>
    <col min="14599" max="14845" width="9.140625" style="44"/>
    <col min="14846" max="14846" width="10.85546875" style="44" customWidth="1"/>
    <col min="14847" max="14847" width="10.28515625" style="44" customWidth="1"/>
    <col min="14848" max="14848" width="9.85546875" style="44" customWidth="1"/>
    <col min="14849" max="14849" width="10.5703125" style="44" customWidth="1"/>
    <col min="14850" max="14850" width="10" style="44" customWidth="1"/>
    <col min="14851" max="14851" width="9.85546875" style="44" customWidth="1"/>
    <col min="14852" max="14852" width="10.140625" style="44" customWidth="1"/>
    <col min="14853" max="14853" width="13.85546875" style="44" customWidth="1"/>
    <col min="14854" max="14854" width="12.5703125" style="44" customWidth="1"/>
    <col min="14855" max="15101" width="9.140625" style="44"/>
    <col min="15102" max="15102" width="10.85546875" style="44" customWidth="1"/>
    <col min="15103" max="15103" width="10.28515625" style="44" customWidth="1"/>
    <col min="15104" max="15104" width="9.85546875" style="44" customWidth="1"/>
    <col min="15105" max="15105" width="10.5703125" style="44" customWidth="1"/>
    <col min="15106" max="15106" width="10" style="44" customWidth="1"/>
    <col min="15107" max="15107" width="9.85546875" style="44" customWidth="1"/>
    <col min="15108" max="15108" width="10.140625" style="44" customWidth="1"/>
    <col min="15109" max="15109" width="13.85546875" style="44" customWidth="1"/>
    <col min="15110" max="15110" width="12.5703125" style="44" customWidth="1"/>
    <col min="15111" max="15357" width="9.140625" style="44"/>
    <col min="15358" max="15358" width="10.85546875" style="44" customWidth="1"/>
    <col min="15359" max="15359" width="10.28515625" style="44" customWidth="1"/>
    <col min="15360" max="15360" width="9.85546875" style="44" customWidth="1"/>
    <col min="15361" max="15361" width="10.5703125" style="44" customWidth="1"/>
    <col min="15362" max="15362" width="10" style="44" customWidth="1"/>
    <col min="15363" max="15363" width="9.85546875" style="44" customWidth="1"/>
    <col min="15364" max="15364" width="10.140625" style="44" customWidth="1"/>
    <col min="15365" max="15365" width="13.85546875" style="44" customWidth="1"/>
    <col min="15366" max="15366" width="12.5703125" style="44" customWidth="1"/>
    <col min="15367" max="15613" width="9.140625" style="44"/>
    <col min="15614" max="15614" width="10.85546875" style="44" customWidth="1"/>
    <col min="15615" max="15615" width="10.28515625" style="44" customWidth="1"/>
    <col min="15616" max="15616" width="9.85546875" style="44" customWidth="1"/>
    <col min="15617" max="15617" width="10.5703125" style="44" customWidth="1"/>
    <col min="15618" max="15618" width="10" style="44" customWidth="1"/>
    <col min="15619" max="15619" width="9.85546875" style="44" customWidth="1"/>
    <col min="15620" max="15620" width="10.140625" style="44" customWidth="1"/>
    <col min="15621" max="15621" width="13.85546875" style="44" customWidth="1"/>
    <col min="15622" max="15622" width="12.5703125" style="44" customWidth="1"/>
    <col min="15623" max="15869" width="9.140625" style="44"/>
    <col min="15870" max="15870" width="10.85546875" style="44" customWidth="1"/>
    <col min="15871" max="15871" width="10.28515625" style="44" customWidth="1"/>
    <col min="15872" max="15872" width="9.85546875" style="44" customWidth="1"/>
    <col min="15873" max="15873" width="10.5703125" style="44" customWidth="1"/>
    <col min="15874" max="15874" width="10" style="44" customWidth="1"/>
    <col min="15875" max="15875" width="9.85546875" style="44" customWidth="1"/>
    <col min="15876" max="15876" width="10.140625" style="44" customWidth="1"/>
    <col min="15877" max="15877" width="13.85546875" style="44" customWidth="1"/>
    <col min="15878" max="15878" width="12.5703125" style="44" customWidth="1"/>
    <col min="15879" max="16125" width="9.140625" style="44"/>
    <col min="16126" max="16126" width="10.85546875" style="44" customWidth="1"/>
    <col min="16127" max="16127" width="10.28515625" style="44" customWidth="1"/>
    <col min="16128" max="16128" width="9.85546875" style="44" customWidth="1"/>
    <col min="16129" max="16129" width="10.5703125" style="44" customWidth="1"/>
    <col min="16130" max="16130" width="10" style="44" customWidth="1"/>
    <col min="16131" max="16131" width="9.85546875" style="44" customWidth="1"/>
    <col min="16132" max="16132" width="10.140625" style="44" customWidth="1"/>
    <col min="16133" max="16133" width="13.85546875" style="44" customWidth="1"/>
    <col min="16134" max="16134" width="12.5703125" style="44" customWidth="1"/>
    <col min="16135" max="16384" width="9.140625" style="44"/>
  </cols>
  <sheetData>
    <row r="1" spans="1:23" ht="90" thickBot="1" x14ac:dyDescent="0.25">
      <c r="A1" s="40" t="s">
        <v>42</v>
      </c>
      <c r="B1" s="41" t="s">
        <v>28</v>
      </c>
      <c r="C1" s="42" t="s">
        <v>29</v>
      </c>
      <c r="D1" s="42" t="s">
        <v>30</v>
      </c>
      <c r="E1" s="42" t="s">
        <v>31</v>
      </c>
      <c r="F1" s="42" t="s">
        <v>32</v>
      </c>
      <c r="G1" s="42" t="s">
        <v>33</v>
      </c>
      <c r="H1" s="42" t="s">
        <v>34</v>
      </c>
      <c r="I1" s="43" t="s">
        <v>43</v>
      </c>
      <c r="J1" s="72" t="s">
        <v>44</v>
      </c>
      <c r="K1" s="72" t="s">
        <v>45</v>
      </c>
      <c r="L1" s="72" t="s">
        <v>46</v>
      </c>
      <c r="M1" s="73" t="s">
        <v>47</v>
      </c>
      <c r="N1" s="73" t="s">
        <v>48</v>
      </c>
      <c r="O1" s="73" t="s">
        <v>49</v>
      </c>
      <c r="P1" s="71" t="s">
        <v>50</v>
      </c>
      <c r="Q1" s="71" t="s">
        <v>51</v>
      </c>
      <c r="R1" s="71" t="s">
        <v>52</v>
      </c>
      <c r="S1" s="71" t="s">
        <v>53</v>
      </c>
      <c r="T1" s="74" t="s">
        <v>55</v>
      </c>
      <c r="U1" s="75" t="s">
        <v>56</v>
      </c>
      <c r="V1" s="75" t="s">
        <v>57</v>
      </c>
      <c r="W1" s="75" t="s">
        <v>54</v>
      </c>
    </row>
    <row r="2" spans="1:23" x14ac:dyDescent="0.2">
      <c r="A2" s="45">
        <v>43101</v>
      </c>
      <c r="B2" s="46">
        <v>1432.8</v>
      </c>
      <c r="C2" s="47">
        <v>609.20000000000005</v>
      </c>
      <c r="D2" s="47">
        <v>233</v>
      </c>
      <c r="E2" s="47">
        <v>41.8</v>
      </c>
      <c r="F2" s="47">
        <v>303.7</v>
      </c>
      <c r="G2" s="47">
        <v>1191.0999999999999</v>
      </c>
      <c r="H2" s="47">
        <v>846.90000000000009</v>
      </c>
      <c r="I2" s="48">
        <v>2964.7</v>
      </c>
      <c r="J2" s="49"/>
    </row>
    <row r="3" spans="1:23" x14ac:dyDescent="0.2">
      <c r="A3" s="50">
        <f t="shared" ref="A3:A30" si="0">A2+1</f>
        <v>43102</v>
      </c>
      <c r="B3" s="51">
        <v>2239.4</v>
      </c>
      <c r="C3" s="52">
        <v>607.4</v>
      </c>
      <c r="D3" s="52">
        <v>251.6</v>
      </c>
      <c r="E3" s="52">
        <v>735.3</v>
      </c>
      <c r="F3" s="52">
        <v>1734.8</v>
      </c>
      <c r="G3" s="52">
        <v>1174.2</v>
      </c>
      <c r="H3" s="52">
        <v>840.7</v>
      </c>
      <c r="I3" s="53">
        <v>5902</v>
      </c>
      <c r="J3" s="49"/>
    </row>
    <row r="4" spans="1:23" x14ac:dyDescent="0.2">
      <c r="A4" s="50">
        <f t="shared" si="0"/>
        <v>43103</v>
      </c>
      <c r="B4" s="51">
        <v>1691.4</v>
      </c>
      <c r="C4" s="52">
        <v>658.3</v>
      </c>
      <c r="D4" s="52">
        <v>557.4</v>
      </c>
      <c r="E4" s="52">
        <v>41.1</v>
      </c>
      <c r="F4" s="52">
        <v>309</v>
      </c>
      <c r="G4" s="52">
        <v>3253.1</v>
      </c>
      <c r="H4" s="52">
        <v>1914.3999999999999</v>
      </c>
      <c r="I4" s="53">
        <v>4595.8999999999996</v>
      </c>
      <c r="J4" s="49"/>
    </row>
    <row r="5" spans="1:23" x14ac:dyDescent="0.2">
      <c r="A5" s="50">
        <f t="shared" si="0"/>
        <v>43104</v>
      </c>
      <c r="B5" s="51">
        <v>1884.1</v>
      </c>
      <c r="C5" s="52">
        <v>662.6</v>
      </c>
      <c r="D5" s="52">
        <v>594.5</v>
      </c>
      <c r="E5" s="52">
        <v>196</v>
      </c>
      <c r="F5" s="52">
        <v>1095.2</v>
      </c>
      <c r="G5" s="52">
        <v>3934.4</v>
      </c>
      <c r="H5" s="52">
        <v>2392.94</v>
      </c>
      <c r="I5" s="53">
        <v>5973.8599999999988</v>
      </c>
      <c r="J5" s="49"/>
    </row>
    <row r="6" spans="1:23" x14ac:dyDescent="0.2">
      <c r="A6" s="50">
        <f t="shared" si="0"/>
        <v>43105</v>
      </c>
      <c r="B6" s="51">
        <v>2083.4</v>
      </c>
      <c r="C6" s="52">
        <v>659.25</v>
      </c>
      <c r="D6" s="52">
        <v>757.52</v>
      </c>
      <c r="E6" s="52">
        <v>670.8</v>
      </c>
      <c r="F6" s="52">
        <v>2026.26</v>
      </c>
      <c r="G6" s="52">
        <v>4071.03</v>
      </c>
      <c r="H6" s="52">
        <v>2541.9199999999996</v>
      </c>
      <c r="I6" s="53">
        <v>7726.34</v>
      </c>
      <c r="J6" s="49"/>
    </row>
    <row r="7" spans="1:23" x14ac:dyDescent="0.2">
      <c r="A7" s="50">
        <f t="shared" si="0"/>
        <v>43106</v>
      </c>
      <c r="B7" s="51">
        <v>1606</v>
      </c>
      <c r="C7" s="52">
        <v>661.59</v>
      </c>
      <c r="D7" s="52">
        <v>588.91</v>
      </c>
      <c r="E7" s="52">
        <v>40.159999999999997</v>
      </c>
      <c r="F7" s="52">
        <v>309.19</v>
      </c>
      <c r="G7" s="52">
        <v>3736.41</v>
      </c>
      <c r="H7" s="52">
        <v>2383.0299999999997</v>
      </c>
      <c r="I7" s="53">
        <v>4559.2300000000005</v>
      </c>
      <c r="J7" s="49"/>
    </row>
    <row r="8" spans="1:23" x14ac:dyDescent="0.2">
      <c r="A8" s="50">
        <f t="shared" si="0"/>
        <v>43107</v>
      </c>
      <c r="B8" s="51">
        <v>1525.3</v>
      </c>
      <c r="C8" s="52">
        <v>666.3</v>
      </c>
      <c r="D8" s="52">
        <v>686.15</v>
      </c>
      <c r="E8" s="52">
        <v>39.96</v>
      </c>
      <c r="F8" s="52">
        <v>646.63</v>
      </c>
      <c r="G8" s="52">
        <v>3645.75</v>
      </c>
      <c r="H8" s="52">
        <v>2334.83</v>
      </c>
      <c r="I8" s="53">
        <v>4875.26</v>
      </c>
      <c r="J8" s="49"/>
    </row>
    <row r="9" spans="1:23" x14ac:dyDescent="0.2">
      <c r="A9" s="50">
        <f t="shared" si="0"/>
        <v>43108</v>
      </c>
      <c r="B9" s="51">
        <v>8829.64</v>
      </c>
      <c r="C9" s="52">
        <v>5066.59</v>
      </c>
      <c r="D9" s="52">
        <v>2910.09</v>
      </c>
      <c r="E9" s="52">
        <v>1412.19</v>
      </c>
      <c r="F9" s="52">
        <v>4573.2299999999996</v>
      </c>
      <c r="G9" s="52">
        <v>5452.05</v>
      </c>
      <c r="H9" s="52">
        <v>2363.83</v>
      </c>
      <c r="I9" s="53">
        <v>25879.96</v>
      </c>
      <c r="J9" s="49"/>
    </row>
    <row r="10" spans="1:23" x14ac:dyDescent="0.2">
      <c r="A10" s="50">
        <f t="shared" si="0"/>
        <v>43109</v>
      </c>
      <c r="B10" s="51">
        <v>11328.84</v>
      </c>
      <c r="C10" s="52">
        <v>5965.02</v>
      </c>
      <c r="D10" s="52">
        <v>4191.53</v>
      </c>
      <c r="E10" s="52">
        <v>1223.81</v>
      </c>
      <c r="F10" s="52">
        <v>6362.57</v>
      </c>
      <c r="G10" s="52">
        <v>6669.7</v>
      </c>
      <c r="H10" s="52">
        <v>2976.3300000000004</v>
      </c>
      <c r="I10" s="53">
        <v>32765.14</v>
      </c>
      <c r="J10" s="49"/>
    </row>
    <row r="11" spans="1:23" x14ac:dyDescent="0.2">
      <c r="A11" s="50">
        <f t="shared" si="0"/>
        <v>43110</v>
      </c>
      <c r="B11" s="51">
        <v>7112.1</v>
      </c>
      <c r="C11" s="52">
        <v>3757.9</v>
      </c>
      <c r="D11" s="52">
        <v>3156.2</v>
      </c>
      <c r="E11" s="52">
        <v>442.5</v>
      </c>
      <c r="F11" s="52">
        <v>4030.6</v>
      </c>
      <c r="G11" s="52">
        <v>5621.2</v>
      </c>
      <c r="H11" s="52">
        <v>3149</v>
      </c>
      <c r="I11" s="53">
        <v>20971.5</v>
      </c>
      <c r="J11" s="49"/>
    </row>
    <row r="12" spans="1:23" x14ac:dyDescent="0.2">
      <c r="A12" s="50">
        <f t="shared" si="0"/>
        <v>43111</v>
      </c>
      <c r="B12" s="51">
        <v>8146.37</v>
      </c>
      <c r="C12" s="52">
        <v>4472.04</v>
      </c>
      <c r="D12" s="52">
        <v>3344.53</v>
      </c>
      <c r="E12" s="52">
        <v>1573.58</v>
      </c>
      <c r="F12" s="52">
        <v>4683.08</v>
      </c>
      <c r="G12" s="52">
        <v>6289.56</v>
      </c>
      <c r="H12" s="52">
        <v>3104.2699999999995</v>
      </c>
      <c r="I12" s="53">
        <v>25404.89</v>
      </c>
      <c r="J12" s="49"/>
    </row>
    <row r="13" spans="1:23" x14ac:dyDescent="0.2">
      <c r="A13" s="50">
        <f t="shared" si="0"/>
        <v>43112</v>
      </c>
      <c r="B13" s="51">
        <v>10707.4</v>
      </c>
      <c r="C13" s="52">
        <v>5467.01</v>
      </c>
      <c r="D13" s="52">
        <v>4222.0200000000004</v>
      </c>
      <c r="E13" s="52">
        <v>1599.72</v>
      </c>
      <c r="F13" s="52">
        <v>5850.86</v>
      </c>
      <c r="G13" s="52">
        <v>7234.28</v>
      </c>
      <c r="H13" s="52">
        <v>3376.4499999999994</v>
      </c>
      <c r="I13" s="53">
        <v>31704.84</v>
      </c>
      <c r="J13" s="49"/>
    </row>
    <row r="14" spans="1:23" x14ac:dyDescent="0.2">
      <c r="A14" s="50">
        <f t="shared" si="0"/>
        <v>43113</v>
      </c>
      <c r="B14" s="51">
        <v>5202.2</v>
      </c>
      <c r="C14" s="52">
        <v>2259.1999999999998</v>
      </c>
      <c r="D14" s="52">
        <v>1498.4</v>
      </c>
      <c r="E14" s="52">
        <v>729.6</v>
      </c>
      <c r="F14" s="52">
        <v>3656.2</v>
      </c>
      <c r="G14" s="52">
        <v>4918</v>
      </c>
      <c r="H14" s="52">
        <v>2728.8</v>
      </c>
      <c r="I14" s="53">
        <v>15534.8</v>
      </c>
      <c r="J14" s="49"/>
    </row>
    <row r="15" spans="1:23" x14ac:dyDescent="0.2">
      <c r="A15" s="50">
        <f t="shared" si="0"/>
        <v>43114</v>
      </c>
      <c r="B15" s="51">
        <v>2676.5</v>
      </c>
      <c r="C15" s="52">
        <v>899.3</v>
      </c>
      <c r="D15" s="52">
        <v>549.79999999999995</v>
      </c>
      <c r="E15" s="52">
        <v>45.5</v>
      </c>
      <c r="F15" s="52">
        <v>980.2</v>
      </c>
      <c r="G15" s="52">
        <v>3824.8</v>
      </c>
      <c r="H15" s="52">
        <v>2611.5</v>
      </c>
      <c r="I15" s="53">
        <v>6364.6</v>
      </c>
      <c r="J15" s="49"/>
    </row>
    <row r="16" spans="1:23" x14ac:dyDescent="0.2">
      <c r="A16" s="50">
        <f t="shared" si="0"/>
        <v>43115</v>
      </c>
      <c r="B16" s="51">
        <v>9012.65</v>
      </c>
      <c r="C16" s="52">
        <v>4713.6499999999996</v>
      </c>
      <c r="D16" s="52">
        <v>3665.67</v>
      </c>
      <c r="E16" s="52">
        <v>1816.32</v>
      </c>
      <c r="F16" s="52">
        <v>4514.57</v>
      </c>
      <c r="G16" s="52">
        <v>6925.15</v>
      </c>
      <c r="H16" s="52">
        <v>3498.5599999999995</v>
      </c>
      <c r="I16" s="53">
        <v>27149.450000000004</v>
      </c>
      <c r="J16" s="49"/>
    </row>
    <row r="17" spans="1:10" x14ac:dyDescent="0.2">
      <c r="A17" s="50">
        <f t="shared" si="0"/>
        <v>43116</v>
      </c>
      <c r="B17" s="51">
        <v>11256.81</v>
      </c>
      <c r="C17" s="52">
        <v>5773.97</v>
      </c>
      <c r="D17" s="52">
        <v>4158.6000000000004</v>
      </c>
      <c r="E17" s="52">
        <v>2166.06</v>
      </c>
      <c r="F17" s="52">
        <v>5526.42</v>
      </c>
      <c r="G17" s="52">
        <v>7108.85</v>
      </c>
      <c r="H17" s="52">
        <v>3110.2699999999995</v>
      </c>
      <c r="I17" s="53">
        <v>32880.44</v>
      </c>
      <c r="J17" s="49"/>
    </row>
    <row r="18" spans="1:10" x14ac:dyDescent="0.2">
      <c r="A18" s="50">
        <f t="shared" si="0"/>
        <v>43117</v>
      </c>
      <c r="B18" s="51">
        <v>6739.2</v>
      </c>
      <c r="C18" s="52">
        <v>3266.6</v>
      </c>
      <c r="D18" s="52">
        <v>2669.5</v>
      </c>
      <c r="E18" s="52">
        <v>1088.5999999999999</v>
      </c>
      <c r="F18" s="52">
        <v>4494.2</v>
      </c>
      <c r="G18" s="52">
        <v>6170.3</v>
      </c>
      <c r="H18" s="52">
        <v>3372.8</v>
      </c>
      <c r="I18" s="53">
        <v>21055.599999999999</v>
      </c>
      <c r="J18" s="49"/>
    </row>
    <row r="19" spans="1:10" x14ac:dyDescent="0.2">
      <c r="A19" s="50">
        <f t="shared" si="0"/>
        <v>43118</v>
      </c>
      <c r="B19" s="51">
        <v>8502.83</v>
      </c>
      <c r="C19" s="52">
        <v>5132.5200000000004</v>
      </c>
      <c r="D19" s="52">
        <v>3425.86</v>
      </c>
      <c r="E19" s="52">
        <v>1624.61</v>
      </c>
      <c r="F19" s="52">
        <v>4822.1099999999997</v>
      </c>
      <c r="G19" s="52">
        <v>6858.8</v>
      </c>
      <c r="H19" s="52">
        <v>3389.8400000000006</v>
      </c>
      <c r="I19" s="53">
        <v>26976.89</v>
      </c>
      <c r="J19" s="49"/>
    </row>
    <row r="20" spans="1:10" x14ac:dyDescent="0.2">
      <c r="A20" s="50">
        <f t="shared" si="0"/>
        <v>43119</v>
      </c>
      <c r="B20" s="51">
        <v>9737.9500000000007</v>
      </c>
      <c r="C20" s="52">
        <v>6095.28</v>
      </c>
      <c r="D20" s="52">
        <v>4448.6499999999996</v>
      </c>
      <c r="E20" s="52">
        <v>1845.8</v>
      </c>
      <c r="F20" s="52">
        <v>6241.29</v>
      </c>
      <c r="G20" s="52">
        <v>6590.23</v>
      </c>
      <c r="H20" s="52">
        <v>3453.3300000000004</v>
      </c>
      <c r="I20" s="53">
        <v>31505.869999999995</v>
      </c>
      <c r="J20" s="49"/>
    </row>
    <row r="21" spans="1:10" x14ac:dyDescent="0.2">
      <c r="A21" s="50">
        <f t="shared" si="0"/>
        <v>43120</v>
      </c>
      <c r="B21" s="51">
        <v>4484</v>
      </c>
      <c r="C21" s="52">
        <v>2465</v>
      </c>
      <c r="D21" s="52">
        <v>2591</v>
      </c>
      <c r="E21" s="52">
        <v>285</v>
      </c>
      <c r="F21" s="52">
        <v>2958</v>
      </c>
      <c r="G21" s="52">
        <v>4469</v>
      </c>
      <c r="H21" s="52">
        <v>2822.1000000000004</v>
      </c>
      <c r="I21" s="53">
        <v>14429.9</v>
      </c>
      <c r="J21" s="49"/>
    </row>
    <row r="22" spans="1:10" x14ac:dyDescent="0.2">
      <c r="A22" s="50">
        <f t="shared" si="0"/>
        <v>43121</v>
      </c>
      <c r="B22" s="51">
        <v>2588</v>
      </c>
      <c r="C22" s="52">
        <v>1438</v>
      </c>
      <c r="D22" s="52">
        <v>998.5</v>
      </c>
      <c r="E22" s="52">
        <v>42.5</v>
      </c>
      <c r="F22" s="52">
        <v>1222</v>
      </c>
      <c r="G22" s="52">
        <v>4205</v>
      </c>
      <c r="H22" s="52">
        <v>2658.2000000000003</v>
      </c>
      <c r="I22" s="53">
        <v>7835.7999999999993</v>
      </c>
      <c r="J22" s="49"/>
    </row>
    <row r="23" spans="1:10" x14ac:dyDescent="0.2">
      <c r="A23" s="50">
        <f t="shared" si="0"/>
        <v>43122</v>
      </c>
      <c r="B23" s="51">
        <v>8839.7199999999993</v>
      </c>
      <c r="C23" s="52">
        <v>5548.24</v>
      </c>
      <c r="D23" s="52">
        <v>3747.85</v>
      </c>
      <c r="E23" s="52">
        <v>2185.81</v>
      </c>
      <c r="F23" s="52">
        <v>5456.76</v>
      </c>
      <c r="G23" s="52">
        <v>7080.82</v>
      </c>
      <c r="H23" s="52">
        <v>3598.7999999999997</v>
      </c>
      <c r="I23" s="53">
        <v>29260.399999999998</v>
      </c>
      <c r="J23" s="49"/>
    </row>
    <row r="24" spans="1:10" x14ac:dyDescent="0.2">
      <c r="A24" s="50">
        <f t="shared" si="0"/>
        <v>43123</v>
      </c>
      <c r="B24" s="51">
        <v>11137.79</v>
      </c>
      <c r="C24" s="52">
        <v>6924.11</v>
      </c>
      <c r="D24" s="52">
        <v>4686.45</v>
      </c>
      <c r="E24" s="52">
        <v>2034.93</v>
      </c>
      <c r="F24" s="52">
        <v>6428.7</v>
      </c>
      <c r="G24" s="52">
        <v>7752.32</v>
      </c>
      <c r="H24" s="52">
        <v>3694.6400000000003</v>
      </c>
      <c r="I24" s="53">
        <v>35269.660000000003</v>
      </c>
      <c r="J24" s="49"/>
    </row>
    <row r="25" spans="1:10" x14ac:dyDescent="0.2">
      <c r="A25" s="50">
        <f t="shared" si="0"/>
        <v>43124</v>
      </c>
      <c r="B25" s="51">
        <v>5920.5</v>
      </c>
      <c r="C25" s="52">
        <v>4114.8999999999996</v>
      </c>
      <c r="D25" s="52">
        <v>3320.4</v>
      </c>
      <c r="E25" s="52">
        <v>863</v>
      </c>
      <c r="F25" s="52">
        <v>3693.4</v>
      </c>
      <c r="G25" s="52">
        <v>6735.1</v>
      </c>
      <c r="H25" s="52">
        <v>3721.6000000000004</v>
      </c>
      <c r="I25" s="53">
        <v>20925.700000000004</v>
      </c>
      <c r="J25" s="49"/>
    </row>
    <row r="26" spans="1:10" x14ac:dyDescent="0.2">
      <c r="A26" s="50">
        <f t="shared" si="0"/>
        <v>43125</v>
      </c>
      <c r="B26" s="51">
        <v>8313.2099999999991</v>
      </c>
      <c r="C26" s="52">
        <v>5785.17</v>
      </c>
      <c r="D26" s="52">
        <v>3751.62</v>
      </c>
      <c r="E26" s="52">
        <v>1463.42</v>
      </c>
      <c r="F26" s="52">
        <v>4488.78</v>
      </c>
      <c r="G26" s="52">
        <v>7473.31</v>
      </c>
      <c r="H26" s="52">
        <v>3717.17</v>
      </c>
      <c r="I26" s="53">
        <v>27558.339999999997</v>
      </c>
      <c r="J26" s="49"/>
    </row>
    <row r="27" spans="1:10" x14ac:dyDescent="0.2">
      <c r="A27" s="50">
        <f t="shared" si="0"/>
        <v>43126</v>
      </c>
      <c r="B27" s="51">
        <v>10147.02</v>
      </c>
      <c r="C27" s="52">
        <v>6549.83</v>
      </c>
      <c r="D27" s="52">
        <v>4708.3900000000003</v>
      </c>
      <c r="E27" s="52">
        <v>2030.65</v>
      </c>
      <c r="F27" s="52">
        <v>5914.95</v>
      </c>
      <c r="G27" s="52">
        <v>7407.74</v>
      </c>
      <c r="H27" s="52">
        <v>3762.5599999999995</v>
      </c>
      <c r="I27" s="53">
        <v>32996.020000000004</v>
      </c>
      <c r="J27" s="49"/>
    </row>
    <row r="28" spans="1:10" x14ac:dyDescent="0.2">
      <c r="A28" s="50">
        <f t="shared" si="0"/>
        <v>43127</v>
      </c>
      <c r="B28" s="51">
        <v>4444.5</v>
      </c>
      <c r="C28" s="52">
        <v>2442.9</v>
      </c>
      <c r="D28" s="52">
        <v>1743</v>
      </c>
      <c r="E28" s="52">
        <v>711</v>
      </c>
      <c r="F28" s="52">
        <v>3530.9</v>
      </c>
      <c r="G28" s="52">
        <v>4606.3</v>
      </c>
      <c r="H28" s="52">
        <v>3062.9</v>
      </c>
      <c r="I28" s="53">
        <v>14415.699999999999</v>
      </c>
      <c r="J28" s="49"/>
    </row>
    <row r="29" spans="1:10" x14ac:dyDescent="0.2">
      <c r="A29" s="50">
        <f t="shared" si="0"/>
        <v>43128</v>
      </c>
      <c r="B29" s="51">
        <v>2466.9</v>
      </c>
      <c r="C29" s="52">
        <v>1304.5</v>
      </c>
      <c r="D29" s="52">
        <v>659.9</v>
      </c>
      <c r="E29" s="52">
        <v>45</v>
      </c>
      <c r="F29" s="52">
        <v>1156</v>
      </c>
      <c r="G29" s="52">
        <v>4611.2</v>
      </c>
      <c r="H29" s="52">
        <v>2890.6</v>
      </c>
      <c r="I29" s="53">
        <v>7352.9</v>
      </c>
      <c r="J29" s="49"/>
    </row>
    <row r="30" spans="1:10" x14ac:dyDescent="0.2">
      <c r="A30" s="50">
        <f t="shared" si="0"/>
        <v>43129</v>
      </c>
      <c r="B30" s="51">
        <v>8742.4699999999993</v>
      </c>
      <c r="C30" s="52">
        <v>5215.9399999999996</v>
      </c>
      <c r="D30" s="52">
        <v>3389.55</v>
      </c>
      <c r="E30" s="52">
        <v>1851.66</v>
      </c>
      <c r="F30" s="52">
        <v>5578.79</v>
      </c>
      <c r="G30" s="52">
        <v>6548.25</v>
      </c>
      <c r="H30" s="52">
        <v>3282.8999999999996</v>
      </c>
      <c r="I30" s="53">
        <v>28043.760000000002</v>
      </c>
      <c r="J30" s="49"/>
    </row>
    <row r="31" spans="1:10" x14ac:dyDescent="0.2">
      <c r="A31" s="50">
        <f>A30+1</f>
        <v>43130</v>
      </c>
      <c r="B31" s="51">
        <v>10887.55</v>
      </c>
      <c r="C31" s="52">
        <v>6634.42</v>
      </c>
      <c r="D31" s="52">
        <v>4250.3500000000004</v>
      </c>
      <c r="E31" s="52">
        <v>2089.77</v>
      </c>
      <c r="F31" s="52">
        <v>6206.74</v>
      </c>
      <c r="G31" s="52">
        <v>7093.82</v>
      </c>
      <c r="H31" s="52">
        <v>3262.6400000000003</v>
      </c>
      <c r="I31" s="53">
        <v>33900.01</v>
      </c>
      <c r="J31" s="49"/>
    </row>
    <row r="32" spans="1:10" x14ac:dyDescent="0.2">
      <c r="A32" s="50">
        <f t="shared" ref="A32:A95" si="1">A31+1</f>
        <v>43131</v>
      </c>
      <c r="B32" s="51">
        <v>8090.5</v>
      </c>
      <c r="C32" s="52">
        <v>4298.5</v>
      </c>
      <c r="D32" s="52">
        <v>3450.7</v>
      </c>
      <c r="E32" s="52">
        <v>1641.9</v>
      </c>
      <c r="F32" s="52">
        <v>5637</v>
      </c>
      <c r="G32" s="52">
        <v>6517.8</v>
      </c>
      <c r="H32" s="52">
        <v>3575.8999999999996</v>
      </c>
      <c r="I32" s="53">
        <v>26060.5</v>
      </c>
      <c r="J32" s="49"/>
    </row>
    <row r="33" spans="1:10" x14ac:dyDescent="0.2">
      <c r="A33" s="50">
        <f t="shared" si="1"/>
        <v>43132</v>
      </c>
      <c r="B33" s="51">
        <v>8499.7099999999991</v>
      </c>
      <c r="C33" s="52">
        <v>5435.73</v>
      </c>
      <c r="D33" s="52">
        <v>3802.2</v>
      </c>
      <c r="E33" s="52">
        <v>1540.34</v>
      </c>
      <c r="F33" s="52">
        <v>4618.7</v>
      </c>
      <c r="G33" s="52">
        <v>7406.78</v>
      </c>
      <c r="H33" s="52">
        <v>3651.5300000000007</v>
      </c>
      <c r="I33" s="53">
        <v>27651.93</v>
      </c>
      <c r="J33" s="49"/>
    </row>
    <row r="34" spans="1:10" x14ac:dyDescent="0.2">
      <c r="A34" s="50">
        <f t="shared" si="1"/>
        <v>43133</v>
      </c>
      <c r="B34" s="51">
        <v>10122.52</v>
      </c>
      <c r="C34" s="52">
        <v>6264.97</v>
      </c>
      <c r="D34" s="52">
        <v>4234.6099999999997</v>
      </c>
      <c r="E34" s="52">
        <v>1453.65</v>
      </c>
      <c r="F34" s="52">
        <v>6164.37</v>
      </c>
      <c r="G34" s="52">
        <v>7131.18</v>
      </c>
      <c r="H34" s="52">
        <v>3515.4000000000005</v>
      </c>
      <c r="I34" s="53">
        <v>31855.9</v>
      </c>
      <c r="J34" s="49"/>
    </row>
    <row r="35" spans="1:10" x14ac:dyDescent="0.2">
      <c r="A35" s="50">
        <f t="shared" si="1"/>
        <v>43134</v>
      </c>
      <c r="B35" s="51">
        <v>4084</v>
      </c>
      <c r="C35" s="52">
        <v>3217.5</v>
      </c>
      <c r="D35" s="52">
        <v>1642</v>
      </c>
      <c r="E35" s="52">
        <v>214</v>
      </c>
      <c r="F35" s="52">
        <v>2798.6</v>
      </c>
      <c r="G35" s="52">
        <v>5019</v>
      </c>
      <c r="H35" s="52">
        <v>3142.5</v>
      </c>
      <c r="I35" s="53">
        <v>13832.599999999999</v>
      </c>
      <c r="J35" s="49"/>
    </row>
    <row r="36" spans="1:10" x14ac:dyDescent="0.2">
      <c r="A36" s="50">
        <f t="shared" si="1"/>
        <v>43135</v>
      </c>
      <c r="B36" s="51">
        <v>1919.4</v>
      </c>
      <c r="C36" s="52">
        <v>1377.1</v>
      </c>
      <c r="D36" s="52">
        <v>502.8</v>
      </c>
      <c r="E36" s="52">
        <v>295.8</v>
      </c>
      <c r="F36" s="52">
        <v>1756</v>
      </c>
      <c r="G36" s="52">
        <v>4175.1000000000004</v>
      </c>
      <c r="H36" s="52">
        <v>2830.6</v>
      </c>
      <c r="I36" s="53">
        <v>7195.6</v>
      </c>
      <c r="J36" s="49"/>
    </row>
    <row r="37" spans="1:10" x14ac:dyDescent="0.2">
      <c r="A37" s="50">
        <f t="shared" si="1"/>
        <v>43136</v>
      </c>
      <c r="B37" s="51">
        <v>8509</v>
      </c>
      <c r="C37" s="52">
        <v>5446.5</v>
      </c>
      <c r="D37" s="52">
        <v>3635.9</v>
      </c>
      <c r="E37" s="52">
        <v>1891.7</v>
      </c>
      <c r="F37" s="52">
        <v>4904.5</v>
      </c>
      <c r="G37" s="52">
        <v>6846.7</v>
      </c>
      <c r="H37" s="52">
        <v>3641.2999999999993</v>
      </c>
      <c r="I37" s="53">
        <v>27593.000000000004</v>
      </c>
      <c r="J37" s="49"/>
    </row>
    <row r="38" spans="1:10" x14ac:dyDescent="0.2">
      <c r="A38" s="50">
        <f t="shared" si="1"/>
        <v>43137</v>
      </c>
      <c r="B38" s="51">
        <v>10969.68</v>
      </c>
      <c r="C38" s="52">
        <v>6615.56</v>
      </c>
      <c r="D38" s="52">
        <v>4284.88</v>
      </c>
      <c r="E38" s="52">
        <v>1732.16</v>
      </c>
      <c r="F38" s="52">
        <v>6110.54</v>
      </c>
      <c r="G38" s="52">
        <v>7298.04</v>
      </c>
      <c r="H38" s="52">
        <v>3553.78</v>
      </c>
      <c r="I38" s="53">
        <v>33457.08</v>
      </c>
      <c r="J38" s="49"/>
    </row>
    <row r="39" spans="1:10" x14ac:dyDescent="0.2">
      <c r="A39" s="50">
        <f t="shared" si="1"/>
        <v>43138</v>
      </c>
      <c r="B39" s="51">
        <v>11023.33</v>
      </c>
      <c r="C39" s="52">
        <v>6453.11</v>
      </c>
      <c r="D39" s="52">
        <v>4179.22</v>
      </c>
      <c r="E39" s="52">
        <v>2207.56</v>
      </c>
      <c r="F39" s="52">
        <v>6252.86</v>
      </c>
      <c r="G39" s="52">
        <v>7161.73</v>
      </c>
      <c r="H39" s="52">
        <v>3571.8399999999997</v>
      </c>
      <c r="I39" s="53">
        <v>33705.97</v>
      </c>
      <c r="J39" s="49"/>
    </row>
    <row r="40" spans="1:10" x14ac:dyDescent="0.2">
      <c r="A40" s="50">
        <f t="shared" si="1"/>
        <v>43139</v>
      </c>
      <c r="B40" s="51">
        <v>10813.2</v>
      </c>
      <c r="C40" s="52">
        <v>6022.7</v>
      </c>
      <c r="D40" s="52">
        <v>4183.8</v>
      </c>
      <c r="E40" s="52">
        <v>2363.8000000000002</v>
      </c>
      <c r="F40" s="52">
        <v>6745.7</v>
      </c>
      <c r="G40" s="52">
        <v>7192.9</v>
      </c>
      <c r="H40" s="52">
        <v>3636.2</v>
      </c>
      <c r="I40" s="53">
        <v>33685.9</v>
      </c>
      <c r="J40" s="49"/>
    </row>
    <row r="41" spans="1:10" x14ac:dyDescent="0.2">
      <c r="A41" s="50">
        <f t="shared" si="1"/>
        <v>43140</v>
      </c>
      <c r="B41" s="51">
        <v>10058.64</v>
      </c>
      <c r="C41" s="52">
        <v>5844.8</v>
      </c>
      <c r="D41" s="52">
        <v>4286.13</v>
      </c>
      <c r="E41" s="52">
        <v>1716.17</v>
      </c>
      <c r="F41" s="52">
        <v>6700.09</v>
      </c>
      <c r="G41" s="52">
        <v>7078.01</v>
      </c>
      <c r="H41" s="52">
        <v>3402.2300000000009</v>
      </c>
      <c r="I41" s="53">
        <v>32281.609999999997</v>
      </c>
      <c r="J41" s="49"/>
    </row>
    <row r="42" spans="1:10" x14ac:dyDescent="0.2">
      <c r="A42" s="50">
        <f t="shared" si="1"/>
        <v>43141</v>
      </c>
      <c r="B42" s="51">
        <v>8239.07</v>
      </c>
      <c r="C42" s="52">
        <v>5417.97</v>
      </c>
      <c r="D42" s="52">
        <v>3862.6</v>
      </c>
      <c r="E42" s="52">
        <v>1913.8</v>
      </c>
      <c r="F42" s="52">
        <v>6306.37</v>
      </c>
      <c r="G42" s="52">
        <v>5563.81</v>
      </c>
      <c r="H42" s="52">
        <v>2832.17</v>
      </c>
      <c r="I42" s="53">
        <v>28471.449999999997</v>
      </c>
      <c r="J42" s="49"/>
    </row>
    <row r="43" spans="1:10" x14ac:dyDescent="0.2">
      <c r="A43" s="50">
        <f t="shared" si="1"/>
        <v>43142</v>
      </c>
      <c r="B43" s="51">
        <v>6571</v>
      </c>
      <c r="C43" s="52">
        <v>3429.5</v>
      </c>
      <c r="D43" s="52">
        <v>3146.5</v>
      </c>
      <c r="E43" s="52">
        <v>775</v>
      </c>
      <c r="F43" s="52">
        <v>4398.5</v>
      </c>
      <c r="G43" s="52">
        <v>4528.6000000000004</v>
      </c>
      <c r="H43" s="52">
        <v>2925.2999999999997</v>
      </c>
      <c r="I43" s="53">
        <v>19923.8</v>
      </c>
      <c r="J43" s="49"/>
    </row>
    <row r="44" spans="1:10" x14ac:dyDescent="0.2">
      <c r="A44" s="50">
        <f t="shared" si="1"/>
        <v>43143</v>
      </c>
      <c r="B44" s="51">
        <v>8657.2000000000007</v>
      </c>
      <c r="C44" s="52">
        <v>5256.2</v>
      </c>
      <c r="D44" s="52">
        <v>3396.16</v>
      </c>
      <c r="E44" s="52">
        <v>1788.2</v>
      </c>
      <c r="F44" s="52">
        <v>5911.1</v>
      </c>
      <c r="G44" s="52">
        <v>6618.52</v>
      </c>
      <c r="H44" s="52">
        <v>3468.9999999999995</v>
      </c>
      <c r="I44" s="53">
        <v>28158.38</v>
      </c>
      <c r="J44" s="49"/>
    </row>
    <row r="45" spans="1:10" x14ac:dyDescent="0.2">
      <c r="A45" s="50">
        <f t="shared" si="1"/>
        <v>43144</v>
      </c>
      <c r="B45" s="51">
        <v>10462.02</v>
      </c>
      <c r="C45" s="52">
        <v>5708.31</v>
      </c>
      <c r="D45" s="52">
        <v>3891.88</v>
      </c>
      <c r="E45" s="52">
        <v>1801.57</v>
      </c>
      <c r="F45" s="52">
        <v>6167</v>
      </c>
      <c r="G45" s="52">
        <v>7210.77</v>
      </c>
      <c r="H45" s="52">
        <v>3429.62</v>
      </c>
      <c r="I45" s="53">
        <v>31811.930000000004</v>
      </c>
      <c r="J45" s="49"/>
    </row>
    <row r="46" spans="1:10" x14ac:dyDescent="0.2">
      <c r="A46" s="50">
        <f t="shared" si="1"/>
        <v>43145</v>
      </c>
      <c r="B46" s="51">
        <v>11556.87</v>
      </c>
      <c r="C46" s="52">
        <v>5444.65</v>
      </c>
      <c r="D46" s="52">
        <v>3756.28</v>
      </c>
      <c r="E46" s="52">
        <v>2187.14</v>
      </c>
      <c r="F46" s="52">
        <v>6990.85</v>
      </c>
      <c r="G46" s="52">
        <v>7201.73</v>
      </c>
      <c r="H46" s="52">
        <v>3641.4</v>
      </c>
      <c r="I46" s="53">
        <v>33496.120000000003</v>
      </c>
      <c r="J46" s="49"/>
    </row>
    <row r="47" spans="1:10" x14ac:dyDescent="0.2">
      <c r="A47" s="50">
        <f t="shared" si="1"/>
        <v>43146</v>
      </c>
      <c r="B47" s="51">
        <v>11103.6</v>
      </c>
      <c r="C47" s="52">
        <v>5507</v>
      </c>
      <c r="D47" s="52">
        <v>4059</v>
      </c>
      <c r="E47" s="52">
        <v>1815.6</v>
      </c>
      <c r="F47" s="52">
        <v>5831</v>
      </c>
      <c r="G47" s="52">
        <v>6975.8</v>
      </c>
      <c r="H47" s="52">
        <v>3503.5</v>
      </c>
      <c r="I47" s="53">
        <v>31788.5</v>
      </c>
      <c r="J47" s="49"/>
    </row>
    <row r="48" spans="1:10" x14ac:dyDescent="0.2">
      <c r="A48" s="50">
        <f t="shared" si="1"/>
        <v>43147</v>
      </c>
      <c r="B48" s="51">
        <v>10794.7</v>
      </c>
      <c r="C48" s="52">
        <v>5387.5</v>
      </c>
      <c r="D48" s="52">
        <v>4109.6000000000004</v>
      </c>
      <c r="E48" s="52">
        <v>2420.5</v>
      </c>
      <c r="F48" s="52">
        <v>5884.9</v>
      </c>
      <c r="G48" s="52">
        <v>6707.9</v>
      </c>
      <c r="H48" s="52">
        <v>3312.2000000000007</v>
      </c>
      <c r="I48" s="53">
        <v>31992.900000000005</v>
      </c>
      <c r="J48" s="49"/>
    </row>
    <row r="49" spans="1:10" x14ac:dyDescent="0.2">
      <c r="A49" s="50">
        <f t="shared" si="1"/>
        <v>43148</v>
      </c>
      <c r="B49" s="51">
        <v>9412.2000000000007</v>
      </c>
      <c r="C49" s="52">
        <v>5123.6000000000004</v>
      </c>
      <c r="D49" s="52">
        <v>3381.2</v>
      </c>
      <c r="E49" s="52">
        <v>1446.5</v>
      </c>
      <c r="F49" s="52">
        <v>6288.6</v>
      </c>
      <c r="G49" s="52">
        <v>5554.9</v>
      </c>
      <c r="H49" s="52">
        <v>2902.7999999999997</v>
      </c>
      <c r="I49" s="53">
        <v>28304.2</v>
      </c>
      <c r="J49" s="49"/>
    </row>
    <row r="50" spans="1:10" x14ac:dyDescent="0.2">
      <c r="A50" s="50">
        <f t="shared" si="1"/>
        <v>43149</v>
      </c>
      <c r="B50" s="51">
        <v>6258.31</v>
      </c>
      <c r="C50" s="52">
        <v>4043.52</v>
      </c>
      <c r="D50" s="52">
        <v>2449.65</v>
      </c>
      <c r="E50" s="52">
        <v>992.24</v>
      </c>
      <c r="F50" s="52">
        <v>5626.83</v>
      </c>
      <c r="G50" s="52">
        <v>4124.1899999999996</v>
      </c>
      <c r="H50" s="52">
        <v>2625.3500000000004</v>
      </c>
      <c r="I50" s="53">
        <v>20869.39</v>
      </c>
      <c r="J50" s="49"/>
    </row>
    <row r="51" spans="1:10" x14ac:dyDescent="0.2">
      <c r="A51" s="50">
        <f t="shared" si="1"/>
        <v>43150</v>
      </c>
      <c r="B51" s="51">
        <v>8451.2999999999993</v>
      </c>
      <c r="C51" s="52">
        <v>4848.5</v>
      </c>
      <c r="D51" s="52">
        <v>3503.1</v>
      </c>
      <c r="E51" s="52">
        <v>1771.4</v>
      </c>
      <c r="F51" s="52">
        <v>5791.6</v>
      </c>
      <c r="G51" s="52">
        <v>6841.2</v>
      </c>
      <c r="H51" s="52">
        <v>3435.2</v>
      </c>
      <c r="I51" s="53">
        <v>27771.9</v>
      </c>
      <c r="J51" s="49"/>
    </row>
    <row r="52" spans="1:10" x14ac:dyDescent="0.2">
      <c r="A52" s="50">
        <f t="shared" si="1"/>
        <v>43151</v>
      </c>
      <c r="B52" s="51">
        <v>10384</v>
      </c>
      <c r="C52" s="52">
        <v>5461.2</v>
      </c>
      <c r="D52" s="52">
        <v>4134.1000000000004</v>
      </c>
      <c r="E52" s="52">
        <v>3074.1</v>
      </c>
      <c r="F52" s="52">
        <v>6643.5</v>
      </c>
      <c r="G52" s="52">
        <v>7033.5</v>
      </c>
      <c r="H52" s="52">
        <v>3424.4000000000005</v>
      </c>
      <c r="I52" s="53">
        <v>33306</v>
      </c>
      <c r="J52" s="49"/>
    </row>
    <row r="53" spans="1:10" x14ac:dyDescent="0.2">
      <c r="A53" s="50">
        <f t="shared" si="1"/>
        <v>43152</v>
      </c>
      <c r="B53" s="51">
        <v>10205.280000000001</v>
      </c>
      <c r="C53" s="52">
        <v>5479.87</v>
      </c>
      <c r="D53" s="52">
        <v>4004.96</v>
      </c>
      <c r="E53" s="52">
        <v>2214.87</v>
      </c>
      <c r="F53" s="52">
        <v>6125.57</v>
      </c>
      <c r="G53" s="52">
        <v>7007.71</v>
      </c>
      <c r="H53" s="52">
        <v>3406.5099999999998</v>
      </c>
      <c r="I53" s="53">
        <v>31631.750000000004</v>
      </c>
      <c r="J53" s="49"/>
    </row>
    <row r="54" spans="1:10" x14ac:dyDescent="0.2">
      <c r="A54" s="50">
        <f t="shared" si="1"/>
        <v>43153</v>
      </c>
      <c r="B54" s="51">
        <v>10198.09</v>
      </c>
      <c r="C54" s="52">
        <v>5455.75</v>
      </c>
      <c r="D54" s="52">
        <v>3992.15</v>
      </c>
      <c r="E54" s="52">
        <v>1741.76</v>
      </c>
      <c r="F54" s="52">
        <v>6317.14</v>
      </c>
      <c r="G54" s="52">
        <v>6913.08</v>
      </c>
      <c r="H54" s="52">
        <v>3336.64</v>
      </c>
      <c r="I54" s="53">
        <v>31281.33</v>
      </c>
      <c r="J54" s="49"/>
    </row>
    <row r="55" spans="1:10" x14ac:dyDescent="0.2">
      <c r="A55" s="50">
        <f t="shared" si="1"/>
        <v>43154</v>
      </c>
      <c r="B55" s="51">
        <v>9732.7999999999993</v>
      </c>
      <c r="C55" s="52">
        <v>5112.3999999999996</v>
      </c>
      <c r="D55" s="52">
        <v>4031.8</v>
      </c>
      <c r="E55" s="52">
        <v>2935.6</v>
      </c>
      <c r="F55" s="52">
        <v>6099.5</v>
      </c>
      <c r="G55" s="52">
        <v>6063.9</v>
      </c>
      <c r="H55" s="52">
        <v>2850.2999999999993</v>
      </c>
      <c r="I55" s="53">
        <v>31125.7</v>
      </c>
      <c r="J55" s="49"/>
    </row>
    <row r="56" spans="1:10" x14ac:dyDescent="0.2">
      <c r="A56" s="50">
        <f t="shared" si="1"/>
        <v>43155</v>
      </c>
      <c r="B56" s="51">
        <v>10135.41</v>
      </c>
      <c r="C56" s="52">
        <v>4908.75</v>
      </c>
      <c r="D56" s="52">
        <v>3706.44</v>
      </c>
      <c r="E56" s="52">
        <v>2276.9899999999998</v>
      </c>
      <c r="F56" s="52">
        <v>6865.4</v>
      </c>
      <c r="G56" s="52">
        <v>5366.21</v>
      </c>
      <c r="H56" s="52">
        <v>2720.74</v>
      </c>
      <c r="I56" s="53">
        <v>30538.46</v>
      </c>
      <c r="J56" s="49"/>
    </row>
    <row r="57" spans="1:10" x14ac:dyDescent="0.2">
      <c r="A57" s="50">
        <f t="shared" si="1"/>
        <v>43156</v>
      </c>
      <c r="B57" s="51">
        <v>8210.57</v>
      </c>
      <c r="C57" s="52">
        <v>4372.8100000000004</v>
      </c>
      <c r="D57" s="52">
        <v>2951.96</v>
      </c>
      <c r="E57" s="52">
        <v>836.64</v>
      </c>
      <c r="F57" s="52">
        <v>5522.7</v>
      </c>
      <c r="G57" s="52">
        <v>4202.7700000000004</v>
      </c>
      <c r="H57" s="52">
        <v>2648.4900000000002</v>
      </c>
      <c r="I57" s="53">
        <v>23448.959999999999</v>
      </c>
      <c r="J57" s="49"/>
    </row>
    <row r="58" spans="1:10" x14ac:dyDescent="0.2">
      <c r="A58" s="50">
        <f t="shared" si="1"/>
        <v>43157</v>
      </c>
      <c r="B58" s="51">
        <v>8883.65</v>
      </c>
      <c r="C58" s="52">
        <v>5111.99</v>
      </c>
      <c r="D58" s="52">
        <v>3738.54</v>
      </c>
      <c r="E58" s="52">
        <v>1517.53</v>
      </c>
      <c r="F58" s="52">
        <v>5864.26</v>
      </c>
      <c r="G58" s="52">
        <v>6653.4</v>
      </c>
      <c r="H58" s="52">
        <v>3366.66</v>
      </c>
      <c r="I58" s="53">
        <v>28402.710000000003</v>
      </c>
      <c r="J58" s="49"/>
    </row>
    <row r="59" spans="1:10" x14ac:dyDescent="0.2">
      <c r="A59" s="50">
        <f t="shared" si="1"/>
        <v>43158</v>
      </c>
      <c r="B59" s="51">
        <v>10808.1</v>
      </c>
      <c r="C59" s="52">
        <v>5297</v>
      </c>
      <c r="D59" s="52">
        <v>4224</v>
      </c>
      <c r="E59" s="52">
        <v>4004.9</v>
      </c>
      <c r="F59" s="52">
        <v>6400.3</v>
      </c>
      <c r="G59" s="52">
        <v>7194.4</v>
      </c>
      <c r="H59" s="52">
        <v>3479.1</v>
      </c>
      <c r="I59" s="53">
        <v>34449.599999999999</v>
      </c>
      <c r="J59" s="49"/>
    </row>
    <row r="60" spans="1:10" x14ac:dyDescent="0.2">
      <c r="A60" s="50">
        <f t="shared" si="1"/>
        <v>43159</v>
      </c>
      <c r="B60" s="51">
        <v>10462.1</v>
      </c>
      <c r="C60" s="52">
        <v>5311.9</v>
      </c>
      <c r="D60" s="52">
        <v>3836.6</v>
      </c>
      <c r="E60" s="52">
        <v>2949.2</v>
      </c>
      <c r="F60" s="52">
        <v>5663.1</v>
      </c>
      <c r="G60" s="52">
        <v>7142.4</v>
      </c>
      <c r="H60" s="52">
        <v>3454.1000000000004</v>
      </c>
      <c r="I60" s="53">
        <v>31911.200000000004</v>
      </c>
      <c r="J60" s="49"/>
    </row>
    <row r="61" spans="1:10" x14ac:dyDescent="0.2">
      <c r="A61" s="50">
        <f t="shared" si="1"/>
        <v>43160</v>
      </c>
      <c r="B61" s="51">
        <v>10474.31</v>
      </c>
      <c r="C61" s="52">
        <v>5275.6</v>
      </c>
      <c r="D61" s="52">
        <v>3837.56</v>
      </c>
      <c r="E61" s="52">
        <v>3098.49</v>
      </c>
      <c r="F61" s="52">
        <v>5472.99</v>
      </c>
      <c r="G61" s="52">
        <v>7073.21</v>
      </c>
      <c r="H61" s="52">
        <v>3582.9300000000003</v>
      </c>
      <c r="I61" s="53">
        <v>31649.229999999996</v>
      </c>
      <c r="J61" s="49"/>
    </row>
    <row r="62" spans="1:10" x14ac:dyDescent="0.2">
      <c r="A62" s="50">
        <f t="shared" si="1"/>
        <v>43161</v>
      </c>
      <c r="B62" s="51">
        <v>8806.9</v>
      </c>
      <c r="C62" s="52">
        <v>5268.9</v>
      </c>
      <c r="D62" s="52">
        <v>3777</v>
      </c>
      <c r="E62" s="52">
        <v>2167.4</v>
      </c>
      <c r="F62" s="52">
        <v>5443.3</v>
      </c>
      <c r="G62" s="52">
        <v>7013</v>
      </c>
      <c r="H62" s="52">
        <v>3412.5</v>
      </c>
      <c r="I62" s="53">
        <v>29064</v>
      </c>
      <c r="J62" s="49"/>
    </row>
    <row r="63" spans="1:10" x14ac:dyDescent="0.2">
      <c r="A63" s="50">
        <f t="shared" si="1"/>
        <v>43162</v>
      </c>
      <c r="B63" s="51">
        <v>7339.66</v>
      </c>
      <c r="C63" s="52">
        <v>4663.68</v>
      </c>
      <c r="D63" s="52">
        <v>2989.76</v>
      </c>
      <c r="E63" s="52">
        <v>2830.52</v>
      </c>
      <c r="F63" s="52">
        <v>5340.65</v>
      </c>
      <c r="G63" s="52">
        <v>5656.64</v>
      </c>
      <c r="H63" s="52">
        <v>2832.83</v>
      </c>
      <c r="I63" s="53">
        <v>25988.079999999994</v>
      </c>
      <c r="J63" s="49"/>
    </row>
    <row r="64" spans="1:10" x14ac:dyDescent="0.2">
      <c r="A64" s="50">
        <f t="shared" si="1"/>
        <v>43163</v>
      </c>
      <c r="B64" s="51">
        <v>6553.1</v>
      </c>
      <c r="C64" s="52">
        <v>4264.6000000000004</v>
      </c>
      <c r="D64" s="52">
        <v>2605.5</v>
      </c>
      <c r="E64" s="52">
        <v>2055</v>
      </c>
      <c r="F64" s="52">
        <v>5420.6</v>
      </c>
      <c r="G64" s="52">
        <v>4090.3</v>
      </c>
      <c r="H64" s="52">
        <v>2597.7999999999997</v>
      </c>
      <c r="I64" s="53">
        <v>22391.300000000003</v>
      </c>
      <c r="J64" s="49"/>
    </row>
    <row r="65" spans="1:10" x14ac:dyDescent="0.2">
      <c r="A65" s="50">
        <f t="shared" si="1"/>
        <v>43164</v>
      </c>
      <c r="B65" s="51">
        <v>7780.91</v>
      </c>
      <c r="C65" s="52">
        <v>5079.07</v>
      </c>
      <c r="D65" s="52">
        <v>3359.74</v>
      </c>
      <c r="E65" s="52">
        <v>2780.4</v>
      </c>
      <c r="F65" s="52">
        <v>5640.39</v>
      </c>
      <c r="G65" s="52">
        <v>6519.28</v>
      </c>
      <c r="H65" s="52">
        <v>3554.51</v>
      </c>
      <c r="I65" s="53">
        <v>27605.279999999999</v>
      </c>
      <c r="J65" s="49"/>
    </row>
    <row r="66" spans="1:10" x14ac:dyDescent="0.2">
      <c r="A66" s="50">
        <f t="shared" si="1"/>
        <v>43165</v>
      </c>
      <c r="B66" s="51">
        <v>8404.2000000000007</v>
      </c>
      <c r="C66" s="52">
        <v>5192.2700000000004</v>
      </c>
      <c r="D66" s="52">
        <v>3584.74</v>
      </c>
      <c r="E66" s="52">
        <v>3340.72</v>
      </c>
      <c r="F66" s="52">
        <v>5892.84</v>
      </c>
      <c r="G66" s="52">
        <v>6403.08</v>
      </c>
      <c r="H66" s="52">
        <v>3113.55</v>
      </c>
      <c r="I66" s="53">
        <v>29704.3</v>
      </c>
      <c r="J66" s="49"/>
    </row>
    <row r="67" spans="1:10" x14ac:dyDescent="0.2">
      <c r="A67" s="50">
        <f t="shared" si="1"/>
        <v>43166</v>
      </c>
      <c r="B67" s="51">
        <v>8107.4</v>
      </c>
      <c r="C67" s="52">
        <v>5161.1000000000004</v>
      </c>
      <c r="D67" s="52">
        <v>3703.6</v>
      </c>
      <c r="E67" s="52">
        <v>2279.1999999999998</v>
      </c>
      <c r="F67" s="52">
        <v>5930.9</v>
      </c>
      <c r="G67" s="52">
        <v>6623.7</v>
      </c>
      <c r="H67" s="52">
        <v>3198.5000000000005</v>
      </c>
      <c r="I67" s="53">
        <v>28607.399999999998</v>
      </c>
      <c r="J67" s="49"/>
    </row>
    <row r="68" spans="1:10" x14ac:dyDescent="0.2">
      <c r="A68" s="50">
        <f t="shared" si="1"/>
        <v>43167</v>
      </c>
      <c r="B68" s="51">
        <v>8402.6</v>
      </c>
      <c r="C68" s="52">
        <v>4995</v>
      </c>
      <c r="D68" s="52">
        <v>3569.8</v>
      </c>
      <c r="E68" s="52">
        <v>2940.6</v>
      </c>
      <c r="F68" s="52">
        <v>6286.7</v>
      </c>
      <c r="G68" s="52">
        <v>5301.4</v>
      </c>
      <c r="H68" s="52">
        <v>2555.2399999999998</v>
      </c>
      <c r="I68" s="53">
        <v>28940.86</v>
      </c>
      <c r="J68" s="49"/>
    </row>
    <row r="69" spans="1:10" x14ac:dyDescent="0.2">
      <c r="A69" s="50">
        <f t="shared" si="1"/>
        <v>43168</v>
      </c>
      <c r="B69" s="51">
        <v>8170.61</v>
      </c>
      <c r="C69" s="52">
        <v>4925.76</v>
      </c>
      <c r="D69" s="52">
        <v>3515.16</v>
      </c>
      <c r="E69" s="52">
        <v>1339.8</v>
      </c>
      <c r="F69" s="52">
        <v>5706.45</v>
      </c>
      <c r="G69" s="52">
        <v>5295.31</v>
      </c>
      <c r="H69" s="52">
        <v>2482.8099999999995</v>
      </c>
      <c r="I69" s="53">
        <v>26470.28</v>
      </c>
      <c r="J69" s="49"/>
    </row>
    <row r="70" spans="1:10" x14ac:dyDescent="0.2">
      <c r="A70" s="50">
        <f t="shared" si="1"/>
        <v>43169</v>
      </c>
      <c r="B70" s="51">
        <v>7604.98</v>
      </c>
      <c r="C70" s="52">
        <v>4461.08</v>
      </c>
      <c r="D70" s="52">
        <v>3002.91</v>
      </c>
      <c r="E70" s="52">
        <v>2094.4899999999998</v>
      </c>
      <c r="F70" s="52">
        <v>5660.85</v>
      </c>
      <c r="G70" s="52">
        <v>4581.74</v>
      </c>
      <c r="H70" s="52">
        <v>2431.75</v>
      </c>
      <c r="I70" s="53">
        <v>24974.299999999996</v>
      </c>
      <c r="J70" s="49"/>
    </row>
    <row r="71" spans="1:10" x14ac:dyDescent="0.2">
      <c r="A71" s="50">
        <f t="shared" si="1"/>
        <v>43170</v>
      </c>
      <c r="B71" s="51">
        <v>5555</v>
      </c>
      <c r="C71" s="52">
        <v>3382</v>
      </c>
      <c r="D71" s="52">
        <v>1958.5</v>
      </c>
      <c r="E71" s="52">
        <v>1322</v>
      </c>
      <c r="F71" s="52">
        <v>5015.3999999999996</v>
      </c>
      <c r="G71" s="52">
        <v>3930</v>
      </c>
      <c r="H71" s="52">
        <v>2535.5</v>
      </c>
      <c r="I71" s="53">
        <v>18627.400000000001</v>
      </c>
      <c r="J71" s="49"/>
    </row>
    <row r="72" spans="1:10" x14ac:dyDescent="0.2">
      <c r="A72" s="50">
        <f t="shared" si="1"/>
        <v>43171</v>
      </c>
      <c r="B72" s="51">
        <v>7330.2</v>
      </c>
      <c r="C72" s="52">
        <v>4419.8999999999996</v>
      </c>
      <c r="D72" s="52">
        <v>3004</v>
      </c>
      <c r="E72" s="52">
        <v>1369.9</v>
      </c>
      <c r="F72" s="52">
        <v>3984.5</v>
      </c>
      <c r="G72" s="52">
        <v>6177.9</v>
      </c>
      <c r="H72" s="52">
        <v>3093.8</v>
      </c>
      <c r="I72" s="53">
        <v>23192.600000000002</v>
      </c>
      <c r="J72" s="49"/>
    </row>
    <row r="73" spans="1:10" x14ac:dyDescent="0.2">
      <c r="A73" s="50">
        <f t="shared" si="1"/>
        <v>43172</v>
      </c>
      <c r="B73" s="51">
        <v>10250.799999999999</v>
      </c>
      <c r="C73" s="52">
        <v>5289.89</v>
      </c>
      <c r="D73" s="52">
        <v>3731.47</v>
      </c>
      <c r="E73" s="52">
        <v>2118.13</v>
      </c>
      <c r="F73" s="52">
        <v>6224.83</v>
      </c>
      <c r="G73" s="52">
        <v>6493.19</v>
      </c>
      <c r="H73" s="52">
        <v>3255.4700000000007</v>
      </c>
      <c r="I73" s="53">
        <v>30852.840000000004</v>
      </c>
      <c r="J73" s="49"/>
    </row>
    <row r="74" spans="1:10" x14ac:dyDescent="0.2">
      <c r="A74" s="50">
        <f t="shared" si="1"/>
        <v>43173</v>
      </c>
      <c r="B74" s="51">
        <v>9950.59</v>
      </c>
      <c r="C74" s="52">
        <v>5184.0600000000004</v>
      </c>
      <c r="D74" s="52">
        <v>3721.18</v>
      </c>
      <c r="E74" s="52">
        <v>2013.06</v>
      </c>
      <c r="F74" s="52">
        <v>5771.1</v>
      </c>
      <c r="G74" s="52">
        <v>6113.36</v>
      </c>
      <c r="H74" s="52">
        <v>3016.6400000000003</v>
      </c>
      <c r="I74" s="53">
        <v>29736.710000000006</v>
      </c>
      <c r="J74" s="49"/>
    </row>
    <row r="75" spans="1:10" x14ac:dyDescent="0.2">
      <c r="A75" s="50">
        <f t="shared" si="1"/>
        <v>43174</v>
      </c>
      <c r="B75" s="51">
        <v>9642.2000000000007</v>
      </c>
      <c r="C75" s="52">
        <v>5240</v>
      </c>
      <c r="D75" s="52">
        <v>3505.7</v>
      </c>
      <c r="E75" s="52">
        <v>2206.8000000000002</v>
      </c>
      <c r="F75" s="52">
        <v>6023.8</v>
      </c>
      <c r="G75" s="52">
        <v>6233.1</v>
      </c>
      <c r="H75" s="52">
        <v>3211.2</v>
      </c>
      <c r="I75" s="53">
        <v>29640.399999999998</v>
      </c>
      <c r="J75" s="49"/>
    </row>
    <row r="76" spans="1:10" x14ac:dyDescent="0.2">
      <c r="A76" s="50">
        <f t="shared" si="1"/>
        <v>43175</v>
      </c>
      <c r="B76" s="51">
        <v>10012.200000000001</v>
      </c>
      <c r="C76" s="52">
        <v>5371.1</v>
      </c>
      <c r="D76" s="52">
        <v>3382.8</v>
      </c>
      <c r="E76" s="52">
        <v>2415.4</v>
      </c>
      <c r="F76" s="52">
        <v>6040.8</v>
      </c>
      <c r="G76" s="52">
        <v>6346.7</v>
      </c>
      <c r="H76" s="52">
        <v>3394.1</v>
      </c>
      <c r="I76" s="53">
        <v>30174.9</v>
      </c>
      <c r="J76" s="49"/>
    </row>
    <row r="77" spans="1:10" x14ac:dyDescent="0.2">
      <c r="A77" s="50">
        <f t="shared" si="1"/>
        <v>43176</v>
      </c>
      <c r="B77" s="51">
        <v>8935.57</v>
      </c>
      <c r="C77" s="52">
        <v>5001.47</v>
      </c>
      <c r="D77" s="52">
        <v>3027.97</v>
      </c>
      <c r="E77" s="52">
        <v>1599.48</v>
      </c>
      <c r="F77" s="52">
        <v>5768.63</v>
      </c>
      <c r="G77" s="52">
        <v>5096.84</v>
      </c>
      <c r="H77" s="52">
        <v>2683.9700000000003</v>
      </c>
      <c r="I77" s="53">
        <v>26745.99</v>
      </c>
      <c r="J77" s="49"/>
    </row>
    <row r="78" spans="1:10" x14ac:dyDescent="0.2">
      <c r="A78" s="50">
        <f t="shared" si="1"/>
        <v>43177</v>
      </c>
      <c r="B78" s="51">
        <v>8251.36</v>
      </c>
      <c r="C78" s="52">
        <v>4461.8999999999996</v>
      </c>
      <c r="D78" s="52">
        <v>2537.19</v>
      </c>
      <c r="E78" s="52">
        <v>1205.4100000000001</v>
      </c>
      <c r="F78" s="52">
        <v>4725.51</v>
      </c>
      <c r="G78" s="52">
        <v>3940.62</v>
      </c>
      <c r="H78" s="52">
        <v>2500.3000000000002</v>
      </c>
      <c r="I78" s="53">
        <v>22621.690000000002</v>
      </c>
      <c r="J78" s="49"/>
    </row>
    <row r="79" spans="1:10" x14ac:dyDescent="0.2">
      <c r="A79" s="50">
        <f t="shared" si="1"/>
        <v>43178</v>
      </c>
      <c r="B79" s="51">
        <v>9512.5</v>
      </c>
      <c r="C79" s="52">
        <v>5166.5</v>
      </c>
      <c r="D79" s="52">
        <v>3569.2</v>
      </c>
      <c r="E79" s="52">
        <v>1887.6</v>
      </c>
      <c r="F79" s="52">
        <v>6019.8</v>
      </c>
      <c r="G79" s="52">
        <v>6188.4</v>
      </c>
      <c r="H79" s="52">
        <v>3336.5</v>
      </c>
      <c r="I79" s="53">
        <v>29007.5</v>
      </c>
      <c r="J79" s="49"/>
    </row>
    <row r="80" spans="1:10" x14ac:dyDescent="0.2">
      <c r="A80" s="50">
        <f t="shared" si="1"/>
        <v>43179</v>
      </c>
      <c r="B80" s="51">
        <v>10474.5</v>
      </c>
      <c r="C80" s="52">
        <v>5412.1</v>
      </c>
      <c r="D80" s="52">
        <v>3784.7</v>
      </c>
      <c r="E80" s="52">
        <v>2948.6</v>
      </c>
      <c r="F80" s="52">
        <v>6696</v>
      </c>
      <c r="G80" s="52">
        <v>6512.1</v>
      </c>
      <c r="H80" s="52">
        <v>3219.5</v>
      </c>
      <c r="I80" s="53">
        <v>32608.5</v>
      </c>
      <c r="J80" s="49"/>
    </row>
    <row r="81" spans="1:10" x14ac:dyDescent="0.2">
      <c r="A81" s="50">
        <f t="shared" si="1"/>
        <v>43180</v>
      </c>
      <c r="B81" s="51">
        <v>10302.049999999999</v>
      </c>
      <c r="C81" s="52">
        <v>5411.06</v>
      </c>
      <c r="D81" s="52">
        <v>3626.17</v>
      </c>
      <c r="E81" s="52">
        <v>2918.96</v>
      </c>
      <c r="F81" s="52">
        <v>6436.54</v>
      </c>
      <c r="G81" s="52">
        <v>6581.67</v>
      </c>
      <c r="H81" s="52">
        <v>3203.5199999999995</v>
      </c>
      <c r="I81" s="53">
        <v>32072.929999999997</v>
      </c>
      <c r="J81" s="49"/>
    </row>
    <row r="82" spans="1:10" x14ac:dyDescent="0.2">
      <c r="A82" s="50">
        <f t="shared" si="1"/>
        <v>43181</v>
      </c>
      <c r="B82" s="51">
        <v>10371.879999999999</v>
      </c>
      <c r="C82" s="52">
        <v>5316.15</v>
      </c>
      <c r="D82" s="52">
        <v>3668.16</v>
      </c>
      <c r="E82" s="52">
        <v>2852.66</v>
      </c>
      <c r="F82" s="52">
        <v>5747.22</v>
      </c>
      <c r="G82" s="52">
        <v>6214.89</v>
      </c>
      <c r="H82" s="52">
        <v>3174.4500000000003</v>
      </c>
      <c r="I82" s="53">
        <v>30996.51</v>
      </c>
      <c r="J82" s="49"/>
    </row>
    <row r="83" spans="1:10" x14ac:dyDescent="0.2">
      <c r="A83" s="50">
        <f t="shared" si="1"/>
        <v>43182</v>
      </c>
      <c r="B83" s="51">
        <v>9821.2999999999993</v>
      </c>
      <c r="C83" s="52">
        <v>5178.7</v>
      </c>
      <c r="D83" s="52">
        <v>3744.2</v>
      </c>
      <c r="E83" s="52">
        <v>1634</v>
      </c>
      <c r="F83" s="52">
        <v>6021.3</v>
      </c>
      <c r="G83" s="52">
        <v>6546.3</v>
      </c>
      <c r="H83" s="52">
        <v>3252.5</v>
      </c>
      <c r="I83" s="53">
        <v>29693.300000000003</v>
      </c>
      <c r="J83" s="49"/>
    </row>
    <row r="84" spans="1:10" x14ac:dyDescent="0.2">
      <c r="A84" s="50">
        <f t="shared" si="1"/>
        <v>43183</v>
      </c>
      <c r="B84" s="51">
        <v>8813.65</v>
      </c>
      <c r="C84" s="52">
        <v>4820.5</v>
      </c>
      <c r="D84" s="52">
        <v>3207.15</v>
      </c>
      <c r="E84" s="52">
        <v>2064.4</v>
      </c>
      <c r="F84" s="52">
        <v>5378.9</v>
      </c>
      <c r="G84" s="52">
        <v>4961.05</v>
      </c>
      <c r="H84" s="52">
        <v>2588.9799999999996</v>
      </c>
      <c r="I84" s="53">
        <v>26656.67</v>
      </c>
      <c r="J84" s="49"/>
    </row>
    <row r="85" spans="1:10" x14ac:dyDescent="0.2">
      <c r="A85" s="50">
        <f t="shared" si="1"/>
        <v>43184</v>
      </c>
      <c r="B85" s="51">
        <v>8122.98</v>
      </c>
      <c r="C85" s="52">
        <v>4565.6400000000003</v>
      </c>
      <c r="D85" s="52">
        <v>2669.28</v>
      </c>
      <c r="E85" s="52">
        <v>1681.97</v>
      </c>
      <c r="F85" s="52">
        <v>5455.66</v>
      </c>
      <c r="G85" s="52">
        <v>3673.93</v>
      </c>
      <c r="H85" s="52">
        <v>2149.2199999999998</v>
      </c>
      <c r="I85" s="53">
        <v>24020.239999999998</v>
      </c>
      <c r="J85" s="49"/>
    </row>
    <row r="86" spans="1:10" x14ac:dyDescent="0.2">
      <c r="A86" s="50">
        <f t="shared" si="1"/>
        <v>43185</v>
      </c>
      <c r="B86" s="51">
        <v>9670.27</v>
      </c>
      <c r="C86" s="52">
        <v>5095.22</v>
      </c>
      <c r="D86" s="52">
        <v>3409.66</v>
      </c>
      <c r="E86" s="52">
        <v>3041.16</v>
      </c>
      <c r="F86" s="52">
        <v>6063.19</v>
      </c>
      <c r="G86" s="52">
        <v>5881.18</v>
      </c>
      <c r="H86" s="52">
        <v>2988.14</v>
      </c>
      <c r="I86" s="53">
        <v>30172.54</v>
      </c>
      <c r="J86" s="49"/>
    </row>
    <row r="87" spans="1:10" x14ac:dyDescent="0.2">
      <c r="A87" s="50">
        <f t="shared" si="1"/>
        <v>43186</v>
      </c>
      <c r="B87" s="51">
        <v>9568.7000000000007</v>
      </c>
      <c r="C87" s="52">
        <v>5073.1000000000004</v>
      </c>
      <c r="D87" s="52">
        <v>3605.1</v>
      </c>
      <c r="E87" s="52">
        <v>2849</v>
      </c>
      <c r="F87" s="52">
        <v>6091.1</v>
      </c>
      <c r="G87" s="52">
        <v>6416.7</v>
      </c>
      <c r="H87" s="52">
        <v>3193.8</v>
      </c>
      <c r="I87" s="53">
        <v>30409.899999999998</v>
      </c>
      <c r="J87" s="49"/>
    </row>
    <row r="88" spans="1:10" x14ac:dyDescent="0.2">
      <c r="A88" s="50">
        <f t="shared" si="1"/>
        <v>43187</v>
      </c>
      <c r="B88" s="51">
        <v>9487.7999999999993</v>
      </c>
      <c r="C88" s="52">
        <v>5354.2</v>
      </c>
      <c r="D88" s="52">
        <v>3630.7</v>
      </c>
      <c r="E88" s="52">
        <v>1546.2</v>
      </c>
      <c r="F88" s="52">
        <v>5800.2</v>
      </c>
      <c r="G88" s="52">
        <v>6310.9</v>
      </c>
      <c r="H88" s="52">
        <v>3082.5999999999995</v>
      </c>
      <c r="I88" s="53">
        <v>29047.4</v>
      </c>
      <c r="J88" s="49"/>
    </row>
    <row r="89" spans="1:10" x14ac:dyDescent="0.2">
      <c r="A89" s="50">
        <f t="shared" si="1"/>
        <v>43188</v>
      </c>
      <c r="B89" s="51">
        <v>8828.44</v>
      </c>
      <c r="C89" s="52">
        <v>5183.24</v>
      </c>
      <c r="D89" s="52">
        <v>3660.55</v>
      </c>
      <c r="E89" s="52">
        <v>2385.44</v>
      </c>
      <c r="F89" s="52">
        <v>6643.44</v>
      </c>
      <c r="G89" s="52">
        <v>6119.77</v>
      </c>
      <c r="H89" s="52">
        <v>2790.6900000000005</v>
      </c>
      <c r="I89" s="53">
        <v>30030.189999999995</v>
      </c>
      <c r="J89" s="49"/>
    </row>
    <row r="90" spans="1:10" x14ac:dyDescent="0.2">
      <c r="A90" s="50">
        <f t="shared" si="1"/>
        <v>43189</v>
      </c>
      <c r="B90" s="51">
        <v>8467.2000000000007</v>
      </c>
      <c r="C90" s="52">
        <v>5109.8999999999996</v>
      </c>
      <c r="D90" s="52">
        <v>3792.5</v>
      </c>
      <c r="E90" s="52">
        <v>1850.7</v>
      </c>
      <c r="F90" s="52">
        <v>6806.7</v>
      </c>
      <c r="G90" s="52">
        <v>6365.7</v>
      </c>
      <c r="H90" s="52">
        <v>3115.8999999999996</v>
      </c>
      <c r="I90" s="53">
        <v>29276.800000000003</v>
      </c>
      <c r="J90" s="49"/>
    </row>
    <row r="91" spans="1:10" x14ac:dyDescent="0.2">
      <c r="A91" s="50">
        <f t="shared" si="1"/>
        <v>43190</v>
      </c>
      <c r="B91" s="51">
        <v>7764.3</v>
      </c>
      <c r="C91" s="52">
        <v>4712.5</v>
      </c>
      <c r="D91" s="52">
        <v>3126.3</v>
      </c>
      <c r="E91" s="52">
        <v>1445.6</v>
      </c>
      <c r="F91" s="52">
        <v>5603.6</v>
      </c>
      <c r="G91" s="52">
        <v>5000.2</v>
      </c>
      <c r="H91" s="52">
        <v>2760.5</v>
      </c>
      <c r="I91" s="53">
        <v>24891.999999999996</v>
      </c>
      <c r="J91" s="49"/>
    </row>
    <row r="92" spans="1:10" x14ac:dyDescent="0.2">
      <c r="A92" s="50">
        <f t="shared" si="1"/>
        <v>43191</v>
      </c>
      <c r="B92" s="51">
        <v>6132.3</v>
      </c>
      <c r="C92" s="52">
        <v>4286.6000000000004</v>
      </c>
      <c r="D92" s="52">
        <v>2474.6999999999998</v>
      </c>
      <c r="E92" s="52">
        <v>1582.2</v>
      </c>
      <c r="F92" s="52">
        <v>5161.2</v>
      </c>
      <c r="G92" s="52">
        <v>4268.8999999999996</v>
      </c>
      <c r="H92" s="52">
        <v>2568</v>
      </c>
      <c r="I92" s="53">
        <v>21337.9</v>
      </c>
      <c r="J92" s="49"/>
    </row>
    <row r="93" spans="1:10" x14ac:dyDescent="0.2">
      <c r="A93" s="50">
        <f t="shared" si="1"/>
        <v>43192</v>
      </c>
      <c r="B93" s="51">
        <v>6887.37</v>
      </c>
      <c r="C93" s="52">
        <v>5007.74</v>
      </c>
      <c r="D93" s="52">
        <v>3239.33</v>
      </c>
      <c r="E93" s="52">
        <v>2350.11</v>
      </c>
      <c r="F93" s="52">
        <v>6188.98</v>
      </c>
      <c r="G93" s="52">
        <v>6008.61</v>
      </c>
      <c r="H93" s="52">
        <v>3116.9399999999996</v>
      </c>
      <c r="I93" s="53">
        <v>26565.200000000001</v>
      </c>
      <c r="J93" s="49"/>
    </row>
    <row r="94" spans="1:10" x14ac:dyDescent="0.2">
      <c r="A94" s="50">
        <f t="shared" si="1"/>
        <v>43193</v>
      </c>
      <c r="B94" s="51">
        <v>8907.9699999999993</v>
      </c>
      <c r="C94" s="52">
        <v>5471.19</v>
      </c>
      <c r="D94" s="52">
        <v>3629.42</v>
      </c>
      <c r="E94" s="52">
        <v>1824.73</v>
      </c>
      <c r="F94" s="52">
        <v>6326.1</v>
      </c>
      <c r="G94" s="52">
        <v>6127.96</v>
      </c>
      <c r="H94" s="52">
        <v>3007.4799999999996</v>
      </c>
      <c r="I94" s="53">
        <v>29279.890000000003</v>
      </c>
      <c r="J94" s="49"/>
    </row>
    <row r="95" spans="1:10" x14ac:dyDescent="0.2">
      <c r="A95" s="50">
        <f t="shared" si="1"/>
        <v>43194</v>
      </c>
      <c r="B95" s="51">
        <v>8957.4</v>
      </c>
      <c r="C95" s="52">
        <v>5559.7</v>
      </c>
      <c r="D95" s="52">
        <v>3402.2</v>
      </c>
      <c r="E95" s="52">
        <v>1600.5</v>
      </c>
      <c r="F95" s="52">
        <v>5824.6</v>
      </c>
      <c r="G95" s="52">
        <v>6037.9</v>
      </c>
      <c r="H95" s="52">
        <v>3064.7999999999997</v>
      </c>
      <c r="I95" s="53">
        <v>28317.500000000004</v>
      </c>
      <c r="J95" s="49"/>
    </row>
    <row r="96" spans="1:10" x14ac:dyDescent="0.2">
      <c r="A96" s="50">
        <f t="shared" ref="A96:A159" si="2">A95+1</f>
        <v>43195</v>
      </c>
      <c r="B96" s="51">
        <v>9145.6</v>
      </c>
      <c r="C96" s="52">
        <v>5521.1</v>
      </c>
      <c r="D96" s="52">
        <v>3487.7</v>
      </c>
      <c r="E96" s="52">
        <v>2178</v>
      </c>
      <c r="F96" s="52">
        <v>6690.8</v>
      </c>
      <c r="G96" s="52">
        <v>5995</v>
      </c>
      <c r="H96" s="52">
        <v>3077.2999999999993</v>
      </c>
      <c r="I96" s="53">
        <v>29940.899999999998</v>
      </c>
      <c r="J96" s="49"/>
    </row>
    <row r="97" spans="1:10" x14ac:dyDescent="0.2">
      <c r="A97" s="50">
        <f t="shared" si="2"/>
        <v>43196</v>
      </c>
      <c r="B97" s="51">
        <v>8995.5300000000007</v>
      </c>
      <c r="C97" s="52">
        <v>5746.93</v>
      </c>
      <c r="D97" s="52">
        <v>3163.56</v>
      </c>
      <c r="E97" s="52">
        <v>2670.61</v>
      </c>
      <c r="F97" s="52">
        <v>6515.47</v>
      </c>
      <c r="G97" s="52">
        <v>5637.67</v>
      </c>
      <c r="H97" s="52">
        <v>3002.3199999999997</v>
      </c>
      <c r="I97" s="53">
        <v>29727.450000000004</v>
      </c>
      <c r="J97" s="49"/>
    </row>
    <row r="98" spans="1:10" x14ac:dyDescent="0.2">
      <c r="A98" s="50">
        <f t="shared" si="2"/>
        <v>43197</v>
      </c>
      <c r="B98" s="51">
        <v>7985.28</v>
      </c>
      <c r="C98" s="52">
        <v>5160.47</v>
      </c>
      <c r="D98" s="52">
        <v>2500</v>
      </c>
      <c r="E98" s="52">
        <v>1862.11</v>
      </c>
      <c r="F98" s="52">
        <v>5071.01</v>
      </c>
      <c r="G98" s="52">
        <v>3793.64</v>
      </c>
      <c r="H98" s="52">
        <v>2358.29</v>
      </c>
      <c r="I98" s="53">
        <v>24014.22</v>
      </c>
      <c r="J98" s="49"/>
    </row>
    <row r="99" spans="1:10" x14ac:dyDescent="0.2">
      <c r="A99" s="50">
        <f t="shared" si="2"/>
        <v>43198</v>
      </c>
      <c r="B99" s="51">
        <v>7896.1</v>
      </c>
      <c r="C99" s="52">
        <v>4814.1000000000004</v>
      </c>
      <c r="D99" s="52">
        <v>2001.2</v>
      </c>
      <c r="E99" s="52">
        <v>2250.3000000000002</v>
      </c>
      <c r="F99" s="52">
        <v>5375.5</v>
      </c>
      <c r="G99" s="52">
        <v>3794.1</v>
      </c>
      <c r="H99" s="52">
        <v>2407.1999999999998</v>
      </c>
      <c r="I99" s="53">
        <v>23724.1</v>
      </c>
      <c r="J99" s="49"/>
    </row>
    <row r="100" spans="1:10" x14ac:dyDescent="0.2">
      <c r="A100" s="50">
        <f t="shared" si="2"/>
        <v>43199</v>
      </c>
      <c r="B100" s="51">
        <v>8703.5</v>
      </c>
      <c r="C100" s="52">
        <v>5274.4</v>
      </c>
      <c r="D100" s="52">
        <v>2566.1999999999998</v>
      </c>
      <c r="E100" s="52">
        <v>3457</v>
      </c>
      <c r="F100" s="52">
        <v>5789.2</v>
      </c>
      <c r="G100" s="52">
        <v>5717.8</v>
      </c>
      <c r="H100" s="52">
        <v>2986.3</v>
      </c>
      <c r="I100" s="53">
        <v>28521.8</v>
      </c>
      <c r="J100" s="49"/>
    </row>
    <row r="101" spans="1:10" x14ac:dyDescent="0.2">
      <c r="A101" s="50">
        <f t="shared" si="2"/>
        <v>43200</v>
      </c>
      <c r="B101" s="51">
        <v>9003</v>
      </c>
      <c r="C101" s="52">
        <v>4362</v>
      </c>
      <c r="D101" s="52">
        <v>3033.8</v>
      </c>
      <c r="E101" s="52">
        <v>2953.8</v>
      </c>
      <c r="F101" s="52">
        <v>5856.4</v>
      </c>
      <c r="G101" s="52">
        <v>5967</v>
      </c>
      <c r="H101" s="52">
        <v>2962.5</v>
      </c>
      <c r="I101" s="53">
        <v>28213.5</v>
      </c>
      <c r="J101" s="49"/>
    </row>
    <row r="102" spans="1:10" x14ac:dyDescent="0.2">
      <c r="A102" s="50">
        <f t="shared" si="2"/>
        <v>43201</v>
      </c>
      <c r="B102" s="51">
        <v>8117.8</v>
      </c>
      <c r="C102" s="52">
        <v>4932.25</v>
      </c>
      <c r="D102" s="52">
        <v>3474.79</v>
      </c>
      <c r="E102" s="52">
        <v>2648.45</v>
      </c>
      <c r="F102" s="52">
        <v>5558.28</v>
      </c>
      <c r="G102" s="52">
        <v>5789.43</v>
      </c>
      <c r="H102" s="52">
        <v>3111.1200000000008</v>
      </c>
      <c r="I102" s="53">
        <v>27409.879999999997</v>
      </c>
      <c r="J102" s="49"/>
    </row>
    <row r="103" spans="1:10" x14ac:dyDescent="0.2">
      <c r="A103" s="50">
        <f t="shared" si="2"/>
        <v>43202</v>
      </c>
      <c r="B103" s="51">
        <v>7285.5</v>
      </c>
      <c r="C103" s="52">
        <v>4759.2</v>
      </c>
      <c r="D103" s="52">
        <v>3710.5</v>
      </c>
      <c r="E103" s="52">
        <v>1756</v>
      </c>
      <c r="F103" s="52">
        <v>5326</v>
      </c>
      <c r="G103" s="52">
        <v>6079.3</v>
      </c>
      <c r="H103" s="52">
        <v>3034.0999999999995</v>
      </c>
      <c r="I103" s="53">
        <v>25882.400000000001</v>
      </c>
      <c r="J103" s="49"/>
    </row>
    <row r="104" spans="1:10" x14ac:dyDescent="0.2">
      <c r="A104" s="50">
        <f t="shared" si="2"/>
        <v>43203</v>
      </c>
      <c r="B104" s="51">
        <v>7411.6</v>
      </c>
      <c r="C104" s="52">
        <v>4613.3599999999997</v>
      </c>
      <c r="D104" s="52">
        <v>4121.1000000000004</v>
      </c>
      <c r="E104" s="52">
        <v>1475</v>
      </c>
      <c r="F104" s="52">
        <v>5214.57</v>
      </c>
      <c r="G104" s="52">
        <v>5330.76</v>
      </c>
      <c r="H104" s="52">
        <v>2431.8799999999997</v>
      </c>
      <c r="I104" s="53">
        <v>25734.51</v>
      </c>
      <c r="J104" s="49"/>
    </row>
    <row r="105" spans="1:10" x14ac:dyDescent="0.2">
      <c r="A105" s="50">
        <f t="shared" si="2"/>
        <v>43204</v>
      </c>
      <c r="B105" s="51">
        <v>6392</v>
      </c>
      <c r="C105" s="52">
        <v>3971</v>
      </c>
      <c r="D105" s="52">
        <v>3467.5</v>
      </c>
      <c r="E105" s="52">
        <v>1433</v>
      </c>
      <c r="F105" s="52">
        <v>4838</v>
      </c>
      <c r="G105" s="52">
        <v>3501</v>
      </c>
      <c r="H105" s="52">
        <v>1776</v>
      </c>
      <c r="I105" s="53">
        <v>21826.5</v>
      </c>
      <c r="J105" s="49"/>
    </row>
    <row r="106" spans="1:10" x14ac:dyDescent="0.2">
      <c r="A106" s="50">
        <f t="shared" si="2"/>
        <v>43205</v>
      </c>
      <c r="B106" s="51">
        <v>6388.1</v>
      </c>
      <c r="C106" s="52">
        <v>3499.54</v>
      </c>
      <c r="D106" s="52">
        <v>3118.07</v>
      </c>
      <c r="E106" s="52">
        <v>2362.86</v>
      </c>
      <c r="F106" s="52">
        <v>4921.87</v>
      </c>
      <c r="G106" s="52">
        <v>3186.13</v>
      </c>
      <c r="H106" s="52">
        <v>1786.72</v>
      </c>
      <c r="I106" s="53">
        <v>21689.85</v>
      </c>
      <c r="J106" s="49"/>
    </row>
    <row r="107" spans="1:10" x14ac:dyDescent="0.2">
      <c r="A107" s="50">
        <f t="shared" si="2"/>
        <v>43206</v>
      </c>
      <c r="B107" s="51">
        <v>6730.4</v>
      </c>
      <c r="C107" s="52">
        <v>4475.1000000000004</v>
      </c>
      <c r="D107" s="52">
        <v>3380.2</v>
      </c>
      <c r="E107" s="52">
        <v>2823.2</v>
      </c>
      <c r="F107" s="52">
        <v>5805.9</v>
      </c>
      <c r="G107" s="52">
        <v>5157.6000000000004</v>
      </c>
      <c r="H107" s="52">
        <v>2692.9</v>
      </c>
      <c r="I107" s="53">
        <v>25679.5</v>
      </c>
      <c r="J107" s="49"/>
    </row>
    <row r="108" spans="1:10" x14ac:dyDescent="0.2">
      <c r="A108" s="50">
        <f t="shared" si="2"/>
        <v>43207</v>
      </c>
      <c r="B108" s="51">
        <v>7415.5</v>
      </c>
      <c r="C108" s="52">
        <v>4777</v>
      </c>
      <c r="D108" s="52">
        <v>3087.1</v>
      </c>
      <c r="E108" s="52">
        <v>1773.9</v>
      </c>
      <c r="F108" s="52">
        <v>5916.5</v>
      </c>
      <c r="G108" s="52">
        <v>5317.1</v>
      </c>
      <c r="H108" s="52">
        <v>2727.1000000000004</v>
      </c>
      <c r="I108" s="53">
        <v>25560</v>
      </c>
      <c r="J108" s="49"/>
    </row>
    <row r="109" spans="1:10" x14ac:dyDescent="0.2">
      <c r="A109" s="50">
        <f t="shared" si="2"/>
        <v>43208</v>
      </c>
      <c r="B109" s="51">
        <v>7881.2</v>
      </c>
      <c r="C109" s="52">
        <v>5013.28</v>
      </c>
      <c r="D109" s="52">
        <v>2846.4</v>
      </c>
      <c r="E109" s="52">
        <v>1536.02</v>
      </c>
      <c r="F109" s="52">
        <v>5918.5</v>
      </c>
      <c r="G109" s="52">
        <v>5771.33</v>
      </c>
      <c r="H109" s="52">
        <v>2978.1499999999996</v>
      </c>
      <c r="I109" s="53">
        <v>25988.579999999994</v>
      </c>
      <c r="J109" s="49"/>
    </row>
    <row r="110" spans="1:10" x14ac:dyDescent="0.2">
      <c r="A110" s="50">
        <f t="shared" si="2"/>
        <v>43209</v>
      </c>
      <c r="B110" s="51">
        <v>7804.88</v>
      </c>
      <c r="C110" s="52">
        <v>4762.6499999999996</v>
      </c>
      <c r="D110" s="52">
        <v>2813.7</v>
      </c>
      <c r="E110" s="52">
        <v>2599.39</v>
      </c>
      <c r="F110" s="52">
        <v>6077.51</v>
      </c>
      <c r="G110" s="52">
        <v>5582.62</v>
      </c>
      <c r="H110" s="52">
        <v>2919.41</v>
      </c>
      <c r="I110" s="53">
        <v>26721.339999999997</v>
      </c>
      <c r="J110" s="49"/>
    </row>
    <row r="111" spans="1:10" x14ac:dyDescent="0.2">
      <c r="A111" s="50">
        <f t="shared" si="2"/>
        <v>43210</v>
      </c>
      <c r="B111" s="51">
        <v>6580.5</v>
      </c>
      <c r="C111" s="52">
        <v>4791.8999999999996</v>
      </c>
      <c r="D111" s="52">
        <v>2701</v>
      </c>
      <c r="E111" s="52">
        <v>1873.3</v>
      </c>
      <c r="F111" s="52">
        <v>5585.8</v>
      </c>
      <c r="G111" s="52">
        <v>5317.5</v>
      </c>
      <c r="H111" s="52">
        <v>2933.2999999999997</v>
      </c>
      <c r="I111" s="53">
        <v>23916.7</v>
      </c>
      <c r="J111" s="49"/>
    </row>
    <row r="112" spans="1:10" x14ac:dyDescent="0.2">
      <c r="A112" s="50">
        <f t="shared" si="2"/>
        <v>43211</v>
      </c>
      <c r="B112" s="51">
        <v>6974.2</v>
      </c>
      <c r="C112" s="52">
        <v>4342.1000000000004</v>
      </c>
      <c r="D112" s="52">
        <v>2603.3000000000002</v>
      </c>
      <c r="E112" s="52">
        <v>954.7</v>
      </c>
      <c r="F112" s="52">
        <v>4971.2</v>
      </c>
      <c r="G112" s="52">
        <v>3547.2</v>
      </c>
      <c r="H112" s="52">
        <v>2197.9</v>
      </c>
      <c r="I112" s="53">
        <v>21194.799999999999</v>
      </c>
      <c r="J112" s="49"/>
    </row>
    <row r="113" spans="1:10" x14ac:dyDescent="0.2">
      <c r="A113" s="50">
        <f t="shared" si="2"/>
        <v>43212</v>
      </c>
      <c r="B113" s="51">
        <v>7582.75</v>
      </c>
      <c r="C113" s="52">
        <v>3926.43</v>
      </c>
      <c r="D113" s="52">
        <v>2452.08</v>
      </c>
      <c r="E113" s="52">
        <v>1514.02</v>
      </c>
      <c r="F113" s="52">
        <v>4776.1000000000004</v>
      </c>
      <c r="G113" s="52">
        <v>3462.55</v>
      </c>
      <c r="H113" s="52">
        <v>1955.9100000000003</v>
      </c>
      <c r="I113" s="53">
        <v>21758.02</v>
      </c>
      <c r="J113" s="49"/>
    </row>
    <row r="114" spans="1:10" x14ac:dyDescent="0.2">
      <c r="A114" s="50">
        <f t="shared" si="2"/>
        <v>43213</v>
      </c>
      <c r="B114" s="51">
        <v>7827.09</v>
      </c>
      <c r="C114" s="52">
        <v>5029.1499999999996</v>
      </c>
      <c r="D114" s="52">
        <v>2687.54</v>
      </c>
      <c r="E114" s="52">
        <v>1247.2</v>
      </c>
      <c r="F114" s="52">
        <v>5144.6400000000003</v>
      </c>
      <c r="G114" s="52">
        <v>5422.27</v>
      </c>
      <c r="H114" s="52">
        <v>2975.16</v>
      </c>
      <c r="I114" s="53">
        <v>24382.73</v>
      </c>
      <c r="J114" s="49"/>
    </row>
    <row r="115" spans="1:10" x14ac:dyDescent="0.2">
      <c r="A115" s="50">
        <f t="shared" si="2"/>
        <v>43214</v>
      </c>
      <c r="B115" s="51">
        <v>8352</v>
      </c>
      <c r="C115" s="52">
        <v>5246.8</v>
      </c>
      <c r="D115" s="52">
        <v>3008.5</v>
      </c>
      <c r="E115" s="52">
        <v>1071.8</v>
      </c>
      <c r="F115" s="52">
        <v>5179.3999999999996</v>
      </c>
      <c r="G115" s="52">
        <v>6113.9</v>
      </c>
      <c r="H115" s="52">
        <v>3326.9000000000005</v>
      </c>
      <c r="I115" s="53">
        <v>25645.5</v>
      </c>
      <c r="J115" s="49"/>
    </row>
    <row r="116" spans="1:10" x14ac:dyDescent="0.2">
      <c r="A116" s="50">
        <f t="shared" si="2"/>
        <v>43215</v>
      </c>
      <c r="B116" s="51">
        <v>8266.4</v>
      </c>
      <c r="C116" s="52">
        <v>5411.1</v>
      </c>
      <c r="D116" s="52">
        <v>2949.5</v>
      </c>
      <c r="E116" s="52">
        <v>1299.0999999999999</v>
      </c>
      <c r="F116" s="52">
        <v>5373.3</v>
      </c>
      <c r="G116" s="52">
        <v>6205.9</v>
      </c>
      <c r="H116" s="52">
        <v>3320.1000000000004</v>
      </c>
      <c r="I116" s="53">
        <v>26185.199999999997</v>
      </c>
      <c r="J116" s="49"/>
    </row>
    <row r="117" spans="1:10" x14ac:dyDescent="0.2">
      <c r="A117" s="50">
        <f t="shared" si="2"/>
        <v>43216</v>
      </c>
      <c r="B117" s="51">
        <v>8462.98</v>
      </c>
      <c r="C117" s="52">
        <v>5383.05</v>
      </c>
      <c r="D117" s="52">
        <v>3118.33</v>
      </c>
      <c r="E117" s="52">
        <v>1770.14</v>
      </c>
      <c r="F117" s="52">
        <v>5716.53</v>
      </c>
      <c r="G117" s="52">
        <v>5800.18</v>
      </c>
      <c r="H117" s="52">
        <v>2982.6</v>
      </c>
      <c r="I117" s="53">
        <v>27268.61</v>
      </c>
      <c r="J117" s="49"/>
    </row>
    <row r="118" spans="1:10" x14ac:dyDescent="0.2">
      <c r="A118" s="50">
        <f t="shared" si="2"/>
        <v>43217</v>
      </c>
      <c r="B118" s="51">
        <v>8726.2099999999991</v>
      </c>
      <c r="C118" s="52">
        <v>5489.06</v>
      </c>
      <c r="D118" s="52">
        <v>3063.29</v>
      </c>
      <c r="E118" s="52">
        <v>1891.3</v>
      </c>
      <c r="F118" s="52">
        <v>5637.36</v>
      </c>
      <c r="G118" s="52">
        <v>5837.78</v>
      </c>
      <c r="H118" s="52">
        <v>3168.79</v>
      </c>
      <c r="I118" s="53">
        <v>27476.21</v>
      </c>
      <c r="J118" s="49"/>
    </row>
    <row r="119" spans="1:10" x14ac:dyDescent="0.2">
      <c r="A119" s="50">
        <f t="shared" si="2"/>
        <v>43218</v>
      </c>
      <c r="B119" s="51">
        <v>7897.9</v>
      </c>
      <c r="C119" s="52">
        <v>5369.8</v>
      </c>
      <c r="D119" s="52">
        <v>2810.8</v>
      </c>
      <c r="E119" s="52">
        <v>1648.2</v>
      </c>
      <c r="F119" s="52">
        <v>5357.5</v>
      </c>
      <c r="G119" s="52">
        <v>4803.3</v>
      </c>
      <c r="H119" s="52">
        <v>2409.1</v>
      </c>
      <c r="I119" s="53">
        <v>25478.400000000001</v>
      </c>
      <c r="J119" s="49"/>
    </row>
    <row r="120" spans="1:10" x14ac:dyDescent="0.2">
      <c r="A120" s="50">
        <f t="shared" si="2"/>
        <v>43219</v>
      </c>
      <c r="B120" s="51">
        <v>7239.5</v>
      </c>
      <c r="C120" s="52">
        <v>4783.3999999999996</v>
      </c>
      <c r="D120" s="52">
        <v>2750.4</v>
      </c>
      <c r="E120" s="52">
        <v>1248</v>
      </c>
      <c r="F120" s="52">
        <v>5149.3999999999996</v>
      </c>
      <c r="G120" s="52">
        <v>2979</v>
      </c>
      <c r="H120" s="52">
        <v>1600.6000000000001</v>
      </c>
      <c r="I120" s="53">
        <v>22549.1</v>
      </c>
      <c r="J120" s="49"/>
    </row>
    <row r="121" spans="1:10" x14ac:dyDescent="0.2">
      <c r="A121" s="50">
        <f t="shared" si="2"/>
        <v>43220</v>
      </c>
      <c r="B121" s="51">
        <v>5995.84</v>
      </c>
      <c r="C121" s="52">
        <v>4329.46</v>
      </c>
      <c r="D121" s="52">
        <v>2546.52</v>
      </c>
      <c r="E121" s="52">
        <v>1117.44</v>
      </c>
      <c r="F121" s="52">
        <v>4864.6899999999996</v>
      </c>
      <c r="G121" s="52">
        <v>3019.47</v>
      </c>
      <c r="H121" s="52">
        <v>1609.49</v>
      </c>
      <c r="I121" s="53">
        <v>20263.93</v>
      </c>
      <c r="J121" s="49"/>
    </row>
    <row r="122" spans="1:10" x14ac:dyDescent="0.2">
      <c r="A122" s="50">
        <f t="shared" si="2"/>
        <v>43221</v>
      </c>
      <c r="B122" s="51">
        <v>5548.96</v>
      </c>
      <c r="C122" s="52">
        <v>4040.87</v>
      </c>
      <c r="D122" s="52">
        <v>2081.16</v>
      </c>
      <c r="E122" s="52">
        <v>372.69</v>
      </c>
      <c r="F122" s="52">
        <v>3888.25</v>
      </c>
      <c r="G122" s="52">
        <v>3824.99</v>
      </c>
      <c r="H122" s="52">
        <v>1435.2400000000002</v>
      </c>
      <c r="I122" s="53">
        <v>18321.679999999997</v>
      </c>
      <c r="J122" s="49"/>
    </row>
    <row r="123" spans="1:10" x14ac:dyDescent="0.2">
      <c r="A123" s="50">
        <f t="shared" si="2"/>
        <v>43222</v>
      </c>
      <c r="B123" s="51">
        <v>6792.9</v>
      </c>
      <c r="C123" s="52">
        <v>4206.2</v>
      </c>
      <c r="D123" s="52">
        <v>2535.8000000000002</v>
      </c>
      <c r="E123" s="52">
        <v>1444.1</v>
      </c>
      <c r="F123" s="52">
        <v>5023.3</v>
      </c>
      <c r="G123" s="52">
        <v>3976.5</v>
      </c>
      <c r="H123" s="52">
        <v>1572.1999999999998</v>
      </c>
      <c r="I123" s="53">
        <v>22406.6</v>
      </c>
      <c r="J123" s="49"/>
    </row>
    <row r="124" spans="1:10" x14ac:dyDescent="0.2">
      <c r="A124" s="50">
        <f t="shared" si="2"/>
        <v>43223</v>
      </c>
      <c r="B124" s="51">
        <v>7464.9</v>
      </c>
      <c r="C124" s="52">
        <v>4782</v>
      </c>
      <c r="D124" s="52">
        <v>2708.3</v>
      </c>
      <c r="E124" s="52">
        <v>1763.1</v>
      </c>
      <c r="F124" s="52">
        <v>5353.5</v>
      </c>
      <c r="G124" s="52">
        <v>5312.3</v>
      </c>
      <c r="H124" s="52">
        <v>2694.6000000000004</v>
      </c>
      <c r="I124" s="53">
        <v>24689.5</v>
      </c>
      <c r="J124" s="49"/>
    </row>
    <row r="125" spans="1:10" x14ac:dyDescent="0.2">
      <c r="A125" s="50">
        <f t="shared" si="2"/>
        <v>43224</v>
      </c>
      <c r="B125" s="51">
        <v>7227.32</v>
      </c>
      <c r="C125" s="52">
        <v>4841.18</v>
      </c>
      <c r="D125" s="52">
        <v>2679.71</v>
      </c>
      <c r="E125" s="52">
        <v>1994.66</v>
      </c>
      <c r="F125" s="52">
        <v>5199.6499999999996</v>
      </c>
      <c r="G125" s="52">
        <v>5147.22</v>
      </c>
      <c r="H125" s="52">
        <v>2604.0300000000002</v>
      </c>
      <c r="I125" s="53">
        <v>24485.71</v>
      </c>
      <c r="J125" s="49"/>
    </row>
    <row r="126" spans="1:10" x14ac:dyDescent="0.2">
      <c r="A126" s="50">
        <f t="shared" si="2"/>
        <v>43225</v>
      </c>
      <c r="B126" s="51">
        <v>4330.6899999999996</v>
      </c>
      <c r="C126" s="52">
        <v>3180.07</v>
      </c>
      <c r="D126" s="52">
        <v>2096.7800000000002</v>
      </c>
      <c r="E126" s="52">
        <v>1905.1</v>
      </c>
      <c r="F126" s="52">
        <v>4298.91</v>
      </c>
      <c r="G126" s="52">
        <v>3702.63</v>
      </c>
      <c r="H126" s="52">
        <v>2081.7800000000002</v>
      </c>
      <c r="I126" s="53">
        <v>17432.400000000001</v>
      </c>
      <c r="J126" s="49"/>
    </row>
    <row r="127" spans="1:10" x14ac:dyDescent="0.2">
      <c r="A127" s="50">
        <f t="shared" si="2"/>
        <v>43226</v>
      </c>
      <c r="B127" s="51">
        <v>2792.3</v>
      </c>
      <c r="C127" s="52">
        <v>3157</v>
      </c>
      <c r="D127" s="52">
        <v>1274.8</v>
      </c>
      <c r="E127" s="52">
        <v>102.7</v>
      </c>
      <c r="F127" s="52">
        <v>3278.9</v>
      </c>
      <c r="G127" s="52">
        <v>3046.4</v>
      </c>
      <c r="H127" s="52">
        <v>1765.6</v>
      </c>
      <c r="I127" s="53">
        <v>11886.5</v>
      </c>
      <c r="J127" s="49"/>
    </row>
    <row r="128" spans="1:10" x14ac:dyDescent="0.2">
      <c r="A128" s="50">
        <f t="shared" si="2"/>
        <v>43227</v>
      </c>
      <c r="B128" s="51">
        <v>7163.4</v>
      </c>
      <c r="C128" s="52">
        <v>4789.6000000000004</v>
      </c>
      <c r="D128" s="52">
        <v>2434.8000000000002</v>
      </c>
      <c r="E128" s="52">
        <v>1544.3</v>
      </c>
      <c r="F128" s="52">
        <v>4881</v>
      </c>
      <c r="G128" s="52">
        <v>5245.2</v>
      </c>
      <c r="H128" s="52">
        <v>2868.5</v>
      </c>
      <c r="I128" s="53">
        <v>23189.8</v>
      </c>
      <c r="J128" s="49"/>
    </row>
    <row r="129" spans="1:10" x14ac:dyDescent="0.2">
      <c r="A129" s="50">
        <f t="shared" si="2"/>
        <v>43228</v>
      </c>
      <c r="B129" s="51">
        <v>6600.71</v>
      </c>
      <c r="C129" s="52">
        <v>4995.9799999999996</v>
      </c>
      <c r="D129" s="52">
        <v>2686.32</v>
      </c>
      <c r="E129" s="52">
        <v>1494.02</v>
      </c>
      <c r="F129" s="52">
        <v>4655.63</v>
      </c>
      <c r="G129" s="52">
        <v>4991.95</v>
      </c>
      <c r="H129" s="52">
        <v>2583.02</v>
      </c>
      <c r="I129" s="53">
        <v>22841.59</v>
      </c>
      <c r="J129" s="49"/>
    </row>
    <row r="130" spans="1:10" x14ac:dyDescent="0.2">
      <c r="A130" s="50">
        <f t="shared" si="2"/>
        <v>43229</v>
      </c>
      <c r="B130" s="51">
        <v>2250.3000000000002</v>
      </c>
      <c r="C130" s="52">
        <v>1533.1</v>
      </c>
      <c r="D130" s="52">
        <v>822.2</v>
      </c>
      <c r="E130" s="52">
        <v>1256.3</v>
      </c>
      <c r="F130" s="52">
        <v>2452.8000000000002</v>
      </c>
      <c r="G130" s="52">
        <v>2333.9</v>
      </c>
      <c r="H130" s="52">
        <v>1310.9599999999998</v>
      </c>
      <c r="I130" s="53">
        <v>9337.6400000000012</v>
      </c>
      <c r="J130" s="49"/>
    </row>
    <row r="131" spans="1:10" x14ac:dyDescent="0.2">
      <c r="A131" s="50">
        <f t="shared" si="2"/>
        <v>43230</v>
      </c>
      <c r="B131" s="51">
        <v>6086.7</v>
      </c>
      <c r="C131" s="52">
        <v>4107.3</v>
      </c>
      <c r="D131" s="52">
        <v>2166.5</v>
      </c>
      <c r="E131" s="52">
        <v>1603.3</v>
      </c>
      <c r="F131" s="52">
        <v>4321.8999999999996</v>
      </c>
      <c r="G131" s="52">
        <v>5340.9</v>
      </c>
      <c r="H131" s="52">
        <v>2754.5</v>
      </c>
      <c r="I131" s="53">
        <v>20872.099999999999</v>
      </c>
      <c r="J131" s="49"/>
    </row>
    <row r="132" spans="1:10" x14ac:dyDescent="0.2">
      <c r="A132" s="50">
        <f t="shared" si="2"/>
        <v>43231</v>
      </c>
      <c r="B132" s="51">
        <v>7940.3</v>
      </c>
      <c r="C132" s="52">
        <v>5011.2</v>
      </c>
      <c r="D132" s="52">
        <v>2836.6</v>
      </c>
      <c r="E132" s="52">
        <v>2537.9</v>
      </c>
      <c r="F132" s="52">
        <v>6071.8</v>
      </c>
      <c r="G132" s="52">
        <v>5647.2</v>
      </c>
      <c r="H132" s="52">
        <v>2913</v>
      </c>
      <c r="I132" s="53">
        <v>27132</v>
      </c>
      <c r="J132" s="49"/>
    </row>
    <row r="133" spans="1:10" x14ac:dyDescent="0.2">
      <c r="A133" s="50">
        <f t="shared" si="2"/>
        <v>43232</v>
      </c>
      <c r="B133" s="51">
        <v>6967.43</v>
      </c>
      <c r="C133" s="52">
        <v>4529.1099999999997</v>
      </c>
      <c r="D133" s="52">
        <v>2576.06</v>
      </c>
      <c r="E133" s="52">
        <v>1903.94</v>
      </c>
      <c r="F133" s="52">
        <v>5345.07</v>
      </c>
      <c r="G133" s="52">
        <v>3755.91</v>
      </c>
      <c r="H133" s="52">
        <v>2114.48</v>
      </c>
      <c r="I133" s="53">
        <v>22963.040000000001</v>
      </c>
      <c r="J133" s="49"/>
    </row>
    <row r="134" spans="1:10" x14ac:dyDescent="0.2">
      <c r="A134" s="50">
        <f t="shared" si="2"/>
        <v>43233</v>
      </c>
      <c r="B134" s="51">
        <v>7036</v>
      </c>
      <c r="C134" s="52">
        <v>4716.7</v>
      </c>
      <c r="D134" s="52">
        <v>2260</v>
      </c>
      <c r="E134" s="52">
        <v>2390</v>
      </c>
      <c r="F134" s="52">
        <v>4853.7</v>
      </c>
      <c r="G134" s="52">
        <v>3367</v>
      </c>
      <c r="H134" s="52">
        <v>1927</v>
      </c>
      <c r="I134" s="53">
        <v>22696.400000000001</v>
      </c>
      <c r="J134" s="49"/>
    </row>
    <row r="135" spans="1:10" x14ac:dyDescent="0.2">
      <c r="A135" s="50">
        <f t="shared" si="2"/>
        <v>43234</v>
      </c>
      <c r="B135" s="51">
        <v>7614.7</v>
      </c>
      <c r="C135" s="52">
        <v>5234.5</v>
      </c>
      <c r="D135" s="52">
        <v>2617.1999999999998</v>
      </c>
      <c r="E135" s="52">
        <v>2538.1</v>
      </c>
      <c r="F135" s="52">
        <v>5643.8</v>
      </c>
      <c r="G135" s="52">
        <v>5513.2</v>
      </c>
      <c r="H135" s="52">
        <v>2861.7</v>
      </c>
      <c r="I135" s="53">
        <v>26299.8</v>
      </c>
      <c r="J135" s="49"/>
    </row>
    <row r="136" spans="1:10" x14ac:dyDescent="0.2">
      <c r="A136" s="50">
        <f t="shared" si="2"/>
        <v>43235</v>
      </c>
      <c r="B136" s="51">
        <v>8173.7</v>
      </c>
      <c r="C136" s="52">
        <v>5142.5</v>
      </c>
      <c r="D136" s="52">
        <v>2806.5</v>
      </c>
      <c r="E136" s="52">
        <v>1864.2</v>
      </c>
      <c r="F136" s="52">
        <v>5671.8</v>
      </c>
      <c r="G136" s="52">
        <v>5976.87</v>
      </c>
      <c r="H136" s="52">
        <v>2846.1000000000004</v>
      </c>
      <c r="I136" s="53">
        <v>26789.47</v>
      </c>
      <c r="J136" s="49"/>
    </row>
    <row r="137" spans="1:10" x14ac:dyDescent="0.2">
      <c r="A137" s="50">
        <f t="shared" si="2"/>
        <v>43236</v>
      </c>
      <c r="B137" s="51">
        <v>7835.12</v>
      </c>
      <c r="C137" s="52">
        <v>5343.53</v>
      </c>
      <c r="D137" s="52">
        <v>2840.46</v>
      </c>
      <c r="E137" s="52">
        <v>1497.91</v>
      </c>
      <c r="F137" s="52">
        <v>5405.38</v>
      </c>
      <c r="G137" s="52">
        <v>6317.04</v>
      </c>
      <c r="H137" s="52">
        <v>3037.8500000000004</v>
      </c>
      <c r="I137" s="53">
        <v>26201.590000000004</v>
      </c>
      <c r="J137" s="49"/>
    </row>
    <row r="138" spans="1:10" x14ac:dyDescent="0.2">
      <c r="A138" s="50">
        <f t="shared" si="2"/>
        <v>43237</v>
      </c>
      <c r="B138" s="51">
        <v>8146</v>
      </c>
      <c r="C138" s="52">
        <v>5271</v>
      </c>
      <c r="D138" s="52">
        <v>2766</v>
      </c>
      <c r="E138" s="52">
        <v>1722.7</v>
      </c>
      <c r="F138" s="52">
        <v>5484</v>
      </c>
      <c r="G138" s="52">
        <v>5971</v>
      </c>
      <c r="H138" s="52">
        <v>2865</v>
      </c>
      <c r="I138" s="53">
        <v>26495.7</v>
      </c>
      <c r="J138" s="49"/>
    </row>
    <row r="139" spans="1:10" x14ac:dyDescent="0.2">
      <c r="A139" s="50">
        <f t="shared" si="2"/>
        <v>43238</v>
      </c>
      <c r="B139" s="51">
        <v>7703.2</v>
      </c>
      <c r="C139" s="52">
        <v>5135.8999999999996</v>
      </c>
      <c r="D139" s="52">
        <v>2731.5</v>
      </c>
      <c r="E139" s="52">
        <v>1176.9000000000001</v>
      </c>
      <c r="F139" s="52">
        <v>5275.2</v>
      </c>
      <c r="G139" s="52">
        <v>5807.2</v>
      </c>
      <c r="H139" s="52">
        <v>2692.1999999999989</v>
      </c>
      <c r="I139" s="53">
        <v>25137.700000000004</v>
      </c>
      <c r="J139" s="49"/>
    </row>
    <row r="140" spans="1:10" x14ac:dyDescent="0.2">
      <c r="A140" s="50">
        <f t="shared" si="2"/>
        <v>43239</v>
      </c>
      <c r="B140" s="51">
        <v>7124</v>
      </c>
      <c r="C140" s="52">
        <v>4766</v>
      </c>
      <c r="D140" s="52">
        <v>2566</v>
      </c>
      <c r="E140" s="52">
        <v>765</v>
      </c>
      <c r="F140" s="52">
        <v>4616</v>
      </c>
      <c r="G140" s="52">
        <v>4596</v>
      </c>
      <c r="H140" s="52">
        <v>2136</v>
      </c>
      <c r="I140" s="53">
        <v>22297</v>
      </c>
      <c r="J140" s="49"/>
    </row>
    <row r="141" spans="1:10" x14ac:dyDescent="0.2">
      <c r="A141" s="50">
        <f t="shared" si="2"/>
        <v>43240</v>
      </c>
      <c r="B141" s="51">
        <v>6884.42</v>
      </c>
      <c r="C141" s="52">
        <v>4624.6099999999997</v>
      </c>
      <c r="D141" s="52">
        <v>2319.54</v>
      </c>
      <c r="E141" s="52">
        <v>768.02</v>
      </c>
      <c r="F141" s="52">
        <v>4550.53</v>
      </c>
      <c r="G141" s="52">
        <v>3471.2</v>
      </c>
      <c r="H141" s="52">
        <v>1923.51</v>
      </c>
      <c r="I141" s="53">
        <v>20694.810000000001</v>
      </c>
      <c r="J141" s="49"/>
    </row>
    <row r="142" spans="1:10" x14ac:dyDescent="0.2">
      <c r="A142" s="50">
        <f t="shared" si="2"/>
        <v>43241</v>
      </c>
      <c r="B142" s="51">
        <v>7944.73</v>
      </c>
      <c r="C142" s="52">
        <v>5141.8100000000004</v>
      </c>
      <c r="D142" s="52">
        <v>2679.25</v>
      </c>
      <c r="E142" s="52">
        <v>1787.66</v>
      </c>
      <c r="F142" s="52">
        <v>5853.34</v>
      </c>
      <c r="G142" s="52">
        <v>5674.43</v>
      </c>
      <c r="H142" s="52">
        <v>2926.9200000000005</v>
      </c>
      <c r="I142" s="53">
        <v>26154.3</v>
      </c>
      <c r="J142" s="49"/>
    </row>
    <row r="143" spans="1:10" x14ac:dyDescent="0.2">
      <c r="A143" s="50">
        <f t="shared" si="2"/>
        <v>43242</v>
      </c>
      <c r="B143" s="51">
        <v>7892.1</v>
      </c>
      <c r="C143" s="52">
        <v>5084.7</v>
      </c>
      <c r="D143" s="52">
        <v>2632.8</v>
      </c>
      <c r="E143" s="52">
        <v>2337.4</v>
      </c>
      <c r="F143" s="52">
        <v>6267.2</v>
      </c>
      <c r="G143" s="52">
        <v>5990.7</v>
      </c>
      <c r="H143" s="52">
        <v>3054.0000000000005</v>
      </c>
      <c r="I143" s="53">
        <v>27150.9</v>
      </c>
      <c r="J143" s="49"/>
    </row>
    <row r="144" spans="1:10" x14ac:dyDescent="0.2">
      <c r="A144" s="50">
        <f t="shared" si="2"/>
        <v>43243</v>
      </c>
      <c r="B144" s="51">
        <v>8046.7</v>
      </c>
      <c r="C144" s="52">
        <v>5062.1000000000004</v>
      </c>
      <c r="D144" s="52">
        <v>2631.7</v>
      </c>
      <c r="E144" s="52">
        <v>2780.4</v>
      </c>
      <c r="F144" s="52">
        <v>6117.5</v>
      </c>
      <c r="G144" s="52">
        <v>5849.6</v>
      </c>
      <c r="H144" s="52">
        <v>2965.8999999999996</v>
      </c>
      <c r="I144" s="53">
        <v>27522.1</v>
      </c>
      <c r="J144" s="49"/>
    </row>
    <row r="145" spans="1:10" x14ac:dyDescent="0.2">
      <c r="A145" s="50">
        <f t="shared" si="2"/>
        <v>43244</v>
      </c>
      <c r="B145" s="51">
        <v>7252.21</v>
      </c>
      <c r="C145" s="52">
        <v>5369.72</v>
      </c>
      <c r="D145" s="52">
        <v>2658.17</v>
      </c>
      <c r="E145" s="52">
        <v>1394.88</v>
      </c>
      <c r="F145" s="52">
        <v>5672.21</v>
      </c>
      <c r="G145" s="52">
        <v>5838.76</v>
      </c>
      <c r="H145" s="52">
        <v>2809.4900000000002</v>
      </c>
      <c r="I145" s="53">
        <v>25376.459999999995</v>
      </c>
      <c r="J145" s="49"/>
    </row>
    <row r="146" spans="1:10" x14ac:dyDescent="0.2">
      <c r="A146" s="50">
        <f t="shared" si="2"/>
        <v>43245</v>
      </c>
      <c r="B146" s="51">
        <v>8205.68</v>
      </c>
      <c r="C146" s="52">
        <v>5035.83</v>
      </c>
      <c r="D146" s="52">
        <v>2878.07</v>
      </c>
      <c r="E146" s="52">
        <v>3313.38</v>
      </c>
      <c r="F146" s="52">
        <v>6196.34</v>
      </c>
      <c r="G146" s="52">
        <v>5764.6</v>
      </c>
      <c r="H146" s="52">
        <v>2775.25</v>
      </c>
      <c r="I146" s="53">
        <v>28618.65</v>
      </c>
      <c r="J146" s="49"/>
    </row>
    <row r="147" spans="1:10" x14ac:dyDescent="0.2">
      <c r="A147" s="50">
        <f t="shared" si="2"/>
        <v>43246</v>
      </c>
      <c r="B147" s="51">
        <v>6999.1</v>
      </c>
      <c r="C147" s="52">
        <v>4566.8999999999996</v>
      </c>
      <c r="D147" s="52">
        <v>2549.1999999999998</v>
      </c>
      <c r="E147" s="52">
        <v>2332.1999999999998</v>
      </c>
      <c r="F147" s="52">
        <v>5021.8999999999996</v>
      </c>
      <c r="G147" s="52">
        <v>4201.7</v>
      </c>
      <c r="H147" s="52">
        <v>2434.6</v>
      </c>
      <c r="I147" s="53">
        <v>23236.400000000005</v>
      </c>
      <c r="J147" s="49"/>
    </row>
    <row r="148" spans="1:10" x14ac:dyDescent="0.2">
      <c r="A148" s="50">
        <f t="shared" si="2"/>
        <v>43247</v>
      </c>
      <c r="B148" s="51">
        <v>6298.47</v>
      </c>
      <c r="C148" s="52">
        <v>4371.16</v>
      </c>
      <c r="D148" s="52">
        <v>2520.52</v>
      </c>
      <c r="E148" s="52">
        <v>1732.55</v>
      </c>
      <c r="F148" s="52">
        <v>4768.95</v>
      </c>
      <c r="G148" s="52">
        <v>3602.71</v>
      </c>
      <c r="H148" s="52">
        <v>2146.88</v>
      </c>
      <c r="I148" s="53">
        <v>21147.48</v>
      </c>
      <c r="J148" s="49"/>
    </row>
    <row r="149" spans="1:10" x14ac:dyDescent="0.2">
      <c r="A149" s="50">
        <f t="shared" si="2"/>
        <v>43248</v>
      </c>
      <c r="B149" s="51">
        <v>6894.69</v>
      </c>
      <c r="C149" s="52">
        <v>5043.55</v>
      </c>
      <c r="D149" s="52">
        <v>2693.53</v>
      </c>
      <c r="E149" s="52">
        <v>1132.96</v>
      </c>
      <c r="F149" s="52">
        <v>4969.01</v>
      </c>
      <c r="G149" s="52">
        <v>5687.52</v>
      </c>
      <c r="H149" s="52">
        <v>2920.4400000000005</v>
      </c>
      <c r="I149" s="53">
        <v>23500.82</v>
      </c>
      <c r="J149" s="49"/>
    </row>
    <row r="150" spans="1:10" x14ac:dyDescent="0.2">
      <c r="A150" s="50">
        <f t="shared" si="2"/>
        <v>43249</v>
      </c>
      <c r="B150" s="51">
        <v>7637.83</v>
      </c>
      <c r="C150" s="52">
        <v>5332.41</v>
      </c>
      <c r="D150" s="52">
        <v>2939.21</v>
      </c>
      <c r="E150" s="52">
        <v>1424.04</v>
      </c>
      <c r="F150" s="52">
        <v>5632.33</v>
      </c>
      <c r="G150" s="52">
        <v>6211.92</v>
      </c>
      <c r="H150" s="52">
        <v>2932.13</v>
      </c>
      <c r="I150" s="53">
        <v>26245.609999999997</v>
      </c>
      <c r="J150" s="49"/>
    </row>
    <row r="151" spans="1:10" x14ac:dyDescent="0.2">
      <c r="A151" s="50">
        <f t="shared" si="2"/>
        <v>43250</v>
      </c>
      <c r="B151" s="51">
        <v>7947.1</v>
      </c>
      <c r="C151" s="52">
        <v>5276.3</v>
      </c>
      <c r="D151" s="52">
        <v>2823</v>
      </c>
      <c r="E151" s="52">
        <v>1837.1</v>
      </c>
      <c r="F151" s="52">
        <v>5301.6</v>
      </c>
      <c r="G151" s="52">
        <v>6229.6</v>
      </c>
      <c r="H151" s="52">
        <v>2975.9</v>
      </c>
      <c r="I151" s="53">
        <v>26438.799999999996</v>
      </c>
      <c r="J151" s="49"/>
    </row>
    <row r="152" spans="1:10" x14ac:dyDescent="0.2">
      <c r="A152" s="50">
        <f t="shared" si="2"/>
        <v>43251</v>
      </c>
      <c r="B152" s="51">
        <v>8100.1</v>
      </c>
      <c r="C152" s="52">
        <v>5589.9</v>
      </c>
      <c r="D152" s="52">
        <v>2969.3</v>
      </c>
      <c r="E152" s="52">
        <v>1435</v>
      </c>
      <c r="F152" s="52">
        <v>5337.8</v>
      </c>
      <c r="G152" s="52">
        <v>6158.5</v>
      </c>
      <c r="H152" s="52">
        <v>3024.4000000000005</v>
      </c>
      <c r="I152" s="53">
        <v>26566.199999999997</v>
      </c>
      <c r="J152" s="49"/>
    </row>
    <row r="153" spans="1:10" x14ac:dyDescent="0.2">
      <c r="A153" s="50">
        <f t="shared" si="2"/>
        <v>43252</v>
      </c>
      <c r="B153" s="51">
        <v>8384.5499999999993</v>
      </c>
      <c r="C153" s="52">
        <v>5440.11</v>
      </c>
      <c r="D153" s="52">
        <v>2856.38</v>
      </c>
      <c r="E153" s="52">
        <v>2402.0700000000002</v>
      </c>
      <c r="F153" s="52">
        <v>5759.09</v>
      </c>
      <c r="G153" s="52">
        <v>6216.18</v>
      </c>
      <c r="H153" s="52">
        <v>2981.7699999999995</v>
      </c>
      <c r="I153" s="53">
        <v>28076.61</v>
      </c>
      <c r="J153" s="49"/>
    </row>
    <row r="154" spans="1:10" x14ac:dyDescent="0.2">
      <c r="A154" s="50">
        <f t="shared" si="2"/>
        <v>43253</v>
      </c>
      <c r="B154" s="51">
        <v>8686.67</v>
      </c>
      <c r="C154" s="52">
        <v>5044.16</v>
      </c>
      <c r="D154" s="52">
        <v>2810.88</v>
      </c>
      <c r="E154" s="52">
        <v>2712.46</v>
      </c>
      <c r="F154" s="52">
        <v>5916.73</v>
      </c>
      <c r="G154" s="52">
        <v>5225.75</v>
      </c>
      <c r="H154" s="52">
        <v>2339.27</v>
      </c>
      <c r="I154" s="53">
        <v>28057.379999999997</v>
      </c>
      <c r="J154" s="49"/>
    </row>
    <row r="155" spans="1:10" x14ac:dyDescent="0.2">
      <c r="A155" s="50">
        <f t="shared" si="2"/>
        <v>43254</v>
      </c>
      <c r="B155" s="51">
        <v>7847.3</v>
      </c>
      <c r="C155" s="52">
        <v>4877.6000000000004</v>
      </c>
      <c r="D155" s="52">
        <v>2653.4</v>
      </c>
      <c r="E155" s="52">
        <v>3419.6</v>
      </c>
      <c r="F155" s="52">
        <v>5883.2</v>
      </c>
      <c r="G155" s="52">
        <v>4000</v>
      </c>
      <c r="H155" s="52">
        <v>2363.6000000000004</v>
      </c>
      <c r="I155" s="53">
        <v>26317.5</v>
      </c>
      <c r="J155" s="49"/>
    </row>
    <row r="156" spans="1:10" x14ac:dyDescent="0.2">
      <c r="A156" s="50">
        <f t="shared" si="2"/>
        <v>43255</v>
      </c>
      <c r="B156" s="51">
        <v>8238.2000000000007</v>
      </c>
      <c r="C156" s="52">
        <v>5240.2</v>
      </c>
      <c r="D156" s="52">
        <v>2921.4</v>
      </c>
      <c r="E156" s="52">
        <v>3189.6</v>
      </c>
      <c r="F156" s="52">
        <v>6055.4</v>
      </c>
      <c r="G156" s="52">
        <v>6150.2</v>
      </c>
      <c r="H156" s="52">
        <v>3168.3999999999996</v>
      </c>
      <c r="I156" s="53">
        <v>28626.600000000006</v>
      </c>
      <c r="J156" s="49"/>
    </row>
    <row r="157" spans="1:10" x14ac:dyDescent="0.2">
      <c r="A157" s="50">
        <f t="shared" si="2"/>
        <v>43256</v>
      </c>
      <c r="B157" s="51">
        <v>8653.25</v>
      </c>
      <c r="C157" s="52">
        <v>5605.28</v>
      </c>
      <c r="D157" s="52">
        <v>2838.04</v>
      </c>
      <c r="E157" s="52">
        <v>4107.3500000000004</v>
      </c>
      <c r="F157" s="52">
        <v>6565.03</v>
      </c>
      <c r="G157" s="52">
        <v>6123.01</v>
      </c>
      <c r="H157" s="52">
        <v>2886.75</v>
      </c>
      <c r="I157" s="53">
        <v>31005.21</v>
      </c>
      <c r="J157" s="49"/>
    </row>
    <row r="158" spans="1:10" x14ac:dyDescent="0.2">
      <c r="A158" s="50">
        <f t="shared" si="2"/>
        <v>43257</v>
      </c>
      <c r="B158" s="51">
        <v>8794.2999999999993</v>
      </c>
      <c r="C158" s="52">
        <v>6567.64</v>
      </c>
      <c r="D158" s="52">
        <v>3811.04</v>
      </c>
      <c r="E158" s="52">
        <v>3238.48</v>
      </c>
      <c r="F158" s="52">
        <v>6422.53</v>
      </c>
      <c r="G158" s="52">
        <v>5877.88</v>
      </c>
      <c r="H158" s="52">
        <v>2766.9</v>
      </c>
      <c r="I158" s="53">
        <v>31944.969999999994</v>
      </c>
      <c r="J158" s="49"/>
    </row>
    <row r="159" spans="1:10" x14ac:dyDescent="0.2">
      <c r="A159" s="50">
        <f t="shared" si="2"/>
        <v>43258</v>
      </c>
      <c r="B159" s="51">
        <v>8813.5</v>
      </c>
      <c r="C159" s="52">
        <v>6707</v>
      </c>
      <c r="D159" s="52">
        <v>4467.2</v>
      </c>
      <c r="E159" s="52">
        <v>3198.7</v>
      </c>
      <c r="F159" s="52">
        <v>6196</v>
      </c>
      <c r="G159" s="52">
        <v>5970.5</v>
      </c>
      <c r="H159" s="52">
        <v>2907.4999999999995</v>
      </c>
      <c r="I159" s="53">
        <v>32445.4</v>
      </c>
      <c r="J159" s="49"/>
    </row>
    <row r="160" spans="1:10" x14ac:dyDescent="0.2">
      <c r="A160" s="50">
        <f t="shared" ref="A160:A223" si="3">A159+1</f>
        <v>43259</v>
      </c>
      <c r="B160" s="51">
        <v>8957.7999999999993</v>
      </c>
      <c r="C160" s="52">
        <v>6518.9</v>
      </c>
      <c r="D160" s="52">
        <v>4523.8</v>
      </c>
      <c r="E160" s="52">
        <v>2384.3000000000002</v>
      </c>
      <c r="F160" s="52">
        <v>5945.9</v>
      </c>
      <c r="G160" s="52">
        <v>6088.4</v>
      </c>
      <c r="H160" s="52">
        <v>2889.5000000000009</v>
      </c>
      <c r="I160" s="53">
        <v>31529.599999999999</v>
      </c>
      <c r="J160" s="49"/>
    </row>
    <row r="161" spans="1:10" x14ac:dyDescent="0.2">
      <c r="A161" s="50">
        <f t="shared" si="3"/>
        <v>43260</v>
      </c>
      <c r="B161" s="51">
        <v>8285.7099999999991</v>
      </c>
      <c r="C161" s="52">
        <v>6074.53</v>
      </c>
      <c r="D161" s="52">
        <v>3583.7</v>
      </c>
      <c r="E161" s="52">
        <v>2767.95</v>
      </c>
      <c r="F161" s="52">
        <v>6644.86</v>
      </c>
      <c r="G161" s="52">
        <v>5779.8</v>
      </c>
      <c r="H161" s="52">
        <v>2890.6100000000006</v>
      </c>
      <c r="I161" s="53">
        <v>30245.940000000002</v>
      </c>
      <c r="J161" s="49"/>
    </row>
    <row r="162" spans="1:10" x14ac:dyDescent="0.2">
      <c r="A162" s="50">
        <f t="shared" si="3"/>
        <v>43261</v>
      </c>
      <c r="B162" s="51">
        <v>7559.2</v>
      </c>
      <c r="C162" s="52">
        <v>5327.73</v>
      </c>
      <c r="D162" s="52">
        <v>2761.99</v>
      </c>
      <c r="E162" s="52">
        <v>1427.08</v>
      </c>
      <c r="F162" s="52">
        <v>5076.42</v>
      </c>
      <c r="G162" s="52">
        <v>3749</v>
      </c>
      <c r="H162" s="52">
        <v>2201.54</v>
      </c>
      <c r="I162" s="53">
        <v>23699.879999999997</v>
      </c>
      <c r="J162" s="49"/>
    </row>
    <row r="163" spans="1:10" x14ac:dyDescent="0.2">
      <c r="A163" s="50">
        <f t="shared" si="3"/>
        <v>43262</v>
      </c>
      <c r="B163" s="51">
        <v>7698.2</v>
      </c>
      <c r="C163" s="52">
        <v>5918.38</v>
      </c>
      <c r="D163" s="52">
        <v>3093.98</v>
      </c>
      <c r="E163" s="52">
        <v>2180.2199999999998</v>
      </c>
      <c r="F163" s="52">
        <v>5458.08</v>
      </c>
      <c r="G163" s="52">
        <v>4939.83</v>
      </c>
      <c r="H163" s="52">
        <v>2350.42</v>
      </c>
      <c r="I163" s="53">
        <v>26938.270000000004</v>
      </c>
      <c r="J163" s="49"/>
    </row>
    <row r="164" spans="1:10" x14ac:dyDescent="0.2">
      <c r="A164" s="50">
        <f t="shared" si="3"/>
        <v>43263</v>
      </c>
      <c r="B164" s="51">
        <v>8943.5</v>
      </c>
      <c r="C164" s="52">
        <v>6352.1</v>
      </c>
      <c r="D164" s="52">
        <v>3282</v>
      </c>
      <c r="E164" s="52">
        <v>3664.4</v>
      </c>
      <c r="F164" s="52">
        <v>6142.9</v>
      </c>
      <c r="G164" s="52">
        <v>5122.1000000000004</v>
      </c>
      <c r="H164" s="52">
        <v>2004.1000000000001</v>
      </c>
      <c r="I164" s="53">
        <v>31502.9</v>
      </c>
      <c r="J164" s="49"/>
    </row>
    <row r="165" spans="1:10" x14ac:dyDescent="0.2">
      <c r="A165" s="50">
        <f t="shared" si="3"/>
        <v>43264</v>
      </c>
      <c r="B165" s="51">
        <v>8653.5300000000007</v>
      </c>
      <c r="C165" s="52">
        <v>6376.17</v>
      </c>
      <c r="D165" s="52">
        <v>3797.36</v>
      </c>
      <c r="E165" s="52">
        <v>2671.61</v>
      </c>
      <c r="F165" s="52">
        <v>6067.47</v>
      </c>
      <c r="G165" s="52">
        <v>5805.37</v>
      </c>
      <c r="H165" s="52">
        <v>2499.3000000000006</v>
      </c>
      <c r="I165" s="53">
        <v>30872.210000000003</v>
      </c>
      <c r="J165" s="49"/>
    </row>
    <row r="166" spans="1:10" x14ac:dyDescent="0.2">
      <c r="A166" s="50">
        <f t="shared" si="3"/>
        <v>43265</v>
      </c>
      <c r="B166" s="51">
        <v>9028.81</v>
      </c>
      <c r="C166" s="52">
        <v>6619.43</v>
      </c>
      <c r="D166" s="52">
        <v>4188.5200000000004</v>
      </c>
      <c r="E166" s="52">
        <v>3507.3</v>
      </c>
      <c r="F166" s="52">
        <v>6409.17</v>
      </c>
      <c r="G166" s="52">
        <v>5849.29</v>
      </c>
      <c r="H166" s="52">
        <v>2708.33</v>
      </c>
      <c r="I166" s="53">
        <v>32894.19</v>
      </c>
      <c r="J166" s="49"/>
    </row>
    <row r="167" spans="1:10" x14ac:dyDescent="0.2">
      <c r="A167" s="50">
        <f t="shared" si="3"/>
        <v>43266</v>
      </c>
      <c r="B167" s="51">
        <v>8631.41</v>
      </c>
      <c r="C167" s="52">
        <v>6028.8</v>
      </c>
      <c r="D167" s="52">
        <v>3621.17</v>
      </c>
      <c r="E167" s="52">
        <v>2393.0100000000002</v>
      </c>
      <c r="F167" s="52">
        <v>6151.15</v>
      </c>
      <c r="G167" s="52">
        <v>6322.93</v>
      </c>
      <c r="H167" s="52">
        <v>2998.34</v>
      </c>
      <c r="I167" s="53">
        <v>30150.13</v>
      </c>
      <c r="J167" s="49"/>
    </row>
    <row r="168" spans="1:10" x14ac:dyDescent="0.2">
      <c r="A168" s="50">
        <f t="shared" si="3"/>
        <v>43267</v>
      </c>
      <c r="B168" s="51">
        <v>7886.1</v>
      </c>
      <c r="C168" s="52">
        <v>5493.5</v>
      </c>
      <c r="D168" s="52">
        <v>2737</v>
      </c>
      <c r="E168" s="52">
        <v>2788.7</v>
      </c>
      <c r="F168" s="52">
        <v>5717.7</v>
      </c>
      <c r="G168" s="52">
        <v>5140</v>
      </c>
      <c r="H168" s="52">
        <v>2435.8999999999996</v>
      </c>
      <c r="I168" s="53">
        <v>27327.1</v>
      </c>
      <c r="J168" s="49"/>
    </row>
    <row r="169" spans="1:10" x14ac:dyDescent="0.2">
      <c r="A169" s="50">
        <f t="shared" si="3"/>
        <v>43268</v>
      </c>
      <c r="B169" s="51">
        <v>7956.8</v>
      </c>
      <c r="C169" s="52">
        <v>5385.7</v>
      </c>
      <c r="D169" s="52">
        <v>2722.3</v>
      </c>
      <c r="E169" s="52">
        <v>2134.3000000000002</v>
      </c>
      <c r="F169" s="52">
        <v>5824.3</v>
      </c>
      <c r="G169" s="52">
        <v>3886.5</v>
      </c>
      <c r="H169" s="52">
        <v>2173.8000000000002</v>
      </c>
      <c r="I169" s="53">
        <v>25736.1</v>
      </c>
      <c r="J169" s="49"/>
    </row>
    <row r="170" spans="1:10" x14ac:dyDescent="0.2">
      <c r="A170" s="50">
        <f t="shared" si="3"/>
        <v>43269</v>
      </c>
      <c r="B170" s="51">
        <v>8953.07</v>
      </c>
      <c r="C170" s="52">
        <v>6501.5</v>
      </c>
      <c r="D170" s="52">
        <v>3742.85</v>
      </c>
      <c r="E170" s="52">
        <v>3624.42</v>
      </c>
      <c r="F170" s="52">
        <v>6504.48</v>
      </c>
      <c r="G170" s="52">
        <v>5792</v>
      </c>
      <c r="H170" s="52">
        <v>2974.0599999999995</v>
      </c>
      <c r="I170" s="53">
        <v>32144.259999999995</v>
      </c>
      <c r="J170" s="49"/>
    </row>
    <row r="171" spans="1:10" x14ac:dyDescent="0.2">
      <c r="A171" s="50">
        <f t="shared" si="3"/>
        <v>43270</v>
      </c>
      <c r="B171" s="51">
        <v>8667.2999999999993</v>
      </c>
      <c r="C171" s="52">
        <v>6784.7</v>
      </c>
      <c r="D171" s="52">
        <v>4025.68</v>
      </c>
      <c r="E171" s="52">
        <v>1845.61</v>
      </c>
      <c r="F171" s="52">
        <v>6744.9</v>
      </c>
      <c r="G171" s="52">
        <v>6435.26</v>
      </c>
      <c r="H171" s="52">
        <v>3066.29</v>
      </c>
      <c r="I171" s="53">
        <v>31437.160000000003</v>
      </c>
      <c r="J171" s="49"/>
    </row>
    <row r="172" spans="1:10" x14ac:dyDescent="0.2">
      <c r="A172" s="50">
        <f t="shared" si="3"/>
        <v>43271</v>
      </c>
      <c r="B172" s="51">
        <v>8280.35</v>
      </c>
      <c r="C172" s="52">
        <v>6338.37</v>
      </c>
      <c r="D172" s="52">
        <v>3543.55</v>
      </c>
      <c r="E172" s="52">
        <v>2623.08</v>
      </c>
      <c r="F172" s="52">
        <v>5986.16</v>
      </c>
      <c r="G172" s="52">
        <v>5879.87</v>
      </c>
      <c r="H172" s="52">
        <v>2873.5</v>
      </c>
      <c r="I172" s="53">
        <v>29777.879999999997</v>
      </c>
      <c r="J172" s="49"/>
    </row>
    <row r="173" spans="1:10" x14ac:dyDescent="0.2">
      <c r="A173" s="50">
        <f t="shared" si="3"/>
        <v>43272</v>
      </c>
      <c r="B173" s="51">
        <v>8787.65</v>
      </c>
      <c r="C173" s="52">
        <v>6892.07</v>
      </c>
      <c r="D173" s="52">
        <v>4122.84</v>
      </c>
      <c r="E173" s="52">
        <v>1900.82</v>
      </c>
      <c r="F173" s="52">
        <v>5856.83</v>
      </c>
      <c r="G173" s="52">
        <v>5789.76</v>
      </c>
      <c r="H173" s="52">
        <v>2770.8199999999997</v>
      </c>
      <c r="I173" s="53">
        <v>30579.15</v>
      </c>
      <c r="J173" s="49"/>
    </row>
    <row r="174" spans="1:10" x14ac:dyDescent="0.2">
      <c r="A174" s="50">
        <f t="shared" si="3"/>
        <v>43273</v>
      </c>
      <c r="B174" s="51">
        <v>8836.08</v>
      </c>
      <c r="C174" s="52">
        <v>6021.64</v>
      </c>
      <c r="D174" s="52">
        <v>4171.47</v>
      </c>
      <c r="E174" s="52">
        <v>1808.63</v>
      </c>
      <c r="F174" s="52">
        <v>5857.02</v>
      </c>
      <c r="G174" s="52">
        <v>6072.32</v>
      </c>
      <c r="H174" s="52">
        <v>2857.95</v>
      </c>
      <c r="I174" s="53">
        <v>29909.210000000003</v>
      </c>
      <c r="J174" s="49"/>
    </row>
    <row r="175" spans="1:10" x14ac:dyDescent="0.2">
      <c r="A175" s="50">
        <f t="shared" si="3"/>
        <v>43274</v>
      </c>
      <c r="B175" s="51">
        <v>8642.67</v>
      </c>
      <c r="C175" s="52">
        <v>5330.85</v>
      </c>
      <c r="D175" s="52">
        <v>4024.32</v>
      </c>
      <c r="E175" s="52">
        <v>2213.2800000000002</v>
      </c>
      <c r="F175" s="52">
        <v>6312.57</v>
      </c>
      <c r="G175" s="52">
        <v>4703.2700000000004</v>
      </c>
      <c r="H175" s="52">
        <v>2154.42</v>
      </c>
      <c r="I175" s="53">
        <v>29072.54</v>
      </c>
      <c r="J175" s="49"/>
    </row>
    <row r="176" spans="1:10" x14ac:dyDescent="0.2">
      <c r="A176" s="50">
        <f t="shared" si="3"/>
        <v>43275</v>
      </c>
      <c r="B176" s="51">
        <v>6838.6</v>
      </c>
      <c r="C176" s="52">
        <v>4270.1000000000004</v>
      </c>
      <c r="D176" s="52">
        <v>3295.2</v>
      </c>
      <c r="E176" s="52">
        <v>2253.9</v>
      </c>
      <c r="F176" s="52">
        <v>5592.9</v>
      </c>
      <c r="G176" s="52">
        <v>2842.5</v>
      </c>
      <c r="H176" s="52">
        <v>1475.7</v>
      </c>
      <c r="I176" s="53">
        <v>23617.500000000004</v>
      </c>
      <c r="J176" s="49"/>
    </row>
    <row r="177" spans="1:10" x14ac:dyDescent="0.2">
      <c r="A177" s="50">
        <f t="shared" si="3"/>
        <v>43276</v>
      </c>
      <c r="B177" s="51">
        <v>5348.12</v>
      </c>
      <c r="C177" s="52">
        <v>4868.3</v>
      </c>
      <c r="D177" s="52">
        <v>1965.65</v>
      </c>
      <c r="E177" s="52">
        <v>3211.52</v>
      </c>
      <c r="F177" s="52">
        <v>5468.11</v>
      </c>
      <c r="G177" s="52">
        <v>4692.92</v>
      </c>
      <c r="H177" s="52">
        <v>2281.25</v>
      </c>
      <c r="I177" s="53">
        <v>23273.370000000003</v>
      </c>
      <c r="J177" s="49"/>
    </row>
    <row r="178" spans="1:10" x14ac:dyDescent="0.2">
      <c r="A178" s="50">
        <f t="shared" si="3"/>
        <v>43277</v>
      </c>
      <c r="B178" s="51">
        <v>7572.83</v>
      </c>
      <c r="C178" s="52">
        <v>6415.02</v>
      </c>
      <c r="D178" s="52">
        <v>3306.17</v>
      </c>
      <c r="E178" s="52">
        <v>2325.83</v>
      </c>
      <c r="F178" s="52">
        <v>6571.49</v>
      </c>
      <c r="G178" s="52">
        <v>5461.52</v>
      </c>
      <c r="H178" s="52">
        <v>2581.0100000000002</v>
      </c>
      <c r="I178" s="53">
        <v>29071.85</v>
      </c>
      <c r="J178" s="49"/>
    </row>
    <row r="179" spans="1:10" x14ac:dyDescent="0.2">
      <c r="A179" s="50">
        <f t="shared" si="3"/>
        <v>43278</v>
      </c>
      <c r="B179" s="51">
        <v>7900.53</v>
      </c>
      <c r="C179" s="52">
        <v>6839.9</v>
      </c>
      <c r="D179" s="52">
        <v>3815.75</v>
      </c>
      <c r="E179" s="52">
        <v>2274.11</v>
      </c>
      <c r="F179" s="52">
        <v>6146.07</v>
      </c>
      <c r="G179" s="52">
        <v>5434.38</v>
      </c>
      <c r="H179" s="52">
        <v>2716.92</v>
      </c>
      <c r="I179" s="53">
        <v>29693.82</v>
      </c>
      <c r="J179" s="49"/>
    </row>
    <row r="180" spans="1:10" x14ac:dyDescent="0.2">
      <c r="A180" s="50">
        <f t="shared" si="3"/>
        <v>43279</v>
      </c>
      <c r="B180" s="51">
        <v>7893.3</v>
      </c>
      <c r="C180" s="52">
        <v>6820.7</v>
      </c>
      <c r="D180" s="52">
        <v>4258.1000000000004</v>
      </c>
      <c r="E180" s="52">
        <v>2865.1</v>
      </c>
      <c r="F180" s="52">
        <v>6402.7</v>
      </c>
      <c r="G180" s="52">
        <v>5572.4</v>
      </c>
      <c r="H180" s="52">
        <v>2450.9</v>
      </c>
      <c r="I180" s="53">
        <v>31361.399999999994</v>
      </c>
      <c r="J180" s="49"/>
    </row>
    <row r="181" spans="1:10" x14ac:dyDescent="0.2">
      <c r="A181" s="50">
        <f t="shared" si="3"/>
        <v>43280</v>
      </c>
      <c r="B181" s="51">
        <v>8534.39</v>
      </c>
      <c r="C181" s="52">
        <v>6975.49</v>
      </c>
      <c r="D181" s="52">
        <v>4061.53</v>
      </c>
      <c r="E181" s="52">
        <v>3689.34</v>
      </c>
      <c r="F181" s="52">
        <v>6946.47</v>
      </c>
      <c r="G181" s="52">
        <v>5411.79</v>
      </c>
      <c r="H181" s="52">
        <v>2374.2999999999997</v>
      </c>
      <c r="I181" s="53">
        <v>33244.71</v>
      </c>
      <c r="J181" s="49"/>
    </row>
    <row r="182" spans="1:10" x14ac:dyDescent="0.2">
      <c r="A182" s="50">
        <f t="shared" si="3"/>
        <v>43281</v>
      </c>
      <c r="B182" s="51">
        <v>8164.13</v>
      </c>
      <c r="C182" s="52">
        <v>6291.36</v>
      </c>
      <c r="D182" s="52">
        <v>3896.98</v>
      </c>
      <c r="E182" s="52">
        <v>2474.71</v>
      </c>
      <c r="F182" s="52">
        <v>5435.46</v>
      </c>
      <c r="G182" s="52">
        <v>4299.59</v>
      </c>
      <c r="H182" s="52">
        <v>1794.5100000000002</v>
      </c>
      <c r="I182" s="53">
        <v>28767.72</v>
      </c>
      <c r="J182" s="49"/>
    </row>
    <row r="183" spans="1:10" x14ac:dyDescent="0.2">
      <c r="A183" s="50">
        <f t="shared" si="3"/>
        <v>43282</v>
      </c>
      <c r="B183" s="51">
        <v>8056.76</v>
      </c>
      <c r="C183" s="52">
        <v>6601.6</v>
      </c>
      <c r="D183" s="52">
        <v>3740.21</v>
      </c>
      <c r="E183" s="52">
        <v>3320.13</v>
      </c>
      <c r="F183" s="52">
        <v>4681.83</v>
      </c>
      <c r="G183" s="52">
        <v>3170</v>
      </c>
      <c r="H183" s="52">
        <v>1664.89</v>
      </c>
      <c r="I183" s="53">
        <v>27905.64</v>
      </c>
      <c r="J183" s="49"/>
    </row>
    <row r="184" spans="1:10" x14ac:dyDescent="0.2">
      <c r="A184" s="50">
        <f t="shared" si="3"/>
        <v>43283</v>
      </c>
      <c r="B184" s="51">
        <v>8043.08</v>
      </c>
      <c r="C184" s="52">
        <v>6627.73</v>
      </c>
      <c r="D184" s="52">
        <v>3726.89</v>
      </c>
      <c r="E184" s="52">
        <v>3397.45</v>
      </c>
      <c r="F184" s="52">
        <v>6078.88</v>
      </c>
      <c r="G184" s="52">
        <v>4365.59</v>
      </c>
      <c r="H184" s="52">
        <v>1678.7500000000002</v>
      </c>
      <c r="I184" s="53">
        <v>30560.870000000003</v>
      </c>
      <c r="J184" s="49"/>
    </row>
    <row r="185" spans="1:10" x14ac:dyDescent="0.2">
      <c r="A185" s="50">
        <f t="shared" si="3"/>
        <v>43284</v>
      </c>
      <c r="B185" s="51">
        <v>8370.0300000000007</v>
      </c>
      <c r="C185" s="52">
        <v>6803.12</v>
      </c>
      <c r="D185" s="52">
        <v>3952.54</v>
      </c>
      <c r="E185" s="52">
        <v>2950.68</v>
      </c>
      <c r="F185" s="52">
        <v>5667.54</v>
      </c>
      <c r="G185" s="52">
        <v>4106.82</v>
      </c>
      <c r="H185" s="52">
        <v>1380.5900000000001</v>
      </c>
      <c r="I185" s="53">
        <v>30470.140000000003</v>
      </c>
      <c r="J185" s="49"/>
    </row>
    <row r="186" spans="1:10" x14ac:dyDescent="0.2">
      <c r="A186" s="50">
        <f t="shared" si="3"/>
        <v>43285</v>
      </c>
      <c r="B186" s="51">
        <v>8819.2999999999993</v>
      </c>
      <c r="C186" s="52">
        <v>6722.86</v>
      </c>
      <c r="D186" s="52">
        <v>4024.81</v>
      </c>
      <c r="E186" s="52">
        <v>4146.33</v>
      </c>
      <c r="F186" s="52">
        <v>6709.35</v>
      </c>
      <c r="G186" s="52">
        <v>4486.47</v>
      </c>
      <c r="H186" s="52">
        <v>1638.34</v>
      </c>
      <c r="I186" s="53">
        <v>33270.780000000006</v>
      </c>
      <c r="J186" s="49"/>
    </row>
    <row r="187" spans="1:10" x14ac:dyDescent="0.2">
      <c r="A187" s="50">
        <f t="shared" si="3"/>
        <v>43286</v>
      </c>
      <c r="B187" s="51">
        <v>8258.4599999999991</v>
      </c>
      <c r="C187" s="52">
        <v>7001.61</v>
      </c>
      <c r="D187" s="52">
        <v>4183.8900000000003</v>
      </c>
      <c r="E187" s="52">
        <v>2978.75</v>
      </c>
      <c r="F187" s="52">
        <v>6578.99</v>
      </c>
      <c r="G187" s="52">
        <v>4727.28</v>
      </c>
      <c r="H187" s="52">
        <v>1917.68</v>
      </c>
      <c r="I187" s="53">
        <v>31811.299999999996</v>
      </c>
      <c r="J187" s="49"/>
    </row>
    <row r="188" spans="1:10" x14ac:dyDescent="0.2">
      <c r="A188" s="50">
        <f t="shared" si="3"/>
        <v>43287</v>
      </c>
      <c r="B188" s="51">
        <v>8752.5</v>
      </c>
      <c r="C188" s="52">
        <v>6984.1</v>
      </c>
      <c r="D188" s="52">
        <v>4102.8</v>
      </c>
      <c r="E188" s="52">
        <v>2547</v>
      </c>
      <c r="F188" s="52">
        <v>5492.3</v>
      </c>
      <c r="G188" s="52">
        <v>4992.8</v>
      </c>
      <c r="H188" s="52">
        <v>1805.3</v>
      </c>
      <c r="I188" s="53">
        <v>31066.2</v>
      </c>
      <c r="J188" s="49"/>
    </row>
    <row r="189" spans="1:10" x14ac:dyDescent="0.2">
      <c r="A189" s="50">
        <f t="shared" si="3"/>
        <v>43288</v>
      </c>
      <c r="B189" s="51">
        <v>8359.82</v>
      </c>
      <c r="C189" s="52">
        <v>6568.11</v>
      </c>
      <c r="D189" s="52">
        <v>3765.69</v>
      </c>
      <c r="E189" s="52">
        <v>2723.45</v>
      </c>
      <c r="F189" s="52">
        <v>5919.31</v>
      </c>
      <c r="G189" s="52">
        <v>3009.53</v>
      </c>
      <c r="H189" s="52">
        <v>747.93000000000006</v>
      </c>
      <c r="I189" s="53">
        <v>29597.98</v>
      </c>
      <c r="J189" s="49"/>
    </row>
    <row r="190" spans="1:10" x14ac:dyDescent="0.2">
      <c r="A190" s="50">
        <f t="shared" si="3"/>
        <v>43289</v>
      </c>
      <c r="B190" s="51">
        <v>6844.83</v>
      </c>
      <c r="C190" s="52">
        <v>5704.09</v>
      </c>
      <c r="D190" s="52">
        <v>2863.81</v>
      </c>
      <c r="E190" s="52">
        <v>2986.49</v>
      </c>
      <c r="F190" s="52">
        <v>6192.14</v>
      </c>
      <c r="G190" s="52">
        <v>2448.86</v>
      </c>
      <c r="H190" s="52">
        <v>934.49000000000024</v>
      </c>
      <c r="I190" s="53">
        <v>26105.73</v>
      </c>
      <c r="J190" s="49"/>
    </row>
    <row r="191" spans="1:10" x14ac:dyDescent="0.2">
      <c r="A191" s="50">
        <f t="shared" si="3"/>
        <v>43290</v>
      </c>
      <c r="B191" s="51">
        <v>6807.22</v>
      </c>
      <c r="C191" s="52">
        <v>5931.37</v>
      </c>
      <c r="D191" s="52">
        <v>3003.21</v>
      </c>
      <c r="E191" s="52">
        <v>2196.08</v>
      </c>
      <c r="F191" s="52">
        <v>5771.09</v>
      </c>
      <c r="G191" s="52">
        <v>4716.47</v>
      </c>
      <c r="H191" s="52">
        <v>2062.5</v>
      </c>
      <c r="I191" s="53">
        <v>26362.94</v>
      </c>
      <c r="J191" s="49"/>
    </row>
    <row r="192" spans="1:10" x14ac:dyDescent="0.2">
      <c r="A192" s="50">
        <f t="shared" si="3"/>
        <v>43291</v>
      </c>
      <c r="B192" s="51">
        <v>6590.9</v>
      </c>
      <c r="C192" s="52">
        <v>5900.8</v>
      </c>
      <c r="D192" s="52">
        <v>3077.7</v>
      </c>
      <c r="E192" s="52">
        <v>1630.1</v>
      </c>
      <c r="F192" s="52">
        <v>4740.7</v>
      </c>
      <c r="G192" s="52">
        <v>5663.7</v>
      </c>
      <c r="H192" s="52">
        <v>1902.7</v>
      </c>
      <c r="I192" s="53">
        <v>25701.200000000001</v>
      </c>
      <c r="J192" s="49"/>
    </row>
    <row r="193" spans="1:10" x14ac:dyDescent="0.2">
      <c r="A193" s="50">
        <f t="shared" si="3"/>
        <v>43292</v>
      </c>
      <c r="B193" s="51">
        <v>8065.21</v>
      </c>
      <c r="C193" s="52">
        <v>5805.26</v>
      </c>
      <c r="D193" s="52">
        <v>3061.35</v>
      </c>
      <c r="E193" s="52">
        <v>2238.6</v>
      </c>
      <c r="F193" s="52">
        <v>5191.68</v>
      </c>
      <c r="G193" s="52">
        <v>6275.74</v>
      </c>
      <c r="H193" s="52">
        <v>2037.9099999999999</v>
      </c>
      <c r="I193" s="53">
        <v>28599.929999999997</v>
      </c>
      <c r="J193" s="49"/>
    </row>
    <row r="194" spans="1:10" x14ac:dyDescent="0.2">
      <c r="A194" s="50">
        <f t="shared" si="3"/>
        <v>43293</v>
      </c>
      <c r="B194" s="51">
        <v>8782.81</v>
      </c>
      <c r="C194" s="52">
        <v>6519.4</v>
      </c>
      <c r="D194" s="52">
        <v>4058.04</v>
      </c>
      <c r="E194" s="52">
        <v>2764.3</v>
      </c>
      <c r="F194" s="52">
        <v>5353.42</v>
      </c>
      <c r="G194" s="52">
        <v>6368.8</v>
      </c>
      <c r="H194" s="52">
        <v>2168.9900000000002</v>
      </c>
      <c r="I194" s="53">
        <v>31677.780000000002</v>
      </c>
      <c r="J194" s="49"/>
    </row>
    <row r="195" spans="1:10" x14ac:dyDescent="0.2">
      <c r="A195" s="50">
        <f t="shared" si="3"/>
        <v>43294</v>
      </c>
      <c r="B195" s="51">
        <v>8170.67</v>
      </c>
      <c r="C195" s="52">
        <v>7109.37</v>
      </c>
      <c r="D195" s="52">
        <v>4653.0200000000004</v>
      </c>
      <c r="E195" s="52">
        <v>1359.67</v>
      </c>
      <c r="F195" s="52">
        <v>4828.7299999999996</v>
      </c>
      <c r="G195" s="52">
        <v>6741.66</v>
      </c>
      <c r="H195" s="52">
        <v>2249.5</v>
      </c>
      <c r="I195" s="53">
        <v>30613.620000000003</v>
      </c>
      <c r="J195" s="49"/>
    </row>
    <row r="196" spans="1:10" x14ac:dyDescent="0.2">
      <c r="A196" s="50">
        <f t="shared" si="3"/>
        <v>43295</v>
      </c>
      <c r="B196" s="51">
        <v>8113.2</v>
      </c>
      <c r="C196" s="52">
        <v>6651.3</v>
      </c>
      <c r="D196" s="52">
        <v>4018.1</v>
      </c>
      <c r="E196" s="52">
        <v>2226.1999999999998</v>
      </c>
      <c r="F196" s="52">
        <v>4718.2</v>
      </c>
      <c r="G196" s="52">
        <v>5499.4</v>
      </c>
      <c r="H196" s="52">
        <v>1729.6</v>
      </c>
      <c r="I196" s="53">
        <v>29496.800000000003</v>
      </c>
      <c r="J196" s="49"/>
    </row>
    <row r="197" spans="1:10" x14ac:dyDescent="0.2">
      <c r="A197" s="50">
        <f t="shared" si="3"/>
        <v>43296</v>
      </c>
      <c r="B197" s="51">
        <v>7996.78</v>
      </c>
      <c r="C197" s="52">
        <v>6725.63</v>
      </c>
      <c r="D197" s="52">
        <v>3862.26</v>
      </c>
      <c r="E197" s="52">
        <v>2103.23</v>
      </c>
      <c r="F197" s="52">
        <v>4676.7700000000004</v>
      </c>
      <c r="G197" s="52">
        <v>4372.3500000000004</v>
      </c>
      <c r="H197" s="52">
        <v>1537.1799999999998</v>
      </c>
      <c r="I197" s="53">
        <v>28199.839999999997</v>
      </c>
      <c r="J197" s="49"/>
    </row>
    <row r="198" spans="1:10" x14ac:dyDescent="0.2">
      <c r="A198" s="50">
        <f t="shared" si="3"/>
        <v>43297</v>
      </c>
      <c r="B198" s="51">
        <v>8283.23</v>
      </c>
      <c r="C198" s="52">
        <v>7025.07</v>
      </c>
      <c r="D198" s="52">
        <v>3841.52</v>
      </c>
      <c r="E198" s="52">
        <v>1968.52</v>
      </c>
      <c r="F198" s="52">
        <v>4753.5200000000004</v>
      </c>
      <c r="G198" s="52">
        <v>6383.39</v>
      </c>
      <c r="H198" s="52">
        <v>2461.7699999999995</v>
      </c>
      <c r="I198" s="53">
        <v>29793.48</v>
      </c>
      <c r="J198" s="49"/>
    </row>
    <row r="199" spans="1:10" x14ac:dyDescent="0.2">
      <c r="A199" s="50">
        <f t="shared" si="3"/>
        <v>43298</v>
      </c>
      <c r="B199" s="51">
        <v>8310.23</v>
      </c>
      <c r="C199" s="52">
        <v>6999.56</v>
      </c>
      <c r="D199" s="52">
        <v>3877.34</v>
      </c>
      <c r="E199" s="52">
        <v>2538.36</v>
      </c>
      <c r="F199" s="52">
        <v>5165.25</v>
      </c>
      <c r="G199" s="52">
        <v>6223.07</v>
      </c>
      <c r="H199" s="52">
        <v>2680.3400000000006</v>
      </c>
      <c r="I199" s="53">
        <v>30433.469999999998</v>
      </c>
      <c r="J199" s="49"/>
    </row>
    <row r="200" spans="1:10" x14ac:dyDescent="0.2">
      <c r="A200" s="50">
        <f t="shared" si="3"/>
        <v>43299</v>
      </c>
      <c r="B200" s="51">
        <v>8682.7999999999993</v>
      </c>
      <c r="C200" s="52">
        <v>6599</v>
      </c>
      <c r="D200" s="52">
        <v>4168</v>
      </c>
      <c r="E200" s="52">
        <v>3028.8</v>
      </c>
      <c r="F200" s="52">
        <v>6262.2</v>
      </c>
      <c r="G200" s="52">
        <v>5367.7</v>
      </c>
      <c r="H200" s="52">
        <v>2586.5</v>
      </c>
      <c r="I200" s="53">
        <v>31522</v>
      </c>
      <c r="J200" s="49"/>
    </row>
    <row r="201" spans="1:10" x14ac:dyDescent="0.2">
      <c r="A201" s="50">
        <f t="shared" si="3"/>
        <v>43300</v>
      </c>
      <c r="B201" s="51">
        <v>9079.31</v>
      </c>
      <c r="C201" s="52">
        <v>5791.2</v>
      </c>
      <c r="D201" s="52">
        <v>4151.95</v>
      </c>
      <c r="E201" s="52">
        <v>3954.43</v>
      </c>
      <c r="F201" s="52">
        <v>5509.63</v>
      </c>
      <c r="G201" s="52">
        <v>5528.55</v>
      </c>
      <c r="H201" s="52">
        <v>2399.75</v>
      </c>
      <c r="I201" s="53">
        <v>31615.32</v>
      </c>
      <c r="J201" s="49"/>
    </row>
    <row r="202" spans="1:10" x14ac:dyDescent="0.2">
      <c r="A202" s="50">
        <f t="shared" si="3"/>
        <v>43301</v>
      </c>
      <c r="B202" s="51">
        <v>8546.0499999999993</v>
      </c>
      <c r="C202" s="52">
        <v>5437.24</v>
      </c>
      <c r="D202" s="52">
        <v>4164.8599999999997</v>
      </c>
      <c r="E202" s="52">
        <v>3013.56</v>
      </c>
      <c r="F202" s="52">
        <v>5849.44</v>
      </c>
      <c r="G202" s="52">
        <v>5645.33</v>
      </c>
      <c r="H202" s="52">
        <v>2580.96</v>
      </c>
      <c r="I202" s="53">
        <v>30075.519999999997</v>
      </c>
      <c r="J202" s="49"/>
    </row>
    <row r="203" spans="1:10" x14ac:dyDescent="0.2">
      <c r="A203" s="50">
        <f t="shared" si="3"/>
        <v>43302</v>
      </c>
      <c r="B203" s="51">
        <v>8210.86</v>
      </c>
      <c r="C203" s="52">
        <v>5035.17</v>
      </c>
      <c r="D203" s="52">
        <v>3718.32</v>
      </c>
      <c r="E203" s="52">
        <v>3681.09</v>
      </c>
      <c r="F203" s="52">
        <v>6189.23</v>
      </c>
      <c r="G203" s="52">
        <v>3468.33</v>
      </c>
      <c r="H203" s="52">
        <v>1444.3300000000002</v>
      </c>
      <c r="I203" s="53">
        <v>28858.67</v>
      </c>
      <c r="J203" s="49"/>
    </row>
    <row r="204" spans="1:10" x14ac:dyDescent="0.2">
      <c r="A204" s="50">
        <f t="shared" si="3"/>
        <v>43303</v>
      </c>
      <c r="B204" s="51">
        <v>7453.6</v>
      </c>
      <c r="C204" s="52">
        <v>4973.8</v>
      </c>
      <c r="D204" s="52">
        <v>4081.6</v>
      </c>
      <c r="E204" s="52">
        <v>1663</v>
      </c>
      <c r="F204" s="52">
        <v>5558.7</v>
      </c>
      <c r="G204" s="52">
        <v>2499.5</v>
      </c>
      <c r="H204" s="52">
        <v>1307.2999999999997</v>
      </c>
      <c r="I204" s="53">
        <v>24922.9</v>
      </c>
      <c r="J204" s="49"/>
    </row>
    <row r="205" spans="1:10" x14ac:dyDescent="0.2">
      <c r="A205" s="50">
        <f t="shared" si="3"/>
        <v>43304</v>
      </c>
      <c r="B205" s="51">
        <v>6219.62</v>
      </c>
      <c r="C205" s="52">
        <v>5348.57</v>
      </c>
      <c r="D205" s="52">
        <v>3160.4</v>
      </c>
      <c r="E205" s="52">
        <v>2811.32</v>
      </c>
      <c r="F205" s="52">
        <v>5540.6</v>
      </c>
      <c r="G205" s="52">
        <v>4905.46</v>
      </c>
      <c r="H205" s="52">
        <v>2356.8199999999997</v>
      </c>
      <c r="I205" s="53">
        <v>25629.15</v>
      </c>
      <c r="J205" s="49"/>
    </row>
    <row r="206" spans="1:10" x14ac:dyDescent="0.2">
      <c r="A206" s="50">
        <f t="shared" si="3"/>
        <v>43305</v>
      </c>
      <c r="B206" s="51">
        <v>6638.18</v>
      </c>
      <c r="C206" s="52">
        <v>5770.88</v>
      </c>
      <c r="D206" s="52">
        <v>2998.88</v>
      </c>
      <c r="E206" s="52">
        <v>3254.43</v>
      </c>
      <c r="F206" s="52">
        <v>5745.31</v>
      </c>
      <c r="G206" s="52">
        <v>5251.15</v>
      </c>
      <c r="H206" s="52">
        <v>2451.75</v>
      </c>
      <c r="I206" s="53">
        <v>27207.08</v>
      </c>
      <c r="J206" s="49"/>
    </row>
    <row r="207" spans="1:10" x14ac:dyDescent="0.2">
      <c r="A207" s="50">
        <f t="shared" si="3"/>
        <v>43306</v>
      </c>
      <c r="B207" s="51">
        <v>8181.61</v>
      </c>
      <c r="C207" s="52">
        <v>5904.41</v>
      </c>
      <c r="D207" s="52">
        <v>3706.5</v>
      </c>
      <c r="E207" s="52">
        <v>2453.9899999999998</v>
      </c>
      <c r="F207" s="52">
        <v>6108.74</v>
      </c>
      <c r="G207" s="52">
        <v>5365.99</v>
      </c>
      <c r="H207" s="52">
        <v>2450.13</v>
      </c>
      <c r="I207" s="53">
        <v>29271.109999999997</v>
      </c>
      <c r="J207" s="49"/>
    </row>
    <row r="208" spans="1:10" x14ac:dyDescent="0.2">
      <c r="A208" s="50">
        <f t="shared" si="3"/>
        <v>43307</v>
      </c>
      <c r="B208" s="51">
        <v>9096.1</v>
      </c>
      <c r="C208" s="52">
        <v>5989.9</v>
      </c>
      <c r="D208" s="52">
        <v>3523.5</v>
      </c>
      <c r="E208" s="52">
        <v>2595.9</v>
      </c>
      <c r="F208" s="52">
        <v>6313.6</v>
      </c>
      <c r="G208" s="52">
        <v>5213.6000000000004</v>
      </c>
      <c r="H208" s="52">
        <v>2374.7000000000003</v>
      </c>
      <c r="I208" s="53">
        <v>30357.899999999998</v>
      </c>
      <c r="J208" s="49"/>
    </row>
    <row r="209" spans="1:10" x14ac:dyDescent="0.2">
      <c r="A209" s="50">
        <f t="shared" si="3"/>
        <v>43308</v>
      </c>
      <c r="B209" s="51">
        <v>8267.18</v>
      </c>
      <c r="C209" s="52">
        <v>5971.6</v>
      </c>
      <c r="D209" s="52">
        <v>3107.92</v>
      </c>
      <c r="E209" s="52">
        <v>2751.03</v>
      </c>
      <c r="F209" s="52">
        <v>6206.47</v>
      </c>
      <c r="G209" s="52">
        <v>5354.62</v>
      </c>
      <c r="H209" s="52">
        <v>2489.67</v>
      </c>
      <c r="I209" s="53">
        <v>29169.15</v>
      </c>
      <c r="J209" s="49"/>
    </row>
    <row r="210" spans="1:10" x14ac:dyDescent="0.2">
      <c r="A210" s="50">
        <f t="shared" si="3"/>
        <v>43309</v>
      </c>
      <c r="B210" s="51">
        <v>8394.06</v>
      </c>
      <c r="C210" s="52">
        <v>5608.23</v>
      </c>
      <c r="D210" s="52">
        <v>2849.97</v>
      </c>
      <c r="E210" s="52">
        <v>2544.83</v>
      </c>
      <c r="F210" s="52">
        <v>6369.42</v>
      </c>
      <c r="G210" s="52">
        <v>3974.67</v>
      </c>
      <c r="H210" s="52">
        <v>1736.1599999999999</v>
      </c>
      <c r="I210" s="53">
        <v>28005.019999999993</v>
      </c>
      <c r="J210" s="49"/>
    </row>
    <row r="211" spans="1:10" x14ac:dyDescent="0.2">
      <c r="A211" s="50">
        <f t="shared" si="3"/>
        <v>43310</v>
      </c>
      <c r="B211" s="51">
        <v>7968.99</v>
      </c>
      <c r="C211" s="52">
        <v>5429.57</v>
      </c>
      <c r="D211" s="52">
        <v>2729.57</v>
      </c>
      <c r="E211" s="52">
        <v>2110.5300000000002</v>
      </c>
      <c r="F211" s="52">
        <v>5422.05</v>
      </c>
      <c r="G211" s="52">
        <v>3384.27</v>
      </c>
      <c r="H211" s="52">
        <v>1710.42</v>
      </c>
      <c r="I211" s="53">
        <v>25334.559999999998</v>
      </c>
      <c r="J211" s="49"/>
    </row>
    <row r="212" spans="1:10" x14ac:dyDescent="0.2">
      <c r="A212" s="50">
        <f t="shared" si="3"/>
        <v>43311</v>
      </c>
      <c r="B212" s="51">
        <v>8423.5</v>
      </c>
      <c r="C212" s="52">
        <v>5510.3</v>
      </c>
      <c r="D212" s="52">
        <v>3018.1</v>
      </c>
      <c r="E212" s="52">
        <v>1937.5</v>
      </c>
      <c r="F212" s="52">
        <v>4931.2</v>
      </c>
      <c r="G212" s="52">
        <v>4990.3999999999996</v>
      </c>
      <c r="H212" s="52">
        <v>2524.4999999999995</v>
      </c>
      <c r="I212" s="53">
        <v>26286.5</v>
      </c>
      <c r="J212" s="49"/>
    </row>
    <row r="213" spans="1:10" x14ac:dyDescent="0.2">
      <c r="A213" s="50">
        <f t="shared" si="3"/>
        <v>43312</v>
      </c>
      <c r="B213" s="51">
        <v>8287.2000000000007</v>
      </c>
      <c r="C213" s="52">
        <v>5668.82</v>
      </c>
      <c r="D213" s="52">
        <v>3029.27</v>
      </c>
      <c r="E213" s="52">
        <v>2603.88</v>
      </c>
      <c r="F213" s="52">
        <v>5435.67</v>
      </c>
      <c r="G213" s="52">
        <v>5301.89</v>
      </c>
      <c r="H213" s="52">
        <v>2552.9800000000005</v>
      </c>
      <c r="I213" s="53">
        <v>27773.750000000004</v>
      </c>
      <c r="J213" s="49"/>
    </row>
    <row r="214" spans="1:10" x14ac:dyDescent="0.2">
      <c r="A214" s="50">
        <f t="shared" si="3"/>
        <v>43313</v>
      </c>
      <c r="B214" s="51">
        <v>8817.15</v>
      </c>
      <c r="C214" s="52">
        <v>5958.89</v>
      </c>
      <c r="D214" s="52">
        <v>3334.03</v>
      </c>
      <c r="E214" s="52">
        <v>3246.82</v>
      </c>
      <c r="F214" s="52">
        <v>6519.13</v>
      </c>
      <c r="G214" s="52">
        <v>5549.03</v>
      </c>
      <c r="H214" s="52">
        <v>2501.2799999999997</v>
      </c>
      <c r="I214" s="53">
        <v>30923.770000000004</v>
      </c>
      <c r="J214" s="49"/>
    </row>
    <row r="215" spans="1:10" x14ac:dyDescent="0.2">
      <c r="A215" s="50">
        <f t="shared" si="3"/>
        <v>43314</v>
      </c>
      <c r="B215" s="51">
        <v>9041.59</v>
      </c>
      <c r="C215" s="52">
        <v>5899.42</v>
      </c>
      <c r="D215" s="52">
        <v>3073.34</v>
      </c>
      <c r="E215" s="52">
        <v>3045.61</v>
      </c>
      <c r="F215" s="52">
        <v>5703.44</v>
      </c>
      <c r="G215" s="52">
        <v>5353.97</v>
      </c>
      <c r="H215" s="52">
        <v>2488.69</v>
      </c>
      <c r="I215" s="53">
        <v>29628.68</v>
      </c>
      <c r="J215" s="49"/>
    </row>
    <row r="216" spans="1:10" x14ac:dyDescent="0.2">
      <c r="A216" s="50">
        <f t="shared" si="3"/>
        <v>43315</v>
      </c>
      <c r="B216" s="51">
        <v>8910.2000000000007</v>
      </c>
      <c r="C216" s="52">
        <v>5874.5</v>
      </c>
      <c r="D216" s="52">
        <v>3096.7</v>
      </c>
      <c r="E216" s="52">
        <v>3462.2</v>
      </c>
      <c r="F216" s="52">
        <v>5514.4</v>
      </c>
      <c r="G216" s="52">
        <v>0</v>
      </c>
      <c r="H216" s="52">
        <v>2641.2</v>
      </c>
      <c r="I216" s="53">
        <v>24216.799999999999</v>
      </c>
      <c r="J216" s="49"/>
    </row>
    <row r="217" spans="1:10" x14ac:dyDescent="0.2">
      <c r="A217" s="50">
        <f t="shared" si="3"/>
        <v>43316</v>
      </c>
      <c r="B217" s="51">
        <v>7583.71</v>
      </c>
      <c r="C217" s="52">
        <v>5470.68</v>
      </c>
      <c r="D217" s="52">
        <v>2819.01</v>
      </c>
      <c r="E217" s="52">
        <v>2583.96</v>
      </c>
      <c r="F217" s="52">
        <v>5499.85</v>
      </c>
      <c r="G217" s="52">
        <v>4376.5200000000004</v>
      </c>
      <c r="H217" s="52">
        <v>2010.4800000000002</v>
      </c>
      <c r="I217" s="53">
        <v>26323.25</v>
      </c>
      <c r="J217" s="49"/>
    </row>
    <row r="218" spans="1:10" x14ac:dyDescent="0.2">
      <c r="A218" s="50">
        <f t="shared" si="3"/>
        <v>43317</v>
      </c>
      <c r="B218" s="51">
        <v>7812.46</v>
      </c>
      <c r="C218" s="52">
        <v>5359.53</v>
      </c>
      <c r="D218" s="52">
        <v>2797.08</v>
      </c>
      <c r="E218" s="52">
        <v>2018.77</v>
      </c>
      <c r="F218" s="52">
        <v>5446.95</v>
      </c>
      <c r="G218" s="52">
        <v>3505.5</v>
      </c>
      <c r="H218" s="52">
        <v>1017.19</v>
      </c>
      <c r="I218" s="53">
        <v>25923.100000000002</v>
      </c>
      <c r="J218" s="49"/>
    </row>
    <row r="219" spans="1:10" x14ac:dyDescent="0.2">
      <c r="A219" s="50">
        <f t="shared" si="3"/>
        <v>43318</v>
      </c>
      <c r="B219" s="51">
        <v>7579.89</v>
      </c>
      <c r="C219" s="52">
        <v>5721.76</v>
      </c>
      <c r="D219" s="52">
        <v>3464.52</v>
      </c>
      <c r="E219" s="52">
        <v>1804.07</v>
      </c>
      <c r="F219" s="52">
        <v>5456.98</v>
      </c>
      <c r="G219" s="52">
        <v>5075.37</v>
      </c>
      <c r="H219" s="52">
        <v>1715.1199999999997</v>
      </c>
      <c r="I219" s="53">
        <v>27387.47</v>
      </c>
      <c r="J219" s="49"/>
    </row>
    <row r="220" spans="1:10" x14ac:dyDescent="0.2">
      <c r="A220" s="50">
        <f t="shared" si="3"/>
        <v>43319</v>
      </c>
      <c r="B220" s="51">
        <v>8271.4</v>
      </c>
      <c r="C220" s="52">
        <v>5750</v>
      </c>
      <c r="D220" s="52">
        <v>3849.7</v>
      </c>
      <c r="E220" s="52">
        <v>1934.9</v>
      </c>
      <c r="F220" s="52">
        <v>5375.4</v>
      </c>
      <c r="G220" s="52">
        <v>5611</v>
      </c>
      <c r="H220" s="52">
        <v>2579.2999999999993</v>
      </c>
      <c r="I220" s="53">
        <v>28213.100000000002</v>
      </c>
      <c r="J220" s="49"/>
    </row>
    <row r="221" spans="1:10" x14ac:dyDescent="0.2">
      <c r="A221" s="50">
        <f t="shared" si="3"/>
        <v>43320</v>
      </c>
      <c r="B221" s="51">
        <v>8428.9</v>
      </c>
      <c r="C221" s="52">
        <v>5926.6</v>
      </c>
      <c r="D221" s="52">
        <v>3869.9</v>
      </c>
      <c r="E221" s="52">
        <v>2263</v>
      </c>
      <c r="F221" s="52">
        <v>5862.1</v>
      </c>
      <c r="G221" s="52">
        <v>5751.7</v>
      </c>
      <c r="H221" s="52">
        <v>2685.8</v>
      </c>
      <c r="I221" s="53">
        <v>29416.400000000001</v>
      </c>
      <c r="J221" s="49"/>
    </row>
    <row r="222" spans="1:10" x14ac:dyDescent="0.2">
      <c r="A222" s="50">
        <f t="shared" si="3"/>
        <v>43321</v>
      </c>
      <c r="B222" s="51">
        <v>8383</v>
      </c>
      <c r="C222" s="52">
        <v>5798.95</v>
      </c>
      <c r="D222" s="52">
        <v>3957.5</v>
      </c>
      <c r="E222" s="52">
        <v>3437.44</v>
      </c>
      <c r="F222" s="52">
        <v>5864.66</v>
      </c>
      <c r="G222" s="52">
        <v>5805.33</v>
      </c>
      <c r="H222" s="52">
        <v>2786.2</v>
      </c>
      <c r="I222" s="53">
        <v>30460.679999999997</v>
      </c>
      <c r="J222" s="49"/>
    </row>
    <row r="223" spans="1:10" x14ac:dyDescent="0.2">
      <c r="A223" s="50">
        <f t="shared" si="3"/>
        <v>43322</v>
      </c>
      <c r="B223" s="51">
        <v>8330.14</v>
      </c>
      <c r="C223" s="52">
        <v>5724.94</v>
      </c>
      <c r="D223" s="52">
        <v>3790.24</v>
      </c>
      <c r="E223" s="52">
        <v>1879.46</v>
      </c>
      <c r="F223" s="52">
        <v>4717.7700000000004</v>
      </c>
      <c r="G223" s="52">
        <v>6594.46</v>
      </c>
      <c r="H223" s="52">
        <v>2610.77</v>
      </c>
      <c r="I223" s="53">
        <v>28426.239999999998</v>
      </c>
      <c r="J223" s="49"/>
    </row>
    <row r="224" spans="1:10" x14ac:dyDescent="0.2">
      <c r="A224" s="50">
        <f t="shared" ref="A224:A287" si="4">A223+1</f>
        <v>43323</v>
      </c>
      <c r="B224" s="51">
        <v>8223.9</v>
      </c>
      <c r="C224" s="52">
        <v>5372</v>
      </c>
      <c r="D224" s="52">
        <v>3740.4</v>
      </c>
      <c r="E224" s="52">
        <v>1602.5</v>
      </c>
      <c r="F224" s="52">
        <v>5194.8999999999996</v>
      </c>
      <c r="G224" s="52">
        <v>5793.9</v>
      </c>
      <c r="H224" s="52">
        <v>2112.5</v>
      </c>
      <c r="I224" s="53">
        <v>27815.1</v>
      </c>
      <c r="J224" s="49"/>
    </row>
    <row r="225" spans="1:10" x14ac:dyDescent="0.2">
      <c r="A225" s="50">
        <f t="shared" si="4"/>
        <v>43324</v>
      </c>
      <c r="B225" s="51">
        <v>7857.6</v>
      </c>
      <c r="C225" s="52">
        <v>5551.7</v>
      </c>
      <c r="D225" s="52">
        <v>3609</v>
      </c>
      <c r="E225" s="52">
        <v>1913.9</v>
      </c>
      <c r="F225" s="52">
        <v>4460.8</v>
      </c>
      <c r="G225" s="52">
        <v>4627.2</v>
      </c>
      <c r="H225" s="52">
        <v>1935.8999999999999</v>
      </c>
      <c r="I225" s="53">
        <v>26084.3</v>
      </c>
      <c r="J225" s="49"/>
    </row>
    <row r="226" spans="1:10" x14ac:dyDescent="0.2">
      <c r="A226" s="50">
        <f t="shared" si="4"/>
        <v>43325</v>
      </c>
      <c r="B226" s="51">
        <v>8031.26</v>
      </c>
      <c r="C226" s="52">
        <v>5714.55</v>
      </c>
      <c r="D226" s="52">
        <v>3805.05</v>
      </c>
      <c r="E226" s="52">
        <v>1953.9</v>
      </c>
      <c r="F226" s="52">
        <v>4226.21</v>
      </c>
      <c r="G226" s="52">
        <v>6657.26</v>
      </c>
      <c r="H226" s="52">
        <v>2777.51</v>
      </c>
      <c r="I226" s="53">
        <v>27610.720000000001</v>
      </c>
      <c r="J226" s="49"/>
    </row>
    <row r="227" spans="1:10" x14ac:dyDescent="0.2">
      <c r="A227" s="50">
        <f t="shared" si="4"/>
        <v>43326</v>
      </c>
      <c r="B227" s="51">
        <v>8209.98</v>
      </c>
      <c r="C227" s="52">
        <v>5690.51</v>
      </c>
      <c r="D227" s="52">
        <v>3917.31</v>
      </c>
      <c r="E227" s="52">
        <v>2775.07</v>
      </c>
      <c r="F227" s="52">
        <v>5002.8100000000004</v>
      </c>
      <c r="G227" s="52">
        <v>6405.19</v>
      </c>
      <c r="H227" s="52">
        <v>2624.6099999999997</v>
      </c>
      <c r="I227" s="53">
        <v>29376.26</v>
      </c>
      <c r="J227" s="49"/>
    </row>
    <row r="228" spans="1:10" x14ac:dyDescent="0.2">
      <c r="A228" s="50">
        <f t="shared" si="4"/>
        <v>43327</v>
      </c>
      <c r="B228" s="51">
        <v>8476.4</v>
      </c>
      <c r="C228" s="52">
        <v>5837.6</v>
      </c>
      <c r="D228" s="52">
        <v>4066.9</v>
      </c>
      <c r="E228" s="52">
        <v>3521</v>
      </c>
      <c r="F228" s="52">
        <v>5324.4</v>
      </c>
      <c r="G228" s="52">
        <v>6062.2</v>
      </c>
      <c r="H228" s="52">
        <v>2897.4</v>
      </c>
      <c r="I228" s="53">
        <v>30391.1</v>
      </c>
      <c r="J228" s="49"/>
    </row>
    <row r="229" spans="1:10" x14ac:dyDescent="0.2">
      <c r="A229" s="50">
        <f t="shared" si="4"/>
        <v>43328</v>
      </c>
      <c r="B229" s="51">
        <v>8520.5</v>
      </c>
      <c r="C229" s="52">
        <v>5731.4</v>
      </c>
      <c r="D229" s="52">
        <v>4108.8999999999996</v>
      </c>
      <c r="E229" s="52">
        <v>2697.7</v>
      </c>
      <c r="F229" s="52">
        <v>5487.1</v>
      </c>
      <c r="G229" s="52">
        <v>5725.2</v>
      </c>
      <c r="H229" s="52">
        <v>2630.5999999999995</v>
      </c>
      <c r="I229" s="53">
        <v>29640.2</v>
      </c>
      <c r="J229" s="49"/>
    </row>
    <row r="230" spans="1:10" x14ac:dyDescent="0.2">
      <c r="A230" s="50">
        <f t="shared" si="4"/>
        <v>43329</v>
      </c>
      <c r="B230" s="51">
        <v>8686.19</v>
      </c>
      <c r="C230" s="52">
        <v>5709.67</v>
      </c>
      <c r="D230" s="52">
        <v>3978.96</v>
      </c>
      <c r="E230" s="52">
        <v>3452.74</v>
      </c>
      <c r="F230" s="52">
        <v>5873.72</v>
      </c>
      <c r="G230" s="52">
        <v>5570.31</v>
      </c>
      <c r="H230" s="52">
        <v>2382.8500000000004</v>
      </c>
      <c r="I230" s="53">
        <v>30888.739999999998</v>
      </c>
      <c r="J230" s="49"/>
    </row>
    <row r="231" spans="1:10" x14ac:dyDescent="0.2">
      <c r="A231" s="50">
        <f t="shared" si="4"/>
        <v>43330</v>
      </c>
      <c r="B231" s="51">
        <v>8406.49</v>
      </c>
      <c r="C231" s="52">
        <v>5440.72</v>
      </c>
      <c r="D231" s="52">
        <v>3938</v>
      </c>
      <c r="E231" s="52">
        <v>1968.69</v>
      </c>
      <c r="F231" s="52">
        <v>5182.82</v>
      </c>
      <c r="G231" s="52">
        <v>4451.47</v>
      </c>
      <c r="H231" s="52">
        <v>1996.1599999999999</v>
      </c>
      <c r="I231" s="53">
        <v>27392.03</v>
      </c>
      <c r="J231" s="49"/>
    </row>
    <row r="232" spans="1:10" x14ac:dyDescent="0.2">
      <c r="A232" s="50">
        <f t="shared" si="4"/>
        <v>43331</v>
      </c>
      <c r="B232" s="51">
        <v>8054.5</v>
      </c>
      <c r="C232" s="52">
        <v>5274.8</v>
      </c>
      <c r="D232" s="52">
        <v>3846.8</v>
      </c>
      <c r="E232" s="52">
        <v>1254.5999999999999</v>
      </c>
      <c r="F232" s="52">
        <v>4333.8</v>
      </c>
      <c r="G232" s="52">
        <v>3411</v>
      </c>
      <c r="H232" s="52">
        <v>1936.8999999999999</v>
      </c>
      <c r="I232" s="53">
        <v>24238.599999999995</v>
      </c>
      <c r="J232" s="49"/>
    </row>
    <row r="233" spans="1:10" x14ac:dyDescent="0.2">
      <c r="A233" s="50">
        <f t="shared" si="4"/>
        <v>43332</v>
      </c>
      <c r="B233" s="51">
        <v>8542</v>
      </c>
      <c r="C233" s="52">
        <v>5501.5</v>
      </c>
      <c r="D233" s="52">
        <v>4000</v>
      </c>
      <c r="E233" s="52">
        <v>1979</v>
      </c>
      <c r="F233" s="52">
        <v>4961</v>
      </c>
      <c r="G233" s="52">
        <v>5682</v>
      </c>
      <c r="H233" s="52">
        <v>2836.3</v>
      </c>
      <c r="I233" s="53">
        <v>27829.200000000001</v>
      </c>
      <c r="J233" s="49"/>
    </row>
    <row r="234" spans="1:10" x14ac:dyDescent="0.2">
      <c r="A234" s="50">
        <f t="shared" si="4"/>
        <v>43333</v>
      </c>
      <c r="B234" s="51">
        <v>8688.3799999999992</v>
      </c>
      <c r="C234" s="52">
        <v>5565.16</v>
      </c>
      <c r="D234" s="52">
        <v>3942.26</v>
      </c>
      <c r="E234" s="52">
        <v>2712.63</v>
      </c>
      <c r="F234" s="52">
        <v>5561.67</v>
      </c>
      <c r="G234" s="52">
        <v>6017.51</v>
      </c>
      <c r="H234" s="52">
        <v>2791.4400000000005</v>
      </c>
      <c r="I234" s="53">
        <v>29696.17</v>
      </c>
      <c r="J234" s="49"/>
    </row>
    <row r="235" spans="1:10" x14ac:dyDescent="0.2">
      <c r="A235" s="50">
        <f t="shared" si="4"/>
        <v>43334</v>
      </c>
      <c r="B235" s="51">
        <v>8462.17</v>
      </c>
      <c r="C235" s="52">
        <v>5410.03</v>
      </c>
      <c r="D235" s="52">
        <v>3763.49</v>
      </c>
      <c r="E235" s="52">
        <v>2453.59</v>
      </c>
      <c r="F235" s="52">
        <v>5443.81</v>
      </c>
      <c r="G235" s="52">
        <v>6074.23</v>
      </c>
      <c r="H235" s="52">
        <v>2887.7599999999998</v>
      </c>
      <c r="I235" s="53">
        <v>28719.560000000005</v>
      </c>
      <c r="J235" s="49"/>
    </row>
    <row r="236" spans="1:10" x14ac:dyDescent="0.2">
      <c r="A236" s="50">
        <f t="shared" si="4"/>
        <v>43335</v>
      </c>
      <c r="B236" s="51">
        <v>8705.7999999999993</v>
      </c>
      <c r="C236" s="52">
        <v>5421.1</v>
      </c>
      <c r="D236" s="52">
        <v>3830.9</v>
      </c>
      <c r="E236" s="52">
        <v>2230</v>
      </c>
      <c r="F236" s="52">
        <v>5526.3</v>
      </c>
      <c r="G236" s="52">
        <v>5845.4</v>
      </c>
      <c r="H236" s="52">
        <v>2778.2000000000003</v>
      </c>
      <c r="I236" s="53">
        <v>28781.3</v>
      </c>
      <c r="J236" s="49"/>
    </row>
    <row r="237" spans="1:10" x14ac:dyDescent="0.2">
      <c r="A237" s="50">
        <f t="shared" si="4"/>
        <v>43336</v>
      </c>
      <c r="B237" s="51">
        <v>8669.2999999999993</v>
      </c>
      <c r="C237" s="52">
        <v>5547.4</v>
      </c>
      <c r="D237" s="52">
        <v>3965</v>
      </c>
      <c r="E237" s="52">
        <v>2767</v>
      </c>
      <c r="F237" s="52">
        <v>4817</v>
      </c>
      <c r="G237" s="52">
        <v>5951.6</v>
      </c>
      <c r="H237" s="52">
        <v>2919.5</v>
      </c>
      <c r="I237" s="53">
        <v>28797.799999999996</v>
      </c>
      <c r="J237" s="49"/>
    </row>
    <row r="238" spans="1:10" x14ac:dyDescent="0.2">
      <c r="A238" s="50">
        <f t="shared" si="4"/>
        <v>43337</v>
      </c>
      <c r="B238" s="51">
        <v>8512.64</v>
      </c>
      <c r="C238" s="52">
        <v>5401.75</v>
      </c>
      <c r="D238" s="52">
        <v>3660.86</v>
      </c>
      <c r="E238" s="52">
        <v>3746.76</v>
      </c>
      <c r="F238" s="52">
        <v>5201.3599999999997</v>
      </c>
      <c r="G238" s="52">
        <v>4916.51</v>
      </c>
      <c r="H238" s="52">
        <v>2203.3000000000002</v>
      </c>
      <c r="I238" s="53">
        <v>29236.580000000005</v>
      </c>
      <c r="J238" s="49"/>
    </row>
    <row r="239" spans="1:10" x14ac:dyDescent="0.2">
      <c r="A239" s="50">
        <f t="shared" si="4"/>
        <v>43338</v>
      </c>
      <c r="B239" s="51">
        <v>8184.8</v>
      </c>
      <c r="C239" s="52">
        <v>4899.67</v>
      </c>
      <c r="D239" s="52">
        <v>3424.22</v>
      </c>
      <c r="E239" s="52">
        <v>2729.04</v>
      </c>
      <c r="F239" s="52">
        <v>5722.48</v>
      </c>
      <c r="G239" s="52">
        <v>3723.45</v>
      </c>
      <c r="H239" s="52">
        <v>2020.9100000000003</v>
      </c>
      <c r="I239" s="53">
        <v>26662.750000000004</v>
      </c>
      <c r="J239" s="49"/>
    </row>
    <row r="240" spans="1:10" x14ac:dyDescent="0.2">
      <c r="A240" s="50">
        <f t="shared" si="4"/>
        <v>43339</v>
      </c>
      <c r="B240" s="51">
        <v>7935.3</v>
      </c>
      <c r="C240" s="52">
        <v>5403.5</v>
      </c>
      <c r="D240" s="52">
        <v>3441</v>
      </c>
      <c r="E240" s="52">
        <v>3373.4</v>
      </c>
      <c r="F240" s="52">
        <v>5319.1</v>
      </c>
      <c r="G240" s="52">
        <v>6173.5</v>
      </c>
      <c r="H240" s="52">
        <v>3075</v>
      </c>
      <c r="I240" s="53">
        <v>28570.800000000003</v>
      </c>
      <c r="J240" s="49"/>
    </row>
    <row r="241" spans="1:10" x14ac:dyDescent="0.2">
      <c r="A241" s="50">
        <f t="shared" si="4"/>
        <v>43340</v>
      </c>
      <c r="B241" s="51">
        <v>8713</v>
      </c>
      <c r="C241" s="52">
        <v>5465</v>
      </c>
      <c r="D241" s="52">
        <v>3709</v>
      </c>
      <c r="E241" s="52">
        <v>2267.5</v>
      </c>
      <c r="F241" s="52">
        <v>5448.6</v>
      </c>
      <c r="G241" s="52">
        <v>6227.4</v>
      </c>
      <c r="H241" s="52">
        <v>3125.7000000000003</v>
      </c>
      <c r="I241" s="53">
        <v>28704.799999999999</v>
      </c>
      <c r="J241" s="49"/>
    </row>
    <row r="242" spans="1:10" x14ac:dyDescent="0.2">
      <c r="A242" s="50">
        <f t="shared" si="4"/>
        <v>43341</v>
      </c>
      <c r="B242" s="51">
        <v>8755.23</v>
      </c>
      <c r="C242" s="52">
        <v>5554.16</v>
      </c>
      <c r="D242" s="52">
        <v>3675.74</v>
      </c>
      <c r="E242" s="52">
        <v>2165.81</v>
      </c>
      <c r="F242" s="52">
        <v>5185.62</v>
      </c>
      <c r="G242" s="52">
        <v>6254.15</v>
      </c>
      <c r="H242" s="52">
        <v>2975.2200000000003</v>
      </c>
      <c r="I242" s="53">
        <v>28615.489999999998</v>
      </c>
      <c r="J242" s="49"/>
    </row>
    <row r="243" spans="1:10" x14ac:dyDescent="0.2">
      <c r="A243" s="50">
        <f t="shared" si="4"/>
        <v>43342</v>
      </c>
      <c r="B243" s="51">
        <v>8866.64</v>
      </c>
      <c r="C243" s="52">
        <v>5558.99</v>
      </c>
      <c r="D243" s="52">
        <v>3637.47</v>
      </c>
      <c r="E243" s="52">
        <v>2477.31</v>
      </c>
      <c r="F243" s="52">
        <v>5425.81</v>
      </c>
      <c r="G243" s="52">
        <v>6322.91</v>
      </c>
      <c r="H243" s="52">
        <v>3007.36</v>
      </c>
      <c r="I243" s="53">
        <v>29281.77</v>
      </c>
      <c r="J243" s="49"/>
    </row>
    <row r="244" spans="1:10" x14ac:dyDescent="0.2">
      <c r="A244" s="50">
        <f t="shared" si="4"/>
        <v>43343</v>
      </c>
      <c r="B244" s="51">
        <v>8875.2999999999993</v>
      </c>
      <c r="C244" s="52">
        <v>5554.7</v>
      </c>
      <c r="D244" s="52">
        <v>3721.5</v>
      </c>
      <c r="E244" s="52">
        <v>2074.6</v>
      </c>
      <c r="F244" s="52">
        <v>5065.3</v>
      </c>
      <c r="G244" s="52">
        <v>6345.2</v>
      </c>
      <c r="H244" s="52">
        <v>2974.7</v>
      </c>
      <c r="I244" s="53">
        <v>28661.899999999998</v>
      </c>
      <c r="J244" s="49"/>
    </row>
    <row r="245" spans="1:10" x14ac:dyDescent="0.2">
      <c r="A245" s="50">
        <f t="shared" si="4"/>
        <v>43344</v>
      </c>
      <c r="B245" s="51">
        <v>8729.2999999999993</v>
      </c>
      <c r="C245" s="52">
        <v>5368.5</v>
      </c>
      <c r="D245" s="52">
        <v>3631.4</v>
      </c>
      <c r="E245" s="52">
        <v>3073.2</v>
      </c>
      <c r="F245" s="52">
        <v>4766.7</v>
      </c>
      <c r="G245" s="52">
        <v>4465.7</v>
      </c>
      <c r="H245" s="52">
        <v>1849.3000000000002</v>
      </c>
      <c r="I245" s="53">
        <v>28185.500000000004</v>
      </c>
      <c r="J245" s="49"/>
    </row>
    <row r="246" spans="1:10" x14ac:dyDescent="0.2">
      <c r="A246" s="50">
        <f t="shared" si="4"/>
        <v>43345</v>
      </c>
      <c r="B246" s="51">
        <v>7931.46</v>
      </c>
      <c r="C246" s="52">
        <v>5040.08</v>
      </c>
      <c r="D246" s="52">
        <v>3300</v>
      </c>
      <c r="E246" s="52">
        <v>2314.41</v>
      </c>
      <c r="F246" s="52">
        <v>5478.32</v>
      </c>
      <c r="G246" s="52">
        <v>3512.93</v>
      </c>
      <c r="H246" s="52">
        <v>1787.35</v>
      </c>
      <c r="I246" s="53">
        <v>25789.850000000002</v>
      </c>
      <c r="J246" s="49"/>
    </row>
    <row r="247" spans="1:10" x14ac:dyDescent="0.2">
      <c r="A247" s="50">
        <f t="shared" si="4"/>
        <v>43346</v>
      </c>
      <c r="B247" s="51">
        <v>8876.0400000000009</v>
      </c>
      <c r="C247" s="52">
        <v>5519.84</v>
      </c>
      <c r="D247" s="52">
        <v>3503.17</v>
      </c>
      <c r="E247" s="52">
        <v>2417.98</v>
      </c>
      <c r="F247" s="52">
        <v>5873.19</v>
      </c>
      <c r="G247" s="52">
        <v>5433.62</v>
      </c>
      <c r="H247" s="52">
        <v>2722.32</v>
      </c>
      <c r="I247" s="53">
        <v>28901.52</v>
      </c>
      <c r="J247" s="49"/>
    </row>
    <row r="248" spans="1:10" x14ac:dyDescent="0.2">
      <c r="A248" s="50">
        <f t="shared" si="4"/>
        <v>43347</v>
      </c>
      <c r="B248" s="51">
        <v>9314</v>
      </c>
      <c r="C248" s="52">
        <v>5601.2</v>
      </c>
      <c r="D248" s="52">
        <v>3611</v>
      </c>
      <c r="E248" s="52">
        <v>2387.4</v>
      </c>
      <c r="F248" s="52">
        <v>6099.5</v>
      </c>
      <c r="G248" s="52">
        <v>5765.8</v>
      </c>
      <c r="H248" s="52">
        <v>2560.8999999999996</v>
      </c>
      <c r="I248" s="53">
        <v>30218</v>
      </c>
      <c r="J248" s="49"/>
    </row>
    <row r="249" spans="1:10" x14ac:dyDescent="0.2">
      <c r="A249" s="50">
        <f t="shared" si="4"/>
        <v>43348</v>
      </c>
      <c r="B249" s="51">
        <v>8199.33</v>
      </c>
      <c r="C249" s="52">
        <v>5932.51</v>
      </c>
      <c r="D249" s="52">
        <v>3391.23</v>
      </c>
      <c r="E249" s="52">
        <v>1794.17</v>
      </c>
      <c r="F249" s="52">
        <v>5532.55</v>
      </c>
      <c r="G249" s="52">
        <v>5539.88</v>
      </c>
      <c r="H249" s="52">
        <v>2553.3400000000011</v>
      </c>
      <c r="I249" s="53">
        <v>27836.329999999998</v>
      </c>
      <c r="J249" s="49"/>
    </row>
    <row r="250" spans="1:10" x14ac:dyDescent="0.2">
      <c r="A250" s="50">
        <f t="shared" si="4"/>
        <v>43349</v>
      </c>
      <c r="B250" s="51">
        <v>7965.45</v>
      </c>
      <c r="C250" s="52">
        <v>6051.3</v>
      </c>
      <c r="D250" s="52">
        <v>3519.55</v>
      </c>
      <c r="E250" s="52">
        <v>2376.8200000000002</v>
      </c>
      <c r="F250" s="52">
        <v>5530.93</v>
      </c>
      <c r="G250" s="52">
        <v>5891.09</v>
      </c>
      <c r="H250" s="52">
        <v>2801.7400000000007</v>
      </c>
      <c r="I250" s="53">
        <v>28533.399999999998</v>
      </c>
      <c r="J250" s="49"/>
    </row>
    <row r="251" spans="1:10" x14ac:dyDescent="0.2">
      <c r="A251" s="50">
        <f t="shared" si="4"/>
        <v>43350</v>
      </c>
      <c r="B251" s="51">
        <v>8216.25</v>
      </c>
      <c r="C251" s="52">
        <v>6051.69</v>
      </c>
      <c r="D251" s="52">
        <v>3501.65</v>
      </c>
      <c r="E251" s="52">
        <v>2890.74</v>
      </c>
      <c r="F251" s="52">
        <v>5067.82</v>
      </c>
      <c r="G251" s="52">
        <v>6372.46</v>
      </c>
      <c r="H251" s="52">
        <v>2997.8199999999997</v>
      </c>
      <c r="I251" s="53">
        <v>29102.79</v>
      </c>
      <c r="J251" s="49"/>
    </row>
    <row r="252" spans="1:10" x14ac:dyDescent="0.2">
      <c r="A252" s="50">
        <f t="shared" si="4"/>
        <v>43351</v>
      </c>
      <c r="B252" s="51">
        <v>8164.44</v>
      </c>
      <c r="C252" s="52">
        <v>5912.34</v>
      </c>
      <c r="D252" s="52">
        <v>3455.58</v>
      </c>
      <c r="E252" s="52">
        <v>2583.4899999999998</v>
      </c>
      <c r="F252" s="52">
        <v>6217.64</v>
      </c>
      <c r="G252" s="52">
        <v>4322.99</v>
      </c>
      <c r="H252" s="52">
        <v>1969.1999999999998</v>
      </c>
      <c r="I252" s="53">
        <v>28687.279999999995</v>
      </c>
      <c r="J252" s="49"/>
    </row>
    <row r="253" spans="1:10" x14ac:dyDescent="0.2">
      <c r="A253" s="50">
        <f t="shared" si="4"/>
        <v>43352</v>
      </c>
      <c r="B253" s="51">
        <v>7913</v>
      </c>
      <c r="C253" s="52">
        <v>5758.4</v>
      </c>
      <c r="D253" s="52">
        <v>3242.4</v>
      </c>
      <c r="E253" s="52">
        <v>2350.3000000000002</v>
      </c>
      <c r="F253" s="52">
        <v>5439.5</v>
      </c>
      <c r="G253" s="52">
        <v>3297.8</v>
      </c>
      <c r="H253" s="52">
        <v>1737.8</v>
      </c>
      <c r="I253" s="53">
        <v>26263.599999999999</v>
      </c>
      <c r="J253" s="49"/>
    </row>
    <row r="254" spans="1:10" x14ac:dyDescent="0.2">
      <c r="A254" s="50">
        <f t="shared" si="4"/>
        <v>43353</v>
      </c>
      <c r="B254" s="51">
        <v>8367.6200000000008</v>
      </c>
      <c r="C254" s="52">
        <v>6100.61</v>
      </c>
      <c r="D254" s="52">
        <v>3255.08</v>
      </c>
      <c r="E254" s="52">
        <v>2706.15</v>
      </c>
      <c r="F254" s="52">
        <v>5182.68</v>
      </c>
      <c r="G254" s="52">
        <v>5918.67</v>
      </c>
      <c r="H254" s="52">
        <v>2782.0299999999997</v>
      </c>
      <c r="I254" s="53">
        <v>28748.78</v>
      </c>
      <c r="J254" s="49"/>
    </row>
    <row r="255" spans="1:10" x14ac:dyDescent="0.2">
      <c r="A255" s="50">
        <f t="shared" si="4"/>
        <v>43354</v>
      </c>
      <c r="B255" s="51">
        <v>8399.2199999999993</v>
      </c>
      <c r="C255" s="52">
        <v>6069.82</v>
      </c>
      <c r="D255" s="52">
        <v>3202.83</v>
      </c>
      <c r="E255" s="52">
        <v>2032.17</v>
      </c>
      <c r="F255" s="52">
        <v>5506.55</v>
      </c>
      <c r="G255" s="52">
        <v>6570.66</v>
      </c>
      <c r="H255" s="52">
        <v>3023.8699999999994</v>
      </c>
      <c r="I255" s="53">
        <v>28757.38</v>
      </c>
      <c r="J255" s="49"/>
    </row>
    <row r="256" spans="1:10" x14ac:dyDescent="0.2">
      <c r="A256" s="50">
        <f t="shared" si="4"/>
        <v>43355</v>
      </c>
      <c r="B256" s="51">
        <v>8259.4</v>
      </c>
      <c r="C256" s="52">
        <v>5060.7</v>
      </c>
      <c r="D256" s="52">
        <v>3017.5</v>
      </c>
      <c r="E256" s="52">
        <v>2124.6999999999998</v>
      </c>
      <c r="F256" s="52">
        <v>5474.3</v>
      </c>
      <c r="G256" s="52">
        <v>5852.3</v>
      </c>
      <c r="H256" s="52">
        <v>2684</v>
      </c>
      <c r="I256" s="53">
        <v>27104.899999999998</v>
      </c>
      <c r="J256" s="49"/>
    </row>
    <row r="257" spans="1:10" x14ac:dyDescent="0.2">
      <c r="A257" s="50">
        <f t="shared" si="4"/>
        <v>43356</v>
      </c>
      <c r="B257" s="51">
        <v>9826.57</v>
      </c>
      <c r="C257" s="52">
        <v>4641.1499999999996</v>
      </c>
      <c r="D257" s="52">
        <v>3670.49</v>
      </c>
      <c r="E257" s="52">
        <v>1977.44</v>
      </c>
      <c r="F257" s="52">
        <v>5374.68</v>
      </c>
      <c r="G257" s="52">
        <v>6138</v>
      </c>
      <c r="H257" s="52">
        <v>2879.91</v>
      </c>
      <c r="I257" s="53">
        <v>28748.42</v>
      </c>
      <c r="J257" s="49"/>
    </row>
    <row r="258" spans="1:10" x14ac:dyDescent="0.2">
      <c r="A258" s="50">
        <f t="shared" si="4"/>
        <v>43357</v>
      </c>
      <c r="B258" s="51">
        <v>9109.61</v>
      </c>
      <c r="C258" s="52">
        <v>4607.79</v>
      </c>
      <c r="D258" s="52">
        <v>3449.7</v>
      </c>
      <c r="E258" s="52">
        <v>1574.95</v>
      </c>
      <c r="F258" s="52">
        <v>5053.97</v>
      </c>
      <c r="G258" s="52">
        <v>5699.63</v>
      </c>
      <c r="H258" s="52">
        <v>2640.09</v>
      </c>
      <c r="I258" s="53">
        <v>26855.560000000005</v>
      </c>
      <c r="J258" s="49"/>
    </row>
    <row r="259" spans="1:10" x14ac:dyDescent="0.2">
      <c r="A259" s="50">
        <f t="shared" si="4"/>
        <v>43358</v>
      </c>
      <c r="B259" s="51">
        <v>9235.26</v>
      </c>
      <c r="C259" s="52">
        <v>4436.6899999999996</v>
      </c>
      <c r="D259" s="52">
        <v>3056.72</v>
      </c>
      <c r="E259" s="52">
        <v>2121.98</v>
      </c>
      <c r="F259" s="52">
        <v>5519.29</v>
      </c>
      <c r="G259" s="52">
        <v>4469.3500000000004</v>
      </c>
      <c r="H259" s="52">
        <v>2127.33</v>
      </c>
      <c r="I259" s="53">
        <v>26711.96</v>
      </c>
      <c r="J259" s="49"/>
    </row>
    <row r="260" spans="1:10" x14ac:dyDescent="0.2">
      <c r="A260" s="50">
        <f t="shared" si="4"/>
        <v>43359</v>
      </c>
      <c r="B260" s="51">
        <v>8637</v>
      </c>
      <c r="C260" s="52">
        <v>4355</v>
      </c>
      <c r="D260" s="52">
        <v>3138.9</v>
      </c>
      <c r="E260" s="52">
        <v>1515.2</v>
      </c>
      <c r="F260" s="52">
        <v>4736.1000000000004</v>
      </c>
      <c r="G260" s="52">
        <v>3582.3</v>
      </c>
      <c r="H260" s="52">
        <v>2067.4</v>
      </c>
      <c r="I260" s="53">
        <v>23897.099999999995</v>
      </c>
      <c r="J260" s="49"/>
    </row>
    <row r="261" spans="1:10" x14ac:dyDescent="0.2">
      <c r="A261" s="50">
        <f t="shared" si="4"/>
        <v>43360</v>
      </c>
      <c r="B261" s="51">
        <v>8925.0499999999993</v>
      </c>
      <c r="C261" s="52">
        <v>4619.67</v>
      </c>
      <c r="D261" s="52">
        <v>3320.37</v>
      </c>
      <c r="E261" s="52">
        <v>1997.39</v>
      </c>
      <c r="F261" s="52">
        <v>5295.65</v>
      </c>
      <c r="G261" s="52">
        <v>5608.15</v>
      </c>
      <c r="H261" s="52">
        <v>2817.8800000000006</v>
      </c>
      <c r="I261" s="53">
        <v>26948.399999999998</v>
      </c>
      <c r="J261" s="49"/>
    </row>
    <row r="262" spans="1:10" x14ac:dyDescent="0.2">
      <c r="A262" s="50">
        <f t="shared" si="4"/>
        <v>43361</v>
      </c>
      <c r="B262" s="51">
        <v>9761.19</v>
      </c>
      <c r="C262" s="52">
        <v>4605.5200000000004</v>
      </c>
      <c r="D262" s="52">
        <v>3326.14</v>
      </c>
      <c r="E262" s="52">
        <v>3001.97</v>
      </c>
      <c r="F262" s="52">
        <v>5640.99</v>
      </c>
      <c r="G262" s="52">
        <v>6053.12</v>
      </c>
      <c r="H262" s="52">
        <v>2865.2199999999993</v>
      </c>
      <c r="I262" s="53">
        <v>29523.710000000006</v>
      </c>
      <c r="J262" s="49"/>
    </row>
    <row r="263" spans="1:10" x14ac:dyDescent="0.2">
      <c r="A263" s="50">
        <f t="shared" si="4"/>
        <v>43362</v>
      </c>
      <c r="B263" s="51">
        <v>9280.66</v>
      </c>
      <c r="C263" s="52">
        <v>4738</v>
      </c>
      <c r="D263" s="52">
        <v>3385.31</v>
      </c>
      <c r="E263" s="52">
        <v>2042.59</v>
      </c>
      <c r="F263" s="52">
        <v>5603.91</v>
      </c>
      <c r="G263" s="52">
        <v>6040.36</v>
      </c>
      <c r="H263" s="52">
        <v>2964.9000000000005</v>
      </c>
      <c r="I263" s="53">
        <v>28125.93</v>
      </c>
      <c r="J263" s="49"/>
    </row>
    <row r="264" spans="1:10" x14ac:dyDescent="0.2">
      <c r="A264" s="50">
        <f t="shared" si="4"/>
        <v>43363</v>
      </c>
      <c r="B264" s="51">
        <v>9266.6</v>
      </c>
      <c r="C264" s="52">
        <v>4606.3999999999996</v>
      </c>
      <c r="D264" s="52">
        <v>3425.4</v>
      </c>
      <c r="E264" s="52">
        <v>2178</v>
      </c>
      <c r="F264" s="52">
        <v>5615</v>
      </c>
      <c r="G264" s="52">
        <v>6454.5</v>
      </c>
      <c r="H264" s="52">
        <v>3167.5999999999995</v>
      </c>
      <c r="I264" s="53">
        <v>28378.300000000003</v>
      </c>
      <c r="J264" s="49"/>
    </row>
    <row r="265" spans="1:10" x14ac:dyDescent="0.2">
      <c r="A265" s="50">
        <f t="shared" si="4"/>
        <v>43364</v>
      </c>
      <c r="B265" s="51">
        <v>9512.86</v>
      </c>
      <c r="C265" s="52">
        <v>4702.53</v>
      </c>
      <c r="D265" s="52">
        <v>3417.51</v>
      </c>
      <c r="E265" s="52">
        <v>2963.73</v>
      </c>
      <c r="F265" s="52">
        <v>5625.63</v>
      </c>
      <c r="G265" s="52">
        <v>6607.75</v>
      </c>
      <c r="H265" s="52">
        <v>3178.5500000000011</v>
      </c>
      <c r="I265" s="53">
        <v>29651.46</v>
      </c>
      <c r="J265" s="49"/>
    </row>
    <row r="266" spans="1:10" x14ac:dyDescent="0.2">
      <c r="A266" s="50">
        <f t="shared" si="4"/>
        <v>43365</v>
      </c>
      <c r="B266" s="51">
        <v>9505.36</v>
      </c>
      <c r="C266" s="52">
        <v>4350.58</v>
      </c>
      <c r="D266" s="52">
        <v>3282.39</v>
      </c>
      <c r="E266" s="52">
        <v>1924.32</v>
      </c>
      <c r="F266" s="52">
        <v>5679.49</v>
      </c>
      <c r="G266" s="52">
        <v>4988.6899999999996</v>
      </c>
      <c r="H266" s="52">
        <v>2245.2199999999998</v>
      </c>
      <c r="I266" s="53">
        <v>27485.609999999997</v>
      </c>
      <c r="J266" s="49"/>
    </row>
    <row r="267" spans="1:10" x14ac:dyDescent="0.2">
      <c r="A267" s="50">
        <f t="shared" si="4"/>
        <v>43366</v>
      </c>
      <c r="B267" s="51">
        <v>8672.6299999999992</v>
      </c>
      <c r="C267" s="52">
        <v>4238.6499999999996</v>
      </c>
      <c r="D267" s="52">
        <v>2974.6</v>
      </c>
      <c r="E267" s="52">
        <v>2072.27</v>
      </c>
      <c r="F267" s="52">
        <v>5115.5</v>
      </c>
      <c r="G267" s="52">
        <v>3534.57</v>
      </c>
      <c r="H267" s="52">
        <v>1901.3500000000001</v>
      </c>
      <c r="I267" s="53">
        <v>24706.87</v>
      </c>
      <c r="J267" s="49"/>
    </row>
    <row r="268" spans="1:10" x14ac:dyDescent="0.2">
      <c r="A268" s="50">
        <f t="shared" si="4"/>
        <v>43367</v>
      </c>
      <c r="B268" s="51">
        <v>8973.6</v>
      </c>
      <c r="C268" s="52">
        <v>4692.7</v>
      </c>
      <c r="D268" s="52">
        <v>3249.6</v>
      </c>
      <c r="E268" s="52">
        <v>1974.4</v>
      </c>
      <c r="F268" s="52">
        <v>5395.3</v>
      </c>
      <c r="G268" s="52">
        <v>5894.1</v>
      </c>
      <c r="H268" s="52">
        <v>3018.0999999999995</v>
      </c>
      <c r="I268" s="53">
        <v>27161.599999999999</v>
      </c>
      <c r="J268" s="49"/>
    </row>
    <row r="269" spans="1:10" x14ac:dyDescent="0.2">
      <c r="A269" s="50">
        <f t="shared" si="4"/>
        <v>43368</v>
      </c>
      <c r="B269" s="51">
        <v>9444.06</v>
      </c>
      <c r="C269" s="52">
        <v>4724.72</v>
      </c>
      <c r="D269" s="52">
        <v>3317.63</v>
      </c>
      <c r="E269" s="52">
        <v>2081.5</v>
      </c>
      <c r="F269" s="52">
        <v>5795.29</v>
      </c>
      <c r="G269" s="52">
        <v>5582.8</v>
      </c>
      <c r="H269" s="52">
        <v>2848.62</v>
      </c>
      <c r="I269" s="53">
        <v>28097.38</v>
      </c>
      <c r="J269" s="49"/>
    </row>
    <row r="270" spans="1:10" x14ac:dyDescent="0.2">
      <c r="A270" s="50">
        <f t="shared" si="4"/>
        <v>43369</v>
      </c>
      <c r="B270" s="51">
        <v>9492.7199999999993</v>
      </c>
      <c r="C270" s="52">
        <v>5084.09</v>
      </c>
      <c r="D270" s="52">
        <v>3433.35</v>
      </c>
      <c r="E270" s="52">
        <v>2252.96</v>
      </c>
      <c r="F270" s="52">
        <v>6083.43</v>
      </c>
      <c r="G270" s="52">
        <v>6077.17</v>
      </c>
      <c r="H270" s="52">
        <v>2808.2400000000002</v>
      </c>
      <c r="I270" s="53">
        <v>29615.48</v>
      </c>
      <c r="J270" s="49"/>
    </row>
    <row r="271" spans="1:10" x14ac:dyDescent="0.2">
      <c r="A271" s="50">
        <f t="shared" si="4"/>
        <v>43370</v>
      </c>
      <c r="B271" s="51">
        <v>9209.36</v>
      </c>
      <c r="C271" s="52">
        <v>4673.01</v>
      </c>
      <c r="D271" s="52">
        <v>3409.32</v>
      </c>
      <c r="E271" s="52">
        <v>1944.71</v>
      </c>
      <c r="F271" s="52">
        <v>5551.42</v>
      </c>
      <c r="G271" s="52">
        <v>6548</v>
      </c>
      <c r="H271" s="52">
        <v>3199.0200000000004</v>
      </c>
      <c r="I271" s="53">
        <v>28136.799999999999</v>
      </c>
      <c r="J271" s="49"/>
    </row>
    <row r="272" spans="1:10" x14ac:dyDescent="0.2">
      <c r="A272" s="50">
        <f t="shared" si="4"/>
        <v>43371</v>
      </c>
      <c r="B272" s="51">
        <v>9308.1</v>
      </c>
      <c r="C272" s="52">
        <v>4548</v>
      </c>
      <c r="D272" s="52">
        <v>3537.1</v>
      </c>
      <c r="E272" s="52">
        <v>2378.5</v>
      </c>
      <c r="F272" s="52">
        <v>5526</v>
      </c>
      <c r="G272" s="52">
        <v>6204.4</v>
      </c>
      <c r="H272" s="52">
        <v>2774.4000000000005</v>
      </c>
      <c r="I272" s="53">
        <v>28727.699999999997</v>
      </c>
      <c r="J272" s="49"/>
    </row>
    <row r="273" spans="1:10" x14ac:dyDescent="0.2">
      <c r="A273" s="50">
        <f t="shared" si="4"/>
        <v>43372</v>
      </c>
      <c r="B273" s="51">
        <v>9117.02</v>
      </c>
      <c r="C273" s="52">
        <v>4826.2700000000004</v>
      </c>
      <c r="D273" s="52">
        <v>3246.44</v>
      </c>
      <c r="E273" s="52">
        <v>1837.37</v>
      </c>
      <c r="F273" s="52">
        <v>5088.95</v>
      </c>
      <c r="G273" s="52">
        <v>5097.59</v>
      </c>
      <c r="H273" s="52">
        <v>2329.6899999999996</v>
      </c>
      <c r="I273" s="53">
        <v>26883.95</v>
      </c>
      <c r="J273" s="49"/>
    </row>
    <row r="274" spans="1:10" x14ac:dyDescent="0.2">
      <c r="A274" s="50">
        <f t="shared" si="4"/>
        <v>43373</v>
      </c>
      <c r="B274" s="51">
        <v>8283.74</v>
      </c>
      <c r="C274" s="52">
        <v>4135.38</v>
      </c>
      <c r="D274" s="52">
        <v>2992.89</v>
      </c>
      <c r="E274" s="52">
        <v>1743.42</v>
      </c>
      <c r="F274" s="52">
        <v>4924.8100000000004</v>
      </c>
      <c r="G274" s="52">
        <v>3676.53</v>
      </c>
      <c r="H274" s="52">
        <v>2071.2099999999996</v>
      </c>
      <c r="I274" s="53">
        <v>23685.56</v>
      </c>
      <c r="J274" s="49"/>
    </row>
    <row r="275" spans="1:10" x14ac:dyDescent="0.2">
      <c r="A275" s="50">
        <f t="shared" si="4"/>
        <v>43374</v>
      </c>
      <c r="B275" s="51">
        <v>8769.02</v>
      </c>
      <c r="C275" s="52">
        <v>4587.76</v>
      </c>
      <c r="D275" s="52">
        <v>3455.16</v>
      </c>
      <c r="E275" s="52">
        <v>1769.36</v>
      </c>
      <c r="F275" s="52">
        <v>4972.2299999999996</v>
      </c>
      <c r="G275" s="52">
        <v>6281.29</v>
      </c>
      <c r="H275" s="52">
        <v>3083.5299999999997</v>
      </c>
      <c r="I275" s="53">
        <v>26751.290000000005</v>
      </c>
      <c r="J275" s="49"/>
    </row>
    <row r="276" spans="1:10" x14ac:dyDescent="0.2">
      <c r="A276" s="50">
        <f t="shared" si="4"/>
        <v>43375</v>
      </c>
      <c r="B276" s="51">
        <v>8895.7000000000007</v>
      </c>
      <c r="C276" s="52">
        <v>4465</v>
      </c>
      <c r="D276" s="52">
        <v>3650.3</v>
      </c>
      <c r="E276" s="52">
        <v>1743.1</v>
      </c>
      <c r="F276" s="52">
        <v>5088.3</v>
      </c>
      <c r="G276" s="52">
        <v>6160.9</v>
      </c>
      <c r="H276" s="52">
        <v>2933.0999999999995</v>
      </c>
      <c r="I276" s="53">
        <v>27070.199999999997</v>
      </c>
      <c r="J276" s="49"/>
    </row>
    <row r="277" spans="1:10" x14ac:dyDescent="0.2">
      <c r="A277" s="50">
        <f t="shared" si="4"/>
        <v>43376</v>
      </c>
      <c r="B277" s="51">
        <v>9073.7000000000007</v>
      </c>
      <c r="C277" s="52">
        <v>4715.2</v>
      </c>
      <c r="D277" s="52">
        <v>3649.8</v>
      </c>
      <c r="E277" s="52">
        <v>1749.57</v>
      </c>
      <c r="F277" s="52">
        <v>5426.95</v>
      </c>
      <c r="G277" s="52">
        <v>5961.08</v>
      </c>
      <c r="H277" s="52">
        <v>3188.6000000000004</v>
      </c>
      <c r="I277" s="53">
        <v>27387.700000000004</v>
      </c>
      <c r="J277" s="49"/>
    </row>
    <row r="278" spans="1:10" x14ac:dyDescent="0.2">
      <c r="A278" s="50">
        <f t="shared" si="4"/>
        <v>43377</v>
      </c>
      <c r="B278" s="51">
        <v>9296.65</v>
      </c>
      <c r="C278" s="52">
        <v>4659.84</v>
      </c>
      <c r="D278" s="52">
        <v>3820.82</v>
      </c>
      <c r="E278" s="52">
        <v>2071.9499999999998</v>
      </c>
      <c r="F278" s="52">
        <v>5239.12</v>
      </c>
      <c r="G278" s="52">
        <v>5862.81</v>
      </c>
      <c r="H278" s="52">
        <v>3135.04</v>
      </c>
      <c r="I278" s="53">
        <v>27816.15</v>
      </c>
      <c r="J278" s="49"/>
    </row>
    <row r="279" spans="1:10" x14ac:dyDescent="0.2">
      <c r="A279" s="50">
        <f t="shared" si="4"/>
        <v>43378</v>
      </c>
      <c r="B279" s="51">
        <v>9255.93</v>
      </c>
      <c r="C279" s="52">
        <v>4826.0200000000004</v>
      </c>
      <c r="D279" s="52">
        <v>3392.4</v>
      </c>
      <c r="E279" s="52">
        <v>1816.82</v>
      </c>
      <c r="F279" s="52">
        <v>5503.39</v>
      </c>
      <c r="G279" s="52">
        <v>6144.28</v>
      </c>
      <c r="H279" s="52">
        <v>3236.4999999999991</v>
      </c>
      <c r="I279" s="53">
        <v>27702.34</v>
      </c>
      <c r="J279" s="49"/>
    </row>
    <row r="280" spans="1:10" x14ac:dyDescent="0.2">
      <c r="A280" s="50">
        <f t="shared" si="4"/>
        <v>43379</v>
      </c>
      <c r="B280" s="51">
        <v>8164.8</v>
      </c>
      <c r="C280" s="52">
        <v>5238.6000000000004</v>
      </c>
      <c r="D280" s="52">
        <v>3362.3</v>
      </c>
      <c r="E280" s="52">
        <v>1465.5</v>
      </c>
      <c r="F280" s="52">
        <v>4905.5</v>
      </c>
      <c r="G280" s="52">
        <v>4620.3</v>
      </c>
      <c r="H280" s="52">
        <v>2387.7999999999997</v>
      </c>
      <c r="I280" s="53">
        <v>25369.200000000001</v>
      </c>
      <c r="J280" s="49"/>
    </row>
    <row r="281" spans="1:10" x14ac:dyDescent="0.2">
      <c r="A281" s="50">
        <f t="shared" si="4"/>
        <v>43380</v>
      </c>
      <c r="B281" s="51">
        <v>7585.33</v>
      </c>
      <c r="C281" s="52">
        <v>5141.6899999999996</v>
      </c>
      <c r="D281" s="52">
        <v>3000.53</v>
      </c>
      <c r="E281" s="52">
        <v>2696.09</v>
      </c>
      <c r="F281" s="52">
        <v>5234.55</v>
      </c>
      <c r="G281" s="52">
        <v>3895.03</v>
      </c>
      <c r="H281" s="52">
        <v>2385.4700000000003</v>
      </c>
      <c r="I281" s="53">
        <v>25167.749999999996</v>
      </c>
      <c r="J281" s="49"/>
    </row>
    <row r="282" spans="1:10" x14ac:dyDescent="0.2">
      <c r="A282" s="50">
        <f t="shared" si="4"/>
        <v>43381</v>
      </c>
      <c r="B282" s="51">
        <v>6849.71</v>
      </c>
      <c r="C282" s="52">
        <v>5459.02</v>
      </c>
      <c r="D282" s="52">
        <v>2946.78</v>
      </c>
      <c r="E282" s="52">
        <v>2077.59</v>
      </c>
      <c r="F282" s="52">
        <v>5051.13</v>
      </c>
      <c r="G282" s="52">
        <v>5694.11</v>
      </c>
      <c r="H282" s="52">
        <v>3241.4299999999994</v>
      </c>
      <c r="I282" s="53">
        <v>24836.91</v>
      </c>
      <c r="J282" s="49"/>
    </row>
    <row r="283" spans="1:10" x14ac:dyDescent="0.2">
      <c r="A283" s="50">
        <f t="shared" si="4"/>
        <v>43382</v>
      </c>
      <c r="B283" s="51">
        <v>7058.6</v>
      </c>
      <c r="C283" s="52">
        <v>5377.82</v>
      </c>
      <c r="D283" s="52">
        <v>2910.16</v>
      </c>
      <c r="E283" s="52">
        <v>1975.92</v>
      </c>
      <c r="F283" s="52">
        <v>5319.32</v>
      </c>
      <c r="G283" s="52">
        <v>6193.95</v>
      </c>
      <c r="H283" s="52">
        <v>3393.65</v>
      </c>
      <c r="I283" s="53">
        <v>25442.12</v>
      </c>
      <c r="J283" s="49"/>
    </row>
    <row r="284" spans="1:10" x14ac:dyDescent="0.2">
      <c r="A284" s="50">
        <f t="shared" si="4"/>
        <v>43383</v>
      </c>
      <c r="B284" s="51">
        <v>7124.5</v>
      </c>
      <c r="C284" s="52">
        <v>5332.3</v>
      </c>
      <c r="D284" s="52">
        <v>3079.5</v>
      </c>
      <c r="E284" s="52">
        <v>1862.8</v>
      </c>
      <c r="F284" s="52">
        <v>5501.1</v>
      </c>
      <c r="G284" s="52">
        <v>6066.5</v>
      </c>
      <c r="H284" s="52">
        <v>3271.3</v>
      </c>
      <c r="I284" s="53">
        <v>25695.399999999998</v>
      </c>
      <c r="J284" s="49"/>
    </row>
    <row r="285" spans="1:10" x14ac:dyDescent="0.2">
      <c r="A285" s="50">
        <f t="shared" si="4"/>
        <v>43384</v>
      </c>
      <c r="B285" s="51">
        <v>8515.01</v>
      </c>
      <c r="C285" s="52">
        <v>6087.95</v>
      </c>
      <c r="D285" s="52">
        <v>3077.69</v>
      </c>
      <c r="E285" s="52">
        <v>2392.02</v>
      </c>
      <c r="F285" s="52">
        <v>6227.73</v>
      </c>
      <c r="G285" s="52">
        <v>6295.44</v>
      </c>
      <c r="H285" s="52">
        <v>3247.2800000000007</v>
      </c>
      <c r="I285" s="53">
        <v>29348.559999999998</v>
      </c>
      <c r="J285" s="49"/>
    </row>
    <row r="286" spans="1:10" x14ac:dyDescent="0.2">
      <c r="A286" s="50">
        <f t="shared" si="4"/>
        <v>43385</v>
      </c>
      <c r="B286" s="51">
        <v>8815.31</v>
      </c>
      <c r="C286" s="52">
        <v>6348.47</v>
      </c>
      <c r="D286" s="52">
        <v>3318.83</v>
      </c>
      <c r="E286" s="52">
        <v>2657.27</v>
      </c>
      <c r="F286" s="52">
        <v>4945.53</v>
      </c>
      <c r="G286" s="52">
        <v>6204.42</v>
      </c>
      <c r="H286" s="52">
        <v>2990.3900000000003</v>
      </c>
      <c r="I286" s="53">
        <v>29299.440000000002</v>
      </c>
      <c r="J286" s="49"/>
    </row>
    <row r="287" spans="1:10" x14ac:dyDescent="0.2">
      <c r="A287" s="50">
        <f t="shared" si="4"/>
        <v>43386</v>
      </c>
      <c r="B287" s="51">
        <v>8984.9500000000007</v>
      </c>
      <c r="C287" s="52">
        <v>5957.48</v>
      </c>
      <c r="D287" s="52">
        <v>3363.92</v>
      </c>
      <c r="E287" s="52">
        <v>2315.4899999999998</v>
      </c>
      <c r="F287" s="52">
        <v>6153.1</v>
      </c>
      <c r="G287" s="52">
        <v>5059.8</v>
      </c>
      <c r="H287" s="52">
        <v>2519.46</v>
      </c>
      <c r="I287" s="53">
        <v>29315.279999999995</v>
      </c>
      <c r="J287" s="49"/>
    </row>
    <row r="288" spans="1:10" x14ac:dyDescent="0.2">
      <c r="A288" s="50">
        <f t="shared" ref="A288:A351" si="5">A287+1</f>
        <v>43387</v>
      </c>
      <c r="B288" s="51">
        <v>8225.1</v>
      </c>
      <c r="C288" s="52">
        <v>5913.9</v>
      </c>
      <c r="D288" s="52">
        <v>3435.6</v>
      </c>
      <c r="E288" s="52">
        <v>1985</v>
      </c>
      <c r="F288" s="52">
        <v>5097.3</v>
      </c>
      <c r="G288" s="52">
        <v>3905</v>
      </c>
      <c r="H288" s="52">
        <v>2372.9</v>
      </c>
      <c r="I288" s="53">
        <v>26188.999999999996</v>
      </c>
      <c r="J288" s="49"/>
    </row>
    <row r="289" spans="1:10" x14ac:dyDescent="0.2">
      <c r="A289" s="50">
        <f t="shared" si="5"/>
        <v>43388</v>
      </c>
      <c r="B289" s="51">
        <v>7436.32</v>
      </c>
      <c r="C289" s="52">
        <v>6104.76</v>
      </c>
      <c r="D289" s="52">
        <v>3387.24</v>
      </c>
      <c r="E289" s="52">
        <v>1581.09</v>
      </c>
      <c r="F289" s="52">
        <v>5352.92</v>
      </c>
      <c r="G289" s="52">
        <v>6119.43</v>
      </c>
      <c r="H289" s="52">
        <v>3208.1800000000003</v>
      </c>
      <c r="I289" s="53">
        <v>26773.58</v>
      </c>
      <c r="J289" s="49"/>
    </row>
    <row r="290" spans="1:10" x14ac:dyDescent="0.2">
      <c r="A290" s="50">
        <f t="shared" si="5"/>
        <v>43389</v>
      </c>
      <c r="B290" s="51">
        <v>7759.12</v>
      </c>
      <c r="C290" s="52">
        <v>6196.95</v>
      </c>
      <c r="D290" s="52">
        <v>3538.19</v>
      </c>
      <c r="E290" s="52">
        <v>2284.27</v>
      </c>
      <c r="F290" s="52">
        <v>6262.07</v>
      </c>
      <c r="G290" s="52">
        <v>6332.97</v>
      </c>
      <c r="H290" s="52">
        <v>3107.3099999999995</v>
      </c>
      <c r="I290" s="53">
        <v>29266.260000000002</v>
      </c>
      <c r="J290" s="49"/>
    </row>
    <row r="291" spans="1:10" x14ac:dyDescent="0.2">
      <c r="A291" s="50">
        <f t="shared" si="5"/>
        <v>43390</v>
      </c>
      <c r="B291" s="51">
        <v>7651.67</v>
      </c>
      <c r="C291" s="52">
        <v>6233.14</v>
      </c>
      <c r="D291" s="52">
        <v>3400.84</v>
      </c>
      <c r="E291" s="52">
        <v>2567.0300000000002</v>
      </c>
      <c r="F291" s="52">
        <v>5435.99</v>
      </c>
      <c r="G291" s="52">
        <v>6268.36</v>
      </c>
      <c r="H291" s="52">
        <v>3479.1400000000003</v>
      </c>
      <c r="I291" s="53">
        <v>28077.89</v>
      </c>
      <c r="J291" s="49"/>
    </row>
    <row r="292" spans="1:10" x14ac:dyDescent="0.2">
      <c r="A292" s="50">
        <f t="shared" si="5"/>
        <v>43391</v>
      </c>
      <c r="B292" s="51">
        <v>7738.9</v>
      </c>
      <c r="C292" s="52">
        <v>6229.4</v>
      </c>
      <c r="D292" s="52">
        <v>3677.4</v>
      </c>
      <c r="E292" s="52">
        <v>1811.6</v>
      </c>
      <c r="F292" s="52">
        <v>5123.1000000000004</v>
      </c>
      <c r="G292" s="52">
        <v>6520.9</v>
      </c>
      <c r="H292" s="52">
        <v>3318.4999999999995</v>
      </c>
      <c r="I292" s="53">
        <v>27782.800000000003</v>
      </c>
      <c r="J292" s="49"/>
    </row>
    <row r="293" spans="1:10" x14ac:dyDescent="0.2">
      <c r="A293" s="50">
        <f t="shared" si="5"/>
        <v>43392</v>
      </c>
      <c r="B293" s="51">
        <v>7791.5</v>
      </c>
      <c r="C293" s="52">
        <v>6221.03</v>
      </c>
      <c r="D293" s="52">
        <v>3381.93</v>
      </c>
      <c r="E293" s="52">
        <v>2189.31</v>
      </c>
      <c r="F293" s="52">
        <v>6531.94</v>
      </c>
      <c r="G293" s="52">
        <v>6015.1</v>
      </c>
      <c r="H293" s="52">
        <v>2922.6600000000008</v>
      </c>
      <c r="I293" s="53">
        <v>29208.149999999998</v>
      </c>
      <c r="J293" s="49"/>
    </row>
    <row r="294" spans="1:10" x14ac:dyDescent="0.2">
      <c r="A294" s="50">
        <f t="shared" si="5"/>
        <v>43393</v>
      </c>
      <c r="B294" s="51">
        <v>7780.78</v>
      </c>
      <c r="C294" s="52">
        <v>5802.98</v>
      </c>
      <c r="D294" s="52">
        <v>3318.88</v>
      </c>
      <c r="E294" s="52">
        <v>2301.73</v>
      </c>
      <c r="F294" s="52">
        <v>6303.45</v>
      </c>
      <c r="G294" s="52">
        <v>4882.16</v>
      </c>
      <c r="H294" s="52">
        <v>3246.3099999999995</v>
      </c>
      <c r="I294" s="53">
        <v>27143.67</v>
      </c>
      <c r="J294" s="49"/>
    </row>
    <row r="295" spans="1:10" x14ac:dyDescent="0.2">
      <c r="A295" s="50">
        <f t="shared" si="5"/>
        <v>43394</v>
      </c>
      <c r="B295" s="51">
        <v>6806.29</v>
      </c>
      <c r="C295" s="52">
        <v>5668.9</v>
      </c>
      <c r="D295" s="52">
        <v>3126.13</v>
      </c>
      <c r="E295" s="52">
        <v>1436.35</v>
      </c>
      <c r="F295" s="52">
        <v>4873.46</v>
      </c>
      <c r="G295" s="52">
        <v>4022.77</v>
      </c>
      <c r="H295" s="52">
        <v>2552.2399999999998</v>
      </c>
      <c r="I295" s="53">
        <v>23381.659999999996</v>
      </c>
      <c r="J295" s="49"/>
    </row>
    <row r="296" spans="1:10" x14ac:dyDescent="0.2">
      <c r="A296" s="50">
        <f t="shared" si="5"/>
        <v>43395</v>
      </c>
      <c r="B296" s="51">
        <v>7061.3</v>
      </c>
      <c r="C296" s="52">
        <v>6153.4</v>
      </c>
      <c r="D296" s="52">
        <v>3557.5</v>
      </c>
      <c r="E296" s="52">
        <v>1371.5</v>
      </c>
      <c r="F296" s="52">
        <v>4641.8999999999996</v>
      </c>
      <c r="G296" s="52">
        <v>5638.2</v>
      </c>
      <c r="H296" s="52">
        <v>3061.1000000000004</v>
      </c>
      <c r="I296" s="53">
        <v>25362.699999999997</v>
      </c>
      <c r="J296" s="49"/>
    </row>
    <row r="297" spans="1:10" x14ac:dyDescent="0.2">
      <c r="A297" s="50">
        <f t="shared" si="5"/>
        <v>43396</v>
      </c>
      <c r="B297" s="51">
        <v>8001.94</v>
      </c>
      <c r="C297" s="52">
        <v>5727.03</v>
      </c>
      <c r="D297" s="52">
        <v>3505.94</v>
      </c>
      <c r="E297" s="52">
        <v>2201.75</v>
      </c>
      <c r="F297" s="52">
        <v>5330.92</v>
      </c>
      <c r="G297" s="52">
        <v>6040.81</v>
      </c>
      <c r="H297" s="52">
        <v>2890.9300000000003</v>
      </c>
      <c r="I297" s="53">
        <v>27917.460000000003</v>
      </c>
      <c r="J297" s="49"/>
    </row>
    <row r="298" spans="1:10" x14ac:dyDescent="0.2">
      <c r="A298" s="50">
        <f t="shared" si="5"/>
        <v>43397</v>
      </c>
      <c r="B298" s="51">
        <v>7909.33</v>
      </c>
      <c r="C298" s="52">
        <v>5892.91</v>
      </c>
      <c r="D298" s="52">
        <v>3615.7</v>
      </c>
      <c r="E298" s="52">
        <v>1926.72</v>
      </c>
      <c r="F298" s="52">
        <v>6215.71</v>
      </c>
      <c r="G298" s="52">
        <v>6533.62</v>
      </c>
      <c r="H298" s="52">
        <v>3143.11</v>
      </c>
      <c r="I298" s="53">
        <v>28950.879999999997</v>
      </c>
      <c r="J298" s="49"/>
    </row>
    <row r="299" spans="1:10" x14ac:dyDescent="0.2">
      <c r="A299" s="50">
        <f t="shared" si="5"/>
        <v>43398</v>
      </c>
      <c r="B299" s="51">
        <v>7547.79</v>
      </c>
      <c r="C299" s="52">
        <v>6211.01</v>
      </c>
      <c r="D299" s="52">
        <v>3415.64</v>
      </c>
      <c r="E299" s="52">
        <v>1898.76</v>
      </c>
      <c r="F299" s="52">
        <v>5855.71</v>
      </c>
      <c r="G299" s="52">
        <v>6069.1</v>
      </c>
      <c r="H299" s="52">
        <v>2958.85</v>
      </c>
      <c r="I299" s="53">
        <v>28039.159999999996</v>
      </c>
      <c r="J299" s="49"/>
    </row>
    <row r="300" spans="1:10" x14ac:dyDescent="0.2">
      <c r="A300" s="50">
        <f t="shared" si="5"/>
        <v>43399</v>
      </c>
      <c r="B300" s="51">
        <v>7479.9</v>
      </c>
      <c r="C300" s="52">
        <v>6243.8</v>
      </c>
      <c r="D300" s="52">
        <v>3631.2</v>
      </c>
      <c r="E300" s="52">
        <v>1568.8</v>
      </c>
      <c r="F300" s="52">
        <v>5433.5</v>
      </c>
      <c r="G300" s="52">
        <v>5970</v>
      </c>
      <c r="H300" s="52">
        <v>2971.1000000000004</v>
      </c>
      <c r="I300" s="53">
        <v>27356.1</v>
      </c>
      <c r="J300" s="49"/>
    </row>
    <row r="301" spans="1:10" x14ac:dyDescent="0.2">
      <c r="A301" s="50">
        <f t="shared" si="5"/>
        <v>43400</v>
      </c>
      <c r="B301" s="51">
        <v>6720.93</v>
      </c>
      <c r="C301" s="52">
        <v>5836.99</v>
      </c>
      <c r="D301" s="52">
        <v>3227.07</v>
      </c>
      <c r="E301" s="52">
        <v>2181.4299999999998</v>
      </c>
      <c r="F301" s="52">
        <v>5709.98</v>
      </c>
      <c r="G301" s="52">
        <v>4872.63</v>
      </c>
      <c r="H301" s="52">
        <v>2405.8900000000003</v>
      </c>
      <c r="I301" s="53">
        <v>26143.14</v>
      </c>
      <c r="J301" s="49"/>
    </row>
    <row r="302" spans="1:10" x14ac:dyDescent="0.2">
      <c r="A302" s="50">
        <f t="shared" si="5"/>
        <v>43401</v>
      </c>
      <c r="B302" s="51">
        <v>7249.82</v>
      </c>
      <c r="C302" s="52">
        <v>5867.16</v>
      </c>
      <c r="D302" s="52">
        <v>3213.08</v>
      </c>
      <c r="E302" s="52">
        <v>1964.19</v>
      </c>
      <c r="F302" s="52">
        <v>5184.28</v>
      </c>
      <c r="G302" s="52">
        <v>4263.59</v>
      </c>
      <c r="H302" s="52">
        <v>2436.9299999999998</v>
      </c>
      <c r="I302" s="53">
        <v>25305.19</v>
      </c>
      <c r="J302" s="49"/>
    </row>
    <row r="303" spans="1:10" x14ac:dyDescent="0.2">
      <c r="A303" s="50">
        <f t="shared" si="5"/>
        <v>43402</v>
      </c>
      <c r="B303" s="51">
        <v>6985.78</v>
      </c>
      <c r="C303" s="52">
        <v>5902.92</v>
      </c>
      <c r="D303" s="52">
        <v>3229.06</v>
      </c>
      <c r="E303" s="52">
        <v>1582.04</v>
      </c>
      <c r="F303" s="52">
        <v>4680.82</v>
      </c>
      <c r="G303" s="52">
        <v>6053.65</v>
      </c>
      <c r="H303" s="52">
        <v>3155.2200000000003</v>
      </c>
      <c r="I303" s="53">
        <v>25279.049999999996</v>
      </c>
      <c r="J303" s="49"/>
    </row>
    <row r="304" spans="1:10" x14ac:dyDescent="0.2">
      <c r="A304" s="50">
        <f t="shared" si="5"/>
        <v>43403</v>
      </c>
      <c r="B304" s="51">
        <v>7808.5</v>
      </c>
      <c r="C304" s="52">
        <v>6293</v>
      </c>
      <c r="D304" s="52">
        <v>3572.7</v>
      </c>
      <c r="E304" s="52">
        <v>1994.9</v>
      </c>
      <c r="F304" s="52">
        <v>5598</v>
      </c>
      <c r="G304" s="52">
        <v>6524.5</v>
      </c>
      <c r="H304" s="52">
        <v>3361.6000000000004</v>
      </c>
      <c r="I304" s="53">
        <v>28430</v>
      </c>
      <c r="J304" s="49"/>
    </row>
    <row r="305" spans="1:10" x14ac:dyDescent="0.2">
      <c r="A305" s="50">
        <f t="shared" si="5"/>
        <v>43404</v>
      </c>
      <c r="B305" s="51">
        <v>7781.05</v>
      </c>
      <c r="C305" s="52">
        <v>6114.5</v>
      </c>
      <c r="D305" s="52">
        <v>3575.08</v>
      </c>
      <c r="E305" s="52">
        <v>2168.77</v>
      </c>
      <c r="F305" s="52">
        <v>5657.91</v>
      </c>
      <c r="G305" s="52">
        <v>6851.48</v>
      </c>
      <c r="H305" s="52">
        <v>3475.380000000001</v>
      </c>
      <c r="I305" s="53">
        <v>28673.409999999996</v>
      </c>
      <c r="J305" s="49"/>
    </row>
    <row r="306" spans="1:10" x14ac:dyDescent="0.2">
      <c r="A306" s="50">
        <f t="shared" si="5"/>
        <v>43405</v>
      </c>
      <c r="B306" s="51">
        <v>7994.06</v>
      </c>
      <c r="C306" s="52">
        <v>6065.83</v>
      </c>
      <c r="D306" s="52">
        <v>3574.03</v>
      </c>
      <c r="E306" s="52">
        <v>2212.5300000000002</v>
      </c>
      <c r="F306" s="52">
        <v>6322.34</v>
      </c>
      <c r="G306" s="52">
        <v>6799.9</v>
      </c>
      <c r="H306" s="52">
        <v>3310.33</v>
      </c>
      <c r="I306" s="53">
        <v>29658.359999999993</v>
      </c>
      <c r="J306" s="49"/>
    </row>
    <row r="307" spans="1:10" x14ac:dyDescent="0.2">
      <c r="A307" s="50">
        <f t="shared" si="5"/>
        <v>43406</v>
      </c>
      <c r="B307" s="51">
        <v>7312.27</v>
      </c>
      <c r="C307" s="52">
        <v>6126.5</v>
      </c>
      <c r="D307" s="52">
        <v>3438.68</v>
      </c>
      <c r="E307" s="52">
        <v>1637.13</v>
      </c>
      <c r="F307" s="52">
        <v>5150.72</v>
      </c>
      <c r="G307" s="52">
        <v>6529.86</v>
      </c>
      <c r="H307" s="52">
        <v>3207.45</v>
      </c>
      <c r="I307" s="53">
        <v>26987.710000000003</v>
      </c>
      <c r="J307" s="49"/>
    </row>
    <row r="308" spans="1:10" x14ac:dyDescent="0.2">
      <c r="A308" s="50">
        <f t="shared" si="5"/>
        <v>43407</v>
      </c>
      <c r="B308" s="51">
        <v>6865.1</v>
      </c>
      <c r="C308" s="52">
        <v>5881.8</v>
      </c>
      <c r="D308" s="52">
        <v>3257.4</v>
      </c>
      <c r="E308" s="52">
        <v>2059.1</v>
      </c>
      <c r="F308" s="52">
        <v>5110</v>
      </c>
      <c r="G308" s="52">
        <v>5067</v>
      </c>
      <c r="H308" s="52">
        <v>2609.8000000000002</v>
      </c>
      <c r="I308" s="53">
        <v>25630.600000000002</v>
      </c>
      <c r="J308" s="49"/>
    </row>
    <row r="309" spans="1:10" x14ac:dyDescent="0.2">
      <c r="A309" s="50">
        <f t="shared" si="5"/>
        <v>43408</v>
      </c>
      <c r="B309" s="51">
        <v>6641.16</v>
      </c>
      <c r="C309" s="52">
        <v>5618.48</v>
      </c>
      <c r="D309" s="52">
        <v>3080.32</v>
      </c>
      <c r="E309" s="52">
        <v>2699.73</v>
      </c>
      <c r="F309" s="52">
        <v>5707.43</v>
      </c>
      <c r="G309" s="52">
        <v>3994.55</v>
      </c>
      <c r="H309" s="52">
        <v>2387.0600000000004</v>
      </c>
      <c r="I309" s="53">
        <v>25354.609999999997</v>
      </c>
      <c r="J309" s="49"/>
    </row>
    <row r="310" spans="1:10" x14ac:dyDescent="0.2">
      <c r="A310" s="50">
        <f t="shared" si="5"/>
        <v>43409</v>
      </c>
      <c r="B310" s="51">
        <v>6280.49</v>
      </c>
      <c r="C310" s="52">
        <v>5619.66</v>
      </c>
      <c r="D310" s="52">
        <v>3288.23</v>
      </c>
      <c r="E310" s="52">
        <v>2000.31</v>
      </c>
      <c r="F310" s="52">
        <v>3940.62</v>
      </c>
      <c r="G310" s="52">
        <v>4656.8599999999997</v>
      </c>
      <c r="H310" s="52">
        <v>2375.8000000000002</v>
      </c>
      <c r="I310" s="53">
        <v>23410.37</v>
      </c>
      <c r="J310" s="49"/>
    </row>
    <row r="311" spans="1:10" x14ac:dyDescent="0.2">
      <c r="A311" s="50">
        <f t="shared" si="5"/>
        <v>43410</v>
      </c>
      <c r="B311" s="51">
        <v>7394.69</v>
      </c>
      <c r="C311" s="52">
        <v>6006.48</v>
      </c>
      <c r="D311" s="52">
        <v>3443.05</v>
      </c>
      <c r="E311" s="52">
        <v>2123.94</v>
      </c>
      <c r="F311" s="52">
        <v>5083.43</v>
      </c>
      <c r="G311" s="52">
        <v>6475.63</v>
      </c>
      <c r="H311" s="52">
        <v>3123.3</v>
      </c>
      <c r="I311" s="53">
        <v>27403.919999999998</v>
      </c>
      <c r="J311" s="49"/>
    </row>
    <row r="312" spans="1:10" x14ac:dyDescent="0.2">
      <c r="A312" s="50">
        <f t="shared" si="5"/>
        <v>43411</v>
      </c>
      <c r="B312" s="51">
        <v>7739.9</v>
      </c>
      <c r="C312" s="52">
        <v>6094.7</v>
      </c>
      <c r="D312" s="52">
        <v>3303.4</v>
      </c>
      <c r="E312" s="52">
        <v>2553.3000000000002</v>
      </c>
      <c r="F312" s="52">
        <v>5476</v>
      </c>
      <c r="G312" s="52">
        <v>6756.5</v>
      </c>
      <c r="H312" s="52">
        <v>3406.3</v>
      </c>
      <c r="I312" s="53">
        <v>28517.5</v>
      </c>
      <c r="J312" s="49"/>
    </row>
    <row r="313" spans="1:10" x14ac:dyDescent="0.2">
      <c r="A313" s="50">
        <f t="shared" si="5"/>
        <v>43412</v>
      </c>
      <c r="B313" s="51">
        <v>7404.68</v>
      </c>
      <c r="C313" s="52">
        <v>6062.29</v>
      </c>
      <c r="D313" s="52">
        <v>3145.15</v>
      </c>
      <c r="E313" s="52">
        <v>2257.39</v>
      </c>
      <c r="F313" s="52">
        <v>4727.8</v>
      </c>
      <c r="G313" s="52">
        <v>6459.39</v>
      </c>
      <c r="H313" s="52">
        <v>3277.05</v>
      </c>
      <c r="I313" s="53">
        <v>26779.65</v>
      </c>
      <c r="J313" s="49"/>
    </row>
    <row r="314" spans="1:10" x14ac:dyDescent="0.2">
      <c r="A314" s="50">
        <f t="shared" si="5"/>
        <v>43413</v>
      </c>
      <c r="B314" s="51">
        <v>7851.91</v>
      </c>
      <c r="C314" s="52">
        <v>5973.14</v>
      </c>
      <c r="D314" s="52">
        <v>3768.66</v>
      </c>
      <c r="E314" s="52">
        <v>2196.85</v>
      </c>
      <c r="F314" s="52">
        <v>6012.4</v>
      </c>
      <c r="G314" s="52">
        <v>6841.32</v>
      </c>
      <c r="H314" s="52">
        <v>3301.41</v>
      </c>
      <c r="I314" s="53">
        <v>29342.87</v>
      </c>
      <c r="J314" s="49"/>
    </row>
    <row r="315" spans="1:10" x14ac:dyDescent="0.2">
      <c r="A315" s="50">
        <f t="shared" si="5"/>
        <v>43414</v>
      </c>
      <c r="B315" s="51">
        <v>7661.64</v>
      </c>
      <c r="C315" s="52">
        <v>5541.48</v>
      </c>
      <c r="D315" s="52">
        <v>4055.51</v>
      </c>
      <c r="E315" s="52">
        <v>2037.54</v>
      </c>
      <c r="F315" s="52">
        <v>5512.32</v>
      </c>
      <c r="G315" s="52">
        <v>5464.05</v>
      </c>
      <c r="H315" s="52">
        <v>2684.58</v>
      </c>
      <c r="I315" s="53">
        <v>27587.96</v>
      </c>
      <c r="J315" s="49"/>
    </row>
    <row r="316" spans="1:10" x14ac:dyDescent="0.2">
      <c r="A316" s="50">
        <f t="shared" si="5"/>
        <v>43415</v>
      </c>
      <c r="B316" s="51">
        <v>6857.8</v>
      </c>
      <c r="C316" s="52">
        <v>5461.3</v>
      </c>
      <c r="D316" s="52">
        <v>4208.6000000000004</v>
      </c>
      <c r="E316" s="52">
        <v>1976.2</v>
      </c>
      <c r="F316" s="52">
        <v>4576.7</v>
      </c>
      <c r="G316" s="52">
        <v>4374.7</v>
      </c>
      <c r="H316" s="52">
        <v>2500.7999999999997</v>
      </c>
      <c r="I316" s="53">
        <v>24954.500000000004</v>
      </c>
      <c r="J316" s="49"/>
    </row>
    <row r="317" spans="1:10" x14ac:dyDescent="0.2">
      <c r="A317" s="50">
        <f t="shared" si="5"/>
        <v>43416</v>
      </c>
      <c r="B317" s="51">
        <v>7672.1</v>
      </c>
      <c r="C317" s="52">
        <v>5846.47</v>
      </c>
      <c r="D317" s="52">
        <v>4266.62</v>
      </c>
      <c r="E317" s="52">
        <v>2333.73</v>
      </c>
      <c r="F317" s="52">
        <v>4569.7</v>
      </c>
      <c r="G317" s="52">
        <v>5802.16</v>
      </c>
      <c r="H317" s="52">
        <v>3033.2399999999993</v>
      </c>
      <c r="I317" s="53">
        <v>27457.54</v>
      </c>
      <c r="J317" s="49"/>
    </row>
    <row r="318" spans="1:10" x14ac:dyDescent="0.2">
      <c r="A318" s="50">
        <f t="shared" si="5"/>
        <v>43417</v>
      </c>
      <c r="B318" s="51">
        <v>7603</v>
      </c>
      <c r="C318" s="52">
        <v>5725.6</v>
      </c>
      <c r="D318" s="52">
        <v>3717</v>
      </c>
      <c r="E318" s="52">
        <v>2375</v>
      </c>
      <c r="F318" s="52">
        <v>5264.7</v>
      </c>
      <c r="G318" s="52">
        <v>6332</v>
      </c>
      <c r="H318" s="52">
        <v>3186</v>
      </c>
      <c r="I318" s="53">
        <v>27831.3</v>
      </c>
      <c r="J318" s="49"/>
    </row>
    <row r="319" spans="1:10" x14ac:dyDescent="0.2">
      <c r="A319" s="50">
        <f t="shared" si="5"/>
        <v>43418</v>
      </c>
      <c r="B319" s="51">
        <v>7796.94</v>
      </c>
      <c r="C319" s="52">
        <v>5924.92</v>
      </c>
      <c r="D319" s="52">
        <v>3605.39</v>
      </c>
      <c r="E319" s="52">
        <v>2171.2199999999998</v>
      </c>
      <c r="F319" s="52">
        <v>6321.46</v>
      </c>
      <c r="G319" s="52">
        <v>5991.52</v>
      </c>
      <c r="H319" s="52">
        <v>3304.26</v>
      </c>
      <c r="I319" s="53">
        <v>28507.190000000002</v>
      </c>
      <c r="J319" s="49"/>
    </row>
    <row r="320" spans="1:10" x14ac:dyDescent="0.2">
      <c r="A320" s="50">
        <f t="shared" si="5"/>
        <v>43419</v>
      </c>
      <c r="B320" s="51">
        <v>7705.6</v>
      </c>
      <c r="C320" s="52">
        <v>5941.9</v>
      </c>
      <c r="D320" s="52">
        <v>3552.5</v>
      </c>
      <c r="E320" s="52">
        <v>2153.5</v>
      </c>
      <c r="F320" s="52">
        <v>5728.2</v>
      </c>
      <c r="G320" s="52">
        <v>6076.7</v>
      </c>
      <c r="H320" s="52">
        <v>3256.9999999999995</v>
      </c>
      <c r="I320" s="53">
        <v>27901.4</v>
      </c>
      <c r="J320" s="49"/>
    </row>
    <row r="321" spans="1:10" x14ac:dyDescent="0.2">
      <c r="A321" s="50">
        <f t="shared" si="5"/>
        <v>43420</v>
      </c>
      <c r="B321" s="51">
        <v>6869.15</v>
      </c>
      <c r="C321" s="52">
        <v>5738.7</v>
      </c>
      <c r="D321" s="52">
        <v>3423.54</v>
      </c>
      <c r="E321" s="52">
        <v>2438.6999999999998</v>
      </c>
      <c r="F321" s="52">
        <v>4934</v>
      </c>
      <c r="G321" s="52">
        <v>5987.7</v>
      </c>
      <c r="H321" s="52">
        <v>3064.26</v>
      </c>
      <c r="I321" s="53">
        <v>26327.53</v>
      </c>
      <c r="J321" s="49"/>
    </row>
    <row r="322" spans="1:10" x14ac:dyDescent="0.2">
      <c r="A322" s="50">
        <f t="shared" si="5"/>
        <v>43421</v>
      </c>
      <c r="B322" s="51">
        <v>6339.8</v>
      </c>
      <c r="C322" s="52">
        <v>5406</v>
      </c>
      <c r="D322" s="52">
        <v>3190</v>
      </c>
      <c r="E322" s="52">
        <v>2022.3</v>
      </c>
      <c r="F322" s="52">
        <v>4488</v>
      </c>
      <c r="G322" s="52">
        <v>4806</v>
      </c>
      <c r="H322" s="52">
        <v>2408.1</v>
      </c>
      <c r="I322" s="53">
        <v>23844</v>
      </c>
      <c r="J322" s="49"/>
    </row>
    <row r="323" spans="1:10" x14ac:dyDescent="0.2">
      <c r="A323" s="50">
        <f t="shared" si="5"/>
        <v>43422</v>
      </c>
      <c r="B323" s="51">
        <v>6331.62</v>
      </c>
      <c r="C323" s="52">
        <v>5507.35</v>
      </c>
      <c r="D323" s="52">
        <v>3178.25</v>
      </c>
      <c r="E323" s="52">
        <v>2026.25</v>
      </c>
      <c r="F323" s="52">
        <v>4912.83</v>
      </c>
      <c r="G323" s="52">
        <v>4817.53</v>
      </c>
      <c r="H323" s="52">
        <v>2281.1899999999996</v>
      </c>
      <c r="I323" s="53">
        <v>24492.640000000003</v>
      </c>
      <c r="J323" s="49"/>
    </row>
    <row r="324" spans="1:10" x14ac:dyDescent="0.2">
      <c r="A324" s="50">
        <f t="shared" si="5"/>
        <v>43423</v>
      </c>
      <c r="B324" s="51">
        <v>6614.1</v>
      </c>
      <c r="C324" s="52">
        <v>5815.4</v>
      </c>
      <c r="D324" s="52">
        <v>3439.3</v>
      </c>
      <c r="E324" s="52">
        <v>2172.6</v>
      </c>
      <c r="F324" s="52">
        <v>4434.6000000000004</v>
      </c>
      <c r="G324" s="52">
        <v>5897.4</v>
      </c>
      <c r="H324" s="52">
        <v>3153.1999999999994</v>
      </c>
      <c r="I324" s="53">
        <v>25220.2</v>
      </c>
      <c r="J324" s="49"/>
    </row>
    <row r="325" spans="1:10" x14ac:dyDescent="0.2">
      <c r="A325" s="50">
        <f t="shared" si="5"/>
        <v>43424</v>
      </c>
      <c r="B325" s="51">
        <v>7482.65</v>
      </c>
      <c r="C325" s="52">
        <v>6032.92</v>
      </c>
      <c r="D325" s="52">
        <v>3658.72</v>
      </c>
      <c r="E325" s="52">
        <v>2204.7199999999998</v>
      </c>
      <c r="F325" s="52">
        <v>4434.51</v>
      </c>
      <c r="G325" s="52">
        <v>5932.06</v>
      </c>
      <c r="H325" s="52">
        <v>3090.9399999999996</v>
      </c>
      <c r="I325" s="53">
        <v>26654.640000000007</v>
      </c>
      <c r="J325" s="49"/>
    </row>
    <row r="326" spans="1:10" x14ac:dyDescent="0.2">
      <c r="A326" s="50">
        <f t="shared" si="5"/>
        <v>43425</v>
      </c>
      <c r="B326" s="51">
        <v>8041.4</v>
      </c>
      <c r="C326" s="52">
        <v>6117.4</v>
      </c>
      <c r="D326" s="52">
        <v>3701</v>
      </c>
      <c r="E326" s="52">
        <v>2290</v>
      </c>
      <c r="F326" s="52">
        <v>5909.5</v>
      </c>
      <c r="G326" s="52">
        <v>6338.8</v>
      </c>
      <c r="H326" s="52">
        <v>3602.2</v>
      </c>
      <c r="I326" s="53">
        <v>28795.899999999998</v>
      </c>
      <c r="J326" s="49"/>
    </row>
    <row r="327" spans="1:10" x14ac:dyDescent="0.2">
      <c r="A327" s="50">
        <f t="shared" si="5"/>
        <v>43426</v>
      </c>
      <c r="B327" s="51">
        <v>7082.64</v>
      </c>
      <c r="C327" s="52">
        <v>6020.26</v>
      </c>
      <c r="D327" s="52">
        <v>3593.94</v>
      </c>
      <c r="E327" s="52">
        <v>1993.46</v>
      </c>
      <c r="F327" s="52">
        <v>5005.96</v>
      </c>
      <c r="G327" s="52">
        <v>6316.62</v>
      </c>
      <c r="H327" s="52">
        <v>3662.6100000000006</v>
      </c>
      <c r="I327" s="53">
        <v>26350.269999999997</v>
      </c>
      <c r="J327" s="49"/>
    </row>
    <row r="328" spans="1:10" x14ac:dyDescent="0.2">
      <c r="A328" s="50">
        <f t="shared" si="5"/>
        <v>43427</v>
      </c>
      <c r="B328" s="51">
        <v>7602.2</v>
      </c>
      <c r="C328" s="52">
        <v>6014.2</v>
      </c>
      <c r="D328" s="52">
        <v>3747.3</v>
      </c>
      <c r="E328" s="52">
        <v>2200.1</v>
      </c>
      <c r="F328" s="52">
        <v>5589.4</v>
      </c>
      <c r="G328" s="52">
        <v>5649</v>
      </c>
      <c r="H328" s="52">
        <v>3191.6000000000008</v>
      </c>
      <c r="I328" s="53">
        <v>27610.599999999995</v>
      </c>
      <c r="J328" s="49"/>
    </row>
    <row r="329" spans="1:10" x14ac:dyDescent="0.2">
      <c r="A329" s="50">
        <f t="shared" si="5"/>
        <v>43428</v>
      </c>
      <c r="B329" s="51">
        <v>6774.67</v>
      </c>
      <c r="C329" s="52">
        <v>5503.17</v>
      </c>
      <c r="D329" s="52">
        <v>3497.91</v>
      </c>
      <c r="E329" s="52">
        <v>2167.37</v>
      </c>
      <c r="F329" s="52">
        <v>4958.82</v>
      </c>
      <c r="G329" s="52">
        <v>4920.9399999999996</v>
      </c>
      <c r="H329" s="52">
        <v>2313.25</v>
      </c>
      <c r="I329" s="53">
        <v>25509.629999999997</v>
      </c>
      <c r="J329" s="49"/>
    </row>
    <row r="330" spans="1:10" x14ac:dyDescent="0.2">
      <c r="A330" s="50">
        <f t="shared" si="5"/>
        <v>43429</v>
      </c>
      <c r="B330" s="51">
        <v>6741</v>
      </c>
      <c r="C330" s="52">
        <v>5665</v>
      </c>
      <c r="D330" s="52">
        <v>3350.8</v>
      </c>
      <c r="E330" s="52">
        <v>2203.8000000000002</v>
      </c>
      <c r="F330" s="52">
        <v>5693.5</v>
      </c>
      <c r="G330" s="52">
        <v>4357.8</v>
      </c>
      <c r="H330" s="52">
        <v>2148.5</v>
      </c>
      <c r="I330" s="53">
        <v>25863.399999999998</v>
      </c>
      <c r="J330" s="49"/>
    </row>
    <row r="331" spans="1:10" x14ac:dyDescent="0.2">
      <c r="A331" s="50">
        <f t="shared" si="5"/>
        <v>43430</v>
      </c>
      <c r="B331" s="51">
        <v>6706.35</v>
      </c>
      <c r="C331" s="52">
        <v>5913.41</v>
      </c>
      <c r="D331" s="52">
        <v>3486.65</v>
      </c>
      <c r="E331" s="52">
        <v>2249.75</v>
      </c>
      <c r="F331" s="52">
        <v>5075.84</v>
      </c>
      <c r="G331" s="52">
        <v>5603.36</v>
      </c>
      <c r="H331" s="52">
        <v>3114.1400000000003</v>
      </c>
      <c r="I331" s="53">
        <v>25921.22</v>
      </c>
      <c r="J331" s="49"/>
    </row>
    <row r="332" spans="1:10" x14ac:dyDescent="0.2">
      <c r="A332" s="50">
        <f t="shared" si="5"/>
        <v>43431</v>
      </c>
      <c r="B332" s="51">
        <v>7545.4</v>
      </c>
      <c r="C332" s="52">
        <v>6158.2</v>
      </c>
      <c r="D332" s="52">
        <v>3536.2</v>
      </c>
      <c r="E332" s="52">
        <v>2222.6</v>
      </c>
      <c r="F332" s="52">
        <v>5501.2</v>
      </c>
      <c r="G332" s="52">
        <v>5792.6</v>
      </c>
      <c r="H332" s="52">
        <v>3135.8999999999992</v>
      </c>
      <c r="I332" s="53">
        <v>27620.3</v>
      </c>
      <c r="J332" s="49"/>
    </row>
    <row r="333" spans="1:10" x14ac:dyDescent="0.2">
      <c r="A333" s="50">
        <f t="shared" si="5"/>
        <v>43432</v>
      </c>
      <c r="B333" s="51">
        <v>7632.98</v>
      </c>
      <c r="C333" s="52">
        <v>6151.64</v>
      </c>
      <c r="D333" s="52">
        <v>3493.49</v>
      </c>
      <c r="E333" s="52">
        <v>2315.39</v>
      </c>
      <c r="F333" s="52">
        <v>6216.62</v>
      </c>
      <c r="G333" s="52">
        <v>5893.88</v>
      </c>
      <c r="H333" s="52">
        <v>3064.25</v>
      </c>
      <c r="I333" s="53">
        <v>28639.75</v>
      </c>
      <c r="J333" s="49"/>
    </row>
    <row r="334" spans="1:10" x14ac:dyDescent="0.2">
      <c r="A334" s="50">
        <f t="shared" si="5"/>
        <v>43433</v>
      </c>
      <c r="B334" s="51">
        <v>7914.12</v>
      </c>
      <c r="C334" s="52">
        <v>6269.04</v>
      </c>
      <c r="D334" s="52">
        <v>3736.86</v>
      </c>
      <c r="E334" s="52">
        <v>2658.55</v>
      </c>
      <c r="F334" s="52">
        <v>6135.84</v>
      </c>
      <c r="G334" s="52">
        <v>5560.58</v>
      </c>
      <c r="H334" s="52">
        <v>2987.7200000000003</v>
      </c>
      <c r="I334" s="53">
        <v>29287.269999999997</v>
      </c>
      <c r="J334" s="49"/>
    </row>
    <row r="335" spans="1:10" x14ac:dyDescent="0.2">
      <c r="A335" s="50">
        <f t="shared" si="5"/>
        <v>43434</v>
      </c>
      <c r="B335" s="51">
        <v>7865.62</v>
      </c>
      <c r="C335" s="52">
        <v>5981.38</v>
      </c>
      <c r="D335" s="52">
        <v>3716.74</v>
      </c>
      <c r="E335" s="52">
        <v>1999.88</v>
      </c>
      <c r="F335" s="52">
        <v>4639.12</v>
      </c>
      <c r="G335" s="52">
        <v>6087.7</v>
      </c>
      <c r="H335" s="52">
        <v>3239.9499999999994</v>
      </c>
      <c r="I335" s="53">
        <v>27050.489999999998</v>
      </c>
      <c r="J335" s="49"/>
    </row>
    <row r="336" spans="1:10" x14ac:dyDescent="0.2">
      <c r="A336" s="50">
        <f t="shared" si="5"/>
        <v>43435</v>
      </c>
      <c r="B336" s="51">
        <v>7752.4</v>
      </c>
      <c r="C336" s="52">
        <v>5961.6</v>
      </c>
      <c r="D336" s="52">
        <v>3478.5</v>
      </c>
      <c r="E336" s="52">
        <v>1997.6</v>
      </c>
      <c r="F336" s="52">
        <v>4961.3999999999996</v>
      </c>
      <c r="G336" s="52">
        <v>5197.8999999999996</v>
      </c>
      <c r="H336" s="52">
        <v>2582.5</v>
      </c>
      <c r="I336" s="53">
        <v>26766.9</v>
      </c>
      <c r="J336" s="49"/>
    </row>
    <row r="337" spans="1:10" x14ac:dyDescent="0.2">
      <c r="A337" s="50">
        <f t="shared" si="5"/>
        <v>43436</v>
      </c>
      <c r="B337" s="51">
        <v>7466.75</v>
      </c>
      <c r="C337" s="52">
        <v>5724.01</v>
      </c>
      <c r="D337" s="52">
        <v>3421.03</v>
      </c>
      <c r="E337" s="52">
        <v>2204.3200000000002</v>
      </c>
      <c r="F337" s="52">
        <v>5429.59</v>
      </c>
      <c r="G337" s="52">
        <v>4967</v>
      </c>
      <c r="H337" s="52">
        <v>2183.1900000000005</v>
      </c>
      <c r="I337" s="53">
        <v>27029.510000000002</v>
      </c>
      <c r="J337" s="49"/>
    </row>
    <row r="338" spans="1:10" x14ac:dyDescent="0.2">
      <c r="A338" s="50">
        <f t="shared" si="5"/>
        <v>43437</v>
      </c>
      <c r="B338" s="51">
        <v>7987.05</v>
      </c>
      <c r="C338" s="52">
        <v>6013.11</v>
      </c>
      <c r="D338" s="52">
        <v>3707.04</v>
      </c>
      <c r="E338" s="52">
        <v>2275.34</v>
      </c>
      <c r="F338" s="52">
        <v>5530.88</v>
      </c>
      <c r="G338" s="52">
        <v>5923.91</v>
      </c>
      <c r="H338" s="52">
        <v>2971.7400000000007</v>
      </c>
      <c r="I338" s="53">
        <v>28465.59</v>
      </c>
      <c r="J338" s="49"/>
    </row>
    <row r="339" spans="1:10" x14ac:dyDescent="0.2">
      <c r="A339" s="50">
        <f t="shared" si="5"/>
        <v>43438</v>
      </c>
      <c r="B339" s="51">
        <v>7610.8</v>
      </c>
      <c r="C339" s="52">
        <v>6058.83</v>
      </c>
      <c r="D339" s="52">
        <v>3765.46</v>
      </c>
      <c r="E339" s="52">
        <v>2050.46</v>
      </c>
      <c r="F339" s="52">
        <v>5270.1</v>
      </c>
      <c r="G339" s="52">
        <v>6349.42</v>
      </c>
      <c r="H339" s="52">
        <v>3178.08</v>
      </c>
      <c r="I339" s="53">
        <v>27926.989999999998</v>
      </c>
      <c r="J339" s="49"/>
    </row>
    <row r="340" spans="1:10" x14ac:dyDescent="0.2">
      <c r="A340" s="50">
        <f t="shared" si="5"/>
        <v>43439</v>
      </c>
      <c r="B340" s="51">
        <v>7597.5</v>
      </c>
      <c r="C340" s="52">
        <v>5548.5</v>
      </c>
      <c r="D340" s="52">
        <v>4163.3999999999996</v>
      </c>
      <c r="E340" s="52">
        <v>2096.4</v>
      </c>
      <c r="F340" s="52">
        <v>5559.5</v>
      </c>
      <c r="G340" s="52">
        <v>6597</v>
      </c>
      <c r="H340" s="52">
        <v>3169.0000000000005</v>
      </c>
      <c r="I340" s="53">
        <v>28393.300000000003</v>
      </c>
      <c r="J340" s="49"/>
    </row>
    <row r="341" spans="1:10" x14ac:dyDescent="0.2">
      <c r="A341" s="50">
        <f t="shared" si="5"/>
        <v>43440</v>
      </c>
      <c r="B341" s="51">
        <v>7893.4</v>
      </c>
      <c r="C341" s="52">
        <v>5280.4</v>
      </c>
      <c r="D341" s="52">
        <v>4161.8</v>
      </c>
      <c r="E341" s="52">
        <v>2267.4</v>
      </c>
      <c r="F341" s="52">
        <v>5533</v>
      </c>
      <c r="G341" s="52">
        <v>6621.3</v>
      </c>
      <c r="H341" s="52">
        <v>3174.3</v>
      </c>
      <c r="I341" s="53">
        <v>28583</v>
      </c>
      <c r="J341" s="49"/>
    </row>
    <row r="342" spans="1:10" x14ac:dyDescent="0.2">
      <c r="A342" s="50">
        <f t="shared" si="5"/>
        <v>43441</v>
      </c>
      <c r="B342" s="51">
        <v>7418.51</v>
      </c>
      <c r="C342" s="52">
        <v>5261.03</v>
      </c>
      <c r="D342" s="52">
        <v>4042.28</v>
      </c>
      <c r="E342" s="52">
        <v>2194.6</v>
      </c>
      <c r="F342" s="52">
        <v>4975.9399999999996</v>
      </c>
      <c r="G342" s="52">
        <v>6551.08</v>
      </c>
      <c r="H342" s="52">
        <v>3196.8599999999997</v>
      </c>
      <c r="I342" s="53">
        <v>27246.579999999994</v>
      </c>
      <c r="J342" s="49"/>
    </row>
    <row r="343" spans="1:10" x14ac:dyDescent="0.2">
      <c r="A343" s="50">
        <f t="shared" si="5"/>
        <v>43442</v>
      </c>
      <c r="B343" s="51">
        <v>6116.85</v>
      </c>
      <c r="C343" s="52">
        <v>4776.97</v>
      </c>
      <c r="D343" s="52">
        <v>3850.23</v>
      </c>
      <c r="E343" s="52">
        <v>2108.4</v>
      </c>
      <c r="F343" s="52">
        <v>4362.25</v>
      </c>
      <c r="G343" s="52">
        <v>5502.65</v>
      </c>
      <c r="H343" s="52">
        <v>2485.37</v>
      </c>
      <c r="I343" s="53">
        <v>24231.98</v>
      </c>
      <c r="J343" s="49"/>
    </row>
    <row r="344" spans="1:10" x14ac:dyDescent="0.2">
      <c r="A344" s="50">
        <f t="shared" si="5"/>
        <v>43443</v>
      </c>
      <c r="B344" s="51">
        <v>6137.8</v>
      </c>
      <c r="C344" s="52">
        <v>4763.1000000000004</v>
      </c>
      <c r="D344" s="52">
        <v>3928.9</v>
      </c>
      <c r="E344" s="52">
        <v>1983.1</v>
      </c>
      <c r="F344" s="52">
        <v>4074.5</v>
      </c>
      <c r="G344" s="52">
        <v>4540.2</v>
      </c>
      <c r="H344" s="52">
        <v>2423.5</v>
      </c>
      <c r="I344" s="53">
        <v>23004.100000000002</v>
      </c>
      <c r="J344" s="49"/>
    </row>
    <row r="345" spans="1:10" x14ac:dyDescent="0.2">
      <c r="A345" s="50">
        <f t="shared" si="5"/>
        <v>43444</v>
      </c>
      <c r="B345" s="51">
        <v>6933.43</v>
      </c>
      <c r="C345" s="52">
        <v>5418.22</v>
      </c>
      <c r="D345" s="52">
        <v>4208.78</v>
      </c>
      <c r="E345" s="52">
        <v>2668.58</v>
      </c>
      <c r="F345" s="52">
        <v>4438.07</v>
      </c>
      <c r="G345" s="52">
        <v>6313.86</v>
      </c>
      <c r="H345" s="52">
        <v>3357.11</v>
      </c>
      <c r="I345" s="53">
        <v>26623.83</v>
      </c>
      <c r="J345" s="49"/>
    </row>
    <row r="346" spans="1:10" x14ac:dyDescent="0.2">
      <c r="A346" s="50">
        <f t="shared" si="5"/>
        <v>43445</v>
      </c>
      <c r="B346" s="51">
        <v>7599.27</v>
      </c>
      <c r="C346" s="52">
        <v>5305.78</v>
      </c>
      <c r="D346" s="52">
        <v>3917.61</v>
      </c>
      <c r="E346" s="52">
        <v>2119.54</v>
      </c>
      <c r="F346" s="52">
        <v>4423.8100000000004</v>
      </c>
      <c r="G346" s="52">
        <v>6913.07</v>
      </c>
      <c r="H346" s="52">
        <v>3538.36</v>
      </c>
      <c r="I346" s="53">
        <v>26740.720000000001</v>
      </c>
      <c r="J346" s="49"/>
    </row>
    <row r="347" spans="1:10" x14ac:dyDescent="0.2">
      <c r="A347" s="50">
        <f t="shared" si="5"/>
        <v>43446</v>
      </c>
      <c r="B347" s="51">
        <v>7170.95</v>
      </c>
      <c r="C347" s="52">
        <v>5166.2</v>
      </c>
      <c r="D347" s="52">
        <v>3887.38</v>
      </c>
      <c r="E347" s="52">
        <v>2022.21</v>
      </c>
      <c r="F347" s="52">
        <v>4713.49</v>
      </c>
      <c r="G347" s="52">
        <v>6594.78</v>
      </c>
      <c r="H347" s="52">
        <v>3430.4300000000003</v>
      </c>
      <c r="I347" s="53">
        <v>26124.579999999994</v>
      </c>
      <c r="J347" s="49"/>
    </row>
    <row r="348" spans="1:10" x14ac:dyDescent="0.2">
      <c r="A348" s="50">
        <f t="shared" si="5"/>
        <v>43447</v>
      </c>
      <c r="B348" s="51">
        <v>6979.2</v>
      </c>
      <c r="C348" s="52">
        <v>5083.7</v>
      </c>
      <c r="D348" s="52">
        <v>3867.9</v>
      </c>
      <c r="E348" s="52">
        <v>2351.5</v>
      </c>
      <c r="F348" s="52">
        <v>5560.5</v>
      </c>
      <c r="G348" s="52">
        <v>6478.8</v>
      </c>
      <c r="H348" s="52">
        <v>3245.9</v>
      </c>
      <c r="I348" s="53">
        <v>27075.699999999997</v>
      </c>
      <c r="J348" s="49"/>
    </row>
    <row r="349" spans="1:10" x14ac:dyDescent="0.2">
      <c r="A349" s="50">
        <f t="shared" si="5"/>
        <v>43448</v>
      </c>
      <c r="B349" s="51">
        <v>6294.68</v>
      </c>
      <c r="C349" s="52">
        <v>5137.3599999999997</v>
      </c>
      <c r="D349" s="52">
        <v>3758.43</v>
      </c>
      <c r="E349" s="52">
        <v>2036.83</v>
      </c>
      <c r="F349" s="52">
        <v>4275.63</v>
      </c>
      <c r="G349" s="52">
        <v>6033.29</v>
      </c>
      <c r="H349" s="52">
        <v>3047.97</v>
      </c>
      <c r="I349" s="53">
        <v>24488.250000000004</v>
      </c>
      <c r="J349" s="49"/>
    </row>
    <row r="350" spans="1:10" x14ac:dyDescent="0.2">
      <c r="A350" s="50">
        <f t="shared" si="5"/>
        <v>43449</v>
      </c>
      <c r="B350" s="51">
        <v>6385.38</v>
      </c>
      <c r="C350" s="52">
        <v>4856.43</v>
      </c>
      <c r="D350" s="52">
        <v>3775.62</v>
      </c>
      <c r="E350" s="52">
        <v>2032.84</v>
      </c>
      <c r="F350" s="52">
        <v>4957.37</v>
      </c>
      <c r="G350" s="52">
        <v>4575.8500000000004</v>
      </c>
      <c r="H350" s="52">
        <v>2378.39</v>
      </c>
      <c r="I350" s="53">
        <v>24205.1</v>
      </c>
      <c r="J350" s="49"/>
    </row>
    <row r="351" spans="1:10" x14ac:dyDescent="0.2">
      <c r="A351" s="50">
        <f t="shared" si="5"/>
        <v>43450</v>
      </c>
      <c r="B351" s="51">
        <v>6370.8</v>
      </c>
      <c r="C351" s="52">
        <v>4814.17</v>
      </c>
      <c r="D351" s="52">
        <v>3706.08</v>
      </c>
      <c r="E351" s="52">
        <v>2004.2</v>
      </c>
      <c r="F351" s="52">
        <v>4354.8</v>
      </c>
      <c r="G351" s="52">
        <v>3707.09</v>
      </c>
      <c r="H351" s="52">
        <v>2227.06</v>
      </c>
      <c r="I351" s="53">
        <v>22730.079999999998</v>
      </c>
      <c r="J351" s="49"/>
    </row>
    <row r="352" spans="1:10" x14ac:dyDescent="0.2">
      <c r="A352" s="50">
        <f t="shared" ref="A352:A366" si="6">A351+1</f>
        <v>43451</v>
      </c>
      <c r="B352" s="51">
        <v>6987.3</v>
      </c>
      <c r="C352" s="52">
        <v>5200.1000000000004</v>
      </c>
      <c r="D352" s="52">
        <v>4211.8999999999996</v>
      </c>
      <c r="E352" s="52">
        <v>2046.4</v>
      </c>
      <c r="F352" s="52">
        <v>4631.7</v>
      </c>
      <c r="G352" s="52">
        <v>5734.7</v>
      </c>
      <c r="H352" s="52">
        <v>3169.0999999999995</v>
      </c>
      <c r="I352" s="53">
        <v>25643.000000000007</v>
      </c>
      <c r="J352" s="49"/>
    </row>
    <row r="353" spans="1:10" x14ac:dyDescent="0.2">
      <c r="A353" s="50">
        <f t="shared" si="6"/>
        <v>43452</v>
      </c>
      <c r="B353" s="51">
        <v>7006.67</v>
      </c>
      <c r="C353" s="52">
        <v>5394.71</v>
      </c>
      <c r="D353" s="52">
        <v>4026.6</v>
      </c>
      <c r="E353" s="52">
        <v>2215.04</v>
      </c>
      <c r="F353" s="52">
        <v>4972.79</v>
      </c>
      <c r="G353" s="52">
        <v>6664.1</v>
      </c>
      <c r="H353" s="52">
        <v>3548.04</v>
      </c>
      <c r="I353" s="53">
        <v>26731.870000000003</v>
      </c>
      <c r="J353" s="49"/>
    </row>
    <row r="354" spans="1:10" x14ac:dyDescent="0.2">
      <c r="A354" s="50">
        <f t="shared" si="6"/>
        <v>43453</v>
      </c>
      <c r="B354" s="51">
        <v>7528.74</v>
      </c>
      <c r="C354" s="52">
        <v>5454.32</v>
      </c>
      <c r="D354" s="52">
        <v>4103.21</v>
      </c>
      <c r="E354" s="52">
        <v>2161.86</v>
      </c>
      <c r="F354" s="52">
        <v>5771.74</v>
      </c>
      <c r="G354" s="52">
        <v>6411.32</v>
      </c>
      <c r="H354" s="52">
        <v>3337.1899999999996</v>
      </c>
      <c r="I354" s="53">
        <v>28094.000000000004</v>
      </c>
      <c r="J354" s="49"/>
    </row>
    <row r="355" spans="1:10" x14ac:dyDescent="0.2">
      <c r="A355" s="50">
        <f t="shared" si="6"/>
        <v>43454</v>
      </c>
      <c r="B355" s="51">
        <v>7952.93</v>
      </c>
      <c r="C355" s="52">
        <v>5484.58</v>
      </c>
      <c r="D355" s="52">
        <v>4262.93</v>
      </c>
      <c r="E355" s="52">
        <v>2139.85</v>
      </c>
      <c r="F355" s="52">
        <v>5661.85</v>
      </c>
      <c r="G355" s="52">
        <v>7110.4</v>
      </c>
      <c r="H355" s="52">
        <v>3505.5099999999993</v>
      </c>
      <c r="I355" s="53">
        <v>29107.030000000002</v>
      </c>
      <c r="J355" s="49"/>
    </row>
    <row r="356" spans="1:10" x14ac:dyDescent="0.2">
      <c r="A356" s="50">
        <f t="shared" si="6"/>
        <v>43455</v>
      </c>
      <c r="B356" s="51">
        <v>7977.8</v>
      </c>
      <c r="C356" s="52">
        <v>5517.3</v>
      </c>
      <c r="D356" s="52">
        <v>4488.1000000000004</v>
      </c>
      <c r="E356" s="52">
        <v>2087.3000000000002</v>
      </c>
      <c r="F356" s="52">
        <v>5051.1000000000004</v>
      </c>
      <c r="G356" s="52">
        <v>7241.6</v>
      </c>
      <c r="H356" s="52">
        <v>3525.2000000000007</v>
      </c>
      <c r="I356" s="53">
        <v>28837.999999999996</v>
      </c>
      <c r="J356" s="49"/>
    </row>
    <row r="357" spans="1:10" x14ac:dyDescent="0.2">
      <c r="A357" s="50">
        <f t="shared" si="6"/>
        <v>43456</v>
      </c>
      <c r="B357" s="51">
        <v>7044.02</v>
      </c>
      <c r="C357" s="52">
        <v>5282.76</v>
      </c>
      <c r="D357" s="52">
        <v>3741.4</v>
      </c>
      <c r="E357" s="52">
        <v>2279.7800000000002</v>
      </c>
      <c r="F357" s="52">
        <v>5207.01</v>
      </c>
      <c r="G357" s="52">
        <v>6219.41</v>
      </c>
      <c r="H357" s="52">
        <v>2648.9300000000003</v>
      </c>
      <c r="I357" s="53">
        <v>27125.45</v>
      </c>
      <c r="J357" s="49"/>
    </row>
    <row r="358" spans="1:10" x14ac:dyDescent="0.2">
      <c r="A358" s="50">
        <f t="shared" si="6"/>
        <v>43457</v>
      </c>
      <c r="B358" s="51">
        <v>6771.04</v>
      </c>
      <c r="C358" s="52">
        <v>5255.35</v>
      </c>
      <c r="D358" s="52">
        <v>3846.91</v>
      </c>
      <c r="E358" s="52">
        <v>1985.03</v>
      </c>
      <c r="F358" s="52">
        <v>4707.6000000000004</v>
      </c>
      <c r="G358" s="52">
        <v>6554.26</v>
      </c>
      <c r="H358" s="52">
        <v>2790.2700000000004</v>
      </c>
      <c r="I358" s="53">
        <v>26329.920000000002</v>
      </c>
      <c r="J358" s="49"/>
    </row>
    <row r="359" spans="1:10" x14ac:dyDescent="0.2">
      <c r="A359" s="50">
        <f t="shared" si="6"/>
        <v>43458</v>
      </c>
      <c r="B359" s="51">
        <v>6933.87</v>
      </c>
      <c r="C359" s="52">
        <v>5813.36</v>
      </c>
      <c r="D359" s="52">
        <v>4063.47</v>
      </c>
      <c r="E359" s="52">
        <v>1755.59</v>
      </c>
      <c r="F359" s="52">
        <v>4161.53</v>
      </c>
      <c r="G359" s="52">
        <v>7506.42</v>
      </c>
      <c r="H359" s="52">
        <v>3659.7799999999997</v>
      </c>
      <c r="I359" s="53">
        <v>26574.46</v>
      </c>
      <c r="J359" s="49"/>
    </row>
    <row r="360" spans="1:10" x14ac:dyDescent="0.2">
      <c r="A360" s="50">
        <f t="shared" si="6"/>
        <v>43459</v>
      </c>
      <c r="B360" s="51">
        <v>7562.9</v>
      </c>
      <c r="C360" s="52">
        <v>6016.6</v>
      </c>
      <c r="D360" s="52">
        <v>4496</v>
      </c>
      <c r="E360" s="52">
        <v>1997.4</v>
      </c>
      <c r="F360" s="52">
        <v>4484.7</v>
      </c>
      <c r="G360" s="52">
        <v>7609</v>
      </c>
      <c r="H360" s="52">
        <v>3673.4000000000005</v>
      </c>
      <c r="I360" s="53">
        <v>28493.200000000001</v>
      </c>
      <c r="J360" s="49"/>
    </row>
    <row r="361" spans="1:10" x14ac:dyDescent="0.2">
      <c r="A361" s="50">
        <f t="shared" si="6"/>
        <v>43460</v>
      </c>
      <c r="B361" s="51">
        <v>8256.0499999999993</v>
      </c>
      <c r="C361" s="52">
        <v>5990.02</v>
      </c>
      <c r="D361" s="52">
        <v>4529.1000000000004</v>
      </c>
      <c r="E361" s="52">
        <v>2027.98</v>
      </c>
      <c r="F361" s="52">
        <v>5448.11</v>
      </c>
      <c r="G361" s="52">
        <v>6983.46</v>
      </c>
      <c r="H361" s="52">
        <v>3688.2900000000004</v>
      </c>
      <c r="I361" s="53">
        <v>29546.43</v>
      </c>
      <c r="J361" s="49"/>
    </row>
    <row r="362" spans="1:10" x14ac:dyDescent="0.2">
      <c r="A362" s="50">
        <f t="shared" si="6"/>
        <v>43461</v>
      </c>
      <c r="B362" s="51">
        <v>8082.29</v>
      </c>
      <c r="C362" s="52">
        <v>5613.11</v>
      </c>
      <c r="D362" s="52">
        <v>4212.75</v>
      </c>
      <c r="E362" s="52">
        <v>2164.7600000000002</v>
      </c>
      <c r="F362" s="52">
        <v>4784.6099999999997</v>
      </c>
      <c r="G362" s="52">
        <v>6344.41</v>
      </c>
      <c r="H362" s="52">
        <v>3539</v>
      </c>
      <c r="I362" s="53">
        <v>27662.930000000004</v>
      </c>
      <c r="J362" s="49"/>
    </row>
    <row r="363" spans="1:10" x14ac:dyDescent="0.2">
      <c r="A363" s="50">
        <f t="shared" si="6"/>
        <v>43462</v>
      </c>
      <c r="B363" s="51">
        <v>7809.51</v>
      </c>
      <c r="C363" s="52">
        <v>5447.84</v>
      </c>
      <c r="D363" s="52">
        <v>3950.19</v>
      </c>
      <c r="E363" s="52">
        <v>2228.88</v>
      </c>
      <c r="F363" s="52">
        <v>5208.93</v>
      </c>
      <c r="G363" s="52">
        <v>5332.35</v>
      </c>
      <c r="H363" s="52">
        <v>2776.01</v>
      </c>
      <c r="I363" s="53">
        <v>27201.690000000002</v>
      </c>
      <c r="J363" s="49"/>
    </row>
    <row r="364" spans="1:10" x14ac:dyDescent="0.2">
      <c r="A364" s="50">
        <f t="shared" si="6"/>
        <v>43463</v>
      </c>
      <c r="B364" s="51">
        <v>3881.6</v>
      </c>
      <c r="C364" s="52">
        <v>2876.3</v>
      </c>
      <c r="D364" s="52">
        <v>2332.3000000000002</v>
      </c>
      <c r="E364" s="52">
        <v>1215.9000000000001</v>
      </c>
      <c r="F364" s="52">
        <v>3320.7</v>
      </c>
      <c r="G364" s="52">
        <v>2749.6</v>
      </c>
      <c r="H364" s="52">
        <v>1577.2999999999997</v>
      </c>
      <c r="I364" s="53">
        <v>14799.1</v>
      </c>
      <c r="J364" s="49"/>
    </row>
    <row r="365" spans="1:10" x14ac:dyDescent="0.2">
      <c r="A365" s="50">
        <f t="shared" si="6"/>
        <v>43464</v>
      </c>
      <c r="B365" s="51">
        <v>876.1</v>
      </c>
      <c r="C365" s="52">
        <v>1170.5</v>
      </c>
      <c r="D365" s="52">
        <v>587.20000000000005</v>
      </c>
      <c r="E365" s="52">
        <v>44</v>
      </c>
      <c r="F365" s="52">
        <v>335.4</v>
      </c>
      <c r="G365" s="52">
        <v>1480.9</v>
      </c>
      <c r="H365" s="52">
        <v>1036.6000000000001</v>
      </c>
      <c r="I365" s="53">
        <v>3457.5</v>
      </c>
      <c r="J365" s="49"/>
    </row>
    <row r="366" spans="1:10" x14ac:dyDescent="0.2">
      <c r="A366" s="50">
        <f t="shared" si="6"/>
        <v>43465</v>
      </c>
      <c r="B366" s="51">
        <v>752.5</v>
      </c>
      <c r="C366" s="52">
        <v>1090.4000000000001</v>
      </c>
      <c r="D366" s="52">
        <v>346</v>
      </c>
      <c r="E366" s="52">
        <v>44.2</v>
      </c>
      <c r="F366" s="52">
        <v>333.9</v>
      </c>
      <c r="G366" s="52">
        <v>1240.5999999999999</v>
      </c>
      <c r="H366" s="52">
        <v>833.7</v>
      </c>
      <c r="I366" s="53">
        <v>2973.8999999999996</v>
      </c>
      <c r="J366" s="49"/>
    </row>
    <row r="367" spans="1:10" x14ac:dyDescent="0.2">
      <c r="A367" s="50"/>
      <c r="B367" s="51"/>
      <c r="C367" s="52"/>
      <c r="D367" s="52"/>
      <c r="E367" s="52"/>
      <c r="F367" s="52"/>
      <c r="G367" s="52"/>
      <c r="H367" s="52"/>
      <c r="I367" s="53"/>
      <c r="J367" s="49"/>
    </row>
    <row r="368" spans="1:10" x14ac:dyDescent="0.2">
      <c r="A368" s="50"/>
      <c r="B368" s="51"/>
      <c r="C368" s="52"/>
      <c r="D368" s="52"/>
      <c r="E368" s="52"/>
      <c r="F368" s="52"/>
      <c r="G368" s="52"/>
      <c r="H368" s="52"/>
      <c r="I368" s="53"/>
      <c r="J368" s="49"/>
    </row>
    <row r="369" spans="1:10" ht="13.5" thickBot="1" x14ac:dyDescent="0.25">
      <c r="A369" s="54"/>
      <c r="B369" s="55"/>
      <c r="C369" s="56"/>
      <c r="D369" s="56"/>
      <c r="E369" s="56"/>
      <c r="F369" s="56"/>
      <c r="G369" s="56"/>
      <c r="H369" s="56"/>
      <c r="I369" s="57"/>
      <c r="J369" s="49"/>
    </row>
    <row r="371" spans="1:10" x14ac:dyDescent="0.2">
      <c r="I371" s="58">
        <f>MAX(I2:I367)</f>
        <v>35269.660000000003</v>
      </c>
    </row>
  </sheetData>
  <conditionalFormatting sqref="A31">
    <cfRule type="expression" dxfId="33" priority="3" stopIfTrue="1">
      <formula>WEEKDAY(A31:A51,2)&gt;5</formula>
    </cfRule>
  </conditionalFormatting>
  <conditionalFormatting sqref="A32:A369">
    <cfRule type="expression" dxfId="32" priority="2" stopIfTrue="1">
      <formula>WEEKDAY(A32:A52,2)&gt;5</formula>
    </cfRule>
  </conditionalFormatting>
  <conditionalFormatting sqref="A2:A30">
    <cfRule type="expression" dxfId="31" priority="1" stopIfTrue="1">
      <formula>WEEKDAY(A2:A22,2)&gt;5</formula>
    </cfRule>
  </conditionalFormatting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371"/>
  <sheetViews>
    <sheetView zoomScaleNormal="100" workbookViewId="0">
      <selection activeCell="T1" sqref="T1:W1048576"/>
    </sheetView>
  </sheetViews>
  <sheetFormatPr defaultRowHeight="12.75" x14ac:dyDescent="0.2"/>
  <cols>
    <col min="1" max="1" width="9.140625" style="44"/>
    <col min="2" max="2" width="10.85546875" style="44" customWidth="1"/>
    <col min="3" max="3" width="10.28515625" style="44" customWidth="1"/>
    <col min="4" max="4" width="9.85546875" style="44" customWidth="1"/>
    <col min="5" max="5" width="10.5703125" style="44" customWidth="1"/>
    <col min="6" max="6" width="10" style="44" customWidth="1"/>
    <col min="7" max="7" width="9.85546875" style="44" customWidth="1"/>
    <col min="8" max="8" width="10.140625" style="44" customWidth="1"/>
    <col min="9" max="9" width="13.85546875" style="44" customWidth="1"/>
    <col min="10" max="10" width="12.5703125" style="44" customWidth="1"/>
    <col min="11" max="253" width="9.140625" style="44"/>
    <col min="254" max="254" width="10.85546875" style="44" customWidth="1"/>
    <col min="255" max="255" width="10.28515625" style="44" customWidth="1"/>
    <col min="256" max="256" width="9.85546875" style="44" customWidth="1"/>
    <col min="257" max="257" width="10.5703125" style="44" customWidth="1"/>
    <col min="258" max="258" width="10" style="44" customWidth="1"/>
    <col min="259" max="259" width="9.85546875" style="44" customWidth="1"/>
    <col min="260" max="260" width="10.140625" style="44" customWidth="1"/>
    <col min="261" max="261" width="13.85546875" style="44" customWidth="1"/>
    <col min="262" max="262" width="12.5703125" style="44" customWidth="1"/>
    <col min="263" max="509" width="9.140625" style="44"/>
    <col min="510" max="510" width="10.85546875" style="44" customWidth="1"/>
    <col min="511" max="511" width="10.28515625" style="44" customWidth="1"/>
    <col min="512" max="512" width="9.85546875" style="44" customWidth="1"/>
    <col min="513" max="513" width="10.5703125" style="44" customWidth="1"/>
    <col min="514" max="514" width="10" style="44" customWidth="1"/>
    <col min="515" max="515" width="9.85546875" style="44" customWidth="1"/>
    <col min="516" max="516" width="10.140625" style="44" customWidth="1"/>
    <col min="517" max="517" width="13.85546875" style="44" customWidth="1"/>
    <col min="518" max="518" width="12.5703125" style="44" customWidth="1"/>
    <col min="519" max="765" width="9.140625" style="44"/>
    <col min="766" max="766" width="10.85546875" style="44" customWidth="1"/>
    <col min="767" max="767" width="10.28515625" style="44" customWidth="1"/>
    <col min="768" max="768" width="9.85546875" style="44" customWidth="1"/>
    <col min="769" max="769" width="10.5703125" style="44" customWidth="1"/>
    <col min="770" max="770" width="10" style="44" customWidth="1"/>
    <col min="771" max="771" width="9.85546875" style="44" customWidth="1"/>
    <col min="772" max="772" width="10.140625" style="44" customWidth="1"/>
    <col min="773" max="773" width="13.85546875" style="44" customWidth="1"/>
    <col min="774" max="774" width="12.5703125" style="44" customWidth="1"/>
    <col min="775" max="1021" width="9.140625" style="44"/>
    <col min="1022" max="1022" width="10.85546875" style="44" customWidth="1"/>
    <col min="1023" max="1023" width="10.28515625" style="44" customWidth="1"/>
    <col min="1024" max="1024" width="9.85546875" style="44" customWidth="1"/>
    <col min="1025" max="1025" width="10.5703125" style="44" customWidth="1"/>
    <col min="1026" max="1026" width="10" style="44" customWidth="1"/>
    <col min="1027" max="1027" width="9.85546875" style="44" customWidth="1"/>
    <col min="1028" max="1028" width="10.140625" style="44" customWidth="1"/>
    <col min="1029" max="1029" width="13.85546875" style="44" customWidth="1"/>
    <col min="1030" max="1030" width="12.5703125" style="44" customWidth="1"/>
    <col min="1031" max="1277" width="9.140625" style="44"/>
    <col min="1278" max="1278" width="10.85546875" style="44" customWidth="1"/>
    <col min="1279" max="1279" width="10.28515625" style="44" customWidth="1"/>
    <col min="1280" max="1280" width="9.85546875" style="44" customWidth="1"/>
    <col min="1281" max="1281" width="10.5703125" style="44" customWidth="1"/>
    <col min="1282" max="1282" width="10" style="44" customWidth="1"/>
    <col min="1283" max="1283" width="9.85546875" style="44" customWidth="1"/>
    <col min="1284" max="1284" width="10.140625" style="44" customWidth="1"/>
    <col min="1285" max="1285" width="13.85546875" style="44" customWidth="1"/>
    <col min="1286" max="1286" width="12.5703125" style="44" customWidth="1"/>
    <col min="1287" max="1533" width="9.140625" style="44"/>
    <col min="1534" max="1534" width="10.85546875" style="44" customWidth="1"/>
    <col min="1535" max="1535" width="10.28515625" style="44" customWidth="1"/>
    <col min="1536" max="1536" width="9.85546875" style="44" customWidth="1"/>
    <col min="1537" max="1537" width="10.5703125" style="44" customWidth="1"/>
    <col min="1538" max="1538" width="10" style="44" customWidth="1"/>
    <col min="1539" max="1539" width="9.85546875" style="44" customWidth="1"/>
    <col min="1540" max="1540" width="10.140625" style="44" customWidth="1"/>
    <col min="1541" max="1541" width="13.85546875" style="44" customWidth="1"/>
    <col min="1542" max="1542" width="12.5703125" style="44" customWidth="1"/>
    <col min="1543" max="1789" width="9.140625" style="44"/>
    <col min="1790" max="1790" width="10.85546875" style="44" customWidth="1"/>
    <col min="1791" max="1791" width="10.28515625" style="44" customWidth="1"/>
    <col min="1792" max="1792" width="9.85546875" style="44" customWidth="1"/>
    <col min="1793" max="1793" width="10.5703125" style="44" customWidth="1"/>
    <col min="1794" max="1794" width="10" style="44" customWidth="1"/>
    <col min="1795" max="1795" width="9.85546875" style="44" customWidth="1"/>
    <col min="1796" max="1796" width="10.140625" style="44" customWidth="1"/>
    <col min="1797" max="1797" width="13.85546875" style="44" customWidth="1"/>
    <col min="1798" max="1798" width="12.5703125" style="44" customWidth="1"/>
    <col min="1799" max="2045" width="9.140625" style="44"/>
    <col min="2046" max="2046" width="10.85546875" style="44" customWidth="1"/>
    <col min="2047" max="2047" width="10.28515625" style="44" customWidth="1"/>
    <col min="2048" max="2048" width="9.85546875" style="44" customWidth="1"/>
    <col min="2049" max="2049" width="10.5703125" style="44" customWidth="1"/>
    <col min="2050" max="2050" width="10" style="44" customWidth="1"/>
    <col min="2051" max="2051" width="9.85546875" style="44" customWidth="1"/>
    <col min="2052" max="2052" width="10.140625" style="44" customWidth="1"/>
    <col min="2053" max="2053" width="13.85546875" style="44" customWidth="1"/>
    <col min="2054" max="2054" width="12.5703125" style="44" customWidth="1"/>
    <col min="2055" max="2301" width="9.140625" style="44"/>
    <col min="2302" max="2302" width="10.85546875" style="44" customWidth="1"/>
    <col min="2303" max="2303" width="10.28515625" style="44" customWidth="1"/>
    <col min="2304" max="2304" width="9.85546875" style="44" customWidth="1"/>
    <col min="2305" max="2305" width="10.5703125" style="44" customWidth="1"/>
    <col min="2306" max="2306" width="10" style="44" customWidth="1"/>
    <col min="2307" max="2307" width="9.85546875" style="44" customWidth="1"/>
    <col min="2308" max="2308" width="10.140625" style="44" customWidth="1"/>
    <col min="2309" max="2309" width="13.85546875" style="44" customWidth="1"/>
    <col min="2310" max="2310" width="12.5703125" style="44" customWidth="1"/>
    <col min="2311" max="2557" width="9.140625" style="44"/>
    <col min="2558" max="2558" width="10.85546875" style="44" customWidth="1"/>
    <col min="2559" max="2559" width="10.28515625" style="44" customWidth="1"/>
    <col min="2560" max="2560" width="9.85546875" style="44" customWidth="1"/>
    <col min="2561" max="2561" width="10.5703125" style="44" customWidth="1"/>
    <col min="2562" max="2562" width="10" style="44" customWidth="1"/>
    <col min="2563" max="2563" width="9.85546875" style="44" customWidth="1"/>
    <col min="2564" max="2564" width="10.140625" style="44" customWidth="1"/>
    <col min="2565" max="2565" width="13.85546875" style="44" customWidth="1"/>
    <col min="2566" max="2566" width="12.5703125" style="44" customWidth="1"/>
    <col min="2567" max="2813" width="9.140625" style="44"/>
    <col min="2814" max="2814" width="10.85546875" style="44" customWidth="1"/>
    <col min="2815" max="2815" width="10.28515625" style="44" customWidth="1"/>
    <col min="2816" max="2816" width="9.85546875" style="44" customWidth="1"/>
    <col min="2817" max="2817" width="10.5703125" style="44" customWidth="1"/>
    <col min="2818" max="2818" width="10" style="44" customWidth="1"/>
    <col min="2819" max="2819" width="9.85546875" style="44" customWidth="1"/>
    <col min="2820" max="2820" width="10.140625" style="44" customWidth="1"/>
    <col min="2821" max="2821" width="13.85546875" style="44" customWidth="1"/>
    <col min="2822" max="2822" width="12.5703125" style="44" customWidth="1"/>
    <col min="2823" max="3069" width="9.140625" style="44"/>
    <col min="3070" max="3070" width="10.85546875" style="44" customWidth="1"/>
    <col min="3071" max="3071" width="10.28515625" style="44" customWidth="1"/>
    <col min="3072" max="3072" width="9.85546875" style="44" customWidth="1"/>
    <col min="3073" max="3073" width="10.5703125" style="44" customWidth="1"/>
    <col min="3074" max="3074" width="10" style="44" customWidth="1"/>
    <col min="3075" max="3075" width="9.85546875" style="44" customWidth="1"/>
    <col min="3076" max="3076" width="10.140625" style="44" customWidth="1"/>
    <col min="3077" max="3077" width="13.85546875" style="44" customWidth="1"/>
    <col min="3078" max="3078" width="12.5703125" style="44" customWidth="1"/>
    <col min="3079" max="3325" width="9.140625" style="44"/>
    <col min="3326" max="3326" width="10.85546875" style="44" customWidth="1"/>
    <col min="3327" max="3327" width="10.28515625" style="44" customWidth="1"/>
    <col min="3328" max="3328" width="9.85546875" style="44" customWidth="1"/>
    <col min="3329" max="3329" width="10.5703125" style="44" customWidth="1"/>
    <col min="3330" max="3330" width="10" style="44" customWidth="1"/>
    <col min="3331" max="3331" width="9.85546875" style="44" customWidth="1"/>
    <col min="3332" max="3332" width="10.140625" style="44" customWidth="1"/>
    <col min="3333" max="3333" width="13.85546875" style="44" customWidth="1"/>
    <col min="3334" max="3334" width="12.5703125" style="44" customWidth="1"/>
    <col min="3335" max="3581" width="9.140625" style="44"/>
    <col min="3582" max="3582" width="10.85546875" style="44" customWidth="1"/>
    <col min="3583" max="3583" width="10.28515625" style="44" customWidth="1"/>
    <col min="3584" max="3584" width="9.85546875" style="44" customWidth="1"/>
    <col min="3585" max="3585" width="10.5703125" style="44" customWidth="1"/>
    <col min="3586" max="3586" width="10" style="44" customWidth="1"/>
    <col min="3587" max="3587" width="9.85546875" style="44" customWidth="1"/>
    <col min="3588" max="3588" width="10.140625" style="44" customWidth="1"/>
    <col min="3589" max="3589" width="13.85546875" style="44" customWidth="1"/>
    <col min="3590" max="3590" width="12.5703125" style="44" customWidth="1"/>
    <col min="3591" max="3837" width="9.140625" style="44"/>
    <col min="3838" max="3838" width="10.85546875" style="44" customWidth="1"/>
    <col min="3839" max="3839" width="10.28515625" style="44" customWidth="1"/>
    <col min="3840" max="3840" width="9.85546875" style="44" customWidth="1"/>
    <col min="3841" max="3841" width="10.5703125" style="44" customWidth="1"/>
    <col min="3842" max="3842" width="10" style="44" customWidth="1"/>
    <col min="3843" max="3843" width="9.85546875" style="44" customWidth="1"/>
    <col min="3844" max="3844" width="10.140625" style="44" customWidth="1"/>
    <col min="3845" max="3845" width="13.85546875" style="44" customWidth="1"/>
    <col min="3846" max="3846" width="12.5703125" style="44" customWidth="1"/>
    <col min="3847" max="4093" width="9.140625" style="44"/>
    <col min="4094" max="4094" width="10.85546875" style="44" customWidth="1"/>
    <col min="4095" max="4095" width="10.28515625" style="44" customWidth="1"/>
    <col min="4096" max="4096" width="9.85546875" style="44" customWidth="1"/>
    <col min="4097" max="4097" width="10.5703125" style="44" customWidth="1"/>
    <col min="4098" max="4098" width="10" style="44" customWidth="1"/>
    <col min="4099" max="4099" width="9.85546875" style="44" customWidth="1"/>
    <col min="4100" max="4100" width="10.140625" style="44" customWidth="1"/>
    <col min="4101" max="4101" width="13.85546875" style="44" customWidth="1"/>
    <col min="4102" max="4102" width="12.5703125" style="44" customWidth="1"/>
    <col min="4103" max="4349" width="9.140625" style="44"/>
    <col min="4350" max="4350" width="10.85546875" style="44" customWidth="1"/>
    <col min="4351" max="4351" width="10.28515625" style="44" customWidth="1"/>
    <col min="4352" max="4352" width="9.85546875" style="44" customWidth="1"/>
    <col min="4353" max="4353" width="10.5703125" style="44" customWidth="1"/>
    <col min="4354" max="4354" width="10" style="44" customWidth="1"/>
    <col min="4355" max="4355" width="9.85546875" style="44" customWidth="1"/>
    <col min="4356" max="4356" width="10.140625" style="44" customWidth="1"/>
    <col min="4357" max="4357" width="13.85546875" style="44" customWidth="1"/>
    <col min="4358" max="4358" width="12.5703125" style="44" customWidth="1"/>
    <col min="4359" max="4605" width="9.140625" style="44"/>
    <col min="4606" max="4606" width="10.85546875" style="44" customWidth="1"/>
    <col min="4607" max="4607" width="10.28515625" style="44" customWidth="1"/>
    <col min="4608" max="4608" width="9.85546875" style="44" customWidth="1"/>
    <col min="4609" max="4609" width="10.5703125" style="44" customWidth="1"/>
    <col min="4610" max="4610" width="10" style="44" customWidth="1"/>
    <col min="4611" max="4611" width="9.85546875" style="44" customWidth="1"/>
    <col min="4612" max="4612" width="10.140625" style="44" customWidth="1"/>
    <col min="4613" max="4613" width="13.85546875" style="44" customWidth="1"/>
    <col min="4614" max="4614" width="12.5703125" style="44" customWidth="1"/>
    <col min="4615" max="4861" width="9.140625" style="44"/>
    <col min="4862" max="4862" width="10.85546875" style="44" customWidth="1"/>
    <col min="4863" max="4863" width="10.28515625" style="44" customWidth="1"/>
    <col min="4864" max="4864" width="9.85546875" style="44" customWidth="1"/>
    <col min="4865" max="4865" width="10.5703125" style="44" customWidth="1"/>
    <col min="4866" max="4866" width="10" style="44" customWidth="1"/>
    <col min="4867" max="4867" width="9.85546875" style="44" customWidth="1"/>
    <col min="4868" max="4868" width="10.140625" style="44" customWidth="1"/>
    <col min="4869" max="4869" width="13.85546875" style="44" customWidth="1"/>
    <col min="4870" max="4870" width="12.5703125" style="44" customWidth="1"/>
    <col min="4871" max="5117" width="9.140625" style="44"/>
    <col min="5118" max="5118" width="10.85546875" style="44" customWidth="1"/>
    <col min="5119" max="5119" width="10.28515625" style="44" customWidth="1"/>
    <col min="5120" max="5120" width="9.85546875" style="44" customWidth="1"/>
    <col min="5121" max="5121" width="10.5703125" style="44" customWidth="1"/>
    <col min="5122" max="5122" width="10" style="44" customWidth="1"/>
    <col min="5123" max="5123" width="9.85546875" style="44" customWidth="1"/>
    <col min="5124" max="5124" width="10.140625" style="44" customWidth="1"/>
    <col min="5125" max="5125" width="13.85546875" style="44" customWidth="1"/>
    <col min="5126" max="5126" width="12.5703125" style="44" customWidth="1"/>
    <col min="5127" max="5373" width="9.140625" style="44"/>
    <col min="5374" max="5374" width="10.85546875" style="44" customWidth="1"/>
    <col min="5375" max="5375" width="10.28515625" style="44" customWidth="1"/>
    <col min="5376" max="5376" width="9.85546875" style="44" customWidth="1"/>
    <col min="5377" max="5377" width="10.5703125" style="44" customWidth="1"/>
    <col min="5378" max="5378" width="10" style="44" customWidth="1"/>
    <col min="5379" max="5379" width="9.85546875" style="44" customWidth="1"/>
    <col min="5380" max="5380" width="10.140625" style="44" customWidth="1"/>
    <col min="5381" max="5381" width="13.85546875" style="44" customWidth="1"/>
    <col min="5382" max="5382" width="12.5703125" style="44" customWidth="1"/>
    <col min="5383" max="5629" width="9.140625" style="44"/>
    <col min="5630" max="5630" width="10.85546875" style="44" customWidth="1"/>
    <col min="5631" max="5631" width="10.28515625" style="44" customWidth="1"/>
    <col min="5632" max="5632" width="9.85546875" style="44" customWidth="1"/>
    <col min="5633" max="5633" width="10.5703125" style="44" customWidth="1"/>
    <col min="5634" max="5634" width="10" style="44" customWidth="1"/>
    <col min="5635" max="5635" width="9.85546875" style="44" customWidth="1"/>
    <col min="5636" max="5636" width="10.140625" style="44" customWidth="1"/>
    <col min="5637" max="5637" width="13.85546875" style="44" customWidth="1"/>
    <col min="5638" max="5638" width="12.5703125" style="44" customWidth="1"/>
    <col min="5639" max="5885" width="9.140625" style="44"/>
    <col min="5886" max="5886" width="10.85546875" style="44" customWidth="1"/>
    <col min="5887" max="5887" width="10.28515625" style="44" customWidth="1"/>
    <col min="5888" max="5888" width="9.85546875" style="44" customWidth="1"/>
    <col min="5889" max="5889" width="10.5703125" style="44" customWidth="1"/>
    <col min="5890" max="5890" width="10" style="44" customWidth="1"/>
    <col min="5891" max="5891" width="9.85546875" style="44" customWidth="1"/>
    <col min="5892" max="5892" width="10.140625" style="44" customWidth="1"/>
    <col min="5893" max="5893" width="13.85546875" style="44" customWidth="1"/>
    <col min="5894" max="5894" width="12.5703125" style="44" customWidth="1"/>
    <col min="5895" max="6141" width="9.140625" style="44"/>
    <col min="6142" max="6142" width="10.85546875" style="44" customWidth="1"/>
    <col min="6143" max="6143" width="10.28515625" style="44" customWidth="1"/>
    <col min="6144" max="6144" width="9.85546875" style="44" customWidth="1"/>
    <col min="6145" max="6145" width="10.5703125" style="44" customWidth="1"/>
    <col min="6146" max="6146" width="10" style="44" customWidth="1"/>
    <col min="6147" max="6147" width="9.85546875" style="44" customWidth="1"/>
    <col min="6148" max="6148" width="10.140625" style="44" customWidth="1"/>
    <col min="6149" max="6149" width="13.85546875" style="44" customWidth="1"/>
    <col min="6150" max="6150" width="12.5703125" style="44" customWidth="1"/>
    <col min="6151" max="6397" width="9.140625" style="44"/>
    <col min="6398" max="6398" width="10.85546875" style="44" customWidth="1"/>
    <col min="6399" max="6399" width="10.28515625" style="44" customWidth="1"/>
    <col min="6400" max="6400" width="9.85546875" style="44" customWidth="1"/>
    <col min="6401" max="6401" width="10.5703125" style="44" customWidth="1"/>
    <col min="6402" max="6402" width="10" style="44" customWidth="1"/>
    <col min="6403" max="6403" width="9.85546875" style="44" customWidth="1"/>
    <col min="6404" max="6404" width="10.140625" style="44" customWidth="1"/>
    <col min="6405" max="6405" width="13.85546875" style="44" customWidth="1"/>
    <col min="6406" max="6406" width="12.5703125" style="44" customWidth="1"/>
    <col min="6407" max="6653" width="9.140625" style="44"/>
    <col min="6654" max="6654" width="10.85546875" style="44" customWidth="1"/>
    <col min="6655" max="6655" width="10.28515625" style="44" customWidth="1"/>
    <col min="6656" max="6656" width="9.85546875" style="44" customWidth="1"/>
    <col min="6657" max="6657" width="10.5703125" style="44" customWidth="1"/>
    <col min="6658" max="6658" width="10" style="44" customWidth="1"/>
    <col min="6659" max="6659" width="9.85546875" style="44" customWidth="1"/>
    <col min="6660" max="6660" width="10.140625" style="44" customWidth="1"/>
    <col min="6661" max="6661" width="13.85546875" style="44" customWidth="1"/>
    <col min="6662" max="6662" width="12.5703125" style="44" customWidth="1"/>
    <col min="6663" max="6909" width="9.140625" style="44"/>
    <col min="6910" max="6910" width="10.85546875" style="44" customWidth="1"/>
    <col min="6911" max="6911" width="10.28515625" style="44" customWidth="1"/>
    <col min="6912" max="6912" width="9.85546875" style="44" customWidth="1"/>
    <col min="6913" max="6913" width="10.5703125" style="44" customWidth="1"/>
    <col min="6914" max="6914" width="10" style="44" customWidth="1"/>
    <col min="6915" max="6915" width="9.85546875" style="44" customWidth="1"/>
    <col min="6916" max="6916" width="10.140625" style="44" customWidth="1"/>
    <col min="6917" max="6917" width="13.85546875" style="44" customWidth="1"/>
    <col min="6918" max="6918" width="12.5703125" style="44" customWidth="1"/>
    <col min="6919" max="7165" width="9.140625" style="44"/>
    <col min="7166" max="7166" width="10.85546875" style="44" customWidth="1"/>
    <col min="7167" max="7167" width="10.28515625" style="44" customWidth="1"/>
    <col min="7168" max="7168" width="9.85546875" style="44" customWidth="1"/>
    <col min="7169" max="7169" width="10.5703125" style="44" customWidth="1"/>
    <col min="7170" max="7170" width="10" style="44" customWidth="1"/>
    <col min="7171" max="7171" width="9.85546875" style="44" customWidth="1"/>
    <col min="7172" max="7172" width="10.140625" style="44" customWidth="1"/>
    <col min="7173" max="7173" width="13.85546875" style="44" customWidth="1"/>
    <col min="7174" max="7174" width="12.5703125" style="44" customWidth="1"/>
    <col min="7175" max="7421" width="9.140625" style="44"/>
    <col min="7422" max="7422" width="10.85546875" style="44" customWidth="1"/>
    <col min="7423" max="7423" width="10.28515625" style="44" customWidth="1"/>
    <col min="7424" max="7424" width="9.85546875" style="44" customWidth="1"/>
    <col min="7425" max="7425" width="10.5703125" style="44" customWidth="1"/>
    <col min="7426" max="7426" width="10" style="44" customWidth="1"/>
    <col min="7427" max="7427" width="9.85546875" style="44" customWidth="1"/>
    <col min="7428" max="7428" width="10.140625" style="44" customWidth="1"/>
    <col min="7429" max="7429" width="13.85546875" style="44" customWidth="1"/>
    <col min="7430" max="7430" width="12.5703125" style="44" customWidth="1"/>
    <col min="7431" max="7677" width="9.140625" style="44"/>
    <col min="7678" max="7678" width="10.85546875" style="44" customWidth="1"/>
    <col min="7679" max="7679" width="10.28515625" style="44" customWidth="1"/>
    <col min="7680" max="7680" width="9.85546875" style="44" customWidth="1"/>
    <col min="7681" max="7681" width="10.5703125" style="44" customWidth="1"/>
    <col min="7682" max="7682" width="10" style="44" customWidth="1"/>
    <col min="7683" max="7683" width="9.85546875" style="44" customWidth="1"/>
    <col min="7684" max="7684" width="10.140625" style="44" customWidth="1"/>
    <col min="7685" max="7685" width="13.85546875" style="44" customWidth="1"/>
    <col min="7686" max="7686" width="12.5703125" style="44" customWidth="1"/>
    <col min="7687" max="7933" width="9.140625" style="44"/>
    <col min="7934" max="7934" width="10.85546875" style="44" customWidth="1"/>
    <col min="7935" max="7935" width="10.28515625" style="44" customWidth="1"/>
    <col min="7936" max="7936" width="9.85546875" style="44" customWidth="1"/>
    <col min="7937" max="7937" width="10.5703125" style="44" customWidth="1"/>
    <col min="7938" max="7938" width="10" style="44" customWidth="1"/>
    <col min="7939" max="7939" width="9.85546875" style="44" customWidth="1"/>
    <col min="7940" max="7940" width="10.140625" style="44" customWidth="1"/>
    <col min="7941" max="7941" width="13.85546875" style="44" customWidth="1"/>
    <col min="7942" max="7942" width="12.5703125" style="44" customWidth="1"/>
    <col min="7943" max="8189" width="9.140625" style="44"/>
    <col min="8190" max="8190" width="10.85546875" style="44" customWidth="1"/>
    <col min="8191" max="8191" width="10.28515625" style="44" customWidth="1"/>
    <col min="8192" max="8192" width="9.85546875" style="44" customWidth="1"/>
    <col min="8193" max="8193" width="10.5703125" style="44" customWidth="1"/>
    <col min="8194" max="8194" width="10" style="44" customWidth="1"/>
    <col min="8195" max="8195" width="9.85546875" style="44" customWidth="1"/>
    <col min="8196" max="8196" width="10.140625" style="44" customWidth="1"/>
    <col min="8197" max="8197" width="13.85546875" style="44" customWidth="1"/>
    <col min="8198" max="8198" width="12.5703125" style="44" customWidth="1"/>
    <col min="8199" max="8445" width="9.140625" style="44"/>
    <col min="8446" max="8446" width="10.85546875" style="44" customWidth="1"/>
    <col min="8447" max="8447" width="10.28515625" style="44" customWidth="1"/>
    <col min="8448" max="8448" width="9.85546875" style="44" customWidth="1"/>
    <col min="8449" max="8449" width="10.5703125" style="44" customWidth="1"/>
    <col min="8450" max="8450" width="10" style="44" customWidth="1"/>
    <col min="8451" max="8451" width="9.85546875" style="44" customWidth="1"/>
    <col min="8452" max="8452" width="10.140625" style="44" customWidth="1"/>
    <col min="8453" max="8453" width="13.85546875" style="44" customWidth="1"/>
    <col min="8454" max="8454" width="12.5703125" style="44" customWidth="1"/>
    <col min="8455" max="8701" width="9.140625" style="44"/>
    <col min="8702" max="8702" width="10.85546875" style="44" customWidth="1"/>
    <col min="8703" max="8703" width="10.28515625" style="44" customWidth="1"/>
    <col min="8704" max="8704" width="9.85546875" style="44" customWidth="1"/>
    <col min="8705" max="8705" width="10.5703125" style="44" customWidth="1"/>
    <col min="8706" max="8706" width="10" style="44" customWidth="1"/>
    <col min="8707" max="8707" width="9.85546875" style="44" customWidth="1"/>
    <col min="8708" max="8708" width="10.140625" style="44" customWidth="1"/>
    <col min="8709" max="8709" width="13.85546875" style="44" customWidth="1"/>
    <col min="8710" max="8710" width="12.5703125" style="44" customWidth="1"/>
    <col min="8711" max="8957" width="9.140625" style="44"/>
    <col min="8958" max="8958" width="10.85546875" style="44" customWidth="1"/>
    <col min="8959" max="8959" width="10.28515625" style="44" customWidth="1"/>
    <col min="8960" max="8960" width="9.85546875" style="44" customWidth="1"/>
    <col min="8961" max="8961" width="10.5703125" style="44" customWidth="1"/>
    <col min="8962" max="8962" width="10" style="44" customWidth="1"/>
    <col min="8963" max="8963" width="9.85546875" style="44" customWidth="1"/>
    <col min="8964" max="8964" width="10.140625" style="44" customWidth="1"/>
    <col min="8965" max="8965" width="13.85546875" style="44" customWidth="1"/>
    <col min="8966" max="8966" width="12.5703125" style="44" customWidth="1"/>
    <col min="8967" max="9213" width="9.140625" style="44"/>
    <col min="9214" max="9214" width="10.85546875" style="44" customWidth="1"/>
    <col min="9215" max="9215" width="10.28515625" style="44" customWidth="1"/>
    <col min="9216" max="9216" width="9.85546875" style="44" customWidth="1"/>
    <col min="9217" max="9217" width="10.5703125" style="44" customWidth="1"/>
    <col min="9218" max="9218" width="10" style="44" customWidth="1"/>
    <col min="9219" max="9219" width="9.85546875" style="44" customWidth="1"/>
    <col min="9220" max="9220" width="10.140625" style="44" customWidth="1"/>
    <col min="9221" max="9221" width="13.85546875" style="44" customWidth="1"/>
    <col min="9222" max="9222" width="12.5703125" style="44" customWidth="1"/>
    <col min="9223" max="9469" width="9.140625" style="44"/>
    <col min="9470" max="9470" width="10.85546875" style="44" customWidth="1"/>
    <col min="9471" max="9471" width="10.28515625" style="44" customWidth="1"/>
    <col min="9472" max="9472" width="9.85546875" style="44" customWidth="1"/>
    <col min="9473" max="9473" width="10.5703125" style="44" customWidth="1"/>
    <col min="9474" max="9474" width="10" style="44" customWidth="1"/>
    <col min="9475" max="9475" width="9.85546875" style="44" customWidth="1"/>
    <col min="9476" max="9476" width="10.140625" style="44" customWidth="1"/>
    <col min="9477" max="9477" width="13.85546875" style="44" customWidth="1"/>
    <col min="9478" max="9478" width="12.5703125" style="44" customWidth="1"/>
    <col min="9479" max="9725" width="9.140625" style="44"/>
    <col min="9726" max="9726" width="10.85546875" style="44" customWidth="1"/>
    <col min="9727" max="9727" width="10.28515625" style="44" customWidth="1"/>
    <col min="9728" max="9728" width="9.85546875" style="44" customWidth="1"/>
    <col min="9729" max="9729" width="10.5703125" style="44" customWidth="1"/>
    <col min="9730" max="9730" width="10" style="44" customWidth="1"/>
    <col min="9731" max="9731" width="9.85546875" style="44" customWidth="1"/>
    <col min="9732" max="9732" width="10.140625" style="44" customWidth="1"/>
    <col min="9733" max="9733" width="13.85546875" style="44" customWidth="1"/>
    <col min="9734" max="9734" width="12.5703125" style="44" customWidth="1"/>
    <col min="9735" max="9981" width="9.140625" style="44"/>
    <col min="9982" max="9982" width="10.85546875" style="44" customWidth="1"/>
    <col min="9983" max="9983" width="10.28515625" style="44" customWidth="1"/>
    <col min="9984" max="9984" width="9.85546875" style="44" customWidth="1"/>
    <col min="9985" max="9985" width="10.5703125" style="44" customWidth="1"/>
    <col min="9986" max="9986" width="10" style="44" customWidth="1"/>
    <col min="9987" max="9987" width="9.85546875" style="44" customWidth="1"/>
    <col min="9988" max="9988" width="10.140625" style="44" customWidth="1"/>
    <col min="9989" max="9989" width="13.85546875" style="44" customWidth="1"/>
    <col min="9990" max="9990" width="12.5703125" style="44" customWidth="1"/>
    <col min="9991" max="10237" width="9.140625" style="44"/>
    <col min="10238" max="10238" width="10.85546875" style="44" customWidth="1"/>
    <col min="10239" max="10239" width="10.28515625" style="44" customWidth="1"/>
    <col min="10240" max="10240" width="9.85546875" style="44" customWidth="1"/>
    <col min="10241" max="10241" width="10.5703125" style="44" customWidth="1"/>
    <col min="10242" max="10242" width="10" style="44" customWidth="1"/>
    <col min="10243" max="10243" width="9.85546875" style="44" customWidth="1"/>
    <col min="10244" max="10244" width="10.140625" style="44" customWidth="1"/>
    <col min="10245" max="10245" width="13.85546875" style="44" customWidth="1"/>
    <col min="10246" max="10246" width="12.5703125" style="44" customWidth="1"/>
    <col min="10247" max="10493" width="9.140625" style="44"/>
    <col min="10494" max="10494" width="10.85546875" style="44" customWidth="1"/>
    <col min="10495" max="10495" width="10.28515625" style="44" customWidth="1"/>
    <col min="10496" max="10496" width="9.85546875" style="44" customWidth="1"/>
    <col min="10497" max="10497" width="10.5703125" style="44" customWidth="1"/>
    <col min="10498" max="10498" width="10" style="44" customWidth="1"/>
    <col min="10499" max="10499" width="9.85546875" style="44" customWidth="1"/>
    <col min="10500" max="10500" width="10.140625" style="44" customWidth="1"/>
    <col min="10501" max="10501" width="13.85546875" style="44" customWidth="1"/>
    <col min="10502" max="10502" width="12.5703125" style="44" customWidth="1"/>
    <col min="10503" max="10749" width="9.140625" style="44"/>
    <col min="10750" max="10750" width="10.85546875" style="44" customWidth="1"/>
    <col min="10751" max="10751" width="10.28515625" style="44" customWidth="1"/>
    <col min="10752" max="10752" width="9.85546875" style="44" customWidth="1"/>
    <col min="10753" max="10753" width="10.5703125" style="44" customWidth="1"/>
    <col min="10754" max="10754" width="10" style="44" customWidth="1"/>
    <col min="10755" max="10755" width="9.85546875" style="44" customWidth="1"/>
    <col min="10756" max="10756" width="10.140625" style="44" customWidth="1"/>
    <col min="10757" max="10757" width="13.85546875" style="44" customWidth="1"/>
    <col min="10758" max="10758" width="12.5703125" style="44" customWidth="1"/>
    <col min="10759" max="11005" width="9.140625" style="44"/>
    <col min="11006" max="11006" width="10.85546875" style="44" customWidth="1"/>
    <col min="11007" max="11007" width="10.28515625" style="44" customWidth="1"/>
    <col min="11008" max="11008" width="9.85546875" style="44" customWidth="1"/>
    <col min="11009" max="11009" width="10.5703125" style="44" customWidth="1"/>
    <col min="11010" max="11010" width="10" style="44" customWidth="1"/>
    <col min="11011" max="11011" width="9.85546875" style="44" customWidth="1"/>
    <col min="11012" max="11012" width="10.140625" style="44" customWidth="1"/>
    <col min="11013" max="11013" width="13.85546875" style="44" customWidth="1"/>
    <col min="11014" max="11014" width="12.5703125" style="44" customWidth="1"/>
    <col min="11015" max="11261" width="9.140625" style="44"/>
    <col min="11262" max="11262" width="10.85546875" style="44" customWidth="1"/>
    <col min="11263" max="11263" width="10.28515625" style="44" customWidth="1"/>
    <col min="11264" max="11264" width="9.85546875" style="44" customWidth="1"/>
    <col min="11265" max="11265" width="10.5703125" style="44" customWidth="1"/>
    <col min="11266" max="11266" width="10" style="44" customWidth="1"/>
    <col min="11267" max="11267" width="9.85546875" style="44" customWidth="1"/>
    <col min="11268" max="11268" width="10.140625" style="44" customWidth="1"/>
    <col min="11269" max="11269" width="13.85546875" style="44" customWidth="1"/>
    <col min="11270" max="11270" width="12.5703125" style="44" customWidth="1"/>
    <col min="11271" max="11517" width="9.140625" style="44"/>
    <col min="11518" max="11518" width="10.85546875" style="44" customWidth="1"/>
    <col min="11519" max="11519" width="10.28515625" style="44" customWidth="1"/>
    <col min="11520" max="11520" width="9.85546875" style="44" customWidth="1"/>
    <col min="11521" max="11521" width="10.5703125" style="44" customWidth="1"/>
    <col min="11522" max="11522" width="10" style="44" customWidth="1"/>
    <col min="11523" max="11523" width="9.85546875" style="44" customWidth="1"/>
    <col min="11524" max="11524" width="10.140625" style="44" customWidth="1"/>
    <col min="11525" max="11525" width="13.85546875" style="44" customWidth="1"/>
    <col min="11526" max="11526" width="12.5703125" style="44" customWidth="1"/>
    <col min="11527" max="11773" width="9.140625" style="44"/>
    <col min="11774" max="11774" width="10.85546875" style="44" customWidth="1"/>
    <col min="11775" max="11775" width="10.28515625" style="44" customWidth="1"/>
    <col min="11776" max="11776" width="9.85546875" style="44" customWidth="1"/>
    <col min="11777" max="11777" width="10.5703125" style="44" customWidth="1"/>
    <col min="11778" max="11778" width="10" style="44" customWidth="1"/>
    <col min="11779" max="11779" width="9.85546875" style="44" customWidth="1"/>
    <col min="11780" max="11780" width="10.140625" style="44" customWidth="1"/>
    <col min="11781" max="11781" width="13.85546875" style="44" customWidth="1"/>
    <col min="11782" max="11782" width="12.5703125" style="44" customWidth="1"/>
    <col min="11783" max="12029" width="9.140625" style="44"/>
    <col min="12030" max="12030" width="10.85546875" style="44" customWidth="1"/>
    <col min="12031" max="12031" width="10.28515625" style="44" customWidth="1"/>
    <col min="12032" max="12032" width="9.85546875" style="44" customWidth="1"/>
    <col min="12033" max="12033" width="10.5703125" style="44" customWidth="1"/>
    <col min="12034" max="12034" width="10" style="44" customWidth="1"/>
    <col min="12035" max="12035" width="9.85546875" style="44" customWidth="1"/>
    <col min="12036" max="12036" width="10.140625" style="44" customWidth="1"/>
    <col min="12037" max="12037" width="13.85546875" style="44" customWidth="1"/>
    <col min="12038" max="12038" width="12.5703125" style="44" customWidth="1"/>
    <col min="12039" max="12285" width="9.140625" style="44"/>
    <col min="12286" max="12286" width="10.85546875" style="44" customWidth="1"/>
    <col min="12287" max="12287" width="10.28515625" style="44" customWidth="1"/>
    <col min="12288" max="12288" width="9.85546875" style="44" customWidth="1"/>
    <col min="12289" max="12289" width="10.5703125" style="44" customWidth="1"/>
    <col min="12290" max="12290" width="10" style="44" customWidth="1"/>
    <col min="12291" max="12291" width="9.85546875" style="44" customWidth="1"/>
    <col min="12292" max="12292" width="10.140625" style="44" customWidth="1"/>
    <col min="12293" max="12293" width="13.85546875" style="44" customWidth="1"/>
    <col min="12294" max="12294" width="12.5703125" style="44" customWidth="1"/>
    <col min="12295" max="12541" width="9.140625" style="44"/>
    <col min="12542" max="12542" width="10.85546875" style="44" customWidth="1"/>
    <col min="12543" max="12543" width="10.28515625" style="44" customWidth="1"/>
    <col min="12544" max="12544" width="9.85546875" style="44" customWidth="1"/>
    <col min="12545" max="12545" width="10.5703125" style="44" customWidth="1"/>
    <col min="12546" max="12546" width="10" style="44" customWidth="1"/>
    <col min="12547" max="12547" width="9.85546875" style="44" customWidth="1"/>
    <col min="12548" max="12548" width="10.140625" style="44" customWidth="1"/>
    <col min="12549" max="12549" width="13.85546875" style="44" customWidth="1"/>
    <col min="12550" max="12550" width="12.5703125" style="44" customWidth="1"/>
    <col min="12551" max="12797" width="9.140625" style="44"/>
    <col min="12798" max="12798" width="10.85546875" style="44" customWidth="1"/>
    <col min="12799" max="12799" width="10.28515625" style="44" customWidth="1"/>
    <col min="12800" max="12800" width="9.85546875" style="44" customWidth="1"/>
    <col min="12801" max="12801" width="10.5703125" style="44" customWidth="1"/>
    <col min="12802" max="12802" width="10" style="44" customWidth="1"/>
    <col min="12803" max="12803" width="9.85546875" style="44" customWidth="1"/>
    <col min="12804" max="12804" width="10.140625" style="44" customWidth="1"/>
    <col min="12805" max="12805" width="13.85546875" style="44" customWidth="1"/>
    <col min="12806" max="12806" width="12.5703125" style="44" customWidth="1"/>
    <col min="12807" max="13053" width="9.140625" style="44"/>
    <col min="13054" max="13054" width="10.85546875" style="44" customWidth="1"/>
    <col min="13055" max="13055" width="10.28515625" style="44" customWidth="1"/>
    <col min="13056" max="13056" width="9.85546875" style="44" customWidth="1"/>
    <col min="13057" max="13057" width="10.5703125" style="44" customWidth="1"/>
    <col min="13058" max="13058" width="10" style="44" customWidth="1"/>
    <col min="13059" max="13059" width="9.85546875" style="44" customWidth="1"/>
    <col min="13060" max="13060" width="10.140625" style="44" customWidth="1"/>
    <col min="13061" max="13061" width="13.85546875" style="44" customWidth="1"/>
    <col min="13062" max="13062" width="12.5703125" style="44" customWidth="1"/>
    <col min="13063" max="13309" width="9.140625" style="44"/>
    <col min="13310" max="13310" width="10.85546875" style="44" customWidth="1"/>
    <col min="13311" max="13311" width="10.28515625" style="44" customWidth="1"/>
    <col min="13312" max="13312" width="9.85546875" style="44" customWidth="1"/>
    <col min="13313" max="13313" width="10.5703125" style="44" customWidth="1"/>
    <col min="13314" max="13314" width="10" style="44" customWidth="1"/>
    <col min="13315" max="13315" width="9.85546875" style="44" customWidth="1"/>
    <col min="13316" max="13316" width="10.140625" style="44" customWidth="1"/>
    <col min="13317" max="13317" width="13.85546875" style="44" customWidth="1"/>
    <col min="13318" max="13318" width="12.5703125" style="44" customWidth="1"/>
    <col min="13319" max="13565" width="9.140625" style="44"/>
    <col min="13566" max="13566" width="10.85546875" style="44" customWidth="1"/>
    <col min="13567" max="13567" width="10.28515625" style="44" customWidth="1"/>
    <col min="13568" max="13568" width="9.85546875" style="44" customWidth="1"/>
    <col min="13569" max="13569" width="10.5703125" style="44" customWidth="1"/>
    <col min="13570" max="13570" width="10" style="44" customWidth="1"/>
    <col min="13571" max="13571" width="9.85546875" style="44" customWidth="1"/>
    <col min="13572" max="13572" width="10.140625" style="44" customWidth="1"/>
    <col min="13573" max="13573" width="13.85546875" style="44" customWidth="1"/>
    <col min="13574" max="13574" width="12.5703125" style="44" customWidth="1"/>
    <col min="13575" max="13821" width="9.140625" style="44"/>
    <col min="13822" max="13822" width="10.85546875" style="44" customWidth="1"/>
    <col min="13823" max="13823" width="10.28515625" style="44" customWidth="1"/>
    <col min="13824" max="13824" width="9.85546875" style="44" customWidth="1"/>
    <col min="13825" max="13825" width="10.5703125" style="44" customWidth="1"/>
    <col min="13826" max="13826" width="10" style="44" customWidth="1"/>
    <col min="13827" max="13827" width="9.85546875" style="44" customWidth="1"/>
    <col min="13828" max="13828" width="10.140625" style="44" customWidth="1"/>
    <col min="13829" max="13829" width="13.85546875" style="44" customWidth="1"/>
    <col min="13830" max="13830" width="12.5703125" style="44" customWidth="1"/>
    <col min="13831" max="14077" width="9.140625" style="44"/>
    <col min="14078" max="14078" width="10.85546875" style="44" customWidth="1"/>
    <col min="14079" max="14079" width="10.28515625" style="44" customWidth="1"/>
    <col min="14080" max="14080" width="9.85546875" style="44" customWidth="1"/>
    <col min="14081" max="14081" width="10.5703125" style="44" customWidth="1"/>
    <col min="14082" max="14082" width="10" style="44" customWidth="1"/>
    <col min="14083" max="14083" width="9.85546875" style="44" customWidth="1"/>
    <col min="14084" max="14084" width="10.140625" style="44" customWidth="1"/>
    <col min="14085" max="14085" width="13.85546875" style="44" customWidth="1"/>
    <col min="14086" max="14086" width="12.5703125" style="44" customWidth="1"/>
    <col min="14087" max="14333" width="9.140625" style="44"/>
    <col min="14334" max="14334" width="10.85546875" style="44" customWidth="1"/>
    <col min="14335" max="14335" width="10.28515625" style="44" customWidth="1"/>
    <col min="14336" max="14336" width="9.85546875" style="44" customWidth="1"/>
    <col min="14337" max="14337" width="10.5703125" style="44" customWidth="1"/>
    <col min="14338" max="14338" width="10" style="44" customWidth="1"/>
    <col min="14339" max="14339" width="9.85546875" style="44" customWidth="1"/>
    <col min="14340" max="14340" width="10.140625" style="44" customWidth="1"/>
    <col min="14341" max="14341" width="13.85546875" style="44" customWidth="1"/>
    <col min="14342" max="14342" width="12.5703125" style="44" customWidth="1"/>
    <col min="14343" max="14589" width="9.140625" style="44"/>
    <col min="14590" max="14590" width="10.85546875" style="44" customWidth="1"/>
    <col min="14591" max="14591" width="10.28515625" style="44" customWidth="1"/>
    <col min="14592" max="14592" width="9.85546875" style="44" customWidth="1"/>
    <col min="14593" max="14593" width="10.5703125" style="44" customWidth="1"/>
    <col min="14594" max="14594" width="10" style="44" customWidth="1"/>
    <col min="14595" max="14595" width="9.85546875" style="44" customWidth="1"/>
    <col min="14596" max="14596" width="10.140625" style="44" customWidth="1"/>
    <col min="14597" max="14597" width="13.85546875" style="44" customWidth="1"/>
    <col min="14598" max="14598" width="12.5703125" style="44" customWidth="1"/>
    <col min="14599" max="14845" width="9.140625" style="44"/>
    <col min="14846" max="14846" width="10.85546875" style="44" customWidth="1"/>
    <col min="14847" max="14847" width="10.28515625" style="44" customWidth="1"/>
    <col min="14848" max="14848" width="9.85546875" style="44" customWidth="1"/>
    <col min="14849" max="14849" width="10.5703125" style="44" customWidth="1"/>
    <col min="14850" max="14850" width="10" style="44" customWidth="1"/>
    <col min="14851" max="14851" width="9.85546875" style="44" customWidth="1"/>
    <col min="14852" max="14852" width="10.140625" style="44" customWidth="1"/>
    <col min="14853" max="14853" width="13.85546875" style="44" customWidth="1"/>
    <col min="14854" max="14854" width="12.5703125" style="44" customWidth="1"/>
    <col min="14855" max="15101" width="9.140625" style="44"/>
    <col min="15102" max="15102" width="10.85546875" style="44" customWidth="1"/>
    <col min="15103" max="15103" width="10.28515625" style="44" customWidth="1"/>
    <col min="15104" max="15104" width="9.85546875" style="44" customWidth="1"/>
    <col min="15105" max="15105" width="10.5703125" style="44" customWidth="1"/>
    <col min="15106" max="15106" width="10" style="44" customWidth="1"/>
    <col min="15107" max="15107" width="9.85546875" style="44" customWidth="1"/>
    <col min="15108" max="15108" width="10.140625" style="44" customWidth="1"/>
    <col min="15109" max="15109" width="13.85546875" style="44" customWidth="1"/>
    <col min="15110" max="15110" width="12.5703125" style="44" customWidth="1"/>
    <col min="15111" max="15357" width="9.140625" style="44"/>
    <col min="15358" max="15358" width="10.85546875" style="44" customWidth="1"/>
    <col min="15359" max="15359" width="10.28515625" style="44" customWidth="1"/>
    <col min="15360" max="15360" width="9.85546875" style="44" customWidth="1"/>
    <col min="15361" max="15361" width="10.5703125" style="44" customWidth="1"/>
    <col min="15362" max="15362" width="10" style="44" customWidth="1"/>
    <col min="15363" max="15363" width="9.85546875" style="44" customWidth="1"/>
    <col min="15364" max="15364" width="10.140625" style="44" customWidth="1"/>
    <col min="15365" max="15365" width="13.85546875" style="44" customWidth="1"/>
    <col min="15366" max="15366" width="12.5703125" style="44" customWidth="1"/>
    <col min="15367" max="15613" width="9.140625" style="44"/>
    <col min="15614" max="15614" width="10.85546875" style="44" customWidth="1"/>
    <col min="15615" max="15615" width="10.28515625" style="44" customWidth="1"/>
    <col min="15616" max="15616" width="9.85546875" style="44" customWidth="1"/>
    <col min="15617" max="15617" width="10.5703125" style="44" customWidth="1"/>
    <col min="15618" max="15618" width="10" style="44" customWidth="1"/>
    <col min="15619" max="15619" width="9.85546875" style="44" customWidth="1"/>
    <col min="15620" max="15620" width="10.140625" style="44" customWidth="1"/>
    <col min="15621" max="15621" width="13.85546875" style="44" customWidth="1"/>
    <col min="15622" max="15622" width="12.5703125" style="44" customWidth="1"/>
    <col min="15623" max="15869" width="9.140625" style="44"/>
    <col min="15870" max="15870" width="10.85546875" style="44" customWidth="1"/>
    <col min="15871" max="15871" width="10.28515625" style="44" customWidth="1"/>
    <col min="15872" max="15872" width="9.85546875" style="44" customWidth="1"/>
    <col min="15873" max="15873" width="10.5703125" style="44" customWidth="1"/>
    <col min="15874" max="15874" width="10" style="44" customWidth="1"/>
    <col min="15875" max="15875" width="9.85546875" style="44" customWidth="1"/>
    <col min="15876" max="15876" width="10.140625" style="44" customWidth="1"/>
    <col min="15877" max="15877" width="13.85546875" style="44" customWidth="1"/>
    <col min="15878" max="15878" width="12.5703125" style="44" customWidth="1"/>
    <col min="15879" max="16125" width="9.140625" style="44"/>
    <col min="16126" max="16126" width="10.85546875" style="44" customWidth="1"/>
    <col min="16127" max="16127" width="10.28515625" style="44" customWidth="1"/>
    <col min="16128" max="16128" width="9.85546875" style="44" customWidth="1"/>
    <col min="16129" max="16129" width="10.5703125" style="44" customWidth="1"/>
    <col min="16130" max="16130" width="10" style="44" customWidth="1"/>
    <col min="16131" max="16131" width="9.85546875" style="44" customWidth="1"/>
    <col min="16132" max="16132" width="10.140625" style="44" customWidth="1"/>
    <col min="16133" max="16133" width="13.85546875" style="44" customWidth="1"/>
    <col min="16134" max="16134" width="12.5703125" style="44" customWidth="1"/>
    <col min="16135" max="16384" width="9.140625" style="44"/>
  </cols>
  <sheetData>
    <row r="1" spans="1:23" ht="90" thickBot="1" x14ac:dyDescent="0.25">
      <c r="A1" s="40" t="s">
        <v>42</v>
      </c>
      <c r="B1" s="41" t="s">
        <v>28</v>
      </c>
      <c r="C1" s="42" t="s">
        <v>29</v>
      </c>
      <c r="D1" s="42" t="s">
        <v>30</v>
      </c>
      <c r="E1" s="42" t="s">
        <v>31</v>
      </c>
      <c r="F1" s="42" t="s">
        <v>32</v>
      </c>
      <c r="G1" s="42" t="s">
        <v>33</v>
      </c>
      <c r="H1" s="42" t="s">
        <v>34</v>
      </c>
      <c r="I1" s="43" t="s">
        <v>43</v>
      </c>
      <c r="J1" s="72" t="s">
        <v>44</v>
      </c>
      <c r="K1" s="72" t="s">
        <v>45</v>
      </c>
      <c r="L1" s="72" t="s">
        <v>46</v>
      </c>
      <c r="M1" s="73" t="s">
        <v>47</v>
      </c>
      <c r="N1" s="73" t="s">
        <v>48</v>
      </c>
      <c r="O1" s="73" t="s">
        <v>49</v>
      </c>
      <c r="P1" s="71" t="s">
        <v>50</v>
      </c>
      <c r="Q1" s="71" t="s">
        <v>51</v>
      </c>
      <c r="R1" s="71" t="s">
        <v>52</v>
      </c>
      <c r="S1" s="71" t="s">
        <v>53</v>
      </c>
      <c r="T1" s="74" t="s">
        <v>55</v>
      </c>
      <c r="U1" s="75" t="s">
        <v>56</v>
      </c>
      <c r="V1" s="75" t="s">
        <v>57</v>
      </c>
      <c r="W1" s="75" t="s">
        <v>54</v>
      </c>
    </row>
    <row r="2" spans="1:23" x14ac:dyDescent="0.2">
      <c r="A2" s="45">
        <v>43466</v>
      </c>
      <c r="B2" s="46">
        <v>752.96</v>
      </c>
      <c r="C2" s="47">
        <v>1102.1199999999999</v>
      </c>
      <c r="D2" s="47">
        <v>388.47</v>
      </c>
      <c r="E2" s="47">
        <v>44.69</v>
      </c>
      <c r="F2" s="47">
        <v>370.11</v>
      </c>
      <c r="G2" s="47">
        <v>1238.46</v>
      </c>
      <c r="H2" s="47">
        <v>818.27</v>
      </c>
      <c r="I2" s="48">
        <v>3078.5400000000004</v>
      </c>
      <c r="J2" s="49"/>
    </row>
    <row r="3" spans="1:23" x14ac:dyDescent="0.2">
      <c r="A3" s="50">
        <f t="shared" ref="A3:A30" si="0">A2+1</f>
        <v>43467</v>
      </c>
      <c r="B3" s="51">
        <v>757.59</v>
      </c>
      <c r="C3" s="52">
        <v>1146.57</v>
      </c>
      <c r="D3" s="52">
        <v>378.2</v>
      </c>
      <c r="E3" s="52">
        <v>43.43</v>
      </c>
      <c r="F3" s="52">
        <v>699.77</v>
      </c>
      <c r="G3" s="52">
        <v>1217.73</v>
      </c>
      <c r="H3" s="52">
        <v>867</v>
      </c>
      <c r="I3" s="53">
        <v>3376.2899999999991</v>
      </c>
      <c r="J3" s="49"/>
    </row>
    <row r="4" spans="1:23" x14ac:dyDescent="0.2">
      <c r="A4" s="50">
        <f t="shared" si="0"/>
        <v>43468</v>
      </c>
      <c r="B4" s="51">
        <v>1516.36</v>
      </c>
      <c r="C4" s="52">
        <v>1092.98</v>
      </c>
      <c r="D4" s="52">
        <v>401.43</v>
      </c>
      <c r="E4" s="52">
        <v>898.8</v>
      </c>
      <c r="F4" s="52">
        <v>2703.15</v>
      </c>
      <c r="G4" s="52">
        <v>1394.12</v>
      </c>
      <c r="H4" s="52">
        <v>1000.4</v>
      </c>
      <c r="I4" s="53">
        <v>7006.44</v>
      </c>
      <c r="J4" s="49"/>
    </row>
    <row r="5" spans="1:23" x14ac:dyDescent="0.2">
      <c r="A5" s="50">
        <f t="shared" si="0"/>
        <v>43469</v>
      </c>
      <c r="B5" s="51">
        <v>1115.6099999999999</v>
      </c>
      <c r="C5" s="52">
        <v>1096.02</v>
      </c>
      <c r="D5" s="52">
        <v>349.84</v>
      </c>
      <c r="E5" s="52">
        <v>457.5</v>
      </c>
      <c r="F5" s="52">
        <v>556.61</v>
      </c>
      <c r="G5" s="52">
        <v>1713.69</v>
      </c>
      <c r="H5" s="52">
        <v>1405.8</v>
      </c>
      <c r="I5" s="53">
        <v>3883.4700000000003</v>
      </c>
      <c r="J5" s="49"/>
    </row>
    <row r="6" spans="1:23" x14ac:dyDescent="0.2">
      <c r="A6" s="50">
        <f t="shared" si="0"/>
        <v>43470</v>
      </c>
      <c r="B6" s="51">
        <v>1086.8</v>
      </c>
      <c r="C6" s="52">
        <v>1116.83</v>
      </c>
      <c r="D6" s="52">
        <v>356.93</v>
      </c>
      <c r="E6" s="52">
        <v>445.8</v>
      </c>
      <c r="F6" s="52">
        <v>690.51</v>
      </c>
      <c r="G6" s="52">
        <v>1752.38</v>
      </c>
      <c r="H6" s="52">
        <v>1454.1000000000001</v>
      </c>
      <c r="I6" s="53">
        <v>3995.1499999999996</v>
      </c>
      <c r="J6" s="49"/>
    </row>
    <row r="7" spans="1:23" x14ac:dyDescent="0.2">
      <c r="A7" s="50">
        <f t="shared" si="0"/>
        <v>43471</v>
      </c>
      <c r="B7" s="51">
        <v>850.72</v>
      </c>
      <c r="C7" s="52">
        <v>1230.3800000000001</v>
      </c>
      <c r="D7" s="52">
        <v>345.4</v>
      </c>
      <c r="E7" s="52">
        <v>41.73</v>
      </c>
      <c r="F7" s="52">
        <v>400.73</v>
      </c>
      <c r="G7" s="52">
        <v>1693.62</v>
      </c>
      <c r="H7" s="52">
        <v>1341.5</v>
      </c>
      <c r="I7" s="53">
        <v>3221.08</v>
      </c>
      <c r="J7" s="49"/>
    </row>
    <row r="8" spans="1:23" x14ac:dyDescent="0.2">
      <c r="A8" s="50">
        <f t="shared" si="0"/>
        <v>43472</v>
      </c>
      <c r="B8" s="51">
        <v>764.92</v>
      </c>
      <c r="C8" s="52">
        <v>1253.6600000000001</v>
      </c>
      <c r="D8" s="52">
        <v>381.02</v>
      </c>
      <c r="E8" s="52">
        <v>43.87</v>
      </c>
      <c r="F8" s="52">
        <v>319.88</v>
      </c>
      <c r="G8" s="52">
        <v>1741.32</v>
      </c>
      <c r="H8" s="52">
        <v>1383.2</v>
      </c>
      <c r="I8" s="53">
        <v>3121.4700000000003</v>
      </c>
      <c r="J8" s="49"/>
    </row>
    <row r="9" spans="1:23" x14ac:dyDescent="0.2">
      <c r="A9" s="50">
        <f t="shared" si="0"/>
        <v>43473</v>
      </c>
      <c r="B9" s="51">
        <v>1246.27</v>
      </c>
      <c r="C9" s="52">
        <v>1462.98</v>
      </c>
      <c r="D9" s="52">
        <v>645.84</v>
      </c>
      <c r="E9" s="52">
        <v>43.6</v>
      </c>
      <c r="F9" s="52">
        <v>486.52</v>
      </c>
      <c r="G9" s="52">
        <v>1932.03</v>
      </c>
      <c r="H9" s="52">
        <v>1606.2</v>
      </c>
      <c r="I9" s="53">
        <v>4211.04</v>
      </c>
      <c r="J9" s="49"/>
    </row>
    <row r="10" spans="1:23" x14ac:dyDescent="0.2">
      <c r="A10" s="50">
        <f t="shared" si="0"/>
        <v>43474</v>
      </c>
      <c r="B10" s="51">
        <v>6991.94</v>
      </c>
      <c r="C10" s="52">
        <v>4746.79</v>
      </c>
      <c r="D10" s="52">
        <v>3089.24</v>
      </c>
      <c r="E10" s="52">
        <v>2337.1799999999998</v>
      </c>
      <c r="F10" s="52">
        <v>4024.19</v>
      </c>
      <c r="G10" s="52">
        <v>5553.08</v>
      </c>
      <c r="H10" s="52">
        <v>3096.49</v>
      </c>
      <c r="I10" s="53">
        <v>23645.93</v>
      </c>
      <c r="J10" s="49"/>
    </row>
    <row r="11" spans="1:23" x14ac:dyDescent="0.2">
      <c r="A11" s="50">
        <f t="shared" si="0"/>
        <v>43475</v>
      </c>
      <c r="B11" s="51">
        <v>8724.7000000000007</v>
      </c>
      <c r="C11" s="52">
        <v>5398.6</v>
      </c>
      <c r="D11" s="52">
        <v>4063.9</v>
      </c>
      <c r="E11" s="52">
        <v>2694.3</v>
      </c>
      <c r="F11" s="52">
        <v>5149.3</v>
      </c>
      <c r="G11" s="52">
        <v>6454.6</v>
      </c>
      <c r="H11" s="52">
        <v>3434.5000000000009</v>
      </c>
      <c r="I11" s="53">
        <v>29050.9</v>
      </c>
      <c r="J11" s="49"/>
    </row>
    <row r="12" spans="1:23" x14ac:dyDescent="0.2">
      <c r="A12" s="50">
        <f t="shared" si="0"/>
        <v>43476</v>
      </c>
      <c r="B12" s="51">
        <v>8663.32</v>
      </c>
      <c r="C12" s="52">
        <v>5459.17</v>
      </c>
      <c r="D12" s="52">
        <v>3978.83</v>
      </c>
      <c r="E12" s="52">
        <v>2130.39</v>
      </c>
      <c r="F12" s="52">
        <v>5714.06</v>
      </c>
      <c r="G12" s="52">
        <v>6482.51</v>
      </c>
      <c r="H12" s="52">
        <v>3332.5599999999995</v>
      </c>
      <c r="I12" s="53">
        <v>29095.72</v>
      </c>
      <c r="J12" s="49"/>
    </row>
    <row r="13" spans="1:23" x14ac:dyDescent="0.2">
      <c r="A13" s="50">
        <f t="shared" si="0"/>
        <v>43477</v>
      </c>
      <c r="B13" s="51">
        <v>8580.86</v>
      </c>
      <c r="C13" s="52">
        <v>5179</v>
      </c>
      <c r="D13" s="52">
        <v>3814.21</v>
      </c>
      <c r="E13" s="52">
        <v>2234.9699999999998</v>
      </c>
      <c r="F13" s="52">
        <v>5716.76</v>
      </c>
      <c r="G13" s="52">
        <v>5258.22</v>
      </c>
      <c r="H13" s="52">
        <v>2447.1400000000003</v>
      </c>
      <c r="I13" s="53">
        <v>28336.880000000005</v>
      </c>
      <c r="J13" s="49"/>
    </row>
    <row r="14" spans="1:23" x14ac:dyDescent="0.2">
      <c r="A14" s="50">
        <f t="shared" si="0"/>
        <v>43478</v>
      </c>
      <c r="B14" s="51">
        <v>7765.1</v>
      </c>
      <c r="C14" s="52">
        <v>5080.8</v>
      </c>
      <c r="D14" s="52">
        <v>3551</v>
      </c>
      <c r="E14" s="52">
        <v>1911.4</v>
      </c>
      <c r="F14" s="52">
        <v>4822</v>
      </c>
      <c r="G14" s="52">
        <v>5349.9</v>
      </c>
      <c r="H14" s="52">
        <v>2546.6999999999998</v>
      </c>
      <c r="I14" s="53">
        <v>25933.500000000004</v>
      </c>
      <c r="J14" s="49"/>
    </row>
    <row r="15" spans="1:23" x14ac:dyDescent="0.2">
      <c r="A15" s="50">
        <f t="shared" si="0"/>
        <v>43479</v>
      </c>
      <c r="B15" s="51">
        <v>7844.4</v>
      </c>
      <c r="C15" s="52">
        <v>5445.8</v>
      </c>
      <c r="D15" s="52">
        <v>3791.6</v>
      </c>
      <c r="E15" s="52">
        <v>1847</v>
      </c>
      <c r="F15" s="52">
        <v>4312.6000000000004</v>
      </c>
      <c r="G15" s="52">
        <v>6128.2</v>
      </c>
      <c r="H15" s="52">
        <v>3345.5700000000006</v>
      </c>
      <c r="I15" s="53">
        <v>26024.030000000002</v>
      </c>
      <c r="J15" s="49"/>
    </row>
    <row r="16" spans="1:23" x14ac:dyDescent="0.2">
      <c r="A16" s="50">
        <f t="shared" si="0"/>
        <v>43480</v>
      </c>
      <c r="B16" s="51">
        <v>9083.4500000000007</v>
      </c>
      <c r="C16" s="52">
        <v>5695.01</v>
      </c>
      <c r="D16" s="52">
        <v>4076.05</v>
      </c>
      <c r="E16" s="52">
        <v>2391.54</v>
      </c>
      <c r="F16" s="52">
        <v>5554.15</v>
      </c>
      <c r="G16" s="52">
        <v>6410.06</v>
      </c>
      <c r="H16" s="52">
        <v>3481.0200000000004</v>
      </c>
      <c r="I16" s="53">
        <v>29729.24</v>
      </c>
      <c r="J16" s="49"/>
    </row>
    <row r="17" spans="1:10" x14ac:dyDescent="0.2">
      <c r="A17" s="50">
        <f t="shared" si="0"/>
        <v>43481</v>
      </c>
      <c r="B17" s="51">
        <v>8461.77</v>
      </c>
      <c r="C17" s="52">
        <v>5626.51</v>
      </c>
      <c r="D17" s="52">
        <v>3801.79</v>
      </c>
      <c r="E17" s="52">
        <v>2444.59</v>
      </c>
      <c r="F17" s="52">
        <v>6344.28</v>
      </c>
      <c r="G17" s="52">
        <v>6355.98</v>
      </c>
      <c r="H17" s="52">
        <v>3393.6100000000006</v>
      </c>
      <c r="I17" s="53">
        <v>29641.309999999998</v>
      </c>
      <c r="J17" s="49"/>
    </row>
    <row r="18" spans="1:10" x14ac:dyDescent="0.2">
      <c r="A18" s="50">
        <f t="shared" si="0"/>
        <v>43482</v>
      </c>
      <c r="B18" s="51">
        <v>8077.9</v>
      </c>
      <c r="C18" s="52">
        <v>5561.2</v>
      </c>
      <c r="D18" s="52">
        <v>3874.4</v>
      </c>
      <c r="E18" s="52">
        <v>2336.5</v>
      </c>
      <c r="F18" s="52">
        <v>5915.8</v>
      </c>
      <c r="G18" s="52">
        <v>6407.4</v>
      </c>
      <c r="H18" s="52">
        <v>3405.8</v>
      </c>
      <c r="I18" s="53">
        <v>28767.399999999998</v>
      </c>
      <c r="J18" s="49"/>
    </row>
    <row r="19" spans="1:10" x14ac:dyDescent="0.2">
      <c r="A19" s="50">
        <f t="shared" si="0"/>
        <v>43483</v>
      </c>
      <c r="B19" s="51">
        <v>8088.8</v>
      </c>
      <c r="C19" s="52">
        <v>5460.3</v>
      </c>
      <c r="D19" s="52">
        <v>4048.6</v>
      </c>
      <c r="E19" s="52">
        <v>2185.4</v>
      </c>
      <c r="F19" s="52">
        <v>5647.5</v>
      </c>
      <c r="G19" s="52">
        <v>5788</v>
      </c>
      <c r="H19" s="52">
        <v>3255.2000000000003</v>
      </c>
      <c r="I19" s="53">
        <v>27963.4</v>
      </c>
      <c r="J19" s="49"/>
    </row>
    <row r="20" spans="1:10" x14ac:dyDescent="0.2">
      <c r="A20" s="50">
        <f t="shared" si="0"/>
        <v>43484</v>
      </c>
      <c r="B20" s="51">
        <v>7757.07</v>
      </c>
      <c r="C20" s="52">
        <v>5055.03</v>
      </c>
      <c r="D20" s="52">
        <v>3533.72</v>
      </c>
      <c r="E20" s="52">
        <v>2283.8200000000002</v>
      </c>
      <c r="F20" s="52">
        <v>6004.05</v>
      </c>
      <c r="G20" s="52">
        <v>5506.15</v>
      </c>
      <c r="H20" s="52">
        <v>2753.1800000000003</v>
      </c>
      <c r="I20" s="53">
        <v>27386.659999999996</v>
      </c>
      <c r="J20" s="49"/>
    </row>
    <row r="21" spans="1:10" x14ac:dyDescent="0.2">
      <c r="A21" s="50">
        <f t="shared" si="0"/>
        <v>43485</v>
      </c>
      <c r="B21" s="51">
        <v>4506.3999999999996</v>
      </c>
      <c r="C21" s="52">
        <v>3803.7</v>
      </c>
      <c r="D21" s="52">
        <v>2569.6</v>
      </c>
      <c r="E21" s="52">
        <v>2257.4</v>
      </c>
      <c r="F21" s="52">
        <v>4838.5</v>
      </c>
      <c r="G21" s="52">
        <v>5200.2</v>
      </c>
      <c r="H21" s="52">
        <v>2612.5</v>
      </c>
      <c r="I21" s="53">
        <v>20563.3</v>
      </c>
      <c r="J21" s="49"/>
    </row>
    <row r="22" spans="1:10" x14ac:dyDescent="0.2">
      <c r="A22" s="50">
        <f t="shared" si="0"/>
        <v>43486</v>
      </c>
      <c r="B22" s="51">
        <v>7570.7</v>
      </c>
      <c r="C22" s="52">
        <v>4901.2</v>
      </c>
      <c r="D22" s="52">
        <v>3215.5</v>
      </c>
      <c r="E22" s="52">
        <v>1983.8</v>
      </c>
      <c r="F22" s="52">
        <v>4424.6000000000004</v>
      </c>
      <c r="G22" s="52">
        <v>6160.8</v>
      </c>
      <c r="H22" s="52">
        <v>3334.3</v>
      </c>
      <c r="I22" s="53">
        <v>24922.300000000003</v>
      </c>
      <c r="J22" s="49"/>
    </row>
    <row r="23" spans="1:10" x14ac:dyDescent="0.2">
      <c r="A23" s="50">
        <f t="shared" si="0"/>
        <v>43487</v>
      </c>
      <c r="B23" s="51">
        <v>8673.2000000000007</v>
      </c>
      <c r="C23" s="52">
        <v>5348.4</v>
      </c>
      <c r="D23" s="52">
        <v>3937.5</v>
      </c>
      <c r="E23" s="52">
        <v>2166.1999999999998</v>
      </c>
      <c r="F23" s="52">
        <v>5300.2</v>
      </c>
      <c r="G23" s="52">
        <v>6298.2</v>
      </c>
      <c r="H23" s="52">
        <v>3472.8</v>
      </c>
      <c r="I23" s="53">
        <v>28250.9</v>
      </c>
      <c r="J23" s="49"/>
    </row>
    <row r="24" spans="1:10" x14ac:dyDescent="0.2">
      <c r="A24" s="50">
        <f t="shared" si="0"/>
        <v>43488</v>
      </c>
      <c r="B24" s="51">
        <v>8811.6200000000008</v>
      </c>
      <c r="C24" s="52">
        <v>5462.03</v>
      </c>
      <c r="D24" s="52">
        <v>4240.93</v>
      </c>
      <c r="E24" s="52">
        <v>2216.92</v>
      </c>
      <c r="F24" s="52">
        <v>6105.45</v>
      </c>
      <c r="G24" s="52">
        <v>6982.07</v>
      </c>
      <c r="H24" s="52">
        <v>3729.2400000000002</v>
      </c>
      <c r="I24" s="53">
        <v>30089.780000000002</v>
      </c>
      <c r="J24" s="49"/>
    </row>
    <row r="25" spans="1:10" x14ac:dyDescent="0.2">
      <c r="A25" s="50">
        <f t="shared" si="0"/>
        <v>43489</v>
      </c>
      <c r="B25" s="51">
        <v>8786.5</v>
      </c>
      <c r="C25" s="52">
        <v>5425.97</v>
      </c>
      <c r="D25" s="52">
        <v>4437.72</v>
      </c>
      <c r="E25" s="52">
        <v>2063.4499999999998</v>
      </c>
      <c r="F25" s="52">
        <v>5418.84</v>
      </c>
      <c r="G25" s="52">
        <v>6623.86</v>
      </c>
      <c r="H25" s="52">
        <v>3643.4699999999993</v>
      </c>
      <c r="I25" s="53">
        <v>29112.870000000003</v>
      </c>
      <c r="J25" s="49"/>
    </row>
    <row r="26" spans="1:10" x14ac:dyDescent="0.2">
      <c r="A26" s="50">
        <f t="shared" si="0"/>
        <v>43490</v>
      </c>
      <c r="B26" s="51">
        <v>9038.5</v>
      </c>
      <c r="C26" s="52">
        <v>5493.5</v>
      </c>
      <c r="D26" s="52">
        <v>4487.3999999999996</v>
      </c>
      <c r="E26" s="52">
        <v>2072.1999999999998</v>
      </c>
      <c r="F26" s="52">
        <v>5465.9</v>
      </c>
      <c r="G26" s="52">
        <v>6727.2</v>
      </c>
      <c r="H26" s="52">
        <v>3595.2000000000007</v>
      </c>
      <c r="I26" s="53">
        <v>29689.499999999996</v>
      </c>
      <c r="J26" s="49"/>
    </row>
    <row r="27" spans="1:10" x14ac:dyDescent="0.2">
      <c r="A27" s="50">
        <f t="shared" si="0"/>
        <v>43491</v>
      </c>
      <c r="B27" s="51">
        <v>8404.7000000000007</v>
      </c>
      <c r="C27" s="52">
        <v>5206.6000000000004</v>
      </c>
      <c r="D27" s="52">
        <v>4173.8</v>
      </c>
      <c r="E27" s="52">
        <v>2165.1</v>
      </c>
      <c r="F27" s="52">
        <v>5636.4</v>
      </c>
      <c r="G27" s="52">
        <v>5424.5</v>
      </c>
      <c r="H27" s="52">
        <v>3028.3</v>
      </c>
      <c r="I27" s="53">
        <v>27982.799999999999</v>
      </c>
      <c r="J27" s="49"/>
    </row>
    <row r="28" spans="1:10" x14ac:dyDescent="0.2">
      <c r="A28" s="50">
        <f t="shared" si="0"/>
        <v>43492</v>
      </c>
      <c r="B28" s="51">
        <v>6999.25</v>
      </c>
      <c r="C28" s="52">
        <v>4927.1000000000004</v>
      </c>
      <c r="D28" s="52">
        <v>3630.51</v>
      </c>
      <c r="E28" s="52">
        <v>1741.31</v>
      </c>
      <c r="F28" s="52">
        <v>5033</v>
      </c>
      <c r="G28" s="52">
        <v>5589.47</v>
      </c>
      <c r="H28" s="52">
        <v>2934.88</v>
      </c>
      <c r="I28" s="53">
        <v>24985.760000000002</v>
      </c>
      <c r="J28" s="49"/>
    </row>
    <row r="29" spans="1:10" x14ac:dyDescent="0.2">
      <c r="A29" s="50">
        <f t="shared" si="0"/>
        <v>43493</v>
      </c>
      <c r="B29" s="51">
        <v>8291.5499999999993</v>
      </c>
      <c r="C29" s="52">
        <v>5309.88</v>
      </c>
      <c r="D29" s="52">
        <v>3989.97</v>
      </c>
      <c r="E29" s="52">
        <v>1903.74</v>
      </c>
      <c r="F29" s="52">
        <v>5311.26</v>
      </c>
      <c r="G29" s="52">
        <v>7297.63</v>
      </c>
      <c r="H29" s="52">
        <v>3681.2699999999995</v>
      </c>
      <c r="I29" s="53">
        <v>28422.760000000002</v>
      </c>
      <c r="J29" s="49"/>
    </row>
    <row r="30" spans="1:10" x14ac:dyDescent="0.2">
      <c r="A30" s="50">
        <f t="shared" si="0"/>
        <v>43494</v>
      </c>
      <c r="B30" s="51">
        <v>9589.66</v>
      </c>
      <c r="C30" s="52">
        <v>5615.7</v>
      </c>
      <c r="D30" s="52">
        <v>4103.05</v>
      </c>
      <c r="E30" s="52">
        <v>2244.91</v>
      </c>
      <c r="F30" s="52">
        <v>6519.7</v>
      </c>
      <c r="G30" s="52">
        <v>7443.76</v>
      </c>
      <c r="H30" s="52">
        <v>3883.0299999999997</v>
      </c>
      <c r="I30" s="53">
        <v>31633.75</v>
      </c>
      <c r="J30" s="49"/>
    </row>
    <row r="31" spans="1:10" x14ac:dyDescent="0.2">
      <c r="A31" s="50">
        <f>A30+1</f>
        <v>43495</v>
      </c>
      <c r="B31" s="51">
        <v>9579.4</v>
      </c>
      <c r="C31" s="52">
        <v>5208.3</v>
      </c>
      <c r="D31" s="52">
        <v>3902.9</v>
      </c>
      <c r="E31" s="52">
        <v>2208</v>
      </c>
      <c r="F31" s="52">
        <v>4772.6000000000004</v>
      </c>
      <c r="G31" s="52">
        <v>7056.3</v>
      </c>
      <c r="H31" s="52">
        <v>3770.5</v>
      </c>
      <c r="I31" s="53">
        <v>28957.000000000004</v>
      </c>
      <c r="J31" s="49"/>
    </row>
    <row r="32" spans="1:10" x14ac:dyDescent="0.2">
      <c r="A32" s="50">
        <f t="shared" ref="A32:A95" si="1">A31+1</f>
        <v>43496</v>
      </c>
      <c r="B32" s="51">
        <v>10231.08</v>
      </c>
      <c r="C32" s="52">
        <v>4613.4399999999996</v>
      </c>
      <c r="D32" s="52">
        <v>4137.28</v>
      </c>
      <c r="E32" s="52">
        <v>2063.0300000000002</v>
      </c>
      <c r="F32" s="52">
        <v>5559.98</v>
      </c>
      <c r="G32" s="52">
        <v>7122.36</v>
      </c>
      <c r="H32" s="52">
        <v>3803.2300000000005</v>
      </c>
      <c r="I32" s="53">
        <v>29923.94</v>
      </c>
      <c r="J32" s="49"/>
    </row>
    <row r="33" spans="1:10" x14ac:dyDescent="0.2">
      <c r="A33" s="50">
        <f t="shared" si="1"/>
        <v>43497</v>
      </c>
      <c r="B33" s="51">
        <v>9770.2199999999993</v>
      </c>
      <c r="C33" s="52">
        <v>4634.62</v>
      </c>
      <c r="D33" s="52">
        <v>4064.91</v>
      </c>
      <c r="E33" s="52">
        <v>2488.64</v>
      </c>
      <c r="F33" s="52">
        <v>4752.6899999999996</v>
      </c>
      <c r="G33" s="52">
        <v>6544.57</v>
      </c>
      <c r="H33" s="52">
        <v>3642.1800000000003</v>
      </c>
      <c r="I33" s="53">
        <v>28613.469999999998</v>
      </c>
      <c r="J33" s="49"/>
    </row>
    <row r="34" spans="1:10" x14ac:dyDescent="0.2">
      <c r="A34" s="50">
        <f t="shared" si="1"/>
        <v>43498</v>
      </c>
      <c r="B34" s="51">
        <v>9100.06</v>
      </c>
      <c r="C34" s="52">
        <v>4339.41</v>
      </c>
      <c r="D34" s="52">
        <v>3284.27</v>
      </c>
      <c r="E34" s="52">
        <v>2072.16</v>
      </c>
      <c r="F34" s="52">
        <v>5781.9</v>
      </c>
      <c r="G34" s="52">
        <v>5461.77</v>
      </c>
      <c r="H34" s="52">
        <v>2834.63</v>
      </c>
      <c r="I34" s="53">
        <v>27204.939999999995</v>
      </c>
      <c r="J34" s="49"/>
    </row>
    <row r="35" spans="1:10" x14ac:dyDescent="0.2">
      <c r="A35" s="50">
        <f t="shared" si="1"/>
        <v>43499</v>
      </c>
      <c r="B35" s="51">
        <v>8196.4</v>
      </c>
      <c r="C35" s="52">
        <v>3963.9</v>
      </c>
      <c r="D35" s="52">
        <v>3157.3</v>
      </c>
      <c r="E35" s="52">
        <v>1842.5</v>
      </c>
      <c r="F35" s="52">
        <v>4478.3</v>
      </c>
      <c r="G35" s="52">
        <v>4556.3</v>
      </c>
      <c r="H35" s="52">
        <v>2731.8999999999996</v>
      </c>
      <c r="I35" s="53">
        <v>23462.799999999996</v>
      </c>
      <c r="J35" s="49"/>
    </row>
    <row r="36" spans="1:10" x14ac:dyDescent="0.2">
      <c r="A36" s="50">
        <f t="shared" si="1"/>
        <v>43500</v>
      </c>
      <c r="B36" s="51">
        <v>9069.41</v>
      </c>
      <c r="C36" s="52">
        <v>4180.32</v>
      </c>
      <c r="D36" s="52">
        <v>3654.11</v>
      </c>
      <c r="E36" s="52">
        <v>1903.39</v>
      </c>
      <c r="F36" s="52">
        <v>5280.91</v>
      </c>
      <c r="G36" s="52">
        <v>6913.3</v>
      </c>
      <c r="H36" s="52">
        <v>3700.0499999999993</v>
      </c>
      <c r="I36" s="53">
        <v>27301.39</v>
      </c>
      <c r="J36" s="49"/>
    </row>
    <row r="37" spans="1:10" x14ac:dyDescent="0.2">
      <c r="A37" s="50">
        <f t="shared" si="1"/>
        <v>43501</v>
      </c>
      <c r="B37" s="51">
        <v>9229.19</v>
      </c>
      <c r="C37" s="52">
        <v>4184.53</v>
      </c>
      <c r="D37" s="52">
        <v>3751.91</v>
      </c>
      <c r="E37" s="52">
        <v>2508.16</v>
      </c>
      <c r="F37" s="52">
        <v>4923.99</v>
      </c>
      <c r="G37" s="52">
        <v>7296.91</v>
      </c>
      <c r="H37" s="52">
        <v>3768.69</v>
      </c>
      <c r="I37" s="53">
        <v>28126</v>
      </c>
      <c r="J37" s="49"/>
    </row>
    <row r="38" spans="1:10" x14ac:dyDescent="0.2">
      <c r="A38" s="50">
        <f t="shared" si="1"/>
        <v>43502</v>
      </c>
      <c r="B38" s="51">
        <v>7474.61</v>
      </c>
      <c r="C38" s="52">
        <v>3854.36</v>
      </c>
      <c r="D38" s="52">
        <v>3277.89</v>
      </c>
      <c r="E38" s="52">
        <v>1808.88</v>
      </c>
      <c r="F38" s="52">
        <v>4208.5600000000004</v>
      </c>
      <c r="G38" s="52">
        <v>7072.16</v>
      </c>
      <c r="H38" s="52">
        <v>3780.3500000000004</v>
      </c>
      <c r="I38" s="53">
        <v>23916.11</v>
      </c>
      <c r="J38" s="49"/>
    </row>
    <row r="39" spans="1:10" x14ac:dyDescent="0.2">
      <c r="A39" s="50">
        <f t="shared" si="1"/>
        <v>43503</v>
      </c>
      <c r="B39" s="51">
        <v>7156.4</v>
      </c>
      <c r="C39" s="52">
        <v>3643.2</v>
      </c>
      <c r="D39" s="52">
        <v>3222.6</v>
      </c>
      <c r="E39" s="52">
        <v>1944.1</v>
      </c>
      <c r="F39" s="52">
        <v>4054.1</v>
      </c>
      <c r="G39" s="52">
        <v>6750.1</v>
      </c>
      <c r="H39" s="52">
        <v>3829.41</v>
      </c>
      <c r="I39" s="53">
        <v>22941.09</v>
      </c>
      <c r="J39" s="49"/>
    </row>
    <row r="40" spans="1:10" x14ac:dyDescent="0.2">
      <c r="A40" s="50">
        <f t="shared" si="1"/>
        <v>43504</v>
      </c>
      <c r="B40" s="51">
        <v>7828.15</v>
      </c>
      <c r="C40" s="52">
        <v>4077.11</v>
      </c>
      <c r="D40" s="52">
        <v>3228.41</v>
      </c>
      <c r="E40" s="52">
        <v>1663.84</v>
      </c>
      <c r="F40" s="52">
        <v>4500.57</v>
      </c>
      <c r="G40" s="52">
        <v>6151.35</v>
      </c>
      <c r="H40" s="52">
        <v>3544.79</v>
      </c>
      <c r="I40" s="53">
        <v>23904.639999999999</v>
      </c>
      <c r="J40" s="49"/>
    </row>
    <row r="41" spans="1:10" x14ac:dyDescent="0.2">
      <c r="A41" s="50">
        <f t="shared" si="1"/>
        <v>43505</v>
      </c>
      <c r="B41" s="51">
        <v>9013.41</v>
      </c>
      <c r="C41" s="52">
        <v>4413.66</v>
      </c>
      <c r="D41" s="52">
        <v>3080.74</v>
      </c>
      <c r="E41" s="52">
        <v>1731.7</v>
      </c>
      <c r="F41" s="52">
        <v>3851.69</v>
      </c>
      <c r="G41" s="52">
        <v>5361.55</v>
      </c>
      <c r="H41" s="52">
        <v>2722.08</v>
      </c>
      <c r="I41" s="53">
        <v>24730.67</v>
      </c>
      <c r="J41" s="49"/>
    </row>
    <row r="42" spans="1:10" x14ac:dyDescent="0.2">
      <c r="A42" s="50">
        <f t="shared" si="1"/>
        <v>43506</v>
      </c>
      <c r="B42" s="51">
        <v>9272.1299999999992</v>
      </c>
      <c r="C42" s="52">
        <v>4226.8599999999997</v>
      </c>
      <c r="D42" s="52">
        <v>3079.91</v>
      </c>
      <c r="E42" s="52">
        <v>1870.09</v>
      </c>
      <c r="F42" s="52">
        <v>4601.38</v>
      </c>
      <c r="G42" s="52">
        <v>4576.79</v>
      </c>
      <c r="H42" s="52">
        <v>2762.55</v>
      </c>
      <c r="I42" s="53">
        <v>24864.61</v>
      </c>
      <c r="J42" s="49"/>
    </row>
    <row r="43" spans="1:10" x14ac:dyDescent="0.2">
      <c r="A43" s="50">
        <f t="shared" si="1"/>
        <v>43507</v>
      </c>
      <c r="B43" s="51">
        <v>9866</v>
      </c>
      <c r="C43" s="52">
        <v>5091.6000000000004</v>
      </c>
      <c r="D43" s="52">
        <v>3635.6</v>
      </c>
      <c r="E43" s="52">
        <v>1878.1</v>
      </c>
      <c r="F43" s="52">
        <v>5194.1000000000004</v>
      </c>
      <c r="G43" s="52">
        <v>6587.1</v>
      </c>
      <c r="H43" s="52">
        <v>3493.7</v>
      </c>
      <c r="I43" s="53">
        <v>28758.799999999999</v>
      </c>
      <c r="J43" s="49"/>
    </row>
    <row r="44" spans="1:10" x14ac:dyDescent="0.2">
      <c r="A44" s="50">
        <f t="shared" si="1"/>
        <v>43508</v>
      </c>
      <c r="B44" s="51">
        <v>10547.14</v>
      </c>
      <c r="C44" s="52">
        <v>5671.13</v>
      </c>
      <c r="D44" s="52">
        <v>3635.61</v>
      </c>
      <c r="E44" s="52">
        <v>2875.79</v>
      </c>
      <c r="F44" s="52">
        <v>5250.07</v>
      </c>
      <c r="G44" s="52">
        <v>6480.83</v>
      </c>
      <c r="H44" s="52">
        <v>3488.67</v>
      </c>
      <c r="I44" s="53">
        <v>30971.9</v>
      </c>
      <c r="J44" s="49"/>
    </row>
    <row r="45" spans="1:10" x14ac:dyDescent="0.2">
      <c r="A45" s="50">
        <f t="shared" si="1"/>
        <v>43509</v>
      </c>
      <c r="B45" s="51">
        <v>10794.97</v>
      </c>
      <c r="C45" s="52">
        <v>5577.01</v>
      </c>
      <c r="D45" s="52">
        <v>3845.21</v>
      </c>
      <c r="E45" s="52">
        <v>2589.27</v>
      </c>
      <c r="F45" s="52">
        <v>4630.54</v>
      </c>
      <c r="G45" s="52">
        <v>6262.16</v>
      </c>
      <c r="H45" s="52">
        <v>3383.02</v>
      </c>
      <c r="I45" s="53">
        <v>30316.140000000003</v>
      </c>
      <c r="J45" s="49"/>
    </row>
    <row r="46" spans="1:10" x14ac:dyDescent="0.2">
      <c r="A46" s="50">
        <f t="shared" si="1"/>
        <v>43510</v>
      </c>
      <c r="B46" s="51">
        <v>10832.7</v>
      </c>
      <c r="C46" s="52">
        <v>5608.39</v>
      </c>
      <c r="D46" s="52">
        <v>3682.25</v>
      </c>
      <c r="E46" s="52">
        <v>2712.56</v>
      </c>
      <c r="F46" s="52">
        <v>5171.1499999999996</v>
      </c>
      <c r="G46" s="52">
        <v>6508.37</v>
      </c>
      <c r="H46" s="52">
        <v>3382.1100000000006</v>
      </c>
      <c r="I46" s="53">
        <v>31133.310000000005</v>
      </c>
      <c r="J46" s="49"/>
    </row>
    <row r="47" spans="1:10" x14ac:dyDescent="0.2">
      <c r="A47" s="50">
        <f t="shared" si="1"/>
        <v>43511</v>
      </c>
      <c r="B47" s="51">
        <v>10725.9</v>
      </c>
      <c r="C47" s="52">
        <v>4818.8</v>
      </c>
      <c r="D47" s="52">
        <v>3709.2</v>
      </c>
      <c r="E47" s="52">
        <v>2670.3</v>
      </c>
      <c r="F47" s="52">
        <v>4647.7</v>
      </c>
      <c r="G47" s="52">
        <v>6266</v>
      </c>
      <c r="H47" s="52">
        <v>3304.97</v>
      </c>
      <c r="I47" s="53">
        <v>29532.93</v>
      </c>
      <c r="J47" s="49"/>
    </row>
    <row r="48" spans="1:10" x14ac:dyDescent="0.2">
      <c r="A48" s="50">
        <f t="shared" si="1"/>
        <v>43512</v>
      </c>
      <c r="B48" s="51">
        <v>10082.73</v>
      </c>
      <c r="C48" s="52">
        <v>4296.71</v>
      </c>
      <c r="D48" s="52">
        <v>3237.65</v>
      </c>
      <c r="E48" s="52">
        <v>2782.34</v>
      </c>
      <c r="F48" s="52">
        <v>5011.34</v>
      </c>
      <c r="G48" s="52">
        <v>5332.53</v>
      </c>
      <c r="H48" s="52">
        <v>2699.7099999999996</v>
      </c>
      <c r="I48" s="53">
        <v>28043.59</v>
      </c>
      <c r="J48" s="49"/>
    </row>
    <row r="49" spans="1:10" x14ac:dyDescent="0.2">
      <c r="A49" s="50">
        <f t="shared" si="1"/>
        <v>43513</v>
      </c>
      <c r="B49" s="51">
        <v>9780.85</v>
      </c>
      <c r="C49" s="52">
        <v>4333.53</v>
      </c>
      <c r="D49" s="52">
        <v>3125.49</v>
      </c>
      <c r="E49" s="52">
        <v>3094.22</v>
      </c>
      <c r="F49" s="52">
        <v>4092.73</v>
      </c>
      <c r="G49" s="52">
        <v>5188.76</v>
      </c>
      <c r="H49" s="52">
        <v>2792.63</v>
      </c>
      <c r="I49" s="53">
        <v>26822.95</v>
      </c>
      <c r="J49" s="49"/>
    </row>
    <row r="50" spans="1:10" x14ac:dyDescent="0.2">
      <c r="A50" s="50">
        <f t="shared" si="1"/>
        <v>43514</v>
      </c>
      <c r="B50" s="51">
        <v>10013.450000000001</v>
      </c>
      <c r="C50" s="52">
        <v>4569.9399999999996</v>
      </c>
      <c r="D50" s="52">
        <v>3504.06</v>
      </c>
      <c r="E50" s="52">
        <v>2193.04</v>
      </c>
      <c r="F50" s="52">
        <v>4237.1499999999996</v>
      </c>
      <c r="G50" s="52">
        <v>6627.65</v>
      </c>
      <c r="H50" s="52">
        <v>3408.8899999999994</v>
      </c>
      <c r="I50" s="53">
        <v>27736.400000000001</v>
      </c>
      <c r="J50" s="49"/>
    </row>
    <row r="51" spans="1:10" x14ac:dyDescent="0.2">
      <c r="A51" s="50">
        <f t="shared" si="1"/>
        <v>43515</v>
      </c>
      <c r="B51" s="51">
        <v>10465.1</v>
      </c>
      <c r="C51" s="52">
        <v>4791.1000000000004</v>
      </c>
      <c r="D51" s="52">
        <v>3740.2</v>
      </c>
      <c r="E51" s="52">
        <v>2976.1</v>
      </c>
      <c r="F51" s="52">
        <v>4761.6000000000004</v>
      </c>
      <c r="G51" s="52">
        <v>6341.7</v>
      </c>
      <c r="H51" s="52">
        <v>2880.65</v>
      </c>
      <c r="I51" s="53">
        <v>30195.149999999994</v>
      </c>
      <c r="J51" s="49"/>
    </row>
    <row r="52" spans="1:10" x14ac:dyDescent="0.2">
      <c r="A52" s="50">
        <f t="shared" si="1"/>
        <v>43516</v>
      </c>
      <c r="B52" s="51">
        <v>10161.209999999999</v>
      </c>
      <c r="C52" s="52">
        <v>4848.87</v>
      </c>
      <c r="D52" s="52">
        <v>3778.63</v>
      </c>
      <c r="E52" s="52">
        <v>2938.56</v>
      </c>
      <c r="F52" s="52">
        <v>5161.5</v>
      </c>
      <c r="G52" s="52">
        <v>6346.66</v>
      </c>
      <c r="H52" s="52">
        <v>3303</v>
      </c>
      <c r="I52" s="53">
        <v>29932.43</v>
      </c>
      <c r="J52" s="49"/>
    </row>
    <row r="53" spans="1:10" x14ac:dyDescent="0.2">
      <c r="A53" s="50">
        <f t="shared" si="1"/>
        <v>43517</v>
      </c>
      <c r="B53" s="51">
        <v>9566.26</v>
      </c>
      <c r="C53" s="52">
        <v>4752.43</v>
      </c>
      <c r="D53" s="52">
        <v>3908.72</v>
      </c>
      <c r="E53" s="52">
        <v>2397.5100000000002</v>
      </c>
      <c r="F53" s="52">
        <v>4725.4799999999996</v>
      </c>
      <c r="G53" s="52">
        <v>6347.35</v>
      </c>
      <c r="H53" s="52">
        <v>3424.82</v>
      </c>
      <c r="I53" s="53">
        <v>28272.93</v>
      </c>
      <c r="J53" s="49"/>
    </row>
    <row r="54" spans="1:10" x14ac:dyDescent="0.2">
      <c r="A54" s="50">
        <f t="shared" si="1"/>
        <v>43518</v>
      </c>
      <c r="B54" s="51">
        <v>9931.7999999999993</v>
      </c>
      <c r="C54" s="52">
        <v>4708.54</v>
      </c>
      <c r="D54" s="52">
        <v>3779.45</v>
      </c>
      <c r="E54" s="52">
        <v>2304.7199999999998</v>
      </c>
      <c r="F54" s="52">
        <v>4743.84</v>
      </c>
      <c r="G54" s="52">
        <v>6263.78</v>
      </c>
      <c r="H54" s="52">
        <v>3259.64</v>
      </c>
      <c r="I54" s="53">
        <v>28472.49</v>
      </c>
      <c r="J54" s="49"/>
    </row>
    <row r="55" spans="1:10" x14ac:dyDescent="0.2">
      <c r="A55" s="50">
        <f t="shared" si="1"/>
        <v>43519</v>
      </c>
      <c r="B55" s="51">
        <v>10012</v>
      </c>
      <c r="C55" s="52">
        <v>4448</v>
      </c>
      <c r="D55" s="52">
        <v>2986.4</v>
      </c>
      <c r="E55" s="52">
        <v>2838.5</v>
      </c>
      <c r="F55" s="52">
        <v>5262.8</v>
      </c>
      <c r="G55" s="52">
        <v>5390.6</v>
      </c>
      <c r="H55" s="52">
        <v>2624.1</v>
      </c>
      <c r="I55" s="53">
        <v>28314.200000000004</v>
      </c>
      <c r="J55" s="49"/>
    </row>
    <row r="56" spans="1:10" x14ac:dyDescent="0.2">
      <c r="A56" s="50">
        <f t="shared" si="1"/>
        <v>43520</v>
      </c>
      <c r="B56" s="51">
        <v>9296.82</v>
      </c>
      <c r="C56" s="52">
        <v>4742.5</v>
      </c>
      <c r="D56" s="52">
        <v>2669.64</v>
      </c>
      <c r="E56" s="52">
        <v>2506.25</v>
      </c>
      <c r="F56" s="52">
        <v>4710.59</v>
      </c>
      <c r="G56" s="52">
        <v>5417.9</v>
      </c>
      <c r="H56" s="52">
        <v>2436.17</v>
      </c>
      <c r="I56" s="53">
        <v>26907.53</v>
      </c>
      <c r="J56" s="49"/>
    </row>
    <row r="57" spans="1:10" x14ac:dyDescent="0.2">
      <c r="A57" s="50">
        <f t="shared" si="1"/>
        <v>43521</v>
      </c>
      <c r="B57" s="51">
        <v>9809.4</v>
      </c>
      <c r="C57" s="52">
        <v>4757.5600000000004</v>
      </c>
      <c r="D57" s="52">
        <v>3680.76</v>
      </c>
      <c r="E57" s="52">
        <v>2846.81</v>
      </c>
      <c r="F57" s="52">
        <v>4529.46</v>
      </c>
      <c r="G57" s="52">
        <v>6069.95</v>
      </c>
      <c r="H57" s="52">
        <v>3164.48</v>
      </c>
      <c r="I57" s="53">
        <v>28529.460000000003</v>
      </c>
      <c r="J57" s="49"/>
    </row>
    <row r="58" spans="1:10" x14ac:dyDescent="0.2">
      <c r="A58" s="50">
        <f t="shared" si="1"/>
        <v>43522</v>
      </c>
      <c r="B58" s="51">
        <v>10346.719999999999</v>
      </c>
      <c r="C58" s="52">
        <v>4651.8599999999997</v>
      </c>
      <c r="D58" s="52">
        <v>3796.59</v>
      </c>
      <c r="E58" s="52">
        <v>2886.42</v>
      </c>
      <c r="F58" s="52">
        <v>5591.63</v>
      </c>
      <c r="G58" s="52">
        <v>6538.41</v>
      </c>
      <c r="H58" s="52">
        <v>3454.1499999999996</v>
      </c>
      <c r="I58" s="53">
        <v>30357.479999999996</v>
      </c>
      <c r="J58" s="49"/>
    </row>
    <row r="59" spans="1:10" x14ac:dyDescent="0.2">
      <c r="A59" s="50">
        <f t="shared" si="1"/>
        <v>43523</v>
      </c>
      <c r="B59" s="51">
        <v>10382.4</v>
      </c>
      <c r="C59" s="52">
        <v>4897.3999999999996</v>
      </c>
      <c r="D59" s="52">
        <v>3792.4</v>
      </c>
      <c r="E59" s="52">
        <v>3057.4</v>
      </c>
      <c r="F59" s="52">
        <v>5703</v>
      </c>
      <c r="G59" s="52">
        <v>6236.5</v>
      </c>
      <c r="H59" s="52">
        <v>3242.2000000000003</v>
      </c>
      <c r="I59" s="53">
        <v>30826.900000000005</v>
      </c>
      <c r="J59" s="49"/>
    </row>
    <row r="60" spans="1:10" x14ac:dyDescent="0.2">
      <c r="A60" s="50">
        <f t="shared" si="1"/>
        <v>43524</v>
      </c>
      <c r="B60" s="51">
        <v>10560.62</v>
      </c>
      <c r="C60" s="52">
        <v>4960.55</v>
      </c>
      <c r="D60" s="52">
        <v>3745.78</v>
      </c>
      <c r="E60" s="52">
        <v>3152.05</v>
      </c>
      <c r="F60" s="52">
        <v>5897.83</v>
      </c>
      <c r="G60" s="52">
        <v>6465</v>
      </c>
      <c r="H60" s="52">
        <v>148.91999999999999</v>
      </c>
      <c r="I60" s="53">
        <v>34632.910000000003</v>
      </c>
      <c r="J60" s="49"/>
    </row>
    <row r="61" spans="1:10" x14ac:dyDescent="0.2">
      <c r="A61" s="50">
        <f t="shared" si="1"/>
        <v>43525</v>
      </c>
      <c r="B61" s="51">
        <v>0</v>
      </c>
      <c r="C61" s="52">
        <v>4827.93</v>
      </c>
      <c r="D61" s="52">
        <v>3790.67</v>
      </c>
      <c r="E61" s="52">
        <v>3047.07</v>
      </c>
      <c r="F61" s="52">
        <v>5475.43</v>
      </c>
      <c r="G61" s="52">
        <v>5683.17</v>
      </c>
      <c r="H61" s="52">
        <v>3602.579999999999</v>
      </c>
      <c r="I61" s="53">
        <v>19221.689999999999</v>
      </c>
      <c r="J61" s="49"/>
    </row>
    <row r="62" spans="1:10" x14ac:dyDescent="0.2">
      <c r="A62" s="50">
        <f t="shared" si="1"/>
        <v>43526</v>
      </c>
      <c r="B62" s="51">
        <v>10053.27</v>
      </c>
      <c r="C62" s="52">
        <v>4546.95</v>
      </c>
      <c r="D62" s="52">
        <v>3486.18</v>
      </c>
      <c r="E62" s="52">
        <v>2747.55</v>
      </c>
      <c r="F62" s="52">
        <v>6184.06</v>
      </c>
      <c r="G62" s="52">
        <v>5186.78</v>
      </c>
      <c r="H62" s="52">
        <v>2668.58</v>
      </c>
      <c r="I62" s="53">
        <v>29536.21</v>
      </c>
      <c r="J62" s="49"/>
    </row>
    <row r="63" spans="1:10" x14ac:dyDescent="0.2">
      <c r="A63" s="50">
        <f t="shared" si="1"/>
        <v>43527</v>
      </c>
      <c r="B63" s="51">
        <v>9302.5</v>
      </c>
      <c r="C63" s="52">
        <v>4548</v>
      </c>
      <c r="D63" s="52">
        <v>3578.3</v>
      </c>
      <c r="E63" s="52">
        <v>2456.1</v>
      </c>
      <c r="F63" s="52">
        <v>4732.3999999999996</v>
      </c>
      <c r="G63" s="52">
        <v>4957.1000000000004</v>
      </c>
      <c r="H63" s="52">
        <v>2470.0999999999995</v>
      </c>
      <c r="I63" s="53">
        <v>27104.299999999996</v>
      </c>
      <c r="J63" s="49"/>
    </row>
    <row r="64" spans="1:10" x14ac:dyDescent="0.2">
      <c r="A64" s="50">
        <f t="shared" si="1"/>
        <v>43528</v>
      </c>
      <c r="B64" s="51">
        <v>10016.620000000001</v>
      </c>
      <c r="C64" s="52">
        <v>4974.3900000000003</v>
      </c>
      <c r="D64" s="52">
        <v>3842.16</v>
      </c>
      <c r="E64" s="52">
        <v>2443.1</v>
      </c>
      <c r="F64" s="52">
        <v>4637.5200000000004</v>
      </c>
      <c r="G64" s="52">
        <v>6179.11</v>
      </c>
      <c r="H64" s="52">
        <v>3209.8</v>
      </c>
      <c r="I64" s="53">
        <v>28883.100000000002</v>
      </c>
      <c r="J64" s="49"/>
    </row>
    <row r="65" spans="1:10" x14ac:dyDescent="0.2">
      <c r="A65" s="50">
        <f t="shared" si="1"/>
        <v>43529</v>
      </c>
      <c r="B65" s="51">
        <v>10324.6</v>
      </c>
      <c r="C65" s="52">
        <v>4970.59</v>
      </c>
      <c r="D65" s="52">
        <v>3853.32</v>
      </c>
      <c r="E65" s="52">
        <v>2693.85</v>
      </c>
      <c r="F65" s="52">
        <v>4726.03</v>
      </c>
      <c r="G65" s="52">
        <v>6080.82</v>
      </c>
      <c r="H65" s="52">
        <v>3438.6200000000003</v>
      </c>
      <c r="I65" s="53">
        <v>29210.59</v>
      </c>
      <c r="J65" s="49"/>
    </row>
    <row r="66" spans="1:10" x14ac:dyDescent="0.2">
      <c r="A66" s="50">
        <f t="shared" si="1"/>
        <v>43530</v>
      </c>
      <c r="B66" s="51">
        <v>10207</v>
      </c>
      <c r="C66" s="52">
        <v>5075.01</v>
      </c>
      <c r="D66" s="52">
        <v>3729.73</v>
      </c>
      <c r="E66" s="52">
        <v>2775.67</v>
      </c>
      <c r="F66" s="52">
        <v>5486.5</v>
      </c>
      <c r="G66" s="52">
        <v>5817.91</v>
      </c>
      <c r="H66" s="52">
        <v>3249.52</v>
      </c>
      <c r="I66" s="53">
        <v>29842.300000000007</v>
      </c>
      <c r="J66" s="49"/>
    </row>
    <row r="67" spans="1:10" x14ac:dyDescent="0.2">
      <c r="A67" s="50">
        <f t="shared" si="1"/>
        <v>43531</v>
      </c>
      <c r="B67" s="51">
        <v>10159.6</v>
      </c>
      <c r="C67" s="52">
        <v>4808</v>
      </c>
      <c r="D67" s="52">
        <v>3801.7</v>
      </c>
      <c r="E67" s="52">
        <v>2859.7</v>
      </c>
      <c r="F67" s="52">
        <v>5501.3</v>
      </c>
      <c r="G67" s="52">
        <v>5750.1</v>
      </c>
      <c r="H67" s="52">
        <v>3021.8</v>
      </c>
      <c r="I67" s="53">
        <v>29858.600000000002</v>
      </c>
      <c r="J67" s="49"/>
    </row>
    <row r="68" spans="1:10" x14ac:dyDescent="0.2">
      <c r="A68" s="50">
        <f t="shared" si="1"/>
        <v>43532</v>
      </c>
      <c r="B68" s="51">
        <v>9365.23</v>
      </c>
      <c r="C68" s="52">
        <v>4549.53</v>
      </c>
      <c r="D68" s="52">
        <v>3690.41</v>
      </c>
      <c r="E68" s="52">
        <v>2666.61</v>
      </c>
      <c r="F68" s="52">
        <v>4884.78</v>
      </c>
      <c r="G68" s="52">
        <v>4809.18</v>
      </c>
      <c r="H68" s="52">
        <v>2352.5500000000002</v>
      </c>
      <c r="I68" s="53">
        <v>27613.19</v>
      </c>
      <c r="J68" s="49"/>
    </row>
    <row r="69" spans="1:10" x14ac:dyDescent="0.2">
      <c r="A69" s="50">
        <f t="shared" si="1"/>
        <v>43533</v>
      </c>
      <c r="B69" s="51">
        <v>9517.5400000000009</v>
      </c>
      <c r="C69" s="52">
        <v>4597.2299999999996</v>
      </c>
      <c r="D69" s="52">
        <v>3594.68</v>
      </c>
      <c r="E69" s="52">
        <v>2663.91</v>
      </c>
      <c r="F69" s="52">
        <v>5069.43</v>
      </c>
      <c r="G69" s="52">
        <v>4828.45</v>
      </c>
      <c r="H69" s="52">
        <v>2154.5099999999998</v>
      </c>
      <c r="I69" s="53">
        <v>28116.730000000003</v>
      </c>
      <c r="J69" s="49"/>
    </row>
    <row r="70" spans="1:10" x14ac:dyDescent="0.2">
      <c r="A70" s="50">
        <f t="shared" si="1"/>
        <v>43534</v>
      </c>
      <c r="B70" s="51">
        <v>9482.9500000000007</v>
      </c>
      <c r="C70" s="52">
        <v>4437.53</v>
      </c>
      <c r="D70" s="52">
        <v>3412.3</v>
      </c>
      <c r="E70" s="52">
        <v>2666.52</v>
      </c>
      <c r="F70" s="52">
        <v>5297.2</v>
      </c>
      <c r="G70" s="52">
        <v>5077.74</v>
      </c>
      <c r="H70" s="52">
        <v>2373.58</v>
      </c>
      <c r="I70" s="53">
        <v>28000.659999999996</v>
      </c>
      <c r="J70" s="49"/>
    </row>
    <row r="71" spans="1:10" x14ac:dyDescent="0.2">
      <c r="A71" s="50">
        <f t="shared" si="1"/>
        <v>43535</v>
      </c>
      <c r="B71" s="51">
        <v>9854</v>
      </c>
      <c r="C71" s="52">
        <v>5181</v>
      </c>
      <c r="D71" s="52">
        <v>3611.8</v>
      </c>
      <c r="E71" s="52">
        <v>2458</v>
      </c>
      <c r="F71" s="52">
        <v>4806.6000000000004</v>
      </c>
      <c r="G71" s="52">
        <v>5444</v>
      </c>
      <c r="H71" s="52">
        <v>2899.1000000000004</v>
      </c>
      <c r="I71" s="53">
        <v>28456.300000000003</v>
      </c>
      <c r="J71" s="49"/>
    </row>
    <row r="72" spans="1:10" x14ac:dyDescent="0.2">
      <c r="A72" s="50">
        <f t="shared" si="1"/>
        <v>43536</v>
      </c>
      <c r="B72" s="51">
        <v>10128.19</v>
      </c>
      <c r="C72" s="52">
        <v>5199.4799999999996</v>
      </c>
      <c r="D72" s="52">
        <v>3759.48</v>
      </c>
      <c r="E72" s="52">
        <v>2671.44</v>
      </c>
      <c r="F72" s="52">
        <v>5533.4</v>
      </c>
      <c r="G72" s="52">
        <v>5716.98</v>
      </c>
      <c r="H72" s="52">
        <v>3088.4700000000003</v>
      </c>
      <c r="I72" s="53">
        <v>29920.5</v>
      </c>
      <c r="J72" s="49"/>
    </row>
    <row r="73" spans="1:10" x14ac:dyDescent="0.2">
      <c r="A73" s="50">
        <f t="shared" si="1"/>
        <v>43537</v>
      </c>
      <c r="B73" s="51">
        <v>10317.75</v>
      </c>
      <c r="C73" s="52">
        <v>5169.95</v>
      </c>
      <c r="D73" s="52">
        <v>3727.31</v>
      </c>
      <c r="E73" s="52">
        <v>2727.33</v>
      </c>
      <c r="F73" s="52">
        <v>5289.28</v>
      </c>
      <c r="G73" s="52">
        <v>5597.18</v>
      </c>
      <c r="H73" s="52">
        <v>2957.1799999999994</v>
      </c>
      <c r="I73" s="53">
        <v>29871.620000000003</v>
      </c>
      <c r="J73" s="49"/>
    </row>
    <row r="74" spans="1:10" x14ac:dyDescent="0.2">
      <c r="A74" s="50">
        <f t="shared" si="1"/>
        <v>43538</v>
      </c>
      <c r="B74" s="51">
        <v>10367.959999999999</v>
      </c>
      <c r="C74" s="52">
        <v>5213.59</v>
      </c>
      <c r="D74" s="52">
        <v>3769.93</v>
      </c>
      <c r="E74" s="52">
        <v>2798.5</v>
      </c>
      <c r="F74" s="52">
        <v>5369.12</v>
      </c>
      <c r="G74" s="52">
        <v>5858.99</v>
      </c>
      <c r="H74" s="52">
        <v>3184.96</v>
      </c>
      <c r="I74" s="53">
        <v>30193.129999999997</v>
      </c>
      <c r="J74" s="49"/>
    </row>
    <row r="75" spans="1:10" x14ac:dyDescent="0.2">
      <c r="A75" s="50">
        <f t="shared" si="1"/>
        <v>43539</v>
      </c>
      <c r="B75" s="51">
        <v>10263.200000000001</v>
      </c>
      <c r="C75" s="52">
        <v>4943.3999999999996</v>
      </c>
      <c r="D75" s="52">
        <v>3716</v>
      </c>
      <c r="E75" s="52">
        <v>2734.2</v>
      </c>
      <c r="F75" s="52">
        <v>5934.5</v>
      </c>
      <c r="G75" s="52">
        <v>5722.6</v>
      </c>
      <c r="H75" s="52">
        <v>3056.3999999999996</v>
      </c>
      <c r="I75" s="53">
        <v>30257.5</v>
      </c>
      <c r="J75" s="49"/>
    </row>
    <row r="76" spans="1:10" x14ac:dyDescent="0.2">
      <c r="A76" s="50">
        <f t="shared" si="1"/>
        <v>43540</v>
      </c>
      <c r="B76" s="51">
        <v>9367.5300000000007</v>
      </c>
      <c r="C76" s="52">
        <v>4591.1099999999997</v>
      </c>
      <c r="D76" s="52">
        <v>3417.99</v>
      </c>
      <c r="E76" s="52">
        <v>2967.6</v>
      </c>
      <c r="F76" s="52">
        <v>6028.29</v>
      </c>
      <c r="G76" s="52">
        <v>4650.9799999999996</v>
      </c>
      <c r="H76" s="52">
        <v>2385.21</v>
      </c>
      <c r="I76" s="53">
        <v>28638.289999999997</v>
      </c>
      <c r="J76" s="49"/>
    </row>
    <row r="77" spans="1:10" x14ac:dyDescent="0.2">
      <c r="A77" s="50">
        <f t="shared" si="1"/>
        <v>43541</v>
      </c>
      <c r="B77" s="51">
        <v>6867.19</v>
      </c>
      <c r="C77" s="52">
        <v>3960.84</v>
      </c>
      <c r="D77" s="52">
        <v>2624.96</v>
      </c>
      <c r="E77" s="52">
        <v>2496.09</v>
      </c>
      <c r="F77" s="52">
        <v>4831.33</v>
      </c>
      <c r="G77" s="52">
        <v>4352.6499999999996</v>
      </c>
      <c r="H77" s="52">
        <v>2197.2600000000002</v>
      </c>
      <c r="I77" s="53">
        <v>22935.799999999996</v>
      </c>
      <c r="J77" s="49"/>
    </row>
    <row r="78" spans="1:10" x14ac:dyDescent="0.2">
      <c r="A78" s="50">
        <f t="shared" si="1"/>
        <v>43542</v>
      </c>
      <c r="B78" s="51">
        <v>7723.82</v>
      </c>
      <c r="C78" s="52">
        <v>4534.6099999999997</v>
      </c>
      <c r="D78" s="52">
        <v>3249.14</v>
      </c>
      <c r="E78" s="52">
        <v>2484.5300000000002</v>
      </c>
      <c r="F78" s="52">
        <v>3987.33</v>
      </c>
      <c r="G78" s="52">
        <v>5864.77</v>
      </c>
      <c r="H78" s="52">
        <v>3050.5200000000004</v>
      </c>
      <c r="I78" s="53">
        <v>24793.68</v>
      </c>
      <c r="J78" s="49"/>
    </row>
    <row r="79" spans="1:10" x14ac:dyDescent="0.2">
      <c r="A79" s="50">
        <f t="shared" si="1"/>
        <v>43543</v>
      </c>
      <c r="B79" s="51">
        <v>8718.1</v>
      </c>
      <c r="C79" s="52">
        <v>5043.1000000000004</v>
      </c>
      <c r="D79" s="52">
        <v>3889.6</v>
      </c>
      <c r="E79" s="52">
        <v>2594.6</v>
      </c>
      <c r="F79" s="52">
        <v>5447.3</v>
      </c>
      <c r="G79" s="52">
        <v>5587.6</v>
      </c>
      <c r="H79" s="52">
        <v>2958.4999999999995</v>
      </c>
      <c r="I79" s="53">
        <v>28321.799999999996</v>
      </c>
      <c r="J79" s="49"/>
    </row>
    <row r="80" spans="1:10" x14ac:dyDescent="0.2">
      <c r="A80" s="50">
        <f t="shared" si="1"/>
        <v>43544</v>
      </c>
      <c r="B80" s="51">
        <v>8436.83</v>
      </c>
      <c r="C80" s="52">
        <v>4975.8</v>
      </c>
      <c r="D80" s="52">
        <v>3692.4</v>
      </c>
      <c r="E80" s="52">
        <v>2741.69</v>
      </c>
      <c r="F80" s="52">
        <v>5967.54</v>
      </c>
      <c r="G80" s="52">
        <v>6508.1</v>
      </c>
      <c r="H80" s="52">
        <v>3285.1099999999997</v>
      </c>
      <c r="I80" s="53">
        <v>29037.25</v>
      </c>
      <c r="J80" s="49"/>
    </row>
    <row r="81" spans="1:10" x14ac:dyDescent="0.2">
      <c r="A81" s="50">
        <f t="shared" si="1"/>
        <v>43545</v>
      </c>
      <c r="B81" s="51">
        <v>8783.66</v>
      </c>
      <c r="C81" s="52">
        <v>4889.62</v>
      </c>
      <c r="D81" s="52">
        <v>3748.52</v>
      </c>
      <c r="E81" s="52">
        <v>2806.45</v>
      </c>
      <c r="F81" s="52">
        <v>5669.96</v>
      </c>
      <c r="G81" s="52">
        <v>6063.87</v>
      </c>
      <c r="H81" s="52">
        <v>3146.76</v>
      </c>
      <c r="I81" s="53">
        <v>28815.32</v>
      </c>
      <c r="J81" s="49"/>
    </row>
    <row r="82" spans="1:10" x14ac:dyDescent="0.2">
      <c r="A82" s="50">
        <f t="shared" si="1"/>
        <v>43546</v>
      </c>
      <c r="B82" s="51">
        <v>8755.41</v>
      </c>
      <c r="C82" s="52">
        <v>4882.3100000000004</v>
      </c>
      <c r="D82" s="52">
        <v>3703.42</v>
      </c>
      <c r="E82" s="52">
        <v>2942.33</v>
      </c>
      <c r="F82" s="52">
        <v>5873.92</v>
      </c>
      <c r="G82" s="52">
        <v>6094.62</v>
      </c>
      <c r="H82" s="52">
        <v>3246.8500000000004</v>
      </c>
      <c r="I82" s="53">
        <v>29005.159999999996</v>
      </c>
      <c r="J82" s="49"/>
    </row>
    <row r="83" spans="1:10" x14ac:dyDescent="0.2">
      <c r="A83" s="50">
        <f t="shared" si="1"/>
        <v>43547</v>
      </c>
      <c r="B83" s="51">
        <v>8037.6</v>
      </c>
      <c r="C83" s="52">
        <v>4631.2</v>
      </c>
      <c r="D83" s="52">
        <v>3499.7</v>
      </c>
      <c r="E83" s="52">
        <v>2942.6</v>
      </c>
      <c r="F83" s="52">
        <v>5861</v>
      </c>
      <c r="G83" s="52">
        <v>4999.5</v>
      </c>
      <c r="H83" s="52">
        <v>2414.1</v>
      </c>
      <c r="I83" s="53">
        <v>27557.5</v>
      </c>
      <c r="J83" s="49"/>
    </row>
    <row r="84" spans="1:10" x14ac:dyDescent="0.2">
      <c r="A84" s="50">
        <f t="shared" si="1"/>
        <v>43548</v>
      </c>
      <c r="B84" s="51">
        <v>8677.07</v>
      </c>
      <c r="C84" s="52">
        <v>4643.84</v>
      </c>
      <c r="D84" s="52">
        <v>3392.2</v>
      </c>
      <c r="E84" s="52">
        <v>2852.57</v>
      </c>
      <c r="F84" s="52">
        <v>5797.17</v>
      </c>
      <c r="G84" s="52">
        <v>5035.49</v>
      </c>
      <c r="H84" s="52">
        <v>2450.87</v>
      </c>
      <c r="I84" s="53">
        <v>27947.469999999998</v>
      </c>
      <c r="J84" s="49"/>
    </row>
    <row r="85" spans="1:10" x14ac:dyDescent="0.2">
      <c r="A85" s="50">
        <f t="shared" si="1"/>
        <v>43549</v>
      </c>
      <c r="B85" s="51">
        <v>8004.55</v>
      </c>
      <c r="C85" s="52">
        <v>4579.72</v>
      </c>
      <c r="D85" s="52">
        <v>3557.86</v>
      </c>
      <c r="E85" s="52">
        <v>3205.35</v>
      </c>
      <c r="F85" s="52">
        <v>4642.6000000000004</v>
      </c>
      <c r="G85" s="52">
        <v>5047.96</v>
      </c>
      <c r="H85" s="52">
        <v>3084.42</v>
      </c>
      <c r="I85" s="53">
        <v>25953.620000000003</v>
      </c>
      <c r="J85" s="49"/>
    </row>
    <row r="86" spans="1:10" x14ac:dyDescent="0.2">
      <c r="A86" s="50">
        <f t="shared" si="1"/>
        <v>43550</v>
      </c>
      <c r="B86" s="51">
        <v>8259.9500000000007</v>
      </c>
      <c r="C86" s="52">
        <v>4941.9799999999996</v>
      </c>
      <c r="D86" s="52">
        <v>3431.3</v>
      </c>
      <c r="E86" s="52">
        <v>2603.44</v>
      </c>
      <c r="F86" s="52">
        <v>5621.19</v>
      </c>
      <c r="G86" s="52">
        <v>4479.3900000000003</v>
      </c>
      <c r="H86" s="52">
        <v>3273.74</v>
      </c>
      <c r="I86" s="53">
        <v>26063.509999999995</v>
      </c>
      <c r="J86" s="49"/>
    </row>
    <row r="87" spans="1:10" x14ac:dyDescent="0.2">
      <c r="A87" s="50">
        <f t="shared" si="1"/>
        <v>43551</v>
      </c>
      <c r="B87" s="51">
        <v>8566.4</v>
      </c>
      <c r="C87" s="52">
        <v>5006.3</v>
      </c>
      <c r="D87" s="52">
        <v>3192.7</v>
      </c>
      <c r="E87" s="52">
        <v>2663.1</v>
      </c>
      <c r="F87" s="52">
        <v>5241.7</v>
      </c>
      <c r="G87" s="52">
        <v>1888.1</v>
      </c>
      <c r="H87" s="52">
        <v>3239.2</v>
      </c>
      <c r="I87" s="53">
        <v>23319.1</v>
      </c>
      <c r="J87" s="49"/>
    </row>
    <row r="88" spans="1:10" x14ac:dyDescent="0.2">
      <c r="A88" s="50">
        <f t="shared" si="1"/>
        <v>43552</v>
      </c>
      <c r="B88" s="51">
        <v>8508.3700000000008</v>
      </c>
      <c r="C88" s="52">
        <v>5091.59</v>
      </c>
      <c r="D88" s="52">
        <v>3231.04</v>
      </c>
      <c r="E88" s="52">
        <v>2846.74</v>
      </c>
      <c r="F88" s="52">
        <v>5490.7</v>
      </c>
      <c r="G88" s="52">
        <v>2100.59</v>
      </c>
      <c r="H88" s="52">
        <v>3160.07</v>
      </c>
      <c r="I88" s="53">
        <v>24108.959999999999</v>
      </c>
      <c r="J88" s="49"/>
    </row>
    <row r="89" spans="1:10" x14ac:dyDescent="0.2">
      <c r="A89" s="50">
        <f t="shared" si="1"/>
        <v>43553</v>
      </c>
      <c r="B89" s="51">
        <v>8578.9699999999993</v>
      </c>
      <c r="C89" s="52">
        <v>4910.6400000000003</v>
      </c>
      <c r="D89" s="52">
        <v>3250.21</v>
      </c>
      <c r="E89" s="52">
        <v>2843.9</v>
      </c>
      <c r="F89" s="52">
        <v>5585.14</v>
      </c>
      <c r="G89" s="52">
        <v>1970.5</v>
      </c>
      <c r="H89" s="52">
        <v>3064.4800000000005</v>
      </c>
      <c r="I89" s="53">
        <v>24074.880000000001</v>
      </c>
      <c r="J89" s="49"/>
    </row>
    <row r="90" spans="1:10" x14ac:dyDescent="0.2">
      <c r="A90" s="50">
        <f t="shared" si="1"/>
        <v>43554</v>
      </c>
      <c r="B90" s="51">
        <v>7807.37</v>
      </c>
      <c r="C90" s="52">
        <v>4640.66</v>
      </c>
      <c r="D90" s="52">
        <v>3015.38</v>
      </c>
      <c r="E90" s="52">
        <v>2502.48</v>
      </c>
      <c r="F90" s="52">
        <v>4784.5600000000004</v>
      </c>
      <c r="G90" s="52">
        <v>2057.38</v>
      </c>
      <c r="H90" s="52">
        <v>2614.6699999999996</v>
      </c>
      <c r="I90" s="53">
        <v>22193.160000000003</v>
      </c>
      <c r="J90" s="49"/>
    </row>
    <row r="91" spans="1:10" x14ac:dyDescent="0.2">
      <c r="A91" s="50">
        <f t="shared" si="1"/>
        <v>43555</v>
      </c>
      <c r="B91" s="51">
        <v>7166.8</v>
      </c>
      <c r="C91" s="52">
        <v>4636.1000000000004</v>
      </c>
      <c r="D91" s="52">
        <v>2816.1</v>
      </c>
      <c r="E91" s="52">
        <v>2701.3</v>
      </c>
      <c r="F91" s="52">
        <v>5468.9</v>
      </c>
      <c r="G91" s="52">
        <v>1744</v>
      </c>
      <c r="H91" s="52">
        <v>2459.3999999999996</v>
      </c>
      <c r="I91" s="53">
        <v>22073.800000000003</v>
      </c>
      <c r="J91" s="49"/>
    </row>
    <row r="92" spans="1:10" x14ac:dyDescent="0.2">
      <c r="A92" s="50">
        <f t="shared" si="1"/>
        <v>43556</v>
      </c>
      <c r="B92" s="51">
        <v>8220.08</v>
      </c>
      <c r="C92" s="52">
        <v>5416.44</v>
      </c>
      <c r="D92" s="52">
        <v>2884.93</v>
      </c>
      <c r="E92" s="52">
        <v>2589.0500000000002</v>
      </c>
      <c r="F92" s="52">
        <v>5215.3</v>
      </c>
      <c r="G92" s="52">
        <v>2145.2199999999998</v>
      </c>
      <c r="H92" s="52">
        <v>3091.58</v>
      </c>
      <c r="I92" s="53">
        <v>23379.440000000002</v>
      </c>
      <c r="J92" s="49"/>
    </row>
    <row r="93" spans="1:10" x14ac:dyDescent="0.2">
      <c r="A93" s="50">
        <f t="shared" si="1"/>
        <v>43557</v>
      </c>
      <c r="B93" s="51">
        <v>9048.5400000000009</v>
      </c>
      <c r="C93" s="52">
        <v>5202.18</v>
      </c>
      <c r="D93" s="52">
        <v>2873.77</v>
      </c>
      <c r="E93" s="52">
        <v>2822.43</v>
      </c>
      <c r="F93" s="52">
        <v>5855.73</v>
      </c>
      <c r="G93" s="52">
        <v>3549.92</v>
      </c>
      <c r="H93" s="52">
        <v>2699.5300000000007</v>
      </c>
      <c r="I93" s="53">
        <v>26653.040000000001</v>
      </c>
      <c r="J93" s="49"/>
    </row>
    <row r="94" spans="1:10" x14ac:dyDescent="0.2">
      <c r="A94" s="50">
        <f t="shared" si="1"/>
        <v>43558</v>
      </c>
      <c r="B94" s="51">
        <v>8278.9</v>
      </c>
      <c r="C94" s="52">
        <v>4971.3</v>
      </c>
      <c r="D94" s="52">
        <v>3119.42</v>
      </c>
      <c r="E94" s="52">
        <v>2380.69</v>
      </c>
      <c r="F94" s="52">
        <v>5707.15</v>
      </c>
      <c r="G94" s="52">
        <v>4313.8</v>
      </c>
      <c r="H94" s="52">
        <v>2928.8599999999997</v>
      </c>
      <c r="I94" s="53">
        <v>25842.399999999998</v>
      </c>
      <c r="J94" s="49"/>
    </row>
    <row r="95" spans="1:10" x14ac:dyDescent="0.2">
      <c r="A95" s="50">
        <f t="shared" si="1"/>
        <v>43559</v>
      </c>
      <c r="B95" s="51">
        <v>8326.9</v>
      </c>
      <c r="C95" s="52">
        <v>5170.1000000000004</v>
      </c>
      <c r="D95" s="52">
        <v>3228.4</v>
      </c>
      <c r="E95" s="52">
        <v>2136.9</v>
      </c>
      <c r="F95" s="52">
        <v>5713.4</v>
      </c>
      <c r="G95" s="52">
        <v>2009</v>
      </c>
      <c r="H95" s="52">
        <v>3024.8999999999992</v>
      </c>
      <c r="I95" s="53">
        <v>23559.800000000007</v>
      </c>
      <c r="J95" s="49"/>
    </row>
    <row r="96" spans="1:10" x14ac:dyDescent="0.2">
      <c r="A96" s="50">
        <f t="shared" ref="A96:A159" si="2">A95+1</f>
        <v>43560</v>
      </c>
      <c r="B96" s="51">
        <v>8220.83</v>
      </c>
      <c r="C96" s="52">
        <v>5245.21</v>
      </c>
      <c r="D96" s="52">
        <v>3187.53</v>
      </c>
      <c r="E96" s="52">
        <v>2903.05</v>
      </c>
      <c r="F96" s="52">
        <v>5343.49</v>
      </c>
      <c r="G96" s="52">
        <v>1949.26</v>
      </c>
      <c r="H96" s="52">
        <v>3014.76</v>
      </c>
      <c r="I96" s="53">
        <v>23834.61</v>
      </c>
      <c r="J96" s="49"/>
    </row>
    <row r="97" spans="1:10" x14ac:dyDescent="0.2">
      <c r="A97" s="50">
        <f t="shared" si="2"/>
        <v>43561</v>
      </c>
      <c r="B97" s="51">
        <v>8483</v>
      </c>
      <c r="C97" s="52">
        <v>4973.1899999999996</v>
      </c>
      <c r="D97" s="52">
        <v>2997.05</v>
      </c>
      <c r="E97" s="52">
        <v>3211.37</v>
      </c>
      <c r="F97" s="52">
        <v>6228.46</v>
      </c>
      <c r="G97" s="52">
        <v>1592.4</v>
      </c>
      <c r="H97" s="52">
        <v>2168.0999999999995</v>
      </c>
      <c r="I97" s="53">
        <v>25317.37</v>
      </c>
      <c r="J97" s="49"/>
    </row>
    <row r="98" spans="1:10" x14ac:dyDescent="0.2">
      <c r="A98" s="50">
        <f t="shared" si="2"/>
        <v>43562</v>
      </c>
      <c r="B98" s="51">
        <v>8295.8799999999992</v>
      </c>
      <c r="C98" s="52">
        <v>4858.26</v>
      </c>
      <c r="D98" s="52">
        <v>2925.98</v>
      </c>
      <c r="E98" s="52">
        <v>3184.24</v>
      </c>
      <c r="F98" s="52">
        <v>6415.54</v>
      </c>
      <c r="G98" s="52">
        <v>1630.16</v>
      </c>
      <c r="H98" s="52">
        <v>2194.19</v>
      </c>
      <c r="I98" s="53">
        <v>25115.870000000003</v>
      </c>
      <c r="J98" s="49"/>
    </row>
    <row r="99" spans="1:10" x14ac:dyDescent="0.2">
      <c r="A99" s="50">
        <f t="shared" si="2"/>
        <v>43563</v>
      </c>
      <c r="B99" s="51">
        <v>8460.1</v>
      </c>
      <c r="C99" s="52">
        <v>5070.7</v>
      </c>
      <c r="D99" s="52">
        <v>3171</v>
      </c>
      <c r="E99" s="52">
        <v>3198.6</v>
      </c>
      <c r="F99" s="52">
        <v>5721.1</v>
      </c>
      <c r="G99" s="52">
        <v>1874.9</v>
      </c>
      <c r="H99" s="52">
        <v>2913.8999999999996</v>
      </c>
      <c r="I99" s="53">
        <v>24582.5</v>
      </c>
      <c r="J99" s="49"/>
    </row>
    <row r="100" spans="1:10" x14ac:dyDescent="0.2">
      <c r="A100" s="50">
        <f t="shared" si="2"/>
        <v>43564</v>
      </c>
      <c r="B100" s="51">
        <v>8906.84</v>
      </c>
      <c r="C100" s="52">
        <v>5135.49</v>
      </c>
      <c r="D100" s="52">
        <v>3067.99</v>
      </c>
      <c r="E100" s="52">
        <v>2893.78</v>
      </c>
      <c r="F100" s="52">
        <v>5461.75</v>
      </c>
      <c r="G100" s="52">
        <v>2246</v>
      </c>
      <c r="H100" s="52">
        <v>2978.31</v>
      </c>
      <c r="I100" s="53">
        <v>24733.539999999997</v>
      </c>
      <c r="J100" s="49"/>
    </row>
    <row r="101" spans="1:10" x14ac:dyDescent="0.2">
      <c r="A101" s="50">
        <f t="shared" si="2"/>
        <v>43565</v>
      </c>
      <c r="B101" s="51">
        <v>8732.5499999999993</v>
      </c>
      <c r="C101" s="52">
        <v>4915.22</v>
      </c>
      <c r="D101" s="52">
        <v>3114.56</v>
      </c>
      <c r="E101" s="52">
        <v>2795.36</v>
      </c>
      <c r="F101" s="52">
        <v>5139.09</v>
      </c>
      <c r="G101" s="52">
        <v>1822.75</v>
      </c>
      <c r="H101" s="52">
        <v>2770.08</v>
      </c>
      <c r="I101" s="53">
        <v>23749.450000000004</v>
      </c>
      <c r="J101" s="49"/>
    </row>
    <row r="102" spans="1:10" x14ac:dyDescent="0.2">
      <c r="A102" s="50">
        <f t="shared" si="2"/>
        <v>43566</v>
      </c>
      <c r="B102" s="51">
        <v>8574</v>
      </c>
      <c r="C102" s="52">
        <v>4984.43</v>
      </c>
      <c r="D102" s="52">
        <v>3028.16</v>
      </c>
      <c r="E102" s="52">
        <v>2723.5</v>
      </c>
      <c r="F102" s="52">
        <v>5675.72</v>
      </c>
      <c r="G102" s="52">
        <v>1759.95</v>
      </c>
      <c r="H102" s="52">
        <v>2845.4000000000005</v>
      </c>
      <c r="I102" s="53">
        <v>23900.36</v>
      </c>
      <c r="J102" s="49"/>
    </row>
    <row r="103" spans="1:10" x14ac:dyDescent="0.2">
      <c r="A103" s="50">
        <f t="shared" si="2"/>
        <v>43567</v>
      </c>
      <c r="B103" s="51">
        <v>8152.1</v>
      </c>
      <c r="C103" s="52">
        <v>4671.3999999999996</v>
      </c>
      <c r="D103" s="52">
        <v>3037.9</v>
      </c>
      <c r="E103" s="52">
        <v>2852.1</v>
      </c>
      <c r="F103" s="52">
        <v>6091.4</v>
      </c>
      <c r="G103" s="52">
        <v>1634.5</v>
      </c>
      <c r="H103" s="52">
        <v>2976.2</v>
      </c>
      <c r="I103" s="53">
        <v>23463.200000000001</v>
      </c>
      <c r="J103" s="49"/>
    </row>
    <row r="104" spans="1:10" x14ac:dyDescent="0.2">
      <c r="A104" s="50">
        <f t="shared" si="2"/>
        <v>43568</v>
      </c>
      <c r="B104" s="51">
        <v>8008.94</v>
      </c>
      <c r="C104" s="52">
        <v>4795.0200000000004</v>
      </c>
      <c r="D104" s="52">
        <v>2839.48</v>
      </c>
      <c r="E104" s="52">
        <v>2776.52</v>
      </c>
      <c r="F104" s="52">
        <v>5906.96</v>
      </c>
      <c r="G104" s="52">
        <v>1891.76</v>
      </c>
      <c r="H104" s="52">
        <v>2460.0999999999995</v>
      </c>
      <c r="I104" s="53">
        <v>23758.579999999998</v>
      </c>
      <c r="J104" s="49"/>
    </row>
    <row r="105" spans="1:10" x14ac:dyDescent="0.2">
      <c r="A105" s="50">
        <f t="shared" si="2"/>
        <v>43569</v>
      </c>
      <c r="B105" s="51">
        <v>7954.62</v>
      </c>
      <c r="C105" s="52">
        <v>4425.1899999999996</v>
      </c>
      <c r="D105" s="52">
        <v>2945.96</v>
      </c>
      <c r="E105" s="52">
        <v>2624.22</v>
      </c>
      <c r="F105" s="52">
        <v>4971.6099999999997</v>
      </c>
      <c r="G105" s="52">
        <v>1782.19</v>
      </c>
      <c r="H105" s="52">
        <v>2523.1800000000003</v>
      </c>
      <c r="I105" s="53">
        <v>22180.61</v>
      </c>
      <c r="J105" s="49"/>
    </row>
    <row r="106" spans="1:10" x14ac:dyDescent="0.2">
      <c r="A106" s="50">
        <f t="shared" si="2"/>
        <v>43570</v>
      </c>
      <c r="B106" s="51">
        <v>8100.67</v>
      </c>
      <c r="C106" s="52">
        <v>4792.26</v>
      </c>
      <c r="D106" s="52">
        <v>3050.31</v>
      </c>
      <c r="E106" s="52">
        <v>2918.91</v>
      </c>
      <c r="F106" s="52">
        <v>5257.56</v>
      </c>
      <c r="G106" s="52">
        <v>2087.9299999999998</v>
      </c>
      <c r="H106" s="52">
        <v>3052.91</v>
      </c>
      <c r="I106" s="53">
        <v>23154.730000000003</v>
      </c>
      <c r="J106" s="49"/>
    </row>
    <row r="107" spans="1:10" x14ac:dyDescent="0.2">
      <c r="A107" s="50">
        <f t="shared" si="2"/>
        <v>43571</v>
      </c>
      <c r="B107" s="51">
        <v>8533.6</v>
      </c>
      <c r="C107" s="52">
        <v>4803.2</v>
      </c>
      <c r="D107" s="52">
        <v>3279.7</v>
      </c>
      <c r="E107" s="52">
        <v>2839.7</v>
      </c>
      <c r="F107" s="52">
        <v>5532.1</v>
      </c>
      <c r="G107" s="52">
        <v>1943.6</v>
      </c>
      <c r="H107" s="52">
        <v>3110.5</v>
      </c>
      <c r="I107" s="53">
        <v>23821.4</v>
      </c>
      <c r="J107" s="49"/>
    </row>
    <row r="108" spans="1:10" x14ac:dyDescent="0.2">
      <c r="A108" s="50">
        <f t="shared" si="2"/>
        <v>43572</v>
      </c>
      <c r="B108" s="51">
        <v>8729.2800000000007</v>
      </c>
      <c r="C108" s="52">
        <v>4799.1400000000003</v>
      </c>
      <c r="D108" s="52">
        <v>3148.02</v>
      </c>
      <c r="E108" s="52">
        <v>3055.39</v>
      </c>
      <c r="F108" s="52">
        <v>5673.91</v>
      </c>
      <c r="G108" s="52">
        <v>2170.58</v>
      </c>
      <c r="H108" s="52">
        <v>3195.07</v>
      </c>
      <c r="I108" s="53">
        <v>24381.25</v>
      </c>
      <c r="J108" s="49"/>
    </row>
    <row r="109" spans="1:10" x14ac:dyDescent="0.2">
      <c r="A109" s="50">
        <f t="shared" si="2"/>
        <v>43573</v>
      </c>
      <c r="B109" s="51">
        <v>8833.25</v>
      </c>
      <c r="C109" s="52">
        <v>4637.53</v>
      </c>
      <c r="D109" s="52">
        <v>2288.63</v>
      </c>
      <c r="E109" s="52">
        <v>2961.69</v>
      </c>
      <c r="F109" s="52">
        <v>5783.25</v>
      </c>
      <c r="G109" s="52">
        <v>0</v>
      </c>
      <c r="H109" s="52">
        <v>3175.9399999999996</v>
      </c>
      <c r="I109" s="53">
        <v>21328.41</v>
      </c>
      <c r="J109" s="49"/>
    </row>
    <row r="110" spans="1:10" x14ac:dyDescent="0.2">
      <c r="A110" s="50">
        <f t="shared" si="2"/>
        <v>43574</v>
      </c>
      <c r="B110" s="51">
        <v>8536.0300000000007</v>
      </c>
      <c r="C110" s="52">
        <v>4287.2700000000004</v>
      </c>
      <c r="D110" s="52">
        <v>2996.46</v>
      </c>
      <c r="E110" s="52">
        <v>2783.19</v>
      </c>
      <c r="F110" s="52">
        <v>5630.93</v>
      </c>
      <c r="G110" s="52">
        <v>0</v>
      </c>
      <c r="H110" s="52">
        <v>3194.1500000000005</v>
      </c>
      <c r="I110" s="53">
        <v>21039.73</v>
      </c>
      <c r="J110" s="49"/>
    </row>
    <row r="111" spans="1:10" x14ac:dyDescent="0.2">
      <c r="A111" s="50">
        <f t="shared" si="2"/>
        <v>43575</v>
      </c>
      <c r="B111" s="51">
        <v>8283.7999999999993</v>
      </c>
      <c r="C111" s="52">
        <v>3909.5</v>
      </c>
      <c r="D111" s="52">
        <v>2922</v>
      </c>
      <c r="E111" s="52">
        <v>3092.2</v>
      </c>
      <c r="F111" s="52">
        <v>6006.9</v>
      </c>
      <c r="G111" s="52">
        <v>0</v>
      </c>
      <c r="H111" s="52">
        <v>2382.9</v>
      </c>
      <c r="I111" s="53">
        <v>21831.5</v>
      </c>
      <c r="J111" s="49"/>
    </row>
    <row r="112" spans="1:10" x14ac:dyDescent="0.2">
      <c r="A112" s="50">
        <f t="shared" si="2"/>
        <v>43576</v>
      </c>
      <c r="B112" s="51">
        <v>7885.97</v>
      </c>
      <c r="C112" s="52">
        <v>3922.47</v>
      </c>
      <c r="D112" s="52">
        <v>2173.41</v>
      </c>
      <c r="E112" s="52">
        <v>2823.23</v>
      </c>
      <c r="F112" s="52">
        <v>4734.57</v>
      </c>
      <c r="G112" s="52">
        <v>0</v>
      </c>
      <c r="H112" s="52">
        <v>2371.0299999999997</v>
      </c>
      <c r="I112" s="53">
        <v>19168.620000000003</v>
      </c>
      <c r="J112" s="49"/>
    </row>
    <row r="113" spans="1:10" x14ac:dyDescent="0.2">
      <c r="A113" s="50">
        <f t="shared" si="2"/>
        <v>43577</v>
      </c>
      <c r="B113" s="51">
        <v>8798.1</v>
      </c>
      <c r="C113" s="52">
        <v>4165.6099999999997</v>
      </c>
      <c r="D113" s="52">
        <v>2721.59</v>
      </c>
      <c r="E113" s="52">
        <v>2810.31</v>
      </c>
      <c r="F113" s="52">
        <v>5325.04</v>
      </c>
      <c r="G113" s="52">
        <v>1570.96</v>
      </c>
      <c r="H113" s="52">
        <v>3257.3100000000004</v>
      </c>
      <c r="I113" s="53">
        <v>22134.3</v>
      </c>
      <c r="J113" s="49"/>
    </row>
    <row r="114" spans="1:10" x14ac:dyDescent="0.2">
      <c r="A114" s="50">
        <f t="shared" si="2"/>
        <v>43578</v>
      </c>
      <c r="B114" s="51">
        <v>8519.8700000000008</v>
      </c>
      <c r="C114" s="52">
        <v>4377.72</v>
      </c>
      <c r="D114" s="52">
        <v>3539.1</v>
      </c>
      <c r="E114" s="52">
        <v>2850.65</v>
      </c>
      <c r="F114" s="52">
        <v>4685.75</v>
      </c>
      <c r="G114" s="52">
        <v>2216.5</v>
      </c>
      <c r="H114" s="52">
        <v>2910.8500000000004</v>
      </c>
      <c r="I114" s="53">
        <v>23278.739999999998</v>
      </c>
      <c r="J114" s="49"/>
    </row>
    <row r="115" spans="1:10" x14ac:dyDescent="0.2">
      <c r="A115" s="50">
        <f t="shared" si="2"/>
        <v>43579</v>
      </c>
      <c r="B115" s="51">
        <v>8628.2000000000007</v>
      </c>
      <c r="C115" s="52">
        <v>4125.8999999999996</v>
      </c>
      <c r="D115" s="52">
        <v>3578.7</v>
      </c>
      <c r="E115" s="52">
        <v>2826.7</v>
      </c>
      <c r="F115" s="52">
        <v>5569.2</v>
      </c>
      <c r="G115" s="52">
        <v>3262.5</v>
      </c>
      <c r="H115" s="52">
        <v>2791.2</v>
      </c>
      <c r="I115" s="53">
        <v>25200</v>
      </c>
      <c r="J115" s="49"/>
    </row>
    <row r="116" spans="1:10" x14ac:dyDescent="0.2">
      <c r="A116" s="50">
        <f t="shared" si="2"/>
        <v>43580</v>
      </c>
      <c r="B116" s="51">
        <v>9336.76</v>
      </c>
      <c r="C116" s="52">
        <v>5031.4399999999996</v>
      </c>
      <c r="D116" s="52">
        <v>3500.99</v>
      </c>
      <c r="E116" s="52">
        <v>3282.7</v>
      </c>
      <c r="F116" s="52">
        <v>5140.59</v>
      </c>
      <c r="G116" s="52">
        <v>6269.19</v>
      </c>
      <c r="H116" s="52">
        <v>3051.1799999999994</v>
      </c>
      <c r="I116" s="53">
        <v>29510.49</v>
      </c>
      <c r="J116" s="49"/>
    </row>
    <row r="117" spans="1:10" x14ac:dyDescent="0.2">
      <c r="A117" s="50">
        <f t="shared" si="2"/>
        <v>43581</v>
      </c>
      <c r="B117" s="51">
        <v>9658.61</v>
      </c>
      <c r="C117" s="52">
        <v>4272.2299999999996</v>
      </c>
      <c r="D117" s="52">
        <v>3596.21</v>
      </c>
      <c r="E117" s="52">
        <v>3137.26</v>
      </c>
      <c r="F117" s="52">
        <v>6514.98</v>
      </c>
      <c r="G117" s="52">
        <v>6029.56</v>
      </c>
      <c r="H117" s="52">
        <v>2921.1599999999994</v>
      </c>
      <c r="I117" s="53">
        <v>30287.69</v>
      </c>
      <c r="J117" s="49"/>
    </row>
    <row r="118" spans="1:10" x14ac:dyDescent="0.2">
      <c r="A118" s="50">
        <f t="shared" si="2"/>
        <v>43582</v>
      </c>
      <c r="B118" s="51">
        <v>9161.36</v>
      </c>
      <c r="C118" s="52">
        <v>3932.23</v>
      </c>
      <c r="D118" s="52">
        <v>3255.32</v>
      </c>
      <c r="E118" s="52">
        <v>3123.81</v>
      </c>
      <c r="F118" s="52">
        <v>5226.1099999999997</v>
      </c>
      <c r="G118" s="52">
        <v>4938.32</v>
      </c>
      <c r="H118" s="52">
        <v>2352.41</v>
      </c>
      <c r="I118" s="53">
        <v>27284.74</v>
      </c>
      <c r="J118" s="49"/>
    </row>
    <row r="119" spans="1:10" x14ac:dyDescent="0.2">
      <c r="A119" s="50">
        <f t="shared" si="2"/>
        <v>43583</v>
      </c>
      <c r="B119" s="51">
        <v>8484.5</v>
      </c>
      <c r="C119" s="52">
        <v>3967.5</v>
      </c>
      <c r="D119" s="52">
        <v>3099</v>
      </c>
      <c r="E119" s="52">
        <v>2616.6999999999998</v>
      </c>
      <c r="F119" s="52">
        <v>4512.7</v>
      </c>
      <c r="G119" s="52">
        <v>4447.3</v>
      </c>
      <c r="H119" s="52">
        <v>2101.6999999999998</v>
      </c>
      <c r="I119" s="53">
        <v>25026</v>
      </c>
      <c r="J119" s="49"/>
    </row>
    <row r="120" spans="1:10" x14ac:dyDescent="0.2">
      <c r="A120" s="50">
        <f t="shared" si="2"/>
        <v>43584</v>
      </c>
      <c r="B120" s="51">
        <v>8272.6</v>
      </c>
      <c r="C120" s="52">
        <v>4142.17</v>
      </c>
      <c r="D120" s="52">
        <v>3344.87</v>
      </c>
      <c r="E120" s="52">
        <v>2423.2199999999998</v>
      </c>
      <c r="F120" s="52">
        <v>4230.72</v>
      </c>
      <c r="G120" s="52">
        <v>5660.38</v>
      </c>
      <c r="H120" s="52">
        <v>3138.01</v>
      </c>
      <c r="I120" s="53">
        <v>24935.950000000004</v>
      </c>
      <c r="J120" s="49"/>
    </row>
    <row r="121" spans="1:10" x14ac:dyDescent="0.2">
      <c r="A121" s="50">
        <f t="shared" si="2"/>
        <v>43585</v>
      </c>
      <c r="B121" s="51">
        <v>9463.7999999999993</v>
      </c>
      <c r="C121" s="52">
        <v>4008.98</v>
      </c>
      <c r="D121" s="52">
        <v>3666.5</v>
      </c>
      <c r="E121" s="52">
        <v>3588.36</v>
      </c>
      <c r="F121" s="52">
        <v>5623.45</v>
      </c>
      <c r="G121" s="52">
        <v>5210.66</v>
      </c>
      <c r="H121" s="52">
        <v>2834.8399999999997</v>
      </c>
      <c r="I121" s="53">
        <v>28726.91</v>
      </c>
      <c r="J121" s="49"/>
    </row>
    <row r="122" spans="1:10" x14ac:dyDescent="0.2">
      <c r="A122" s="50">
        <f t="shared" si="2"/>
        <v>43586</v>
      </c>
      <c r="B122" s="51">
        <v>9071.15</v>
      </c>
      <c r="C122" s="52">
        <v>3881.83</v>
      </c>
      <c r="D122" s="52">
        <v>3389.33</v>
      </c>
      <c r="E122" s="52">
        <v>2999.57</v>
      </c>
      <c r="F122" s="52">
        <v>5006.6400000000003</v>
      </c>
      <c r="G122" s="52">
        <v>4607.63</v>
      </c>
      <c r="H122" s="52">
        <v>2630.65</v>
      </c>
      <c r="I122" s="53">
        <v>26325.5</v>
      </c>
      <c r="J122" s="49"/>
    </row>
    <row r="123" spans="1:10" x14ac:dyDescent="0.2">
      <c r="A123" s="50">
        <f t="shared" si="2"/>
        <v>43587</v>
      </c>
      <c r="B123" s="51">
        <v>8464</v>
      </c>
      <c r="C123" s="52">
        <v>3760</v>
      </c>
      <c r="D123" s="52">
        <v>3361</v>
      </c>
      <c r="E123" s="52">
        <v>2944</v>
      </c>
      <c r="F123" s="52">
        <v>4250</v>
      </c>
      <c r="G123" s="52">
        <v>4406</v>
      </c>
      <c r="H123" s="52">
        <v>2701.6</v>
      </c>
      <c r="I123" s="53">
        <v>24483.4</v>
      </c>
      <c r="J123" s="49"/>
    </row>
    <row r="124" spans="1:10" x14ac:dyDescent="0.2">
      <c r="A124" s="50">
        <f t="shared" si="2"/>
        <v>43588</v>
      </c>
      <c r="B124" s="51">
        <v>8906.39</v>
      </c>
      <c r="C124" s="52">
        <v>3934.49</v>
      </c>
      <c r="D124" s="52">
        <v>3257.8</v>
      </c>
      <c r="E124" s="52">
        <v>3110</v>
      </c>
      <c r="F124" s="52">
        <v>5296.8</v>
      </c>
      <c r="G124" s="52">
        <v>4691.2299999999996</v>
      </c>
      <c r="H124" s="52">
        <v>2822.4099999999994</v>
      </c>
      <c r="I124" s="53">
        <v>26374.3</v>
      </c>
      <c r="J124" s="49"/>
    </row>
    <row r="125" spans="1:10" x14ac:dyDescent="0.2">
      <c r="A125" s="50">
        <f t="shared" si="2"/>
        <v>43589</v>
      </c>
      <c r="B125" s="51">
        <v>8625.06</v>
      </c>
      <c r="C125" s="52">
        <v>3709.01</v>
      </c>
      <c r="D125" s="52">
        <v>3176.47</v>
      </c>
      <c r="E125" s="52">
        <v>2865.13</v>
      </c>
      <c r="F125" s="52">
        <v>4653.1899999999996</v>
      </c>
      <c r="G125" s="52">
        <v>4559.32</v>
      </c>
      <c r="H125" s="52">
        <v>2375.9500000000007</v>
      </c>
      <c r="I125" s="53">
        <v>25212.229999999996</v>
      </c>
      <c r="J125" s="49"/>
    </row>
    <row r="126" spans="1:10" x14ac:dyDescent="0.2">
      <c r="A126" s="50">
        <f t="shared" si="2"/>
        <v>43590</v>
      </c>
      <c r="B126" s="51">
        <v>7197.76</v>
      </c>
      <c r="C126" s="52">
        <v>3578.47</v>
      </c>
      <c r="D126" s="52">
        <v>2670.57</v>
      </c>
      <c r="E126" s="52">
        <v>2401.6</v>
      </c>
      <c r="F126" s="52">
        <v>4269.09</v>
      </c>
      <c r="G126" s="52">
        <v>3874.46</v>
      </c>
      <c r="H126" s="52">
        <v>2109.4499999999998</v>
      </c>
      <c r="I126" s="53">
        <v>21882.499999999996</v>
      </c>
      <c r="J126" s="49"/>
    </row>
    <row r="127" spans="1:10" x14ac:dyDescent="0.2">
      <c r="A127" s="50">
        <f t="shared" si="2"/>
        <v>43591</v>
      </c>
      <c r="B127" s="51">
        <v>8060</v>
      </c>
      <c r="C127" s="52">
        <v>4043</v>
      </c>
      <c r="D127" s="52">
        <v>3034</v>
      </c>
      <c r="E127" s="52">
        <v>2452</v>
      </c>
      <c r="F127" s="52">
        <v>4354</v>
      </c>
      <c r="G127" s="52">
        <v>4583</v>
      </c>
      <c r="H127" s="52">
        <v>2664</v>
      </c>
      <c r="I127" s="53">
        <v>23862</v>
      </c>
      <c r="J127" s="49"/>
    </row>
    <row r="128" spans="1:10" x14ac:dyDescent="0.2">
      <c r="A128" s="50">
        <f t="shared" si="2"/>
        <v>43592</v>
      </c>
      <c r="B128" s="51">
        <v>8550.84</v>
      </c>
      <c r="C128" s="52">
        <v>4017.49</v>
      </c>
      <c r="D128" s="52">
        <v>3289.06</v>
      </c>
      <c r="E128" s="52">
        <v>2613.5</v>
      </c>
      <c r="F128" s="52">
        <v>5057.2700000000004</v>
      </c>
      <c r="G128" s="52">
        <v>4669.8599999999997</v>
      </c>
      <c r="H128" s="52">
        <v>2393.77</v>
      </c>
      <c r="I128" s="53">
        <v>25804.25</v>
      </c>
      <c r="J128" s="49"/>
    </row>
    <row r="129" spans="1:10" x14ac:dyDescent="0.2">
      <c r="A129" s="50">
        <f t="shared" si="2"/>
        <v>43593</v>
      </c>
      <c r="B129" s="51">
        <v>8499.48</v>
      </c>
      <c r="C129" s="52">
        <v>3861.15</v>
      </c>
      <c r="D129" s="52">
        <v>3317.08</v>
      </c>
      <c r="E129" s="52">
        <v>2714.45</v>
      </c>
      <c r="F129" s="52">
        <v>5489.97</v>
      </c>
      <c r="G129" s="52">
        <v>4615.24</v>
      </c>
      <c r="H129" s="52">
        <v>2392.62</v>
      </c>
      <c r="I129" s="53">
        <v>26104.750000000004</v>
      </c>
      <c r="J129" s="49"/>
    </row>
    <row r="130" spans="1:10" x14ac:dyDescent="0.2">
      <c r="A130" s="50">
        <f t="shared" si="2"/>
        <v>43594</v>
      </c>
      <c r="B130" s="51">
        <v>4904.43</v>
      </c>
      <c r="C130" s="52">
        <v>3268.31</v>
      </c>
      <c r="D130" s="52">
        <v>2395.4699999999998</v>
      </c>
      <c r="E130" s="52">
        <v>1939.99</v>
      </c>
      <c r="F130" s="52">
        <v>3494.52</v>
      </c>
      <c r="G130" s="52">
        <v>3626.68</v>
      </c>
      <c r="H130" s="52">
        <v>1803.35</v>
      </c>
      <c r="I130" s="53">
        <v>17826.05</v>
      </c>
      <c r="J130" s="49"/>
    </row>
    <row r="131" spans="1:10" x14ac:dyDescent="0.2">
      <c r="A131" s="50">
        <f t="shared" si="2"/>
        <v>43595</v>
      </c>
      <c r="B131" s="51">
        <v>7820</v>
      </c>
      <c r="C131" s="52">
        <v>5745</v>
      </c>
      <c r="D131" s="52">
        <v>3057</v>
      </c>
      <c r="E131" s="52">
        <v>2399</v>
      </c>
      <c r="F131" s="52">
        <v>3432</v>
      </c>
      <c r="G131" s="52">
        <v>3827</v>
      </c>
      <c r="H131" s="52">
        <v>1944</v>
      </c>
      <c r="I131" s="53">
        <v>24336</v>
      </c>
      <c r="J131" s="49"/>
    </row>
    <row r="132" spans="1:10" x14ac:dyDescent="0.2">
      <c r="A132" s="50">
        <f t="shared" si="2"/>
        <v>43596</v>
      </c>
      <c r="B132" s="51">
        <v>9426.57</v>
      </c>
      <c r="C132" s="52">
        <v>6924.04</v>
      </c>
      <c r="D132" s="52">
        <v>3297.17</v>
      </c>
      <c r="E132" s="52">
        <v>2885.31</v>
      </c>
      <c r="F132" s="52">
        <v>4766.8599999999997</v>
      </c>
      <c r="G132" s="52">
        <v>4067.61</v>
      </c>
      <c r="H132" s="52">
        <v>2001.9299999999998</v>
      </c>
      <c r="I132" s="53">
        <v>29365.63</v>
      </c>
      <c r="J132" s="49"/>
    </row>
    <row r="133" spans="1:10" x14ac:dyDescent="0.2">
      <c r="A133" s="50">
        <f t="shared" si="2"/>
        <v>43597</v>
      </c>
      <c r="B133" s="51">
        <v>8576.9599999999991</v>
      </c>
      <c r="C133" s="52">
        <v>6588.12</v>
      </c>
      <c r="D133" s="52">
        <v>3069.32</v>
      </c>
      <c r="E133" s="52">
        <v>2575.5500000000002</v>
      </c>
      <c r="F133" s="52">
        <v>4739.6099999999997</v>
      </c>
      <c r="G133" s="52">
        <v>3721.27</v>
      </c>
      <c r="H133" s="52">
        <v>1715.42</v>
      </c>
      <c r="I133" s="53">
        <v>27555.409999999996</v>
      </c>
      <c r="J133" s="49"/>
    </row>
    <row r="134" spans="1:10" x14ac:dyDescent="0.2">
      <c r="A134" s="50">
        <f t="shared" si="2"/>
        <v>43598</v>
      </c>
      <c r="B134" s="51">
        <v>8575.44</v>
      </c>
      <c r="C134" s="52">
        <v>7017.54</v>
      </c>
      <c r="D134" s="52">
        <v>3126.11</v>
      </c>
      <c r="E134" s="52">
        <v>2435.4499999999998</v>
      </c>
      <c r="F134" s="52">
        <v>4850.1499999999996</v>
      </c>
      <c r="G134" s="52">
        <v>5051.1099999999997</v>
      </c>
      <c r="H134" s="52">
        <v>2614.23</v>
      </c>
      <c r="I134" s="53">
        <v>28441.570000000003</v>
      </c>
      <c r="J134" s="49"/>
    </row>
    <row r="135" spans="1:10" x14ac:dyDescent="0.2">
      <c r="A135" s="50">
        <f t="shared" si="2"/>
        <v>43599</v>
      </c>
      <c r="B135" s="51">
        <v>8149.4</v>
      </c>
      <c r="C135" s="52">
        <v>4743.8</v>
      </c>
      <c r="D135" s="52">
        <v>3406.8</v>
      </c>
      <c r="E135" s="52">
        <v>2533</v>
      </c>
      <c r="F135" s="52">
        <v>4516.3999999999996</v>
      </c>
      <c r="G135" s="52">
        <v>5348.7</v>
      </c>
      <c r="H135" s="52">
        <v>2707.7</v>
      </c>
      <c r="I135" s="53">
        <v>25990.400000000001</v>
      </c>
      <c r="J135" s="49"/>
    </row>
    <row r="136" spans="1:10" x14ac:dyDescent="0.2">
      <c r="A136" s="50">
        <f t="shared" si="2"/>
        <v>43600</v>
      </c>
      <c r="B136" s="51">
        <v>8739.2000000000007</v>
      </c>
      <c r="C136" s="52">
        <v>5151.1000000000004</v>
      </c>
      <c r="D136" s="52">
        <v>3351.4</v>
      </c>
      <c r="E136" s="52">
        <v>2563.1999999999998</v>
      </c>
      <c r="F136" s="52">
        <v>4449.8</v>
      </c>
      <c r="G136" s="52">
        <v>5775.7</v>
      </c>
      <c r="H136" s="52">
        <v>2838.5000000000005</v>
      </c>
      <c r="I136" s="53">
        <v>27191.9</v>
      </c>
      <c r="J136" s="49"/>
    </row>
    <row r="137" spans="1:10" x14ac:dyDescent="0.2">
      <c r="A137" s="50">
        <f t="shared" si="2"/>
        <v>43601</v>
      </c>
      <c r="B137" s="51">
        <v>8994.3243000000002</v>
      </c>
      <c r="C137" s="52">
        <v>5002.8761000000004</v>
      </c>
      <c r="D137" s="52">
        <v>3424.6237999999998</v>
      </c>
      <c r="E137" s="52">
        <v>2901.9272999999998</v>
      </c>
      <c r="F137" s="52">
        <v>5996.0986999999996</v>
      </c>
      <c r="G137" s="52">
        <v>5330.9035999999996</v>
      </c>
      <c r="H137" s="52">
        <v>2759.5255999999999</v>
      </c>
      <c r="I137" s="53">
        <v>28891.228199999998</v>
      </c>
      <c r="J137" s="49"/>
    </row>
    <row r="138" spans="1:10" x14ac:dyDescent="0.2">
      <c r="A138" s="50">
        <f t="shared" si="2"/>
        <v>43602</v>
      </c>
      <c r="B138" s="51">
        <v>8447.43</v>
      </c>
      <c r="C138" s="52">
        <v>5037.04</v>
      </c>
      <c r="D138" s="52">
        <v>3400.68</v>
      </c>
      <c r="E138" s="52">
        <v>2568.46</v>
      </c>
      <c r="F138" s="52">
        <v>3900.57</v>
      </c>
      <c r="G138" s="52">
        <v>5133.25</v>
      </c>
      <c r="H138" s="52">
        <v>2560.34</v>
      </c>
      <c r="I138" s="53">
        <v>25927.09</v>
      </c>
      <c r="J138" s="49"/>
    </row>
    <row r="139" spans="1:10" x14ac:dyDescent="0.2">
      <c r="A139" s="50">
        <f t="shared" si="2"/>
        <v>43603</v>
      </c>
      <c r="B139" s="51">
        <v>8728</v>
      </c>
      <c r="C139" s="52">
        <v>4790.1000000000004</v>
      </c>
      <c r="D139" s="52">
        <v>3435</v>
      </c>
      <c r="E139" s="52">
        <v>2441.1999999999998</v>
      </c>
      <c r="F139" s="52">
        <v>4302.3999999999996</v>
      </c>
      <c r="G139" s="52">
        <v>4127</v>
      </c>
      <c r="H139" s="52">
        <v>1932.6</v>
      </c>
      <c r="I139" s="53">
        <v>25891.1</v>
      </c>
      <c r="J139" s="49"/>
    </row>
    <row r="140" spans="1:10" x14ac:dyDescent="0.2">
      <c r="A140" s="50">
        <f t="shared" si="2"/>
        <v>43604</v>
      </c>
      <c r="B140" s="51">
        <v>5083.8599999999997</v>
      </c>
      <c r="C140" s="52">
        <v>3479.14</v>
      </c>
      <c r="D140" s="52">
        <v>2463.79</v>
      </c>
      <c r="E140" s="52">
        <v>2201.71</v>
      </c>
      <c r="F140" s="52">
        <v>3741.48</v>
      </c>
      <c r="G140" s="52">
        <v>4096.8</v>
      </c>
      <c r="H140" s="52">
        <v>1750.0300000000002</v>
      </c>
      <c r="I140" s="53">
        <v>19316.75</v>
      </c>
      <c r="J140" s="49"/>
    </row>
    <row r="141" spans="1:10" x14ac:dyDescent="0.2">
      <c r="A141" s="50">
        <f t="shared" si="2"/>
        <v>43605</v>
      </c>
      <c r="B141" s="51">
        <v>7107.5</v>
      </c>
      <c r="C141" s="52">
        <v>4416.75</v>
      </c>
      <c r="D141" s="52">
        <v>3164.66</v>
      </c>
      <c r="E141" s="52">
        <v>2197.6799999999998</v>
      </c>
      <c r="F141" s="52">
        <v>4693.12</v>
      </c>
      <c r="G141" s="52">
        <v>5609.69</v>
      </c>
      <c r="H141" s="52">
        <v>2815.3199999999997</v>
      </c>
      <c r="I141" s="53">
        <v>24374.079999999998</v>
      </c>
      <c r="J141" s="49"/>
    </row>
    <row r="142" spans="1:10" x14ac:dyDescent="0.2">
      <c r="A142" s="50">
        <f t="shared" si="2"/>
        <v>43606</v>
      </c>
      <c r="B142" s="51">
        <v>8549.56</v>
      </c>
      <c r="C142" s="52">
        <v>4970.8100000000004</v>
      </c>
      <c r="D142" s="52">
        <v>3521.49</v>
      </c>
      <c r="E142" s="52">
        <v>2924.07</v>
      </c>
      <c r="F142" s="52">
        <v>5194.1499999999996</v>
      </c>
      <c r="G142" s="52">
        <v>5165.33</v>
      </c>
      <c r="H142" s="52">
        <v>2629.89</v>
      </c>
      <c r="I142" s="53">
        <v>27695.520000000004</v>
      </c>
      <c r="J142" s="49"/>
    </row>
    <row r="143" spans="1:10" x14ac:dyDescent="0.2">
      <c r="A143" s="50">
        <f t="shared" si="2"/>
        <v>43607</v>
      </c>
      <c r="B143" s="51">
        <v>8642.1</v>
      </c>
      <c r="C143" s="52">
        <v>4940.7</v>
      </c>
      <c r="D143" s="52">
        <v>3554.1</v>
      </c>
      <c r="E143" s="52">
        <v>2683.6</v>
      </c>
      <c r="F143" s="52">
        <v>4739.1000000000004</v>
      </c>
      <c r="G143" s="52">
        <v>5447.7</v>
      </c>
      <c r="H143" s="52">
        <v>2730.1</v>
      </c>
      <c r="I143" s="53">
        <v>27277.200000000001</v>
      </c>
      <c r="J143" s="49"/>
    </row>
    <row r="144" spans="1:10" x14ac:dyDescent="0.2">
      <c r="A144" s="50">
        <f t="shared" si="2"/>
        <v>43608</v>
      </c>
      <c r="B144" s="51">
        <v>8632.76</v>
      </c>
      <c r="C144" s="52">
        <v>5160.92</v>
      </c>
      <c r="D144" s="52">
        <v>3350.61</v>
      </c>
      <c r="E144" s="52">
        <v>3079.85</v>
      </c>
      <c r="F144" s="52">
        <v>5115.55</v>
      </c>
      <c r="G144" s="52">
        <v>5384</v>
      </c>
      <c r="H144" s="52">
        <v>2744.09</v>
      </c>
      <c r="I144" s="53">
        <v>27979.599999999999</v>
      </c>
      <c r="J144" s="49"/>
    </row>
    <row r="145" spans="1:10" x14ac:dyDescent="0.2">
      <c r="A145" s="50">
        <f t="shared" si="2"/>
        <v>43609</v>
      </c>
      <c r="B145" s="51">
        <v>8202.1</v>
      </c>
      <c r="C145" s="52">
        <v>5264.22</v>
      </c>
      <c r="D145" s="52">
        <v>3446.05</v>
      </c>
      <c r="E145" s="52">
        <v>2895.55</v>
      </c>
      <c r="F145" s="52">
        <v>4804.54</v>
      </c>
      <c r="G145" s="52">
        <v>5445</v>
      </c>
      <c r="H145" s="52">
        <v>2542.41</v>
      </c>
      <c r="I145" s="53">
        <v>27515.05</v>
      </c>
      <c r="J145" s="49"/>
    </row>
    <row r="146" spans="1:10" x14ac:dyDescent="0.2">
      <c r="A146" s="50">
        <f t="shared" si="2"/>
        <v>43610</v>
      </c>
      <c r="B146" s="51">
        <v>8238.33</v>
      </c>
      <c r="C146" s="52">
        <v>4749.3999999999996</v>
      </c>
      <c r="D146" s="52">
        <v>3280.56</v>
      </c>
      <c r="E146" s="52">
        <v>2482.37</v>
      </c>
      <c r="F146" s="52">
        <v>4422.26</v>
      </c>
      <c r="G146" s="52">
        <v>4438.72</v>
      </c>
      <c r="H146" s="52">
        <v>1854.7799999999997</v>
      </c>
      <c r="I146" s="53">
        <v>25756.86</v>
      </c>
      <c r="J146" s="49"/>
    </row>
    <row r="147" spans="1:10" x14ac:dyDescent="0.2">
      <c r="A147" s="50">
        <f t="shared" si="2"/>
        <v>43611</v>
      </c>
      <c r="B147" s="51">
        <v>8036.3</v>
      </c>
      <c r="C147" s="52">
        <v>4718.8999999999996</v>
      </c>
      <c r="D147" s="52">
        <v>3250.7</v>
      </c>
      <c r="E147" s="52">
        <v>2572.5</v>
      </c>
      <c r="F147" s="52">
        <v>4423.3</v>
      </c>
      <c r="G147" s="52">
        <v>3770.6</v>
      </c>
      <c r="H147" s="52">
        <v>1829.0000000000002</v>
      </c>
      <c r="I147" s="53">
        <v>24943.3</v>
      </c>
      <c r="J147" s="49"/>
    </row>
    <row r="148" spans="1:10" x14ac:dyDescent="0.2">
      <c r="A148" s="50">
        <f t="shared" si="2"/>
        <v>43612</v>
      </c>
      <c r="B148" s="51">
        <v>7734.17</v>
      </c>
      <c r="C148" s="52">
        <v>5017.4799999999996</v>
      </c>
      <c r="D148" s="52">
        <v>3245.97</v>
      </c>
      <c r="E148" s="52">
        <v>2728.25</v>
      </c>
      <c r="F148" s="52">
        <v>4790.7700000000004</v>
      </c>
      <c r="G148" s="52">
        <v>4934.95</v>
      </c>
      <c r="H148" s="52">
        <v>2614.4000000000005</v>
      </c>
      <c r="I148" s="53">
        <v>25837.19</v>
      </c>
      <c r="J148" s="49"/>
    </row>
    <row r="149" spans="1:10" x14ac:dyDescent="0.2">
      <c r="A149" s="50">
        <f t="shared" si="2"/>
        <v>43613</v>
      </c>
      <c r="B149" s="51">
        <v>7828.42</v>
      </c>
      <c r="C149" s="52">
        <v>5068.13</v>
      </c>
      <c r="D149" s="52">
        <v>3293.11</v>
      </c>
      <c r="E149" s="52">
        <v>2821.89</v>
      </c>
      <c r="F149" s="52">
        <v>5169.3999999999996</v>
      </c>
      <c r="G149" s="52">
        <v>4938.63</v>
      </c>
      <c r="H149" s="52">
        <v>2293.2800000000002</v>
      </c>
      <c r="I149" s="53">
        <v>26826.3</v>
      </c>
      <c r="J149" s="49"/>
    </row>
    <row r="150" spans="1:10" x14ac:dyDescent="0.2">
      <c r="A150" s="50">
        <f t="shared" si="2"/>
        <v>43614</v>
      </c>
      <c r="B150" s="51">
        <v>7558.71</v>
      </c>
      <c r="C150" s="52">
        <v>5058.78</v>
      </c>
      <c r="D150" s="52">
        <v>3270.49</v>
      </c>
      <c r="E150" s="52">
        <v>2637.43</v>
      </c>
      <c r="F150" s="52">
        <v>4456.91</v>
      </c>
      <c r="G150" s="52">
        <v>4919.1899999999996</v>
      </c>
      <c r="H150" s="52">
        <v>2455.5600000000004</v>
      </c>
      <c r="I150" s="53">
        <v>25445.949999999997</v>
      </c>
      <c r="J150" s="49"/>
    </row>
    <row r="151" spans="1:10" x14ac:dyDescent="0.2">
      <c r="A151" s="50">
        <f t="shared" si="2"/>
        <v>43615</v>
      </c>
      <c r="B151" s="51">
        <v>7925.2</v>
      </c>
      <c r="C151" s="52">
        <v>5389.1</v>
      </c>
      <c r="D151" s="52">
        <v>3267.2</v>
      </c>
      <c r="E151" s="52">
        <v>2394.3000000000002</v>
      </c>
      <c r="F151" s="52">
        <v>4730.8</v>
      </c>
      <c r="G151" s="52">
        <v>5118.2</v>
      </c>
      <c r="H151" s="52">
        <v>2610</v>
      </c>
      <c r="I151" s="53">
        <v>26214.799999999999</v>
      </c>
      <c r="J151" s="49"/>
    </row>
    <row r="152" spans="1:10" x14ac:dyDescent="0.2">
      <c r="A152" s="50">
        <f t="shared" si="2"/>
        <v>43616</v>
      </c>
      <c r="B152" s="51">
        <v>7770.89</v>
      </c>
      <c r="C152" s="52">
        <v>5369.19</v>
      </c>
      <c r="D152" s="52">
        <v>3191.07</v>
      </c>
      <c r="E152" s="52">
        <v>2365.73</v>
      </c>
      <c r="F152" s="52">
        <v>4270.1000000000004</v>
      </c>
      <c r="G152" s="52">
        <v>4786.6000000000004</v>
      </c>
      <c r="H152" s="52">
        <v>2085.36</v>
      </c>
      <c r="I152" s="53">
        <v>25668.22</v>
      </c>
      <c r="J152" s="49"/>
    </row>
    <row r="153" spans="1:10" x14ac:dyDescent="0.2">
      <c r="A153" s="50">
        <f t="shared" si="2"/>
        <v>43617</v>
      </c>
      <c r="B153" s="51">
        <v>6601.29</v>
      </c>
      <c r="C153" s="52">
        <v>4789.71</v>
      </c>
      <c r="D153" s="52">
        <v>2393.14</v>
      </c>
      <c r="E153" s="52">
        <v>2216.94</v>
      </c>
      <c r="F153" s="52">
        <v>3971.42</v>
      </c>
      <c r="G153" s="52">
        <v>3218.75</v>
      </c>
      <c r="H153" s="52">
        <v>1275.1699999999998</v>
      </c>
      <c r="I153" s="53">
        <v>21916.080000000002</v>
      </c>
      <c r="J153" s="49"/>
    </row>
    <row r="154" spans="1:10" x14ac:dyDescent="0.2">
      <c r="A154" s="50">
        <f t="shared" si="2"/>
        <v>43618</v>
      </c>
      <c r="B154" s="51">
        <v>5140.08</v>
      </c>
      <c r="C154" s="52">
        <v>2671.06</v>
      </c>
      <c r="D154" s="52">
        <v>1699.32</v>
      </c>
      <c r="E154" s="52">
        <v>1931.03</v>
      </c>
      <c r="F154" s="52">
        <v>3440.46</v>
      </c>
      <c r="G154" s="52">
        <v>3200.76</v>
      </c>
      <c r="H154" s="52">
        <v>1473.83</v>
      </c>
      <c r="I154" s="53">
        <v>16608.879999999997</v>
      </c>
      <c r="J154" s="49"/>
    </row>
    <row r="155" spans="1:10" x14ac:dyDescent="0.2">
      <c r="A155" s="50">
        <f t="shared" si="2"/>
        <v>43619</v>
      </c>
      <c r="B155" s="51">
        <v>8269</v>
      </c>
      <c r="C155" s="52">
        <v>5964.2</v>
      </c>
      <c r="D155" s="52">
        <v>3184</v>
      </c>
      <c r="E155" s="52">
        <v>2366.1999999999998</v>
      </c>
      <c r="F155" s="52">
        <v>4145.5</v>
      </c>
      <c r="G155" s="52">
        <v>4334.3999999999996</v>
      </c>
      <c r="H155" s="52">
        <v>2452.6</v>
      </c>
      <c r="I155" s="53">
        <v>25810.700000000004</v>
      </c>
      <c r="J155" s="49"/>
    </row>
    <row r="156" spans="1:10" x14ac:dyDescent="0.2">
      <c r="A156" s="50">
        <f t="shared" si="2"/>
        <v>43620</v>
      </c>
      <c r="B156" s="51">
        <v>7675.61</v>
      </c>
      <c r="C156" s="52">
        <v>5165.3900000000003</v>
      </c>
      <c r="D156" s="52">
        <v>3241.25</v>
      </c>
      <c r="E156" s="52">
        <v>2760.42</v>
      </c>
      <c r="F156" s="52">
        <v>4722.1499999999996</v>
      </c>
      <c r="G156" s="52">
        <v>4516.5</v>
      </c>
      <c r="H156" s="52">
        <v>2611.9299999999998</v>
      </c>
      <c r="I156" s="53">
        <v>25469.39</v>
      </c>
      <c r="J156" s="49"/>
    </row>
    <row r="157" spans="1:10" x14ac:dyDescent="0.2">
      <c r="A157" s="50">
        <f t="shared" si="2"/>
        <v>43621</v>
      </c>
      <c r="B157" s="51">
        <v>8445.14</v>
      </c>
      <c r="C157" s="52">
        <v>5049.42</v>
      </c>
      <c r="D157" s="52">
        <v>3544.17</v>
      </c>
      <c r="E157" s="52">
        <v>3005.11</v>
      </c>
      <c r="F157" s="52">
        <v>5535.59</v>
      </c>
      <c r="G157" s="52">
        <v>5780.23</v>
      </c>
      <c r="H157" s="52">
        <v>2885.8799999999997</v>
      </c>
      <c r="I157" s="53">
        <v>28473.78</v>
      </c>
      <c r="J157" s="49"/>
    </row>
    <row r="158" spans="1:10" x14ac:dyDescent="0.2">
      <c r="A158" s="50">
        <f t="shared" si="2"/>
        <v>43622</v>
      </c>
      <c r="B158" s="51">
        <v>7937.41</v>
      </c>
      <c r="C158" s="52">
        <v>4817.63</v>
      </c>
      <c r="D158" s="52">
        <v>3263.72</v>
      </c>
      <c r="E158" s="52">
        <v>2382.6</v>
      </c>
      <c r="F158" s="52">
        <v>4666.3599999999997</v>
      </c>
      <c r="G158" s="52">
        <v>5520.71</v>
      </c>
      <c r="H158" s="52">
        <v>2706.8599999999997</v>
      </c>
      <c r="I158" s="53">
        <v>25881.57</v>
      </c>
      <c r="J158" s="49"/>
    </row>
    <row r="159" spans="1:10" x14ac:dyDescent="0.2">
      <c r="A159" s="50">
        <f t="shared" si="2"/>
        <v>43623</v>
      </c>
      <c r="B159" s="51">
        <v>7879.1</v>
      </c>
      <c r="C159" s="52">
        <v>4783.3</v>
      </c>
      <c r="D159" s="52">
        <v>3262.4</v>
      </c>
      <c r="E159" s="52">
        <v>2609.5</v>
      </c>
      <c r="F159" s="52">
        <v>4645.8</v>
      </c>
      <c r="G159" s="52">
        <v>4641.7</v>
      </c>
      <c r="H159" s="52">
        <v>2494.3000000000002</v>
      </c>
      <c r="I159" s="53">
        <v>25327.500000000004</v>
      </c>
      <c r="J159" s="49"/>
    </row>
    <row r="160" spans="1:10" x14ac:dyDescent="0.2">
      <c r="A160" s="50">
        <f t="shared" ref="A160:A223" si="3">A159+1</f>
        <v>43624</v>
      </c>
      <c r="B160" s="51">
        <v>6548.57</v>
      </c>
      <c r="C160" s="52">
        <v>3840.01</v>
      </c>
      <c r="D160" s="52">
        <v>2746.46</v>
      </c>
      <c r="E160" s="52">
        <v>2778.08</v>
      </c>
      <c r="F160" s="52">
        <v>5020.7</v>
      </c>
      <c r="G160" s="52">
        <v>3992.4</v>
      </c>
      <c r="H160" s="52">
        <v>1946.6999999999998</v>
      </c>
      <c r="I160" s="53">
        <v>22979.52</v>
      </c>
      <c r="J160" s="49"/>
    </row>
    <row r="161" spans="1:10" x14ac:dyDescent="0.2">
      <c r="A161" s="50">
        <f t="shared" si="3"/>
        <v>43625</v>
      </c>
      <c r="B161" s="51">
        <v>4716.21</v>
      </c>
      <c r="C161" s="52">
        <v>2974.01</v>
      </c>
      <c r="D161" s="52">
        <v>1927.68</v>
      </c>
      <c r="E161" s="52">
        <v>2122.38</v>
      </c>
      <c r="F161" s="52">
        <v>3267.47</v>
      </c>
      <c r="G161" s="52">
        <v>4001.34</v>
      </c>
      <c r="H161" s="52">
        <v>1817.4300000000003</v>
      </c>
      <c r="I161" s="53">
        <v>17191.659999999996</v>
      </c>
      <c r="J161" s="49"/>
    </row>
    <row r="162" spans="1:10" x14ac:dyDescent="0.2">
      <c r="A162" s="50">
        <f t="shared" si="3"/>
        <v>43626</v>
      </c>
      <c r="B162" s="51">
        <v>8424.39</v>
      </c>
      <c r="C162" s="52">
        <v>4068.67</v>
      </c>
      <c r="D162" s="52">
        <v>2843.17</v>
      </c>
      <c r="E162" s="52">
        <v>2572.42</v>
      </c>
      <c r="F162" s="52">
        <v>3805.9</v>
      </c>
      <c r="G162" s="52">
        <v>4814.24</v>
      </c>
      <c r="H162" s="52">
        <v>2506.4200000000005</v>
      </c>
      <c r="I162" s="53">
        <v>24022.37</v>
      </c>
      <c r="J162" s="49"/>
    </row>
    <row r="163" spans="1:10" x14ac:dyDescent="0.2">
      <c r="A163" s="50">
        <f t="shared" si="3"/>
        <v>43627</v>
      </c>
      <c r="B163" s="51">
        <v>9197.5</v>
      </c>
      <c r="C163" s="52">
        <v>4500</v>
      </c>
      <c r="D163" s="52">
        <v>3250.3</v>
      </c>
      <c r="E163" s="52">
        <v>2425.6</v>
      </c>
      <c r="F163" s="52">
        <v>4615.5</v>
      </c>
      <c r="G163" s="52">
        <v>5055.6000000000004</v>
      </c>
      <c r="H163" s="52">
        <v>2592.6999999999998</v>
      </c>
      <c r="I163" s="53">
        <v>26451.8</v>
      </c>
      <c r="J163" s="49"/>
    </row>
    <row r="164" spans="1:10" x14ac:dyDescent="0.2">
      <c r="A164" s="50">
        <f t="shared" si="3"/>
        <v>43628</v>
      </c>
      <c r="B164" s="51">
        <v>9456.64</v>
      </c>
      <c r="C164" s="52">
        <v>4093.29</v>
      </c>
      <c r="D164" s="52">
        <v>3248.48</v>
      </c>
      <c r="E164" s="52">
        <v>2687.31</v>
      </c>
      <c r="F164" s="52">
        <v>4920.58</v>
      </c>
      <c r="G164" s="52">
        <v>4223.3999999999996</v>
      </c>
      <c r="H164" s="52">
        <v>2170.96</v>
      </c>
      <c r="I164" s="53">
        <v>26458.740000000005</v>
      </c>
      <c r="J164" s="49"/>
    </row>
    <row r="165" spans="1:10" x14ac:dyDescent="0.2">
      <c r="A165" s="50">
        <f t="shared" si="3"/>
        <v>43629</v>
      </c>
      <c r="B165" s="51">
        <v>9811.16</v>
      </c>
      <c r="C165" s="52">
        <v>4122.63</v>
      </c>
      <c r="D165" s="52">
        <v>3428.59</v>
      </c>
      <c r="E165" s="52">
        <v>2330.6999999999998</v>
      </c>
      <c r="F165" s="52">
        <v>4346.5600000000004</v>
      </c>
      <c r="G165" s="52">
        <v>5759.89</v>
      </c>
      <c r="H165" s="52">
        <v>2829.45</v>
      </c>
      <c r="I165" s="53">
        <v>26970.080000000002</v>
      </c>
      <c r="J165" s="49"/>
    </row>
    <row r="166" spans="1:10" x14ac:dyDescent="0.2">
      <c r="A166" s="50">
        <f t="shared" si="3"/>
        <v>43630</v>
      </c>
      <c r="B166" s="51">
        <v>9586.57</v>
      </c>
      <c r="C166" s="52">
        <v>4029.26</v>
      </c>
      <c r="D166" s="52">
        <v>3401.71</v>
      </c>
      <c r="E166" s="52">
        <v>2457.19</v>
      </c>
      <c r="F166" s="52">
        <v>4416.96</v>
      </c>
      <c r="G166" s="52">
        <v>5241.25</v>
      </c>
      <c r="H166" s="52">
        <v>2768.16</v>
      </c>
      <c r="I166" s="53">
        <v>26364.78</v>
      </c>
      <c r="J166" s="49"/>
    </row>
    <row r="167" spans="1:10" x14ac:dyDescent="0.2">
      <c r="A167" s="50">
        <f t="shared" si="3"/>
        <v>43631</v>
      </c>
      <c r="B167" s="51">
        <v>8710.9</v>
      </c>
      <c r="C167" s="52">
        <v>3549.3</v>
      </c>
      <c r="D167" s="52">
        <v>3227.6</v>
      </c>
      <c r="E167" s="52">
        <v>2964.8</v>
      </c>
      <c r="F167" s="52">
        <v>4686.2</v>
      </c>
      <c r="G167" s="52">
        <v>4383.3999999999996</v>
      </c>
      <c r="H167" s="52">
        <v>2083.6999999999998</v>
      </c>
      <c r="I167" s="53">
        <v>25438.500000000004</v>
      </c>
      <c r="J167" s="49"/>
    </row>
    <row r="168" spans="1:10" x14ac:dyDescent="0.2">
      <c r="A168" s="50">
        <f t="shared" si="3"/>
        <v>43632</v>
      </c>
      <c r="B168" s="51">
        <v>4751.0200000000004</v>
      </c>
      <c r="C168" s="52">
        <v>3065.03</v>
      </c>
      <c r="D168" s="52">
        <v>2321.4299999999998</v>
      </c>
      <c r="E168" s="52">
        <v>2561.92</v>
      </c>
      <c r="F168" s="52">
        <v>3538.57</v>
      </c>
      <c r="G168" s="52">
        <v>4054.68</v>
      </c>
      <c r="H168" s="52">
        <v>1858.85</v>
      </c>
      <c r="I168" s="53">
        <v>18433.800000000003</v>
      </c>
      <c r="J168" s="49"/>
    </row>
    <row r="169" spans="1:10" x14ac:dyDescent="0.2">
      <c r="A169" s="50">
        <f t="shared" si="3"/>
        <v>43633</v>
      </c>
      <c r="B169" s="51">
        <v>6741.41</v>
      </c>
      <c r="C169" s="52">
        <v>3475.5</v>
      </c>
      <c r="D169" s="52">
        <v>3082.63</v>
      </c>
      <c r="E169" s="52">
        <v>2914.59</v>
      </c>
      <c r="F169" s="52">
        <v>4682.57</v>
      </c>
      <c r="G169" s="52">
        <v>4907.87</v>
      </c>
      <c r="H169" s="52">
        <v>2425.5700000000002</v>
      </c>
      <c r="I169" s="53">
        <v>23379</v>
      </c>
      <c r="J169" s="49"/>
    </row>
    <row r="170" spans="1:10" x14ac:dyDescent="0.2">
      <c r="A170" s="50">
        <f t="shared" si="3"/>
        <v>43634</v>
      </c>
      <c r="B170" s="51">
        <v>10215.51</v>
      </c>
      <c r="C170" s="52">
        <v>4207.58</v>
      </c>
      <c r="D170" s="52">
        <v>3353.05</v>
      </c>
      <c r="E170" s="52">
        <v>2737</v>
      </c>
      <c r="F170" s="52">
        <v>4257.34</v>
      </c>
      <c r="G170" s="52">
        <v>5304.63</v>
      </c>
      <c r="H170" s="52">
        <v>2803.25</v>
      </c>
      <c r="I170" s="53">
        <v>27271.86</v>
      </c>
      <c r="J170" s="49"/>
    </row>
    <row r="171" spans="1:10" x14ac:dyDescent="0.2">
      <c r="A171" s="50">
        <f t="shared" si="3"/>
        <v>43635</v>
      </c>
      <c r="B171" s="51">
        <v>9726.2999999999993</v>
      </c>
      <c r="C171" s="52">
        <v>4447.8</v>
      </c>
      <c r="D171" s="52">
        <v>3357.2</v>
      </c>
      <c r="E171" s="52">
        <v>2907.4</v>
      </c>
      <c r="F171" s="52">
        <v>4999.6000000000004</v>
      </c>
      <c r="G171" s="52">
        <v>5295.9</v>
      </c>
      <c r="H171" s="52">
        <v>2831.2</v>
      </c>
      <c r="I171" s="53">
        <v>27903.000000000004</v>
      </c>
      <c r="J171" s="49"/>
    </row>
    <row r="172" spans="1:10" x14ac:dyDescent="0.2">
      <c r="A172" s="50">
        <f t="shared" si="3"/>
        <v>43636</v>
      </c>
      <c r="B172" s="51">
        <v>9949</v>
      </c>
      <c r="C172" s="52">
        <v>4384.8999999999996</v>
      </c>
      <c r="D172" s="52">
        <v>3310.7</v>
      </c>
      <c r="E172" s="52">
        <v>3053.7</v>
      </c>
      <c r="F172" s="52">
        <v>5214.1000000000004</v>
      </c>
      <c r="G172" s="52">
        <v>5370.3</v>
      </c>
      <c r="H172" s="52">
        <v>2787.3</v>
      </c>
      <c r="I172" s="53">
        <v>28495.4</v>
      </c>
      <c r="J172" s="49"/>
    </row>
    <row r="173" spans="1:10" x14ac:dyDescent="0.2">
      <c r="A173" s="50">
        <f t="shared" si="3"/>
        <v>43637</v>
      </c>
      <c r="B173" s="51">
        <v>9929.4599999999991</v>
      </c>
      <c r="C173" s="52">
        <v>4374.59</v>
      </c>
      <c r="D173" s="52">
        <v>3466.52</v>
      </c>
      <c r="E173" s="52">
        <v>3097.17</v>
      </c>
      <c r="F173" s="52">
        <v>4563.9799999999996</v>
      </c>
      <c r="G173" s="52">
        <v>4775.38</v>
      </c>
      <c r="H173" s="52">
        <v>2248.59</v>
      </c>
      <c r="I173" s="53">
        <v>27958.51</v>
      </c>
      <c r="J173" s="49"/>
    </row>
    <row r="174" spans="1:10" x14ac:dyDescent="0.2">
      <c r="A174" s="50">
        <f t="shared" si="3"/>
        <v>43638</v>
      </c>
      <c r="B174" s="51">
        <v>9253.83</v>
      </c>
      <c r="C174" s="52">
        <v>3992.64</v>
      </c>
      <c r="D174" s="52">
        <v>3218.32</v>
      </c>
      <c r="E174" s="52">
        <v>2976.09</v>
      </c>
      <c r="F174" s="52">
        <v>3708.16</v>
      </c>
      <c r="G174" s="52">
        <v>4036.08</v>
      </c>
      <c r="H174" s="52">
        <v>1893.88</v>
      </c>
      <c r="I174" s="53">
        <v>25291.24</v>
      </c>
      <c r="J174" s="49"/>
    </row>
    <row r="175" spans="1:10" x14ac:dyDescent="0.2">
      <c r="A175" s="50">
        <f t="shared" si="3"/>
        <v>43639</v>
      </c>
      <c r="B175" s="51">
        <v>8565.2000000000007</v>
      </c>
      <c r="C175" s="52">
        <v>4228.8999999999996</v>
      </c>
      <c r="D175" s="52">
        <v>3122.6</v>
      </c>
      <c r="E175" s="52">
        <v>2750</v>
      </c>
      <c r="F175" s="52">
        <v>3712.4</v>
      </c>
      <c r="G175" s="52">
        <v>3540.4</v>
      </c>
      <c r="H175" s="52">
        <v>1791.0000000000005</v>
      </c>
      <c r="I175" s="53">
        <v>24128.500000000004</v>
      </c>
      <c r="J175" s="49"/>
    </row>
    <row r="176" spans="1:10" x14ac:dyDescent="0.2">
      <c r="A176" s="50">
        <f t="shared" si="3"/>
        <v>43640</v>
      </c>
      <c r="B176" s="51">
        <v>8319.7999999999993</v>
      </c>
      <c r="C176" s="52">
        <v>4924.5</v>
      </c>
      <c r="D176" s="52">
        <v>3209.92</v>
      </c>
      <c r="E176" s="52">
        <v>2757.75</v>
      </c>
      <c r="F176" s="52">
        <v>4462.41</v>
      </c>
      <c r="G176" s="52">
        <v>4986.8599999999997</v>
      </c>
      <c r="H176" s="52">
        <v>2695.16</v>
      </c>
      <c r="I176" s="53">
        <v>25966.080000000002</v>
      </c>
      <c r="J176" s="49"/>
    </row>
    <row r="177" spans="1:10" x14ac:dyDescent="0.2">
      <c r="A177" s="50">
        <f t="shared" si="3"/>
        <v>43641</v>
      </c>
      <c r="B177" s="51">
        <v>9178.98</v>
      </c>
      <c r="C177" s="52">
        <v>4606.37</v>
      </c>
      <c r="D177" s="52">
        <v>3545.8</v>
      </c>
      <c r="E177" s="52">
        <v>3308.19</v>
      </c>
      <c r="F177" s="52">
        <v>4322.3100000000004</v>
      </c>
      <c r="G177" s="52">
        <v>5220.6899999999996</v>
      </c>
      <c r="H177" s="52">
        <v>2621.23</v>
      </c>
      <c r="I177" s="53">
        <v>27561.109999999997</v>
      </c>
      <c r="J177" s="49"/>
    </row>
    <row r="178" spans="1:10" x14ac:dyDescent="0.2">
      <c r="A178" s="50">
        <f t="shared" si="3"/>
        <v>43642</v>
      </c>
      <c r="B178" s="51">
        <v>9470.41</v>
      </c>
      <c r="C178" s="52">
        <v>4524.7299999999996</v>
      </c>
      <c r="D178" s="52">
        <v>3513.65</v>
      </c>
      <c r="E178" s="52">
        <v>2586.17</v>
      </c>
      <c r="F178" s="52">
        <v>4613.3900000000003</v>
      </c>
      <c r="G178" s="52">
        <v>5362.8</v>
      </c>
      <c r="H178" s="52">
        <v>2580.4500000000007</v>
      </c>
      <c r="I178" s="53">
        <v>27490.699999999997</v>
      </c>
      <c r="J178" s="49"/>
    </row>
    <row r="179" spans="1:10" x14ac:dyDescent="0.2">
      <c r="A179" s="50">
        <f t="shared" si="3"/>
        <v>43643</v>
      </c>
      <c r="B179" s="51">
        <v>9552.2999999999993</v>
      </c>
      <c r="C179" s="52">
        <v>4868.6000000000004</v>
      </c>
      <c r="D179" s="52">
        <v>3625.4</v>
      </c>
      <c r="E179" s="52">
        <v>3202.1</v>
      </c>
      <c r="F179" s="52">
        <v>4303.8999999999996</v>
      </c>
      <c r="G179" s="52">
        <v>5510.8</v>
      </c>
      <c r="H179" s="52">
        <v>2748.7</v>
      </c>
      <c r="I179" s="53">
        <v>28314.399999999994</v>
      </c>
      <c r="J179" s="49"/>
    </row>
    <row r="180" spans="1:10" x14ac:dyDescent="0.2">
      <c r="A180" s="50">
        <f t="shared" si="3"/>
        <v>43644</v>
      </c>
      <c r="B180" s="51">
        <v>9783.36</v>
      </c>
      <c r="C180" s="52">
        <v>4611.67</v>
      </c>
      <c r="D180" s="52">
        <v>3311.52</v>
      </c>
      <c r="E180" s="52">
        <v>3448.88</v>
      </c>
      <c r="F180" s="52">
        <v>4365.04</v>
      </c>
      <c r="G180" s="52">
        <v>5005.4399999999996</v>
      </c>
      <c r="H180" s="52">
        <v>2413.59</v>
      </c>
      <c r="I180" s="53">
        <v>28112.32</v>
      </c>
      <c r="J180" s="49"/>
    </row>
    <row r="181" spans="1:10" x14ac:dyDescent="0.2">
      <c r="A181" s="50">
        <f t="shared" si="3"/>
        <v>43645</v>
      </c>
      <c r="B181" s="51">
        <v>9502.7800000000007</v>
      </c>
      <c r="C181" s="52">
        <v>4530.97</v>
      </c>
      <c r="D181" s="52">
        <v>3094.22</v>
      </c>
      <c r="E181" s="52">
        <v>3362.6</v>
      </c>
      <c r="F181" s="52">
        <v>4465.8599999999997</v>
      </c>
      <c r="G181" s="52">
        <v>3806.24</v>
      </c>
      <c r="H181" s="52">
        <v>1551.6799999999998</v>
      </c>
      <c r="I181" s="53">
        <v>27210.989999999998</v>
      </c>
      <c r="J181" s="49"/>
    </row>
    <row r="182" spans="1:10" x14ac:dyDescent="0.2">
      <c r="A182" s="50">
        <f t="shared" si="3"/>
        <v>43646</v>
      </c>
      <c r="B182" s="51">
        <v>9077.09</v>
      </c>
      <c r="C182" s="52">
        <v>4250.8</v>
      </c>
      <c r="D182" s="52">
        <v>3039.06</v>
      </c>
      <c r="E182" s="52">
        <v>2626.57</v>
      </c>
      <c r="F182" s="52">
        <v>4258.28</v>
      </c>
      <c r="G182" s="52">
        <v>3957.55</v>
      </c>
      <c r="H182" s="52">
        <v>1702.57</v>
      </c>
      <c r="I182" s="53">
        <v>25506.78</v>
      </c>
      <c r="J182" s="49"/>
    </row>
    <row r="183" spans="1:10" x14ac:dyDescent="0.2">
      <c r="A183" s="50">
        <f t="shared" si="3"/>
        <v>43647</v>
      </c>
      <c r="B183" s="51">
        <v>7598</v>
      </c>
      <c r="C183" s="52">
        <v>5130.7</v>
      </c>
      <c r="D183" s="52">
        <v>3542.6</v>
      </c>
      <c r="E183" s="52">
        <v>2524.1</v>
      </c>
      <c r="F183" s="52">
        <v>3892.6</v>
      </c>
      <c r="G183" s="52">
        <v>5024.6000000000004</v>
      </c>
      <c r="H183" s="52">
        <v>2544.7000000000007</v>
      </c>
      <c r="I183" s="53">
        <v>25167.899999999998</v>
      </c>
      <c r="J183" s="49"/>
    </row>
    <row r="184" spans="1:10" x14ac:dyDescent="0.2">
      <c r="A184" s="50">
        <f t="shared" si="3"/>
        <v>43648</v>
      </c>
      <c r="B184" s="51">
        <v>8556.82</v>
      </c>
      <c r="C184" s="52">
        <v>5477.93</v>
      </c>
      <c r="D184" s="52">
        <v>3699.8</v>
      </c>
      <c r="E184" s="52">
        <v>3708.89</v>
      </c>
      <c r="F184" s="52">
        <v>4455.04</v>
      </c>
      <c r="G184" s="52">
        <v>5246.21</v>
      </c>
      <c r="H184" s="52">
        <v>2652.7999999999997</v>
      </c>
      <c r="I184" s="53">
        <v>28491.89</v>
      </c>
      <c r="J184" s="49"/>
    </row>
    <row r="185" spans="1:10" x14ac:dyDescent="0.2">
      <c r="A185" s="50">
        <f t="shared" si="3"/>
        <v>43649</v>
      </c>
      <c r="B185" s="51">
        <v>8684.6</v>
      </c>
      <c r="C185" s="52">
        <v>5377.74</v>
      </c>
      <c r="D185" s="52">
        <v>3939.66</v>
      </c>
      <c r="E185" s="52">
        <v>3549.83</v>
      </c>
      <c r="F185" s="52">
        <v>5443.04</v>
      </c>
      <c r="G185" s="52">
        <v>5047.21</v>
      </c>
      <c r="H185" s="52">
        <v>2525.34</v>
      </c>
      <c r="I185" s="53">
        <v>29516.74</v>
      </c>
      <c r="J185" s="49"/>
    </row>
    <row r="186" spans="1:10" x14ac:dyDescent="0.2">
      <c r="A186" s="50">
        <f t="shared" si="3"/>
        <v>43650</v>
      </c>
      <c r="B186" s="51">
        <v>8334.66</v>
      </c>
      <c r="C186" s="52">
        <v>5331.89</v>
      </c>
      <c r="D186" s="52">
        <v>3998.05</v>
      </c>
      <c r="E186" s="52">
        <v>3348.07</v>
      </c>
      <c r="F186" s="52">
        <v>4951.74</v>
      </c>
      <c r="G186" s="52">
        <v>4840.1499999999996</v>
      </c>
      <c r="H186" s="52">
        <v>2542.11</v>
      </c>
      <c r="I186" s="53">
        <v>28262.449999999997</v>
      </c>
      <c r="J186" s="49"/>
    </row>
    <row r="187" spans="1:10" x14ac:dyDescent="0.2">
      <c r="A187" s="50">
        <f t="shared" si="3"/>
        <v>43651</v>
      </c>
      <c r="B187" s="51">
        <v>8230.4</v>
      </c>
      <c r="C187" s="52">
        <v>5169.3</v>
      </c>
      <c r="D187" s="52">
        <v>4075.3</v>
      </c>
      <c r="E187" s="52">
        <v>3115.5</v>
      </c>
      <c r="F187" s="52">
        <v>4887.8999999999996</v>
      </c>
      <c r="G187" s="52">
        <v>5097.2</v>
      </c>
      <c r="H187" s="52">
        <v>2488.1999999999998</v>
      </c>
      <c r="I187" s="53">
        <v>28087.4</v>
      </c>
      <c r="J187" s="49"/>
    </row>
    <row r="188" spans="1:10" x14ac:dyDescent="0.2">
      <c r="A188" s="50">
        <f t="shared" si="3"/>
        <v>43652</v>
      </c>
      <c r="B188" s="51">
        <v>7339.7</v>
      </c>
      <c r="C188" s="52">
        <v>4824.8</v>
      </c>
      <c r="D188" s="52">
        <v>3643.4</v>
      </c>
      <c r="E188" s="52">
        <v>2721.1</v>
      </c>
      <c r="F188" s="52">
        <v>4080.4</v>
      </c>
      <c r="G188" s="52">
        <v>4073.2</v>
      </c>
      <c r="H188" s="52">
        <v>1615.6</v>
      </c>
      <c r="I188" s="53">
        <v>25067.000000000004</v>
      </c>
      <c r="J188" s="49"/>
    </row>
    <row r="189" spans="1:10" x14ac:dyDescent="0.2">
      <c r="A189" s="50">
        <f t="shared" si="3"/>
        <v>43653</v>
      </c>
      <c r="B189" s="51">
        <v>5353.27</v>
      </c>
      <c r="C189" s="52">
        <v>4413.17</v>
      </c>
      <c r="D189" s="52">
        <v>3033.1</v>
      </c>
      <c r="E189" s="52">
        <v>2647.05</v>
      </c>
      <c r="F189" s="52">
        <v>4036.22</v>
      </c>
      <c r="G189" s="52">
        <v>3761.82</v>
      </c>
      <c r="H189" s="52">
        <v>1552.7800000000002</v>
      </c>
      <c r="I189" s="53">
        <v>21691.850000000002</v>
      </c>
      <c r="J189" s="49"/>
    </row>
    <row r="190" spans="1:10" x14ac:dyDescent="0.2">
      <c r="A190" s="50">
        <f t="shared" si="3"/>
        <v>43654</v>
      </c>
      <c r="B190" s="51">
        <v>7307.3</v>
      </c>
      <c r="C190" s="52">
        <v>4846.2</v>
      </c>
      <c r="D190" s="52">
        <v>3503.05</v>
      </c>
      <c r="E190" s="52">
        <v>2256.54</v>
      </c>
      <c r="F190" s="52">
        <v>3561.53</v>
      </c>
      <c r="G190" s="52">
        <v>4854.92</v>
      </c>
      <c r="H190" s="52">
        <v>2526.21</v>
      </c>
      <c r="I190" s="53">
        <v>23803.33</v>
      </c>
      <c r="J190" s="49"/>
    </row>
    <row r="191" spans="1:10" x14ac:dyDescent="0.2">
      <c r="A191" s="50">
        <f t="shared" si="3"/>
        <v>43655</v>
      </c>
      <c r="B191" s="51">
        <v>8607.9</v>
      </c>
      <c r="C191" s="52">
        <v>5345.3</v>
      </c>
      <c r="D191" s="52">
        <v>3923.2</v>
      </c>
      <c r="E191" s="52">
        <v>2756.9</v>
      </c>
      <c r="F191" s="52">
        <v>4075.9</v>
      </c>
      <c r="G191" s="52">
        <v>5222.7</v>
      </c>
      <c r="H191" s="52">
        <v>2826.2</v>
      </c>
      <c r="I191" s="53">
        <v>27105.700000000004</v>
      </c>
      <c r="J191" s="49"/>
    </row>
    <row r="192" spans="1:10" x14ac:dyDescent="0.2">
      <c r="A192" s="50">
        <f t="shared" si="3"/>
        <v>43656</v>
      </c>
      <c r="B192" s="51">
        <v>8645.9</v>
      </c>
      <c r="C192" s="52">
        <v>5198.2</v>
      </c>
      <c r="D192" s="52">
        <v>3859.4</v>
      </c>
      <c r="E192" s="52">
        <v>3366.1</v>
      </c>
      <c r="F192" s="52">
        <v>4420.7</v>
      </c>
      <c r="G192" s="52">
        <v>5036.6000000000004</v>
      </c>
      <c r="H192" s="52">
        <v>2513.8999999999996</v>
      </c>
      <c r="I192" s="53">
        <v>28013</v>
      </c>
      <c r="J192" s="49"/>
    </row>
    <row r="193" spans="1:10" x14ac:dyDescent="0.2">
      <c r="A193" s="50">
        <f t="shared" si="3"/>
        <v>43657</v>
      </c>
      <c r="B193" s="51">
        <v>8502.31</v>
      </c>
      <c r="C193" s="52">
        <v>5331.45</v>
      </c>
      <c r="D193" s="52">
        <v>4078.86</v>
      </c>
      <c r="E193" s="52">
        <v>2565.6</v>
      </c>
      <c r="F193" s="52">
        <v>4496.2299999999996</v>
      </c>
      <c r="G193" s="52">
        <v>5101.6000000000004</v>
      </c>
      <c r="H193" s="52">
        <v>2433.96</v>
      </c>
      <c r="I193" s="53">
        <v>27642.089999999997</v>
      </c>
      <c r="J193" s="49"/>
    </row>
    <row r="194" spans="1:10" x14ac:dyDescent="0.2">
      <c r="A194" s="50">
        <f t="shared" si="3"/>
        <v>43658</v>
      </c>
      <c r="B194" s="51">
        <v>8160.62</v>
      </c>
      <c r="C194" s="52">
        <v>5519.95</v>
      </c>
      <c r="D194" s="52">
        <v>3997.47</v>
      </c>
      <c r="E194" s="52">
        <v>2230.16</v>
      </c>
      <c r="F194" s="52">
        <v>4281.1099999999997</v>
      </c>
      <c r="G194" s="52">
        <v>4676.18</v>
      </c>
      <c r="H194" s="52">
        <v>2166.1800000000003</v>
      </c>
      <c r="I194" s="53">
        <v>26699.31</v>
      </c>
      <c r="J194" s="49"/>
    </row>
    <row r="195" spans="1:10" x14ac:dyDescent="0.2">
      <c r="A195" s="50">
        <f t="shared" si="3"/>
        <v>43659</v>
      </c>
      <c r="B195" s="51">
        <v>8047.9</v>
      </c>
      <c r="C195" s="52">
        <v>5092.8</v>
      </c>
      <c r="D195" s="52">
        <v>3696</v>
      </c>
      <c r="E195" s="52">
        <v>2245.8000000000002</v>
      </c>
      <c r="F195" s="52">
        <v>4128.1000000000004</v>
      </c>
      <c r="G195" s="52">
        <v>3675.7</v>
      </c>
      <c r="H195" s="52">
        <v>1754.2999999999997</v>
      </c>
      <c r="I195" s="53">
        <v>25132</v>
      </c>
      <c r="J195" s="49"/>
    </row>
    <row r="196" spans="1:10" x14ac:dyDescent="0.2">
      <c r="A196" s="50">
        <f t="shared" si="3"/>
        <v>43660</v>
      </c>
      <c r="B196" s="51">
        <v>7890.8</v>
      </c>
      <c r="C196" s="52">
        <v>4872.3999999999996</v>
      </c>
      <c r="D196" s="52">
        <v>3618.1</v>
      </c>
      <c r="E196" s="52">
        <v>2169.1</v>
      </c>
      <c r="F196" s="52">
        <v>3986.3</v>
      </c>
      <c r="G196" s="52">
        <v>3933.6</v>
      </c>
      <c r="H196" s="52">
        <v>1736.5000000000005</v>
      </c>
      <c r="I196" s="53">
        <v>24733.8</v>
      </c>
      <c r="J196" s="49"/>
    </row>
    <row r="197" spans="1:10" x14ac:dyDescent="0.2">
      <c r="A197" s="50">
        <f t="shared" si="3"/>
        <v>43661</v>
      </c>
      <c r="B197" s="51">
        <v>8261.34</v>
      </c>
      <c r="C197" s="52">
        <v>5507.15</v>
      </c>
      <c r="D197" s="52">
        <v>3851.24</v>
      </c>
      <c r="E197" s="52">
        <v>2669.98</v>
      </c>
      <c r="F197" s="52">
        <v>4515.09</v>
      </c>
      <c r="G197" s="52">
        <v>5270.99</v>
      </c>
      <c r="H197" s="52">
        <v>2503.6099999999997</v>
      </c>
      <c r="I197" s="53">
        <v>27572.18</v>
      </c>
      <c r="J197" s="49"/>
    </row>
    <row r="198" spans="1:10" x14ac:dyDescent="0.2">
      <c r="A198" s="50">
        <f t="shared" si="3"/>
        <v>43662</v>
      </c>
      <c r="B198" s="51">
        <v>8495.31</v>
      </c>
      <c r="C198" s="52">
        <v>5494.19</v>
      </c>
      <c r="D198" s="52">
        <v>3828.65</v>
      </c>
      <c r="E198" s="52">
        <v>2569.42</v>
      </c>
      <c r="F198" s="52">
        <v>4395.49</v>
      </c>
      <c r="G198" s="52">
        <v>5083.4399999999996</v>
      </c>
      <c r="H198" s="52">
        <v>2620.79</v>
      </c>
      <c r="I198" s="53">
        <v>27245.709999999995</v>
      </c>
      <c r="J198" s="49"/>
    </row>
    <row r="199" spans="1:10" x14ac:dyDescent="0.2">
      <c r="A199" s="50">
        <f t="shared" si="3"/>
        <v>43663</v>
      </c>
      <c r="B199" s="51">
        <v>8718.7000000000007</v>
      </c>
      <c r="C199" s="52">
        <v>5469.2</v>
      </c>
      <c r="D199" s="52">
        <v>4048.8</v>
      </c>
      <c r="E199" s="52">
        <v>2977</v>
      </c>
      <c r="F199" s="52">
        <v>4361.8</v>
      </c>
      <c r="G199" s="52">
        <v>5253</v>
      </c>
      <c r="H199" s="52">
        <v>2658.6000000000004</v>
      </c>
      <c r="I199" s="53">
        <v>28169.9</v>
      </c>
      <c r="J199" s="49"/>
    </row>
    <row r="200" spans="1:10" x14ac:dyDescent="0.2">
      <c r="A200" s="50">
        <f t="shared" si="3"/>
        <v>43664</v>
      </c>
      <c r="B200" s="51">
        <v>8299.7000000000007</v>
      </c>
      <c r="C200" s="52">
        <v>5639.7</v>
      </c>
      <c r="D200" s="52">
        <v>3957.6</v>
      </c>
      <c r="E200" s="52">
        <v>2825.3</v>
      </c>
      <c r="F200" s="52">
        <v>4511.8</v>
      </c>
      <c r="G200" s="52">
        <v>5464.3</v>
      </c>
      <c r="H200" s="52">
        <v>2407.5</v>
      </c>
      <c r="I200" s="53">
        <v>28290.899999999998</v>
      </c>
      <c r="J200" s="49"/>
    </row>
    <row r="201" spans="1:10" x14ac:dyDescent="0.2">
      <c r="A201" s="50">
        <f t="shared" si="3"/>
        <v>43665</v>
      </c>
      <c r="B201" s="51">
        <v>8062.78</v>
      </c>
      <c r="C201" s="52">
        <v>5690.76</v>
      </c>
      <c r="D201" s="52">
        <v>3887.2</v>
      </c>
      <c r="E201" s="52">
        <v>2929.07</v>
      </c>
      <c r="F201" s="52">
        <v>5485.07</v>
      </c>
      <c r="G201" s="52">
        <v>5257.94</v>
      </c>
      <c r="H201" s="52">
        <v>2208.5</v>
      </c>
      <c r="I201" s="53">
        <v>29104.32</v>
      </c>
      <c r="J201" s="49"/>
    </row>
    <row r="202" spans="1:10" x14ac:dyDescent="0.2">
      <c r="A202" s="50">
        <f t="shared" si="3"/>
        <v>43666</v>
      </c>
      <c r="B202" s="51">
        <v>7864.79</v>
      </c>
      <c r="C202" s="52">
        <v>5292.34</v>
      </c>
      <c r="D202" s="52">
        <v>3649.12</v>
      </c>
      <c r="E202" s="52">
        <v>2260.2399999999998</v>
      </c>
      <c r="F202" s="52">
        <v>4161.22</v>
      </c>
      <c r="G202" s="52">
        <v>4135.29</v>
      </c>
      <c r="H202" s="52">
        <v>1767.76</v>
      </c>
      <c r="I202" s="53">
        <v>25595.24</v>
      </c>
      <c r="J202" s="49"/>
    </row>
    <row r="203" spans="1:10" x14ac:dyDescent="0.2">
      <c r="A203" s="50">
        <f t="shared" si="3"/>
        <v>43667</v>
      </c>
      <c r="B203" s="51">
        <v>8015.9</v>
      </c>
      <c r="C203" s="52">
        <v>5259.9</v>
      </c>
      <c r="D203" s="52">
        <v>3828.4</v>
      </c>
      <c r="E203" s="52">
        <v>2577.8000000000002</v>
      </c>
      <c r="F203" s="52">
        <v>4317.8999999999996</v>
      </c>
      <c r="G203" s="52">
        <v>4289.3</v>
      </c>
      <c r="H203" s="52">
        <v>1896.4</v>
      </c>
      <c r="I203" s="53">
        <v>26392.799999999999</v>
      </c>
      <c r="J203" s="49"/>
    </row>
    <row r="204" spans="1:10" x14ac:dyDescent="0.2">
      <c r="A204" s="50">
        <f t="shared" si="3"/>
        <v>43668</v>
      </c>
      <c r="B204" s="51">
        <v>8432.7000000000007</v>
      </c>
      <c r="C204" s="52">
        <v>5762.7</v>
      </c>
      <c r="D204" s="52">
        <v>4006.8</v>
      </c>
      <c r="E204" s="52">
        <v>2778.8</v>
      </c>
      <c r="F204" s="52">
        <v>4551.3</v>
      </c>
      <c r="G204" s="52">
        <v>5759.6</v>
      </c>
      <c r="H204" s="52">
        <v>2611</v>
      </c>
      <c r="I204" s="53">
        <v>28680.9</v>
      </c>
      <c r="J204" s="49"/>
    </row>
    <row r="205" spans="1:10" x14ac:dyDescent="0.2">
      <c r="A205" s="50">
        <f t="shared" si="3"/>
        <v>43669</v>
      </c>
      <c r="B205" s="51">
        <v>8774.4</v>
      </c>
      <c r="C205" s="52">
        <v>5670.54</v>
      </c>
      <c r="D205" s="52">
        <v>4100.74</v>
      </c>
      <c r="E205" s="52">
        <v>2147.0500000000002</v>
      </c>
      <c r="F205" s="52">
        <v>5162.22</v>
      </c>
      <c r="G205" s="52">
        <v>5432.86</v>
      </c>
      <c r="H205" s="52">
        <v>2629.9300000000003</v>
      </c>
      <c r="I205" s="53">
        <v>28657.88</v>
      </c>
      <c r="J205" s="49"/>
    </row>
    <row r="206" spans="1:10" x14ac:dyDescent="0.2">
      <c r="A206" s="50">
        <f t="shared" si="3"/>
        <v>43670</v>
      </c>
      <c r="B206" s="51">
        <v>7897.7</v>
      </c>
      <c r="C206" s="52">
        <v>5507.06</v>
      </c>
      <c r="D206" s="52">
        <v>4101.4799999999996</v>
      </c>
      <c r="E206" s="52">
        <v>2515.66</v>
      </c>
      <c r="F206" s="52">
        <v>4976.6899999999996</v>
      </c>
      <c r="G206" s="52">
        <v>5366.4</v>
      </c>
      <c r="H206" s="52">
        <v>2626.76</v>
      </c>
      <c r="I206" s="53">
        <v>27738.229999999996</v>
      </c>
      <c r="J206" s="49"/>
    </row>
    <row r="207" spans="1:10" x14ac:dyDescent="0.2">
      <c r="A207" s="50">
        <f t="shared" si="3"/>
        <v>43671</v>
      </c>
      <c r="B207" s="51">
        <v>8728</v>
      </c>
      <c r="C207" s="52">
        <v>5931.2</v>
      </c>
      <c r="D207" s="52">
        <v>4197.7</v>
      </c>
      <c r="E207" s="52">
        <v>2525.6999999999998</v>
      </c>
      <c r="F207" s="52">
        <v>5294.3</v>
      </c>
      <c r="G207" s="52">
        <v>5585.2</v>
      </c>
      <c r="H207" s="52">
        <v>2839</v>
      </c>
      <c r="I207" s="53">
        <v>29423.100000000002</v>
      </c>
      <c r="J207" s="49"/>
    </row>
    <row r="208" spans="1:10" x14ac:dyDescent="0.2">
      <c r="A208" s="50">
        <f t="shared" si="3"/>
        <v>43672</v>
      </c>
      <c r="B208" s="51">
        <v>8889.9</v>
      </c>
      <c r="C208" s="52">
        <v>6104.2</v>
      </c>
      <c r="D208" s="52">
        <v>4190.6000000000004</v>
      </c>
      <c r="E208" s="52">
        <v>2838.7</v>
      </c>
      <c r="F208" s="52">
        <v>5102</v>
      </c>
      <c r="G208" s="52">
        <v>5312.9</v>
      </c>
      <c r="H208" s="52">
        <v>2388.8000000000002</v>
      </c>
      <c r="I208" s="53">
        <v>30049.499999999996</v>
      </c>
      <c r="J208" s="49"/>
    </row>
    <row r="209" spans="1:10" x14ac:dyDescent="0.2">
      <c r="A209" s="50">
        <f t="shared" si="3"/>
        <v>43673</v>
      </c>
      <c r="B209" s="51">
        <v>8709.4699999999993</v>
      </c>
      <c r="C209" s="52">
        <v>5526.47</v>
      </c>
      <c r="D209" s="52">
        <v>3908.17</v>
      </c>
      <c r="E209" s="52">
        <v>3098.02</v>
      </c>
      <c r="F209" s="52">
        <v>4564.83</v>
      </c>
      <c r="G209" s="52">
        <v>4220.47</v>
      </c>
      <c r="H209" s="52">
        <v>1676.3999999999999</v>
      </c>
      <c r="I209" s="53">
        <v>28351.03</v>
      </c>
      <c r="J209" s="49"/>
    </row>
    <row r="210" spans="1:10" x14ac:dyDescent="0.2">
      <c r="A210" s="50">
        <f t="shared" si="3"/>
        <v>43674</v>
      </c>
      <c r="B210" s="51">
        <v>8249.8700000000008</v>
      </c>
      <c r="C210" s="52">
        <v>5548</v>
      </c>
      <c r="D210" s="52">
        <v>3801.28</v>
      </c>
      <c r="E210" s="52">
        <v>3067.07</v>
      </c>
      <c r="F210" s="52">
        <v>4094.55</v>
      </c>
      <c r="G210" s="52">
        <v>4072.26</v>
      </c>
      <c r="H210" s="52">
        <v>1898.8000000000002</v>
      </c>
      <c r="I210" s="53">
        <v>26934.23</v>
      </c>
      <c r="J210" s="49"/>
    </row>
    <row r="211" spans="1:10" x14ac:dyDescent="0.2">
      <c r="A211" s="50">
        <f t="shared" si="3"/>
        <v>43675</v>
      </c>
      <c r="B211" s="51">
        <v>8590.6</v>
      </c>
      <c r="C211" s="52">
        <v>5879</v>
      </c>
      <c r="D211" s="52">
        <v>3964.6</v>
      </c>
      <c r="E211" s="52">
        <v>3007</v>
      </c>
      <c r="F211" s="52">
        <v>4818.6000000000004</v>
      </c>
      <c r="G211" s="52">
        <v>4911.8999999999996</v>
      </c>
      <c r="H211" s="52">
        <v>2608.3999999999996</v>
      </c>
      <c r="I211" s="53">
        <v>28563.300000000003</v>
      </c>
      <c r="J211" s="49"/>
    </row>
    <row r="212" spans="1:10" x14ac:dyDescent="0.2">
      <c r="A212" s="50">
        <f t="shared" si="3"/>
        <v>43676</v>
      </c>
      <c r="B212" s="51">
        <v>8987.9</v>
      </c>
      <c r="C212" s="52">
        <v>6194.8</v>
      </c>
      <c r="D212" s="52">
        <v>4258.3999999999996</v>
      </c>
      <c r="E212" s="52">
        <v>2745.7</v>
      </c>
      <c r="F212" s="52">
        <v>4821.2</v>
      </c>
      <c r="G212" s="52">
        <v>4981.6000000000004</v>
      </c>
      <c r="H212" s="52">
        <v>2469.6</v>
      </c>
      <c r="I212" s="53">
        <v>29520</v>
      </c>
      <c r="J212" s="49"/>
    </row>
    <row r="213" spans="1:10" x14ac:dyDescent="0.2">
      <c r="A213" s="50">
        <f t="shared" si="3"/>
        <v>43677</v>
      </c>
      <c r="B213" s="51">
        <v>9519.3799999999992</v>
      </c>
      <c r="C213" s="52">
        <v>5622.82</v>
      </c>
      <c r="D213" s="52">
        <v>4309.83</v>
      </c>
      <c r="E213" s="52">
        <v>3251.51</v>
      </c>
      <c r="F213" s="52">
        <v>5193.0600000000004</v>
      </c>
      <c r="G213" s="52">
        <v>5072.6099999999997</v>
      </c>
      <c r="H213" s="52">
        <v>2487.75</v>
      </c>
      <c r="I213" s="53">
        <v>30481.46</v>
      </c>
      <c r="J213" s="49"/>
    </row>
    <row r="214" spans="1:10" x14ac:dyDescent="0.2">
      <c r="A214" s="50">
        <f t="shared" si="3"/>
        <v>43678</v>
      </c>
      <c r="B214" s="51">
        <v>8833</v>
      </c>
      <c r="C214" s="52">
        <v>5606.63</v>
      </c>
      <c r="D214" s="52">
        <v>4157.12</v>
      </c>
      <c r="E214" s="52">
        <v>2712.12</v>
      </c>
      <c r="F214" s="52">
        <v>4999.54</v>
      </c>
      <c r="G214" s="52">
        <v>5040.51</v>
      </c>
      <c r="H214" s="52">
        <v>2446.44</v>
      </c>
      <c r="I214" s="53">
        <v>28902.48</v>
      </c>
      <c r="J214" s="49"/>
    </row>
    <row r="215" spans="1:10" x14ac:dyDescent="0.2">
      <c r="A215" s="50">
        <f t="shared" si="3"/>
        <v>43679</v>
      </c>
      <c r="B215" s="51">
        <v>9492.7999999999993</v>
      </c>
      <c r="C215" s="52">
        <v>4824.8999999999996</v>
      </c>
      <c r="D215" s="52">
        <v>4036.3</v>
      </c>
      <c r="E215" s="52">
        <v>3068.9</v>
      </c>
      <c r="F215" s="52">
        <v>4792.3999999999996</v>
      </c>
      <c r="G215" s="52">
        <v>5189.2</v>
      </c>
      <c r="H215" s="52">
        <v>2418.5</v>
      </c>
      <c r="I215" s="53">
        <v>28986.000000000004</v>
      </c>
      <c r="J215" s="49"/>
    </row>
    <row r="216" spans="1:10" x14ac:dyDescent="0.2">
      <c r="A216" s="50">
        <f t="shared" si="3"/>
        <v>43680</v>
      </c>
      <c r="B216" s="51">
        <v>9446.1</v>
      </c>
      <c r="C216" s="52">
        <v>4079</v>
      </c>
      <c r="D216" s="52">
        <v>3720.1</v>
      </c>
      <c r="E216" s="52">
        <v>3035.9</v>
      </c>
      <c r="F216" s="52">
        <v>4971.3</v>
      </c>
      <c r="G216" s="52">
        <v>4809.3999999999996</v>
      </c>
      <c r="H216" s="52">
        <v>1951.2999999999997</v>
      </c>
      <c r="I216" s="53">
        <v>28110.500000000004</v>
      </c>
      <c r="J216" s="49"/>
    </row>
    <row r="217" spans="1:10" x14ac:dyDescent="0.2">
      <c r="A217" s="50">
        <f t="shared" si="3"/>
        <v>43681</v>
      </c>
      <c r="B217" s="51">
        <v>8813.2900000000009</v>
      </c>
      <c r="C217" s="52">
        <v>3907.03</v>
      </c>
      <c r="D217" s="52">
        <v>3555.38</v>
      </c>
      <c r="E217" s="52">
        <v>2385.88</v>
      </c>
      <c r="F217" s="52">
        <v>4724.59</v>
      </c>
      <c r="G217" s="52">
        <v>4767.9799999999996</v>
      </c>
      <c r="H217" s="52">
        <v>1971.9</v>
      </c>
      <c r="I217" s="53">
        <v>26182.25</v>
      </c>
      <c r="J217" s="49"/>
    </row>
    <row r="218" spans="1:10" x14ac:dyDescent="0.2">
      <c r="A218" s="50">
        <f t="shared" si="3"/>
        <v>43682</v>
      </c>
      <c r="B218" s="51">
        <v>8590.57</v>
      </c>
      <c r="C218" s="52">
        <v>4349.58</v>
      </c>
      <c r="D218" s="52">
        <v>3811.58</v>
      </c>
      <c r="E218" s="52">
        <v>2250.88</v>
      </c>
      <c r="F218" s="52">
        <v>4896.88</v>
      </c>
      <c r="G218" s="52">
        <v>5137.91</v>
      </c>
      <c r="H218" s="52">
        <v>2747.2299999999996</v>
      </c>
      <c r="I218" s="53">
        <v>26290.170000000002</v>
      </c>
      <c r="J218" s="49"/>
    </row>
    <row r="219" spans="1:10" x14ac:dyDescent="0.2">
      <c r="A219" s="50">
        <f t="shared" si="3"/>
        <v>43683</v>
      </c>
      <c r="B219" s="51">
        <v>9280</v>
      </c>
      <c r="C219" s="52">
        <v>4471.5</v>
      </c>
      <c r="D219" s="52">
        <v>3925.7</v>
      </c>
      <c r="E219" s="52">
        <v>3307.2</v>
      </c>
      <c r="F219" s="52">
        <v>5364.7</v>
      </c>
      <c r="G219" s="52">
        <v>5238</v>
      </c>
      <c r="H219" s="52">
        <v>2719.7999999999997</v>
      </c>
      <c r="I219" s="53">
        <v>28867.300000000003</v>
      </c>
      <c r="J219" s="49"/>
    </row>
    <row r="220" spans="1:10" x14ac:dyDescent="0.2">
      <c r="A220" s="50">
        <f t="shared" si="3"/>
        <v>43684</v>
      </c>
      <c r="B220" s="51">
        <v>9667</v>
      </c>
      <c r="C220" s="52">
        <v>4478.3999999999996</v>
      </c>
      <c r="D220" s="52">
        <v>4055.5</v>
      </c>
      <c r="E220" s="52">
        <v>2705.6</v>
      </c>
      <c r="F220" s="52">
        <v>5511.5</v>
      </c>
      <c r="G220" s="52">
        <v>5676.8</v>
      </c>
      <c r="H220" s="52">
        <v>2689.2999999999997</v>
      </c>
      <c r="I220" s="53">
        <v>29405.5</v>
      </c>
      <c r="J220" s="49"/>
    </row>
    <row r="221" spans="1:10" x14ac:dyDescent="0.2">
      <c r="A221" s="50">
        <f t="shared" si="3"/>
        <v>43685</v>
      </c>
      <c r="B221" s="51">
        <v>9743.7800000000007</v>
      </c>
      <c r="C221" s="52">
        <v>4358.0200000000004</v>
      </c>
      <c r="D221" s="52">
        <v>4134.7299999999996</v>
      </c>
      <c r="E221" s="52">
        <v>3050.21</v>
      </c>
      <c r="F221" s="52">
        <v>5310.65</v>
      </c>
      <c r="G221" s="52">
        <v>6079.72</v>
      </c>
      <c r="H221" s="52">
        <v>3074.83</v>
      </c>
      <c r="I221" s="53">
        <v>29602.28</v>
      </c>
      <c r="J221" s="49"/>
    </row>
    <row r="222" spans="1:10" x14ac:dyDescent="0.2">
      <c r="A222" s="50">
        <f t="shared" si="3"/>
        <v>43686</v>
      </c>
      <c r="B222" s="51">
        <v>9393.25</v>
      </c>
      <c r="C222" s="52">
        <v>4318.51</v>
      </c>
      <c r="D222" s="52">
        <v>3946.19</v>
      </c>
      <c r="E222" s="52">
        <v>2960.99</v>
      </c>
      <c r="F222" s="52">
        <v>6114.73</v>
      </c>
      <c r="G222" s="52">
        <v>5257.97</v>
      </c>
      <c r="H222" s="52">
        <v>2538.0300000000007</v>
      </c>
      <c r="I222" s="53">
        <v>29453.61</v>
      </c>
      <c r="J222" s="49"/>
    </row>
    <row r="223" spans="1:10" x14ac:dyDescent="0.2">
      <c r="A223" s="50">
        <f t="shared" si="3"/>
        <v>43687</v>
      </c>
      <c r="B223" s="51">
        <v>8969.5</v>
      </c>
      <c r="C223" s="52">
        <v>4286.6000000000004</v>
      </c>
      <c r="D223" s="52">
        <v>3870.6</v>
      </c>
      <c r="E223" s="52">
        <v>2939.5</v>
      </c>
      <c r="F223" s="52">
        <v>5320.3</v>
      </c>
      <c r="G223" s="52">
        <v>3991.8</v>
      </c>
      <c r="H223" s="52">
        <v>1756.7</v>
      </c>
      <c r="I223" s="53">
        <v>27621.599999999999</v>
      </c>
      <c r="J223" s="49"/>
    </row>
    <row r="224" spans="1:10" x14ac:dyDescent="0.2">
      <c r="A224" s="50">
        <f t="shared" ref="A224:A287" si="4">A223+1</f>
        <v>43688</v>
      </c>
      <c r="B224" s="51">
        <v>8752.7000000000007</v>
      </c>
      <c r="C224" s="52">
        <v>4106.8999999999996</v>
      </c>
      <c r="D224" s="52">
        <v>3763.7</v>
      </c>
      <c r="E224" s="52">
        <v>2805.6</v>
      </c>
      <c r="F224" s="52">
        <v>5389.4</v>
      </c>
      <c r="G224" s="52">
        <v>4415.7</v>
      </c>
      <c r="H224" s="52">
        <v>1670.1000000000004</v>
      </c>
      <c r="I224" s="53">
        <v>27563.899999999994</v>
      </c>
      <c r="J224" s="49"/>
    </row>
    <row r="225" spans="1:10" x14ac:dyDescent="0.2">
      <c r="A225" s="50">
        <f t="shared" si="4"/>
        <v>43689</v>
      </c>
      <c r="B225" s="51">
        <v>8909.7000000000007</v>
      </c>
      <c r="C225" s="52">
        <v>4542.82</v>
      </c>
      <c r="D225" s="52">
        <v>4047.47</v>
      </c>
      <c r="E225" s="52">
        <v>2606.2399999999998</v>
      </c>
      <c r="F225" s="52">
        <v>5072.6099999999997</v>
      </c>
      <c r="G225" s="52">
        <v>5556.88</v>
      </c>
      <c r="H225" s="52">
        <v>2651.1400000000003</v>
      </c>
      <c r="I225" s="53">
        <v>28084.580000000005</v>
      </c>
      <c r="J225" s="49"/>
    </row>
    <row r="226" spans="1:10" x14ac:dyDescent="0.2">
      <c r="A226" s="50">
        <f t="shared" si="4"/>
        <v>43690</v>
      </c>
      <c r="B226" s="51">
        <v>9233.01</v>
      </c>
      <c r="C226" s="52">
        <v>4476.1000000000004</v>
      </c>
      <c r="D226" s="52">
        <v>4284.96</v>
      </c>
      <c r="E226" s="52">
        <v>2731.71</v>
      </c>
      <c r="F226" s="52">
        <v>5370.54</v>
      </c>
      <c r="G226" s="52">
        <v>5418.5</v>
      </c>
      <c r="H226" s="52">
        <v>2706.68</v>
      </c>
      <c r="I226" s="53">
        <v>28808.14</v>
      </c>
      <c r="J226" s="49"/>
    </row>
    <row r="227" spans="1:10" x14ac:dyDescent="0.2">
      <c r="A227" s="50">
        <f t="shared" si="4"/>
        <v>43691</v>
      </c>
      <c r="B227" s="51">
        <v>9101</v>
      </c>
      <c r="C227" s="52">
        <v>4601</v>
      </c>
      <c r="D227" s="52">
        <v>4233.3</v>
      </c>
      <c r="E227" s="52">
        <v>2910.3</v>
      </c>
      <c r="F227" s="52">
        <v>5376.8</v>
      </c>
      <c r="G227" s="52">
        <v>5499.1</v>
      </c>
      <c r="H227" s="52">
        <v>2907.2000000000003</v>
      </c>
      <c r="I227" s="53">
        <v>28814.3</v>
      </c>
      <c r="J227" s="49"/>
    </row>
    <row r="228" spans="1:10" x14ac:dyDescent="0.2">
      <c r="A228" s="50">
        <f t="shared" si="4"/>
        <v>43692</v>
      </c>
      <c r="B228" s="51">
        <v>9080.9599999999991</v>
      </c>
      <c r="C228" s="52">
        <v>4507.8599999999997</v>
      </c>
      <c r="D228" s="52">
        <v>4203.0600000000004</v>
      </c>
      <c r="E228" s="52">
        <v>2535.48</v>
      </c>
      <c r="F228" s="52">
        <v>4887.66</v>
      </c>
      <c r="G228" s="52">
        <v>5786.68</v>
      </c>
      <c r="H228" s="52">
        <v>2754.42</v>
      </c>
      <c r="I228" s="53">
        <v>28247.279999999999</v>
      </c>
      <c r="J228" s="49"/>
    </row>
    <row r="229" spans="1:10" x14ac:dyDescent="0.2">
      <c r="A229" s="50">
        <f t="shared" si="4"/>
        <v>43693</v>
      </c>
      <c r="B229" s="51">
        <v>9168.5400000000009</v>
      </c>
      <c r="C229" s="52">
        <v>4514.25</v>
      </c>
      <c r="D229" s="52">
        <v>4150.76</v>
      </c>
      <c r="E229" s="52">
        <v>3053.51</v>
      </c>
      <c r="F229" s="52">
        <v>5687.47</v>
      </c>
      <c r="G229" s="52">
        <v>5342</v>
      </c>
      <c r="H229" s="52">
        <v>2398.08</v>
      </c>
      <c r="I229" s="53">
        <v>29518.450000000004</v>
      </c>
      <c r="J229" s="49"/>
    </row>
    <row r="230" spans="1:10" x14ac:dyDescent="0.2">
      <c r="A230" s="50">
        <f t="shared" si="4"/>
        <v>43694</v>
      </c>
      <c r="B230" s="51">
        <v>8693.76</v>
      </c>
      <c r="C230" s="52">
        <v>4364.55</v>
      </c>
      <c r="D230" s="52">
        <v>3859.65</v>
      </c>
      <c r="E230" s="52">
        <v>2546.34</v>
      </c>
      <c r="F230" s="52">
        <v>5726.55</v>
      </c>
      <c r="G230" s="52">
        <v>4267.91</v>
      </c>
      <c r="H230" s="52">
        <v>1798.2500000000002</v>
      </c>
      <c r="I230" s="53">
        <v>27660.510000000002</v>
      </c>
      <c r="J230" s="49"/>
    </row>
    <row r="231" spans="1:10" x14ac:dyDescent="0.2">
      <c r="A231" s="50">
        <f t="shared" si="4"/>
        <v>43695</v>
      </c>
      <c r="B231" s="51">
        <v>8373.2000000000007</v>
      </c>
      <c r="C231" s="52">
        <v>4544.1000000000004</v>
      </c>
      <c r="D231" s="52">
        <v>3708.6</v>
      </c>
      <c r="E231" s="52">
        <v>2607.5</v>
      </c>
      <c r="F231" s="52">
        <v>5745</v>
      </c>
      <c r="G231" s="52">
        <v>4183.3</v>
      </c>
      <c r="H231" s="52">
        <v>1604.4</v>
      </c>
      <c r="I231" s="53">
        <v>27557.3</v>
      </c>
      <c r="J231" s="49"/>
    </row>
    <row r="232" spans="1:10" x14ac:dyDescent="0.2">
      <c r="A232" s="50">
        <f t="shared" si="4"/>
        <v>43696</v>
      </c>
      <c r="B232" s="51">
        <v>8507.65</v>
      </c>
      <c r="C232" s="52">
        <v>4905.5</v>
      </c>
      <c r="D232" s="52">
        <v>3906.61</v>
      </c>
      <c r="E232" s="52">
        <v>2097.02</v>
      </c>
      <c r="F232" s="52">
        <v>5268.31</v>
      </c>
      <c r="G232" s="52">
        <v>5378.5</v>
      </c>
      <c r="H232" s="52">
        <v>2550.5</v>
      </c>
      <c r="I232" s="53">
        <v>27513.09</v>
      </c>
      <c r="J232" s="49"/>
    </row>
    <row r="233" spans="1:10" x14ac:dyDescent="0.2">
      <c r="A233" s="50">
        <f t="shared" si="4"/>
        <v>43697</v>
      </c>
      <c r="B233" s="51">
        <v>8746.91</v>
      </c>
      <c r="C233" s="52">
        <v>4704.84</v>
      </c>
      <c r="D233" s="52">
        <v>4091.87</v>
      </c>
      <c r="E233" s="52">
        <v>2246.77</v>
      </c>
      <c r="F233" s="52">
        <v>6098.39</v>
      </c>
      <c r="G233" s="52">
        <v>5600.22</v>
      </c>
      <c r="H233" s="52">
        <v>2534.1799999999994</v>
      </c>
      <c r="I233" s="53">
        <v>28954.82</v>
      </c>
      <c r="J233" s="49"/>
    </row>
    <row r="234" spans="1:10" x14ac:dyDescent="0.2">
      <c r="A234" s="50">
        <f t="shared" si="4"/>
        <v>43698</v>
      </c>
      <c r="B234" s="51">
        <v>8565.0400000000009</v>
      </c>
      <c r="C234" s="52">
        <v>4625.8100000000004</v>
      </c>
      <c r="D234" s="52">
        <v>4017.73</v>
      </c>
      <c r="E234" s="52">
        <v>2917.95</v>
      </c>
      <c r="F234" s="52">
        <v>4693.3999999999996</v>
      </c>
      <c r="G234" s="52">
        <v>5237.25</v>
      </c>
      <c r="H234" s="52">
        <v>2533.96</v>
      </c>
      <c r="I234" s="53">
        <v>27523.22</v>
      </c>
      <c r="J234" s="49"/>
    </row>
    <row r="235" spans="1:10" x14ac:dyDescent="0.2">
      <c r="A235" s="50">
        <f t="shared" si="4"/>
        <v>43699</v>
      </c>
      <c r="B235" s="51">
        <v>8773</v>
      </c>
      <c r="C235" s="52">
        <v>4349.3</v>
      </c>
      <c r="D235" s="52">
        <v>4018.9</v>
      </c>
      <c r="E235" s="52">
        <v>3021</v>
      </c>
      <c r="F235" s="52">
        <v>5132.3999999999996</v>
      </c>
      <c r="G235" s="52">
        <v>4904.5</v>
      </c>
      <c r="H235" s="52">
        <v>2484</v>
      </c>
      <c r="I235" s="53">
        <v>27715.1</v>
      </c>
      <c r="J235" s="49"/>
    </row>
    <row r="236" spans="1:10" x14ac:dyDescent="0.2">
      <c r="A236" s="50">
        <f t="shared" si="4"/>
        <v>43700</v>
      </c>
      <c r="B236" s="51">
        <v>8293.67</v>
      </c>
      <c r="C236" s="52">
        <v>4599.93</v>
      </c>
      <c r="D236" s="52">
        <v>3926.92</v>
      </c>
      <c r="E236" s="52">
        <v>3356.34</v>
      </c>
      <c r="F236" s="52">
        <v>5004.1499999999996</v>
      </c>
      <c r="G236" s="52">
        <v>5085.03</v>
      </c>
      <c r="H236" s="52">
        <v>2441.7299999999996</v>
      </c>
      <c r="I236" s="53">
        <v>27824.31</v>
      </c>
      <c r="J236" s="49"/>
    </row>
    <row r="237" spans="1:10" x14ac:dyDescent="0.2">
      <c r="A237" s="50">
        <f t="shared" si="4"/>
        <v>43701</v>
      </c>
      <c r="B237" s="51">
        <v>8317.7900000000009</v>
      </c>
      <c r="C237" s="52">
        <v>4187.75</v>
      </c>
      <c r="D237" s="52">
        <v>3779.69</v>
      </c>
      <c r="E237" s="52">
        <v>2941.12</v>
      </c>
      <c r="F237" s="52">
        <v>5031.6899999999996</v>
      </c>
      <c r="G237" s="52">
        <v>4509.92</v>
      </c>
      <c r="H237" s="52">
        <v>1862.36</v>
      </c>
      <c r="I237" s="53">
        <v>26905.599999999999</v>
      </c>
      <c r="J237" s="49"/>
    </row>
    <row r="238" spans="1:10" x14ac:dyDescent="0.2">
      <c r="A238" s="50">
        <f t="shared" si="4"/>
        <v>43702</v>
      </c>
      <c r="B238" s="51">
        <v>8051.04</v>
      </c>
      <c r="C238" s="52">
        <v>3906.34</v>
      </c>
      <c r="D238" s="52">
        <v>3644.21</v>
      </c>
      <c r="E238" s="52">
        <v>2940.62</v>
      </c>
      <c r="F238" s="52">
        <v>3808.55</v>
      </c>
      <c r="G238" s="52">
        <v>3965.49</v>
      </c>
      <c r="H238" s="52">
        <v>1755.3200000000002</v>
      </c>
      <c r="I238" s="53">
        <v>24560.93</v>
      </c>
      <c r="J238" s="49"/>
    </row>
    <row r="239" spans="1:10" x14ac:dyDescent="0.2">
      <c r="A239" s="50">
        <f t="shared" si="4"/>
        <v>43703</v>
      </c>
      <c r="B239" s="51">
        <v>9018.2999999999993</v>
      </c>
      <c r="C239" s="52">
        <v>4429.2</v>
      </c>
      <c r="D239" s="52">
        <v>4063.3</v>
      </c>
      <c r="E239" s="52">
        <v>2756.7</v>
      </c>
      <c r="F239" s="52">
        <v>4849.5</v>
      </c>
      <c r="G239" s="52">
        <v>4898.6000000000004</v>
      </c>
      <c r="H239" s="52">
        <v>2458.8000000000002</v>
      </c>
      <c r="I239" s="53">
        <v>27556.799999999999</v>
      </c>
      <c r="J239" s="49"/>
    </row>
    <row r="240" spans="1:10" x14ac:dyDescent="0.2">
      <c r="A240" s="50">
        <f t="shared" si="4"/>
        <v>43704</v>
      </c>
      <c r="B240" s="51">
        <v>8432.23</v>
      </c>
      <c r="C240" s="52">
        <v>4209.21</v>
      </c>
      <c r="D240" s="52">
        <v>3894.86</v>
      </c>
      <c r="E240" s="52">
        <v>2624.07</v>
      </c>
      <c r="F240" s="52">
        <v>3954.95</v>
      </c>
      <c r="G240" s="52">
        <v>5072.9799999999996</v>
      </c>
      <c r="H240" s="52">
        <v>2605.85</v>
      </c>
      <c r="I240" s="53">
        <v>25582.45</v>
      </c>
      <c r="J240" s="49"/>
    </row>
    <row r="241" spans="1:10" x14ac:dyDescent="0.2">
      <c r="A241" s="50">
        <f t="shared" si="4"/>
        <v>43705</v>
      </c>
      <c r="B241" s="51">
        <v>8493.18</v>
      </c>
      <c r="C241" s="52">
        <v>4101.68</v>
      </c>
      <c r="D241" s="52">
        <v>3879.52</v>
      </c>
      <c r="E241" s="52">
        <v>2880.42</v>
      </c>
      <c r="F241" s="52">
        <v>4981.8599999999997</v>
      </c>
      <c r="G241" s="52">
        <v>4636.71</v>
      </c>
      <c r="H241" s="52">
        <v>2277.9399999999996</v>
      </c>
      <c r="I241" s="53">
        <v>26695.430000000004</v>
      </c>
      <c r="J241" s="49"/>
    </row>
    <row r="242" spans="1:10" x14ac:dyDescent="0.2">
      <c r="A242" s="50">
        <f t="shared" si="4"/>
        <v>43706</v>
      </c>
      <c r="B242" s="51">
        <v>7407.42</v>
      </c>
      <c r="C242" s="52">
        <v>3980.5</v>
      </c>
      <c r="D242" s="52">
        <v>3876.9</v>
      </c>
      <c r="E242" s="52">
        <v>2181.16</v>
      </c>
      <c r="F242" s="52">
        <v>3947.82</v>
      </c>
      <c r="G242" s="52">
        <v>5109.51</v>
      </c>
      <c r="H242" s="52">
        <v>2402.13</v>
      </c>
      <c r="I242" s="53">
        <v>24101.179999999997</v>
      </c>
      <c r="J242" s="49"/>
    </row>
    <row r="243" spans="1:10" x14ac:dyDescent="0.2">
      <c r="A243" s="50">
        <f t="shared" si="4"/>
        <v>43707</v>
      </c>
      <c r="B243" s="51">
        <v>6034.6</v>
      </c>
      <c r="C243" s="52">
        <v>3913.6</v>
      </c>
      <c r="D243" s="52">
        <v>3587.2</v>
      </c>
      <c r="E243" s="52">
        <v>1892.9</v>
      </c>
      <c r="F243" s="52">
        <v>5382.6</v>
      </c>
      <c r="G243" s="52">
        <v>4898</v>
      </c>
      <c r="H243" s="52">
        <v>2430.7000000000003</v>
      </c>
      <c r="I243" s="53">
        <v>23278.2</v>
      </c>
      <c r="J243" s="49"/>
    </row>
    <row r="244" spans="1:10" x14ac:dyDescent="0.2">
      <c r="A244" s="50">
        <f t="shared" si="4"/>
        <v>43708</v>
      </c>
      <c r="B244" s="51">
        <v>5332.58</v>
      </c>
      <c r="C244" s="52">
        <v>3566.54</v>
      </c>
      <c r="D244" s="52">
        <v>3435.41</v>
      </c>
      <c r="E244" s="52">
        <v>2047.85</v>
      </c>
      <c r="F244" s="52">
        <v>4066.6</v>
      </c>
      <c r="G244" s="52">
        <v>4094.76</v>
      </c>
      <c r="H244" s="52">
        <v>1961.16</v>
      </c>
      <c r="I244" s="53">
        <v>20582.579999999998</v>
      </c>
      <c r="J244" s="49"/>
    </row>
    <row r="245" spans="1:10" x14ac:dyDescent="0.2">
      <c r="A245" s="50">
        <f t="shared" si="4"/>
        <v>43709</v>
      </c>
      <c r="B245" s="51">
        <v>5792.25</v>
      </c>
      <c r="C245" s="52">
        <v>3566.26</v>
      </c>
      <c r="D245" s="52">
        <v>3646.24</v>
      </c>
      <c r="E245" s="52">
        <v>1867.06</v>
      </c>
      <c r="F245" s="52">
        <v>3936.64</v>
      </c>
      <c r="G245" s="52">
        <v>4021.1</v>
      </c>
      <c r="H245" s="52">
        <v>1736.54</v>
      </c>
      <c r="I245" s="53">
        <v>21093.01</v>
      </c>
      <c r="J245" s="49"/>
    </row>
    <row r="246" spans="1:10" x14ac:dyDescent="0.2">
      <c r="A246" s="50">
        <f t="shared" si="4"/>
        <v>43710</v>
      </c>
      <c r="B246" s="51">
        <v>6580.8</v>
      </c>
      <c r="C246" s="52">
        <v>4331</v>
      </c>
      <c r="D246" s="52">
        <v>3936.7</v>
      </c>
      <c r="E246" s="52">
        <v>2160.6999999999998</v>
      </c>
      <c r="F246" s="52">
        <v>5150</v>
      </c>
      <c r="G246" s="52">
        <v>5356.6</v>
      </c>
      <c r="H246" s="52">
        <v>2649.2999999999997</v>
      </c>
      <c r="I246" s="53">
        <v>24866.500000000004</v>
      </c>
      <c r="J246" s="49"/>
    </row>
    <row r="247" spans="1:10" x14ac:dyDescent="0.2">
      <c r="A247" s="50">
        <f t="shared" si="4"/>
        <v>43711</v>
      </c>
      <c r="B247" s="51">
        <v>6783.9</v>
      </c>
      <c r="C247" s="52">
        <v>4017.6</v>
      </c>
      <c r="D247" s="52">
        <v>3919</v>
      </c>
      <c r="E247" s="52">
        <v>1959.2</v>
      </c>
      <c r="F247" s="52">
        <v>4717.7</v>
      </c>
      <c r="G247" s="52">
        <v>5620</v>
      </c>
      <c r="H247" s="52">
        <v>2787.4000000000005</v>
      </c>
      <c r="I247" s="53">
        <v>24230</v>
      </c>
      <c r="J247" s="49"/>
    </row>
    <row r="248" spans="1:10" x14ac:dyDescent="0.2">
      <c r="A248" s="50">
        <f t="shared" si="4"/>
        <v>43712</v>
      </c>
      <c r="B248" s="51">
        <v>6655.43</v>
      </c>
      <c r="C248" s="52">
        <v>3988.87</v>
      </c>
      <c r="D248" s="52">
        <v>3767.97</v>
      </c>
      <c r="E248" s="52">
        <v>2184.25</v>
      </c>
      <c r="F248" s="52">
        <v>5520.99</v>
      </c>
      <c r="G248" s="52">
        <v>5664.34</v>
      </c>
      <c r="H248" s="52">
        <v>2741.6900000000005</v>
      </c>
      <c r="I248" s="53">
        <v>25040.159999999996</v>
      </c>
      <c r="J248" s="49"/>
    </row>
    <row r="249" spans="1:10" x14ac:dyDescent="0.2">
      <c r="A249" s="50">
        <f t="shared" si="4"/>
        <v>43713</v>
      </c>
      <c r="B249" s="51">
        <v>6737.05</v>
      </c>
      <c r="C249" s="52">
        <v>3882.73</v>
      </c>
      <c r="D249" s="52">
        <v>3973.91</v>
      </c>
      <c r="E249" s="52">
        <v>1958.14</v>
      </c>
      <c r="F249" s="52">
        <v>4823.42</v>
      </c>
      <c r="G249" s="52">
        <v>5671.63</v>
      </c>
      <c r="H249" s="52">
        <v>2733.4</v>
      </c>
      <c r="I249" s="53">
        <v>24313.48</v>
      </c>
      <c r="J249" s="49"/>
    </row>
    <row r="250" spans="1:10" x14ac:dyDescent="0.2">
      <c r="A250" s="50">
        <f t="shared" si="4"/>
        <v>43714</v>
      </c>
      <c r="B250" s="51">
        <v>6049.72</v>
      </c>
      <c r="C250" s="52">
        <v>3769.56</v>
      </c>
      <c r="D250" s="52">
        <v>3803.7</v>
      </c>
      <c r="E250" s="52">
        <v>1904.03</v>
      </c>
      <c r="F250" s="52">
        <v>4109.0600000000004</v>
      </c>
      <c r="G250" s="52">
        <v>4836.1099999999997</v>
      </c>
      <c r="H250" s="52">
        <v>2229.79</v>
      </c>
      <c r="I250" s="53">
        <v>22242.39</v>
      </c>
      <c r="J250" s="49"/>
    </row>
    <row r="251" spans="1:10" x14ac:dyDescent="0.2">
      <c r="A251" s="50">
        <f t="shared" si="4"/>
        <v>43715</v>
      </c>
      <c r="B251" s="51">
        <v>4566.1000000000004</v>
      </c>
      <c r="C251" s="52">
        <v>3367.7</v>
      </c>
      <c r="D251" s="52">
        <v>3393.5</v>
      </c>
      <c r="E251" s="52">
        <v>1851.8</v>
      </c>
      <c r="F251" s="52">
        <v>2591.9</v>
      </c>
      <c r="G251" s="52">
        <v>2977.6</v>
      </c>
      <c r="H251" s="52">
        <v>1178.5</v>
      </c>
      <c r="I251" s="53">
        <v>17570.099999999999</v>
      </c>
      <c r="J251" s="49"/>
    </row>
    <row r="252" spans="1:10" x14ac:dyDescent="0.2">
      <c r="A252" s="50">
        <f t="shared" si="4"/>
        <v>43716</v>
      </c>
      <c r="B252" s="51">
        <v>2944.96</v>
      </c>
      <c r="C252" s="52">
        <v>2773.61</v>
      </c>
      <c r="D252" s="52">
        <v>2272.84</v>
      </c>
      <c r="E252" s="52">
        <v>1736.27</v>
      </c>
      <c r="F252" s="52">
        <v>2197.96</v>
      </c>
      <c r="G252" s="52">
        <v>2509.2399999999998</v>
      </c>
      <c r="H252" s="52">
        <v>1030.8700000000001</v>
      </c>
      <c r="I252" s="53">
        <v>13404.009999999998</v>
      </c>
      <c r="J252" s="49"/>
    </row>
    <row r="253" spans="1:10" x14ac:dyDescent="0.2">
      <c r="A253" s="50">
        <f t="shared" si="4"/>
        <v>43717</v>
      </c>
      <c r="B253" s="51">
        <v>5895.94</v>
      </c>
      <c r="C253" s="52">
        <v>3480</v>
      </c>
      <c r="D253" s="52">
        <v>3435.2</v>
      </c>
      <c r="E253" s="52">
        <v>2384.69</v>
      </c>
      <c r="F253" s="52">
        <v>4542.29</v>
      </c>
      <c r="G253" s="52">
        <v>5214.53</v>
      </c>
      <c r="H253" s="52">
        <v>2479.81</v>
      </c>
      <c r="I253" s="53">
        <v>22472.839999999997</v>
      </c>
      <c r="J253" s="49"/>
    </row>
    <row r="254" spans="1:10" x14ac:dyDescent="0.2">
      <c r="A254" s="50">
        <f t="shared" si="4"/>
        <v>43718</v>
      </c>
      <c r="B254" s="51">
        <v>6843.3</v>
      </c>
      <c r="C254" s="52">
        <v>4959.43</v>
      </c>
      <c r="D254" s="52">
        <v>3852.82</v>
      </c>
      <c r="E254" s="52">
        <v>1852.03</v>
      </c>
      <c r="F254" s="52">
        <v>5140.34</v>
      </c>
      <c r="G254" s="52">
        <v>5204.97</v>
      </c>
      <c r="H254" s="52">
        <v>2552.3300000000004</v>
      </c>
      <c r="I254" s="53">
        <v>25300.559999999998</v>
      </c>
      <c r="J254" s="49"/>
    </row>
    <row r="255" spans="1:10" x14ac:dyDescent="0.2">
      <c r="A255" s="50">
        <f t="shared" si="4"/>
        <v>43719</v>
      </c>
      <c r="B255" s="51">
        <v>6752.8</v>
      </c>
      <c r="C255" s="52">
        <v>4475.1000000000004</v>
      </c>
      <c r="D255" s="52">
        <v>3692</v>
      </c>
      <c r="E255" s="52">
        <v>1641.3</v>
      </c>
      <c r="F255" s="52">
        <v>4673.8999999999996</v>
      </c>
      <c r="G255" s="52">
        <v>5087.1000000000004</v>
      </c>
      <c r="H255" s="52">
        <v>2450.7000000000003</v>
      </c>
      <c r="I255" s="53">
        <v>23871.499999999996</v>
      </c>
      <c r="J255" s="49"/>
    </row>
    <row r="256" spans="1:10" x14ac:dyDescent="0.2">
      <c r="A256" s="50">
        <f t="shared" si="4"/>
        <v>43720</v>
      </c>
      <c r="B256" s="51">
        <v>6723.39</v>
      </c>
      <c r="C256" s="52">
        <v>4386.83</v>
      </c>
      <c r="D256" s="52">
        <v>3740.21</v>
      </c>
      <c r="E256" s="52">
        <v>2288.98</v>
      </c>
      <c r="F256" s="52">
        <v>5829.53</v>
      </c>
      <c r="G256" s="52">
        <v>4974.87</v>
      </c>
      <c r="H256" s="52">
        <v>2381.15</v>
      </c>
      <c r="I256" s="53">
        <v>25562.659999999996</v>
      </c>
      <c r="J256" s="49"/>
    </row>
    <row r="257" spans="1:10" x14ac:dyDescent="0.2">
      <c r="A257" s="50">
        <f t="shared" si="4"/>
        <v>43721</v>
      </c>
      <c r="B257" s="51">
        <v>6235.87</v>
      </c>
      <c r="C257" s="52">
        <v>4135.41</v>
      </c>
      <c r="D257" s="52">
        <v>3648.81</v>
      </c>
      <c r="E257" s="52">
        <v>1974.53</v>
      </c>
      <c r="F257" s="52">
        <v>4556.5</v>
      </c>
      <c r="G257" s="52">
        <v>4161.72</v>
      </c>
      <c r="H257" s="52">
        <v>2184.19</v>
      </c>
      <c r="I257" s="53">
        <v>22528.65</v>
      </c>
      <c r="J257" s="49"/>
    </row>
    <row r="258" spans="1:10" x14ac:dyDescent="0.2">
      <c r="A258" s="50">
        <f t="shared" si="4"/>
        <v>43722</v>
      </c>
      <c r="B258" s="51">
        <v>3485.3</v>
      </c>
      <c r="C258" s="52">
        <v>3239.37</v>
      </c>
      <c r="D258" s="52">
        <v>2226.7800000000002</v>
      </c>
      <c r="E258" s="52">
        <v>1317.93</v>
      </c>
      <c r="F258" s="52">
        <v>2430.34</v>
      </c>
      <c r="G258" s="52">
        <v>2284.12</v>
      </c>
      <c r="H258" s="52">
        <v>1211.32</v>
      </c>
      <c r="I258" s="53">
        <v>13772.52</v>
      </c>
      <c r="J258" s="49"/>
    </row>
    <row r="259" spans="1:10" x14ac:dyDescent="0.2">
      <c r="A259" s="50">
        <f t="shared" si="4"/>
        <v>43723</v>
      </c>
      <c r="B259" s="51">
        <v>4255.8</v>
      </c>
      <c r="C259" s="52">
        <v>5946.6</v>
      </c>
      <c r="D259" s="52">
        <v>2359.6</v>
      </c>
      <c r="E259" s="52">
        <v>1564.2</v>
      </c>
      <c r="F259" s="52">
        <v>2823.3</v>
      </c>
      <c r="G259" s="52">
        <v>2492.1999999999998</v>
      </c>
      <c r="H259" s="52">
        <v>1003.8</v>
      </c>
      <c r="I259" s="53">
        <v>18437.900000000005</v>
      </c>
      <c r="J259" s="49"/>
    </row>
    <row r="260" spans="1:10" x14ac:dyDescent="0.2">
      <c r="A260" s="50">
        <f t="shared" si="4"/>
        <v>43724</v>
      </c>
      <c r="B260" s="51">
        <v>7300.25</v>
      </c>
      <c r="C260" s="52">
        <v>4158.42</v>
      </c>
      <c r="D260" s="52">
        <v>3196.93</v>
      </c>
      <c r="E260" s="52">
        <v>1798.93</v>
      </c>
      <c r="F260" s="52">
        <v>4822.79</v>
      </c>
      <c r="G260" s="52">
        <v>5138.67</v>
      </c>
      <c r="H260" s="52">
        <v>2278.9299999999998</v>
      </c>
      <c r="I260" s="53">
        <v>24137.059999999998</v>
      </c>
      <c r="J260" s="49"/>
    </row>
    <row r="261" spans="1:10" x14ac:dyDescent="0.2">
      <c r="A261" s="50">
        <f t="shared" si="4"/>
        <v>43725</v>
      </c>
      <c r="B261" s="51">
        <v>7172.62</v>
      </c>
      <c r="C261" s="52">
        <v>4110.22</v>
      </c>
      <c r="D261" s="52">
        <v>3624.15</v>
      </c>
      <c r="E261" s="52">
        <v>2211.1999999999998</v>
      </c>
      <c r="F261" s="52">
        <v>4671.8999999999996</v>
      </c>
      <c r="G261" s="52">
        <v>4700.2</v>
      </c>
      <c r="H261" s="52">
        <v>2256.6</v>
      </c>
      <c r="I261" s="53">
        <v>24233.69</v>
      </c>
      <c r="J261" s="49"/>
    </row>
    <row r="262" spans="1:10" x14ac:dyDescent="0.2">
      <c r="A262" s="50">
        <f t="shared" si="4"/>
        <v>43726</v>
      </c>
      <c r="B262" s="51">
        <v>6953.14</v>
      </c>
      <c r="C262" s="52">
        <v>4098.4399999999996</v>
      </c>
      <c r="D262" s="52">
        <v>3575.79</v>
      </c>
      <c r="E262" s="52">
        <v>2144.87</v>
      </c>
      <c r="F262" s="52">
        <v>4066.26</v>
      </c>
      <c r="G262" s="52">
        <v>5028.6499999999996</v>
      </c>
      <c r="H262" s="52">
        <v>2371.3200000000002</v>
      </c>
      <c r="I262" s="53">
        <v>23495.83</v>
      </c>
      <c r="J262" s="49"/>
    </row>
    <row r="263" spans="1:10" x14ac:dyDescent="0.2">
      <c r="A263" s="50">
        <f t="shared" si="4"/>
        <v>43727</v>
      </c>
      <c r="B263" s="51">
        <v>7430.4</v>
      </c>
      <c r="C263" s="52">
        <v>4217.8</v>
      </c>
      <c r="D263" s="52">
        <v>3609.4</v>
      </c>
      <c r="E263" s="52">
        <v>2288.1999999999998</v>
      </c>
      <c r="F263" s="52">
        <v>4837.3</v>
      </c>
      <c r="G263" s="52">
        <v>4350.8</v>
      </c>
      <c r="H263" s="52">
        <v>2196.8000000000002</v>
      </c>
      <c r="I263" s="53">
        <v>24537.1</v>
      </c>
      <c r="J263" s="49"/>
    </row>
    <row r="264" spans="1:10" x14ac:dyDescent="0.2">
      <c r="A264" s="50">
        <f t="shared" si="4"/>
        <v>43728</v>
      </c>
      <c r="B264" s="51">
        <v>6652.76</v>
      </c>
      <c r="C264" s="52">
        <v>3699.94</v>
      </c>
      <c r="D264" s="52">
        <v>3349.45</v>
      </c>
      <c r="E264" s="52">
        <v>2045.48</v>
      </c>
      <c r="F264" s="52">
        <v>3652.86</v>
      </c>
      <c r="G264" s="52">
        <v>4337.96</v>
      </c>
      <c r="H264" s="52">
        <v>2151.52</v>
      </c>
      <c r="I264" s="53">
        <v>21586.93</v>
      </c>
      <c r="J264" s="49"/>
    </row>
    <row r="265" spans="1:10" x14ac:dyDescent="0.2">
      <c r="A265" s="50">
        <f t="shared" si="4"/>
        <v>43729</v>
      </c>
      <c r="B265" s="51">
        <v>4370.21</v>
      </c>
      <c r="C265" s="52">
        <v>2641.02</v>
      </c>
      <c r="D265" s="52">
        <v>2406.21</v>
      </c>
      <c r="E265" s="52">
        <v>1632.67</v>
      </c>
      <c r="F265" s="52">
        <v>2903.82</v>
      </c>
      <c r="G265" s="52">
        <v>2599.02</v>
      </c>
      <c r="H265" s="52">
        <v>1437.24</v>
      </c>
      <c r="I265" s="53">
        <v>15115.709999999997</v>
      </c>
      <c r="J265" s="49"/>
    </row>
    <row r="266" spans="1:10" x14ac:dyDescent="0.2">
      <c r="A266" s="50">
        <f t="shared" si="4"/>
        <v>43730</v>
      </c>
      <c r="B266" s="51">
        <v>4091.31</v>
      </c>
      <c r="C266" s="52">
        <v>3146.77</v>
      </c>
      <c r="D266" s="52">
        <v>2422.2600000000002</v>
      </c>
      <c r="E266" s="52">
        <v>1640.66</v>
      </c>
      <c r="F266" s="52">
        <v>3046.45</v>
      </c>
      <c r="G266" s="52">
        <v>3299.95</v>
      </c>
      <c r="H266" s="52">
        <v>1321.3100000000002</v>
      </c>
      <c r="I266" s="53">
        <v>16326.090000000002</v>
      </c>
      <c r="J266" s="49"/>
    </row>
    <row r="267" spans="1:10" x14ac:dyDescent="0.2">
      <c r="A267" s="50">
        <f t="shared" si="4"/>
        <v>43731</v>
      </c>
      <c r="B267" s="51">
        <v>6953.3</v>
      </c>
      <c r="C267" s="52">
        <v>4577.2</v>
      </c>
      <c r="D267" s="52">
        <v>3529.2</v>
      </c>
      <c r="E267" s="52">
        <v>1638</v>
      </c>
      <c r="F267" s="52">
        <v>4541.5</v>
      </c>
      <c r="G267" s="52">
        <v>5591.1</v>
      </c>
      <c r="H267" s="52">
        <v>2570</v>
      </c>
      <c r="I267" s="53">
        <v>24260.300000000003</v>
      </c>
      <c r="J267" s="49"/>
    </row>
    <row r="268" spans="1:10" x14ac:dyDescent="0.2">
      <c r="A268" s="50">
        <f t="shared" si="4"/>
        <v>43732</v>
      </c>
      <c r="B268" s="51">
        <v>7819.46</v>
      </c>
      <c r="C268" s="52">
        <v>5134.38</v>
      </c>
      <c r="D268" s="52">
        <v>3757.88</v>
      </c>
      <c r="E268" s="52">
        <v>900.85</v>
      </c>
      <c r="F268" s="52">
        <v>5895.19</v>
      </c>
      <c r="G268" s="52">
        <v>5941.44</v>
      </c>
      <c r="H268" s="52">
        <v>2739.89</v>
      </c>
      <c r="I268" s="53">
        <v>26709.309999999998</v>
      </c>
      <c r="J268" s="49"/>
    </row>
    <row r="269" spans="1:10" x14ac:dyDescent="0.2">
      <c r="A269" s="50">
        <f t="shared" si="4"/>
        <v>43733</v>
      </c>
      <c r="B269" s="51">
        <v>7907.53</v>
      </c>
      <c r="C269" s="52">
        <v>4989.1000000000004</v>
      </c>
      <c r="D269" s="52">
        <v>3912.24</v>
      </c>
      <c r="E269" s="52">
        <v>1084.3800000000001</v>
      </c>
      <c r="F269" s="52">
        <v>6008.9</v>
      </c>
      <c r="G269" s="52">
        <v>6123.38</v>
      </c>
      <c r="H269" s="52">
        <v>2678.93</v>
      </c>
      <c r="I269" s="53">
        <v>27346.600000000002</v>
      </c>
      <c r="J269" s="49"/>
    </row>
    <row r="270" spans="1:10" x14ac:dyDescent="0.2">
      <c r="A270" s="50">
        <f t="shared" si="4"/>
        <v>43734</v>
      </c>
      <c r="B270" s="51">
        <v>7890.11</v>
      </c>
      <c r="C270" s="52">
        <v>5023.66</v>
      </c>
      <c r="D270" s="52">
        <v>3767.48</v>
      </c>
      <c r="E270" s="52">
        <v>669.23</v>
      </c>
      <c r="F270" s="52">
        <v>6284.34</v>
      </c>
      <c r="G270" s="52">
        <v>5343.9</v>
      </c>
      <c r="H270" s="52">
        <v>2647.8399999999997</v>
      </c>
      <c r="I270" s="53">
        <v>26330.880000000001</v>
      </c>
      <c r="J270" s="49"/>
    </row>
    <row r="271" spans="1:10" x14ac:dyDescent="0.2">
      <c r="A271" s="50">
        <f t="shared" si="4"/>
        <v>43735</v>
      </c>
      <c r="B271" s="51">
        <v>7266.5</v>
      </c>
      <c r="C271" s="52">
        <v>4970.8</v>
      </c>
      <c r="D271" s="52">
        <v>3729.3</v>
      </c>
      <c r="E271" s="52">
        <v>556.20000000000005</v>
      </c>
      <c r="F271" s="52">
        <v>5548.3</v>
      </c>
      <c r="G271" s="52">
        <v>5172.6000000000004</v>
      </c>
      <c r="H271" s="52">
        <v>2801.7000000000003</v>
      </c>
      <c r="I271" s="53">
        <v>24441.999999999996</v>
      </c>
      <c r="J271" s="49"/>
    </row>
    <row r="272" spans="1:10" x14ac:dyDescent="0.2">
      <c r="A272" s="50">
        <f t="shared" si="4"/>
        <v>43736</v>
      </c>
      <c r="B272" s="51">
        <v>6238.28</v>
      </c>
      <c r="C272" s="52">
        <v>3914.2</v>
      </c>
      <c r="D272" s="52">
        <v>3184.12</v>
      </c>
      <c r="E272" s="52">
        <v>826.06</v>
      </c>
      <c r="F272" s="52">
        <v>4967.5600000000004</v>
      </c>
      <c r="G272" s="52">
        <v>3484.66</v>
      </c>
      <c r="H272" s="52">
        <v>1636.3400000000001</v>
      </c>
      <c r="I272" s="53">
        <v>20978.539999999997</v>
      </c>
      <c r="J272" s="49"/>
    </row>
    <row r="273" spans="1:10" x14ac:dyDescent="0.2">
      <c r="A273" s="50">
        <f t="shared" si="4"/>
        <v>43737</v>
      </c>
      <c r="B273" s="51">
        <v>4775.95</v>
      </c>
      <c r="C273" s="52">
        <v>3010.48</v>
      </c>
      <c r="D273" s="52">
        <v>2420.1799999999998</v>
      </c>
      <c r="E273" s="52">
        <v>281.3</v>
      </c>
      <c r="F273" s="52">
        <v>4421.5</v>
      </c>
      <c r="G273" s="52">
        <v>2650.88</v>
      </c>
      <c r="H273" s="52">
        <v>1471.3100000000002</v>
      </c>
      <c r="I273" s="53">
        <v>16088.980000000001</v>
      </c>
      <c r="J273" s="49"/>
    </row>
    <row r="274" spans="1:10" x14ac:dyDescent="0.2">
      <c r="A274" s="50">
        <f t="shared" si="4"/>
        <v>43738</v>
      </c>
      <c r="B274" s="51">
        <v>6800.79</v>
      </c>
      <c r="C274" s="52">
        <v>4606.37</v>
      </c>
      <c r="D274" s="52">
        <v>3419.67</v>
      </c>
      <c r="E274" s="52">
        <v>682.01</v>
      </c>
      <c r="F274" s="52">
        <v>6330.94</v>
      </c>
      <c r="G274" s="52">
        <v>5165.38</v>
      </c>
      <c r="H274" s="52">
        <v>2575.8000000000006</v>
      </c>
      <c r="I274" s="53">
        <v>24429.360000000001</v>
      </c>
      <c r="J274" s="49"/>
    </row>
    <row r="275" spans="1:10" x14ac:dyDescent="0.2">
      <c r="A275" s="50">
        <f t="shared" si="4"/>
        <v>43739</v>
      </c>
      <c r="B275" s="51">
        <v>7207.2</v>
      </c>
      <c r="C275" s="52">
        <v>4955.5</v>
      </c>
      <c r="D275" s="52">
        <v>3403.4</v>
      </c>
      <c r="E275" s="52">
        <v>443.3</v>
      </c>
      <c r="F275" s="52">
        <v>5736.8</v>
      </c>
      <c r="G275" s="52">
        <v>4980.7</v>
      </c>
      <c r="H275" s="52">
        <v>2396.6</v>
      </c>
      <c r="I275" s="53">
        <v>24330.300000000003</v>
      </c>
      <c r="J275" s="49"/>
    </row>
    <row r="276" spans="1:10" x14ac:dyDescent="0.2">
      <c r="A276" s="50">
        <f t="shared" si="4"/>
        <v>43740</v>
      </c>
      <c r="B276" s="51">
        <v>7274.95</v>
      </c>
      <c r="C276" s="52">
        <v>4806.6099999999997</v>
      </c>
      <c r="D276" s="52">
        <v>3316.63</v>
      </c>
      <c r="E276" s="52">
        <v>529.83000000000004</v>
      </c>
      <c r="F276" s="52">
        <v>5705.13</v>
      </c>
      <c r="G276" s="52">
        <v>4868.75</v>
      </c>
      <c r="H276" s="52">
        <v>2534.63</v>
      </c>
      <c r="I276" s="53">
        <v>23967.269999999997</v>
      </c>
      <c r="J276" s="49"/>
    </row>
    <row r="277" spans="1:10" x14ac:dyDescent="0.2">
      <c r="A277" s="50">
        <f t="shared" si="4"/>
        <v>43741</v>
      </c>
      <c r="B277" s="51">
        <v>6711.9</v>
      </c>
      <c r="C277" s="52">
        <v>4653.93</v>
      </c>
      <c r="D277" s="52">
        <v>3267.35</v>
      </c>
      <c r="E277" s="52">
        <v>794.21</v>
      </c>
      <c r="F277" s="52">
        <v>6059.77</v>
      </c>
      <c r="G277" s="52">
        <v>4218.83</v>
      </c>
      <c r="H277" s="52">
        <v>2595.15</v>
      </c>
      <c r="I277" s="53">
        <v>23110.839999999997</v>
      </c>
      <c r="J277" s="49"/>
    </row>
    <row r="278" spans="1:10" x14ac:dyDescent="0.2">
      <c r="A278" s="50">
        <f t="shared" si="4"/>
        <v>43742</v>
      </c>
      <c r="B278" s="51">
        <v>5586.01</v>
      </c>
      <c r="C278" s="52">
        <v>4484.92</v>
      </c>
      <c r="D278" s="52">
        <v>2957.97</v>
      </c>
      <c r="E278" s="52">
        <v>427.44</v>
      </c>
      <c r="F278" s="52">
        <v>5460.31</v>
      </c>
      <c r="G278" s="52">
        <v>3956.58</v>
      </c>
      <c r="H278" s="52">
        <v>2539.38</v>
      </c>
      <c r="I278" s="53">
        <v>20333.850000000002</v>
      </c>
      <c r="J278" s="49"/>
    </row>
    <row r="279" spans="1:10" x14ac:dyDescent="0.2">
      <c r="A279" s="50">
        <f t="shared" si="4"/>
        <v>43743</v>
      </c>
      <c r="B279" s="51">
        <v>1989.1</v>
      </c>
      <c r="C279" s="52">
        <v>899.6</v>
      </c>
      <c r="D279" s="52">
        <v>992.4</v>
      </c>
      <c r="E279" s="52">
        <v>40.4</v>
      </c>
      <c r="F279" s="52">
        <v>1871.9</v>
      </c>
      <c r="G279" s="52">
        <v>2156.1</v>
      </c>
      <c r="H279" s="52">
        <v>1423.6</v>
      </c>
      <c r="I279" s="53">
        <v>6525.9</v>
      </c>
      <c r="J279" s="49"/>
    </row>
    <row r="280" spans="1:10" x14ac:dyDescent="0.2">
      <c r="A280" s="50">
        <f t="shared" si="4"/>
        <v>43744</v>
      </c>
      <c r="B280" s="51">
        <v>1627.42</v>
      </c>
      <c r="C280" s="52">
        <v>523.39</v>
      </c>
      <c r="D280" s="52">
        <v>621.87</v>
      </c>
      <c r="E280" s="52">
        <v>42.74</v>
      </c>
      <c r="F280" s="52">
        <v>1119.57</v>
      </c>
      <c r="G280" s="52">
        <v>2175.4499999999998</v>
      </c>
      <c r="H280" s="52">
        <v>1419.32</v>
      </c>
      <c r="I280" s="53">
        <v>4691.12</v>
      </c>
      <c r="J280" s="49"/>
    </row>
    <row r="281" spans="1:10" x14ac:dyDescent="0.2">
      <c r="A281" s="50">
        <f t="shared" si="4"/>
        <v>43745</v>
      </c>
      <c r="B281" s="51">
        <v>4561.7299999999996</v>
      </c>
      <c r="C281" s="52">
        <v>2536.71</v>
      </c>
      <c r="D281" s="52">
        <v>2341.64</v>
      </c>
      <c r="E281" s="52">
        <v>534.45000000000005</v>
      </c>
      <c r="F281" s="52">
        <v>4477.8</v>
      </c>
      <c r="G281" s="52">
        <v>4057.61</v>
      </c>
      <c r="H281" s="52">
        <v>2492.0300000000002</v>
      </c>
      <c r="I281" s="53">
        <v>16017.910000000002</v>
      </c>
      <c r="J281" s="49"/>
    </row>
    <row r="282" spans="1:10" x14ac:dyDescent="0.2">
      <c r="A282" s="50">
        <f t="shared" si="4"/>
        <v>43746</v>
      </c>
      <c r="B282" s="51">
        <v>4912.37</v>
      </c>
      <c r="C282" s="52">
        <v>3384.33</v>
      </c>
      <c r="D282" s="52">
        <v>2436.02</v>
      </c>
      <c r="E282" s="52">
        <v>754.66</v>
      </c>
      <c r="F282" s="52">
        <v>4040.22</v>
      </c>
      <c r="G282" s="52">
        <v>4303.1499999999996</v>
      </c>
      <c r="H282" s="52">
        <v>2772.83</v>
      </c>
      <c r="I282" s="53">
        <v>17057.919999999998</v>
      </c>
      <c r="J282" s="49"/>
    </row>
    <row r="283" spans="1:10" x14ac:dyDescent="0.2">
      <c r="A283" s="50">
        <f t="shared" si="4"/>
        <v>43747</v>
      </c>
      <c r="B283" s="51">
        <v>4920</v>
      </c>
      <c r="C283" s="52">
        <v>3108.7</v>
      </c>
      <c r="D283" s="52">
        <v>2159.4</v>
      </c>
      <c r="E283" s="52">
        <v>852.7</v>
      </c>
      <c r="F283" s="52">
        <v>4436.2</v>
      </c>
      <c r="G283" s="52">
        <v>4766.7</v>
      </c>
      <c r="H283" s="52">
        <v>3209.0000000000005</v>
      </c>
      <c r="I283" s="53">
        <v>17034.7</v>
      </c>
      <c r="J283" s="49"/>
    </row>
    <row r="284" spans="1:10" x14ac:dyDescent="0.2">
      <c r="A284" s="50">
        <f t="shared" si="4"/>
        <v>43748</v>
      </c>
      <c r="B284" s="51">
        <v>4448.6499999999996</v>
      </c>
      <c r="C284" s="52">
        <v>2947.91</v>
      </c>
      <c r="D284" s="52">
        <v>2206.96</v>
      </c>
      <c r="E284" s="52">
        <v>594.19000000000005</v>
      </c>
      <c r="F284" s="52">
        <v>3607.68</v>
      </c>
      <c r="G284" s="52">
        <v>4882.1400000000003</v>
      </c>
      <c r="H284" s="52">
        <v>3171.3899999999994</v>
      </c>
      <c r="I284" s="53">
        <v>15516.140000000003</v>
      </c>
      <c r="J284" s="49"/>
    </row>
    <row r="285" spans="1:10" x14ac:dyDescent="0.2">
      <c r="A285" s="50">
        <f t="shared" si="4"/>
        <v>43749</v>
      </c>
      <c r="B285" s="51">
        <v>4032.33</v>
      </c>
      <c r="C285" s="52">
        <v>2651.3</v>
      </c>
      <c r="D285" s="52">
        <v>1903.2</v>
      </c>
      <c r="E285" s="52">
        <v>825.77</v>
      </c>
      <c r="F285" s="52">
        <v>3556.4</v>
      </c>
      <c r="G285" s="52">
        <v>4292.18</v>
      </c>
      <c r="H285" s="52">
        <v>2773.13</v>
      </c>
      <c r="I285" s="53">
        <v>14488.05</v>
      </c>
      <c r="J285" s="49"/>
    </row>
    <row r="286" spans="1:10" x14ac:dyDescent="0.2">
      <c r="A286" s="50">
        <f t="shared" si="4"/>
        <v>43750</v>
      </c>
      <c r="B286" s="51">
        <v>3863.66</v>
      </c>
      <c r="C286" s="52">
        <v>2761.08</v>
      </c>
      <c r="D286" s="52">
        <v>1727.41</v>
      </c>
      <c r="E286" s="52">
        <v>780.18</v>
      </c>
      <c r="F286" s="52">
        <v>3301.3</v>
      </c>
      <c r="G286" s="52">
        <v>3836.02</v>
      </c>
      <c r="H286" s="52">
        <v>2340.4</v>
      </c>
      <c r="I286" s="53">
        <v>13929.250000000002</v>
      </c>
      <c r="J286" s="49"/>
    </row>
    <row r="287" spans="1:10" x14ac:dyDescent="0.2">
      <c r="A287" s="50">
        <f t="shared" si="4"/>
        <v>43751</v>
      </c>
      <c r="B287" s="51">
        <v>4213.5</v>
      </c>
      <c r="C287" s="52">
        <v>2990.9</v>
      </c>
      <c r="D287" s="52">
        <v>1952.7</v>
      </c>
      <c r="E287" s="52">
        <v>594.29999999999995</v>
      </c>
      <c r="F287" s="52">
        <v>3227.4</v>
      </c>
      <c r="G287" s="52">
        <v>3632.8</v>
      </c>
      <c r="H287" s="52">
        <v>2173.1</v>
      </c>
      <c r="I287" s="53">
        <v>14438.499999999998</v>
      </c>
      <c r="J287" s="49"/>
    </row>
    <row r="288" spans="1:10" x14ac:dyDescent="0.2">
      <c r="A288" s="50">
        <f t="shared" ref="A288:A351" si="5">A287+1</f>
        <v>43752</v>
      </c>
      <c r="B288" s="51">
        <v>4962.8500000000004</v>
      </c>
      <c r="C288" s="52">
        <v>3306.67</v>
      </c>
      <c r="D288" s="52">
        <v>2416.25</v>
      </c>
      <c r="E288" s="52">
        <v>748.57</v>
      </c>
      <c r="F288" s="52">
        <v>4249.12</v>
      </c>
      <c r="G288" s="52">
        <v>4631.37</v>
      </c>
      <c r="H288" s="52">
        <v>2842.8499999999995</v>
      </c>
      <c r="I288" s="53">
        <v>17471.98</v>
      </c>
      <c r="J288" s="49"/>
    </row>
    <row r="289" spans="1:10" x14ac:dyDescent="0.2">
      <c r="A289" s="50">
        <f t="shared" si="5"/>
        <v>43753</v>
      </c>
      <c r="B289" s="51">
        <v>4573.97</v>
      </c>
      <c r="C289" s="52">
        <v>3209.94</v>
      </c>
      <c r="D289" s="52">
        <v>2666.06</v>
      </c>
      <c r="E289" s="52">
        <v>234.22</v>
      </c>
      <c r="F289" s="52">
        <v>3927.13</v>
      </c>
      <c r="G289" s="52">
        <v>4429.6000000000004</v>
      </c>
      <c r="H289" s="52">
        <v>2855.05</v>
      </c>
      <c r="I289" s="53">
        <v>16185.869999999999</v>
      </c>
      <c r="J289" s="49"/>
    </row>
    <row r="290" spans="1:10" x14ac:dyDescent="0.2">
      <c r="A290" s="50">
        <f t="shared" si="5"/>
        <v>43754</v>
      </c>
      <c r="B290" s="51">
        <v>4389.1400000000003</v>
      </c>
      <c r="C290" s="52">
        <v>2966.52</v>
      </c>
      <c r="D290" s="52">
        <v>2728.49</v>
      </c>
      <c r="E290" s="52">
        <v>384.18</v>
      </c>
      <c r="F290" s="52">
        <v>3922.72</v>
      </c>
      <c r="G290" s="52">
        <v>4656.5200000000004</v>
      </c>
      <c r="H290" s="52">
        <v>2912.37</v>
      </c>
      <c r="I290" s="53">
        <v>16135.2</v>
      </c>
      <c r="J290" s="49"/>
    </row>
    <row r="291" spans="1:10" x14ac:dyDescent="0.2">
      <c r="A291" s="50">
        <f t="shared" si="5"/>
        <v>43755</v>
      </c>
      <c r="B291" s="51">
        <v>5202.3</v>
      </c>
      <c r="C291" s="52">
        <v>3022.1</v>
      </c>
      <c r="D291" s="52">
        <v>2631.6</v>
      </c>
      <c r="E291" s="52">
        <v>951.1</v>
      </c>
      <c r="F291" s="52">
        <v>4345.7</v>
      </c>
      <c r="G291" s="52">
        <v>4757.3999999999996</v>
      </c>
      <c r="H291" s="52">
        <v>2946.3</v>
      </c>
      <c r="I291" s="53">
        <v>17963.899999999998</v>
      </c>
      <c r="J291" s="49"/>
    </row>
    <row r="292" spans="1:10" x14ac:dyDescent="0.2">
      <c r="A292" s="50">
        <f t="shared" si="5"/>
        <v>43756</v>
      </c>
      <c r="B292" s="51">
        <v>4622.46</v>
      </c>
      <c r="C292" s="52">
        <v>2988.63</v>
      </c>
      <c r="D292" s="52">
        <v>2488.11</v>
      </c>
      <c r="E292" s="52">
        <v>464.7</v>
      </c>
      <c r="F292" s="52">
        <v>4006.58</v>
      </c>
      <c r="G292" s="52">
        <v>4331.49</v>
      </c>
      <c r="H292" s="52">
        <v>2631.9700000000003</v>
      </c>
      <c r="I292" s="53">
        <v>16270</v>
      </c>
      <c r="J292" s="49"/>
    </row>
    <row r="293" spans="1:10" x14ac:dyDescent="0.2">
      <c r="A293" s="50">
        <f t="shared" si="5"/>
        <v>43757</v>
      </c>
      <c r="B293" s="51">
        <v>4747.9399999999996</v>
      </c>
      <c r="C293" s="52">
        <v>2955.5</v>
      </c>
      <c r="D293" s="52">
        <v>2314.27</v>
      </c>
      <c r="E293" s="52">
        <v>247.64</v>
      </c>
      <c r="F293" s="52">
        <v>4088.77</v>
      </c>
      <c r="G293" s="52">
        <v>3521.97</v>
      </c>
      <c r="H293" s="52">
        <v>1918.98</v>
      </c>
      <c r="I293" s="53">
        <v>15957.11</v>
      </c>
      <c r="J293" s="49"/>
    </row>
    <row r="294" spans="1:10" x14ac:dyDescent="0.2">
      <c r="A294" s="50">
        <f t="shared" si="5"/>
        <v>43758</v>
      </c>
      <c r="B294" s="51">
        <v>5548.23</v>
      </c>
      <c r="C294" s="52">
        <v>3745.62</v>
      </c>
      <c r="D294" s="52">
        <v>2766.36</v>
      </c>
      <c r="E294" s="52">
        <v>286.38</v>
      </c>
      <c r="F294" s="52">
        <v>4460.74</v>
      </c>
      <c r="G294" s="52">
        <v>3142.65</v>
      </c>
      <c r="H294" s="52">
        <v>1628.8799999999999</v>
      </c>
      <c r="I294" s="53">
        <v>18321.099999999999</v>
      </c>
      <c r="J294" s="49"/>
    </row>
    <row r="295" spans="1:10" x14ac:dyDescent="0.2">
      <c r="A295" s="50">
        <f t="shared" si="5"/>
        <v>43759</v>
      </c>
      <c r="B295" s="51">
        <v>6936.9</v>
      </c>
      <c r="C295" s="52">
        <v>4416.5</v>
      </c>
      <c r="D295" s="52">
        <v>3615.4</v>
      </c>
      <c r="E295" s="52">
        <v>533.20000000000005</v>
      </c>
      <c r="F295" s="52">
        <v>6224.2</v>
      </c>
      <c r="G295" s="52">
        <v>4578.3999999999996</v>
      </c>
      <c r="H295" s="52">
        <v>2785.2999999999997</v>
      </c>
      <c r="I295" s="53">
        <v>23519.3</v>
      </c>
      <c r="J295" s="49"/>
    </row>
    <row r="296" spans="1:10" x14ac:dyDescent="0.2">
      <c r="A296" s="50">
        <f t="shared" si="5"/>
        <v>43760</v>
      </c>
      <c r="B296" s="51">
        <v>6026.13</v>
      </c>
      <c r="C296" s="52">
        <v>3612.2</v>
      </c>
      <c r="D296" s="52">
        <v>3165.13</v>
      </c>
      <c r="E296" s="52">
        <v>986.68</v>
      </c>
      <c r="F296" s="52">
        <v>4921.72</v>
      </c>
      <c r="G296" s="52">
        <v>4519.99</v>
      </c>
      <c r="H296" s="52">
        <v>2717.8</v>
      </c>
      <c r="I296" s="53">
        <v>20514.05</v>
      </c>
      <c r="J296" s="49"/>
    </row>
    <row r="297" spans="1:10" x14ac:dyDescent="0.2">
      <c r="A297" s="50">
        <f t="shared" si="5"/>
        <v>43761</v>
      </c>
      <c r="B297" s="51">
        <v>4864.38</v>
      </c>
      <c r="C297" s="52">
        <v>3121.48</v>
      </c>
      <c r="D297" s="52">
        <v>2699.16</v>
      </c>
      <c r="E297" s="52">
        <v>358.41</v>
      </c>
      <c r="F297" s="52">
        <v>3592.35</v>
      </c>
      <c r="G297" s="52">
        <v>4263</v>
      </c>
      <c r="H297" s="52">
        <v>2537.71</v>
      </c>
      <c r="I297" s="53">
        <v>16361.07</v>
      </c>
      <c r="J297" s="49"/>
    </row>
    <row r="298" spans="1:10" x14ac:dyDescent="0.2">
      <c r="A298" s="50">
        <f t="shared" si="5"/>
        <v>43762</v>
      </c>
      <c r="B298" s="51">
        <v>4942.0600000000004</v>
      </c>
      <c r="C298" s="52">
        <v>3093.19</v>
      </c>
      <c r="D298" s="52">
        <v>2713.29</v>
      </c>
      <c r="E298" s="52">
        <v>955.12</v>
      </c>
      <c r="F298" s="52">
        <v>4516.25</v>
      </c>
      <c r="G298" s="52">
        <v>4617.1000000000004</v>
      </c>
      <c r="H298" s="52">
        <v>2928.46</v>
      </c>
      <c r="I298" s="53">
        <v>17908.550000000003</v>
      </c>
      <c r="J298" s="49"/>
    </row>
    <row r="299" spans="1:10" x14ac:dyDescent="0.2">
      <c r="A299" s="50">
        <f t="shared" si="5"/>
        <v>43763</v>
      </c>
      <c r="B299" s="51">
        <v>4492.1000000000004</v>
      </c>
      <c r="C299" s="52">
        <v>3041.1</v>
      </c>
      <c r="D299" s="52">
        <v>2345.8000000000002</v>
      </c>
      <c r="E299" s="52">
        <v>181.9</v>
      </c>
      <c r="F299" s="52">
        <v>3427.8</v>
      </c>
      <c r="G299" s="52">
        <v>3972.4</v>
      </c>
      <c r="H299" s="52">
        <v>2314.6999999999998</v>
      </c>
      <c r="I299" s="53">
        <v>15146.400000000001</v>
      </c>
      <c r="J299" s="49"/>
    </row>
    <row r="300" spans="1:10" x14ac:dyDescent="0.2">
      <c r="A300" s="50">
        <f t="shared" si="5"/>
        <v>43764</v>
      </c>
      <c r="B300" s="51">
        <v>3835.94</v>
      </c>
      <c r="C300" s="52">
        <v>2832.6</v>
      </c>
      <c r="D300" s="52">
        <v>2302.4</v>
      </c>
      <c r="E300" s="52">
        <v>523.23</v>
      </c>
      <c r="F300" s="52">
        <v>3544.96</v>
      </c>
      <c r="G300" s="52">
        <v>2924.62</v>
      </c>
      <c r="H300" s="52">
        <v>1577.4700000000003</v>
      </c>
      <c r="I300" s="53">
        <v>14386.279999999999</v>
      </c>
      <c r="J300" s="49"/>
    </row>
    <row r="301" spans="1:10" x14ac:dyDescent="0.2">
      <c r="A301" s="50">
        <f t="shared" si="5"/>
        <v>43765</v>
      </c>
      <c r="B301" s="51">
        <v>3156.81</v>
      </c>
      <c r="C301" s="52">
        <v>3009.51</v>
      </c>
      <c r="D301" s="52">
        <v>2115.23</v>
      </c>
      <c r="E301" s="52">
        <v>113.92</v>
      </c>
      <c r="F301" s="52">
        <v>2823.78</v>
      </c>
      <c r="G301" s="52">
        <v>2178.0700000000002</v>
      </c>
      <c r="H301" s="52">
        <v>1403.6200000000001</v>
      </c>
      <c r="I301" s="53">
        <v>11993.699999999999</v>
      </c>
      <c r="J301" s="49"/>
    </row>
    <row r="302" spans="1:10" x14ac:dyDescent="0.2">
      <c r="A302" s="50">
        <f t="shared" si="5"/>
        <v>43766</v>
      </c>
      <c r="B302" s="51">
        <v>4672.3</v>
      </c>
      <c r="C302" s="52">
        <v>3164.81</v>
      </c>
      <c r="D302" s="52">
        <v>2637.44</v>
      </c>
      <c r="E302" s="52">
        <v>394.04</v>
      </c>
      <c r="F302" s="52">
        <v>3824.57</v>
      </c>
      <c r="G302" s="52">
        <v>4261.74</v>
      </c>
      <c r="H302" s="52">
        <v>2833.24</v>
      </c>
      <c r="I302" s="53">
        <v>16121.660000000002</v>
      </c>
      <c r="J302" s="49"/>
    </row>
    <row r="303" spans="1:10" x14ac:dyDescent="0.2">
      <c r="A303" s="50">
        <f t="shared" si="5"/>
        <v>43767</v>
      </c>
      <c r="B303" s="51">
        <v>5016</v>
      </c>
      <c r="C303" s="52">
        <v>3177.39</v>
      </c>
      <c r="D303" s="52">
        <v>2751.33</v>
      </c>
      <c r="E303" s="52">
        <v>346.74</v>
      </c>
      <c r="F303" s="52">
        <v>3836.51</v>
      </c>
      <c r="G303" s="52">
        <v>4438.5600000000004</v>
      </c>
      <c r="H303" s="52">
        <v>2766.93</v>
      </c>
      <c r="I303" s="53">
        <v>16799.599999999999</v>
      </c>
      <c r="J303" s="49"/>
    </row>
    <row r="304" spans="1:10" x14ac:dyDescent="0.2">
      <c r="A304" s="50">
        <f t="shared" si="5"/>
        <v>43768</v>
      </c>
      <c r="B304" s="51">
        <v>5267.51</v>
      </c>
      <c r="C304" s="52">
        <v>3276.04</v>
      </c>
      <c r="D304" s="52">
        <v>2857.4</v>
      </c>
      <c r="E304" s="52">
        <v>1299.3399999999999</v>
      </c>
      <c r="F304" s="52">
        <v>4065.42</v>
      </c>
      <c r="G304" s="52">
        <v>4637.63</v>
      </c>
      <c r="H304" s="52">
        <v>2876.3</v>
      </c>
      <c r="I304" s="53">
        <v>18527.04</v>
      </c>
      <c r="J304" s="49"/>
    </row>
    <row r="305" spans="1:10" x14ac:dyDescent="0.2">
      <c r="A305" s="50">
        <f t="shared" si="5"/>
        <v>43769</v>
      </c>
      <c r="B305" s="51">
        <v>5563.56</v>
      </c>
      <c r="C305" s="52">
        <v>3912.52</v>
      </c>
      <c r="D305" s="52">
        <v>3294.45</v>
      </c>
      <c r="E305" s="52">
        <v>624.62</v>
      </c>
      <c r="F305" s="52">
        <v>5291.79</v>
      </c>
      <c r="G305" s="52">
        <v>4802.54</v>
      </c>
      <c r="H305" s="52">
        <v>2910.63</v>
      </c>
      <c r="I305" s="53">
        <v>20578.849999999999</v>
      </c>
      <c r="J305" s="49"/>
    </row>
    <row r="306" spans="1:10" x14ac:dyDescent="0.2">
      <c r="A306" s="50">
        <f t="shared" si="5"/>
        <v>43770</v>
      </c>
      <c r="B306" s="51">
        <v>5536</v>
      </c>
      <c r="C306" s="52">
        <v>3308.19</v>
      </c>
      <c r="D306" s="52">
        <v>3037.56</v>
      </c>
      <c r="E306" s="52">
        <v>689.17</v>
      </c>
      <c r="F306" s="52">
        <v>4401.05</v>
      </c>
      <c r="G306" s="52">
        <v>3875.18</v>
      </c>
      <c r="H306" s="52">
        <v>2131.1999999999998</v>
      </c>
      <c r="I306" s="53">
        <v>18715.95</v>
      </c>
      <c r="J306" s="49"/>
    </row>
    <row r="307" spans="1:10" x14ac:dyDescent="0.2">
      <c r="A307" s="50">
        <f t="shared" si="5"/>
        <v>43771</v>
      </c>
      <c r="B307" s="51">
        <v>4201.1400000000003</v>
      </c>
      <c r="C307" s="52">
        <v>2478.2800000000002</v>
      </c>
      <c r="D307" s="52">
        <v>2156.4499999999998</v>
      </c>
      <c r="E307" s="52">
        <v>455.18</v>
      </c>
      <c r="F307" s="52">
        <v>4054.62</v>
      </c>
      <c r="G307" s="52">
        <v>3129.47</v>
      </c>
      <c r="H307" s="52">
        <v>1680.1499999999999</v>
      </c>
      <c r="I307" s="53">
        <v>14794.99</v>
      </c>
      <c r="J307" s="49"/>
    </row>
    <row r="308" spans="1:10" x14ac:dyDescent="0.2">
      <c r="A308" s="50">
        <f t="shared" si="5"/>
        <v>43772</v>
      </c>
      <c r="B308" s="51">
        <v>2980.57</v>
      </c>
      <c r="C308" s="52">
        <v>1842.17</v>
      </c>
      <c r="D308" s="52">
        <v>1876.69</v>
      </c>
      <c r="E308" s="52">
        <v>127.2</v>
      </c>
      <c r="F308" s="52">
        <v>2799.12</v>
      </c>
      <c r="G308" s="52">
        <v>3055.52</v>
      </c>
      <c r="H308" s="52">
        <v>1319.04</v>
      </c>
      <c r="I308" s="53">
        <v>11362.23</v>
      </c>
      <c r="J308" s="49"/>
    </row>
    <row r="309" spans="1:10" x14ac:dyDescent="0.2">
      <c r="A309" s="50">
        <f t="shared" si="5"/>
        <v>43773</v>
      </c>
      <c r="B309" s="51">
        <v>5217.75</v>
      </c>
      <c r="C309" s="52">
        <v>2820.68</v>
      </c>
      <c r="D309" s="52">
        <v>3029.04</v>
      </c>
      <c r="E309" s="52">
        <v>308.14</v>
      </c>
      <c r="F309" s="52">
        <v>3883.47</v>
      </c>
      <c r="G309" s="52">
        <v>3244.13</v>
      </c>
      <c r="H309" s="52">
        <v>1814.0499999999997</v>
      </c>
      <c r="I309" s="53">
        <v>16689.16</v>
      </c>
      <c r="J309" s="49"/>
    </row>
    <row r="310" spans="1:10" x14ac:dyDescent="0.2">
      <c r="A310" s="50">
        <f t="shared" si="5"/>
        <v>43774</v>
      </c>
      <c r="B310" s="51">
        <v>5316.77</v>
      </c>
      <c r="C310" s="52">
        <v>2952.96</v>
      </c>
      <c r="D310" s="52">
        <v>3052.09</v>
      </c>
      <c r="E310" s="52">
        <v>1140.8399999999999</v>
      </c>
      <c r="F310" s="52">
        <v>4330.63</v>
      </c>
      <c r="G310" s="52">
        <v>4421.71</v>
      </c>
      <c r="H310" s="52">
        <v>2890.4</v>
      </c>
      <c r="I310" s="53">
        <v>18324.599999999999</v>
      </c>
      <c r="J310" s="49"/>
    </row>
    <row r="311" spans="1:10" x14ac:dyDescent="0.2">
      <c r="A311" s="50">
        <f t="shared" si="5"/>
        <v>43775</v>
      </c>
      <c r="B311" s="51">
        <v>4908.5200000000004</v>
      </c>
      <c r="C311" s="52">
        <v>2566.96</v>
      </c>
      <c r="D311" s="52">
        <v>2642.43</v>
      </c>
      <c r="E311" s="52">
        <v>909.94</v>
      </c>
      <c r="F311" s="52">
        <v>4764.9799999999996</v>
      </c>
      <c r="G311" s="52">
        <v>4270.41</v>
      </c>
      <c r="H311" s="52">
        <v>2544.75</v>
      </c>
      <c r="I311" s="53">
        <v>17518.489999999998</v>
      </c>
      <c r="J311" s="49"/>
    </row>
    <row r="312" spans="1:10" x14ac:dyDescent="0.2">
      <c r="A312" s="50">
        <f t="shared" si="5"/>
        <v>43776</v>
      </c>
      <c r="B312" s="51">
        <v>4789.4799999999996</v>
      </c>
      <c r="C312" s="52">
        <v>2648.02</v>
      </c>
      <c r="D312" s="52">
        <v>2774.38</v>
      </c>
      <c r="E312" s="52">
        <v>792.52</v>
      </c>
      <c r="F312" s="52">
        <v>4557.3900000000003</v>
      </c>
      <c r="G312" s="52">
        <v>4249.24</v>
      </c>
      <c r="H312" s="52">
        <v>2550.0300000000002</v>
      </c>
      <c r="I312" s="53">
        <v>17261</v>
      </c>
      <c r="J312" s="49"/>
    </row>
    <row r="313" spans="1:10" x14ac:dyDescent="0.2">
      <c r="A313" s="50">
        <f t="shared" si="5"/>
        <v>43777</v>
      </c>
      <c r="B313" s="51">
        <v>4403.43</v>
      </c>
      <c r="C313" s="52">
        <v>2723.25</v>
      </c>
      <c r="D313" s="52">
        <v>2816.34</v>
      </c>
      <c r="E313" s="52">
        <v>258.05</v>
      </c>
      <c r="F313" s="52">
        <v>3964.59</v>
      </c>
      <c r="G313" s="52">
        <v>4266.43</v>
      </c>
      <c r="H313" s="52">
        <v>2563.39</v>
      </c>
      <c r="I313" s="53">
        <v>15868.7</v>
      </c>
      <c r="J313" s="49"/>
    </row>
    <row r="314" spans="1:10" x14ac:dyDescent="0.2">
      <c r="A314" s="50">
        <f t="shared" si="5"/>
        <v>43778</v>
      </c>
      <c r="B314" s="51">
        <v>4388.57</v>
      </c>
      <c r="C314" s="52">
        <v>2310.62</v>
      </c>
      <c r="D314" s="52">
        <v>2390.0500000000002</v>
      </c>
      <c r="E314" s="52">
        <v>345.4</v>
      </c>
      <c r="F314" s="52">
        <v>3794.22</v>
      </c>
      <c r="G314" s="52">
        <v>3767.01</v>
      </c>
      <c r="H314" s="52">
        <v>2266.6499999999996</v>
      </c>
      <c r="I314" s="53">
        <v>14729.22</v>
      </c>
      <c r="J314" s="49"/>
    </row>
    <row r="315" spans="1:10" x14ac:dyDescent="0.2">
      <c r="A315" s="50">
        <f t="shared" si="5"/>
        <v>43779</v>
      </c>
      <c r="B315" s="51">
        <v>5089.83</v>
      </c>
      <c r="C315" s="52">
        <v>2316.4299999999998</v>
      </c>
      <c r="D315" s="52">
        <v>2503.86</v>
      </c>
      <c r="E315" s="52">
        <v>966.12</v>
      </c>
      <c r="F315" s="52">
        <v>4312.76</v>
      </c>
      <c r="G315" s="52">
        <v>3684.09</v>
      </c>
      <c r="H315" s="52">
        <v>2093.8599999999997</v>
      </c>
      <c r="I315" s="53">
        <v>16779.230000000003</v>
      </c>
      <c r="J315" s="49"/>
    </row>
    <row r="316" spans="1:10" x14ac:dyDescent="0.2">
      <c r="A316" s="50">
        <f t="shared" si="5"/>
        <v>43780</v>
      </c>
      <c r="B316" s="51">
        <v>5333.21</v>
      </c>
      <c r="C316" s="52">
        <v>2513.12</v>
      </c>
      <c r="D316" s="52">
        <v>2870.1</v>
      </c>
      <c r="E316" s="52">
        <v>935.66</v>
      </c>
      <c r="F316" s="52">
        <v>4680.5200000000004</v>
      </c>
      <c r="G316" s="52">
        <v>4874.3999999999996</v>
      </c>
      <c r="H316" s="52">
        <v>2884.2999999999997</v>
      </c>
      <c r="I316" s="53">
        <v>18322.710000000003</v>
      </c>
      <c r="J316" s="49"/>
    </row>
    <row r="317" spans="1:10" x14ac:dyDescent="0.2">
      <c r="A317" s="50">
        <f t="shared" si="5"/>
        <v>43781</v>
      </c>
      <c r="B317" s="51">
        <v>5711.03</v>
      </c>
      <c r="C317" s="52">
        <v>4069.68</v>
      </c>
      <c r="D317" s="52">
        <v>3171.64</v>
      </c>
      <c r="E317" s="52">
        <v>320.18</v>
      </c>
      <c r="F317" s="52">
        <v>4984.96</v>
      </c>
      <c r="G317" s="52">
        <v>4814.34</v>
      </c>
      <c r="H317" s="52">
        <v>2951.7900000000004</v>
      </c>
      <c r="I317" s="53">
        <v>20120.039999999997</v>
      </c>
      <c r="J317" s="49"/>
    </row>
    <row r="318" spans="1:10" x14ac:dyDescent="0.2">
      <c r="A318" s="50">
        <f t="shared" si="5"/>
        <v>43782</v>
      </c>
      <c r="B318" s="51">
        <v>6727.38</v>
      </c>
      <c r="C318" s="52">
        <v>4718.59</v>
      </c>
      <c r="D318" s="52">
        <v>3621.88</v>
      </c>
      <c r="E318" s="52">
        <v>1282.67</v>
      </c>
      <c r="F318" s="52">
        <v>6351.38</v>
      </c>
      <c r="G318" s="52">
        <v>4667.72</v>
      </c>
      <c r="H318" s="52">
        <v>2758.13</v>
      </c>
      <c r="I318" s="53">
        <v>24611.49</v>
      </c>
      <c r="J318" s="49"/>
    </row>
    <row r="319" spans="1:10" x14ac:dyDescent="0.2">
      <c r="A319" s="50">
        <f t="shared" si="5"/>
        <v>43783</v>
      </c>
      <c r="B319" s="51">
        <v>6690.98</v>
      </c>
      <c r="C319" s="52">
        <v>4804</v>
      </c>
      <c r="D319" s="52">
        <v>3969.63</v>
      </c>
      <c r="E319" s="52">
        <v>251.11</v>
      </c>
      <c r="F319" s="52">
        <v>5847.71</v>
      </c>
      <c r="G319" s="52">
        <v>5076.63</v>
      </c>
      <c r="H319" s="52">
        <v>2828.55</v>
      </c>
      <c r="I319" s="53">
        <v>23811.510000000002</v>
      </c>
      <c r="J319" s="49"/>
    </row>
    <row r="320" spans="1:10" x14ac:dyDescent="0.2">
      <c r="A320" s="50">
        <f t="shared" si="5"/>
        <v>43784</v>
      </c>
      <c r="B320" s="51">
        <v>6274.98</v>
      </c>
      <c r="C320" s="52">
        <v>4484.68</v>
      </c>
      <c r="D320" s="52">
        <v>4072.13</v>
      </c>
      <c r="E320" s="52">
        <v>591.87</v>
      </c>
      <c r="F320" s="52">
        <v>4950.55</v>
      </c>
      <c r="G320" s="52">
        <v>5116.09</v>
      </c>
      <c r="H320" s="52">
        <v>2769.9700000000003</v>
      </c>
      <c r="I320" s="53">
        <v>22720.33</v>
      </c>
      <c r="J320" s="49"/>
    </row>
    <row r="321" spans="1:10" x14ac:dyDescent="0.2">
      <c r="A321" s="50">
        <f t="shared" si="5"/>
        <v>43785</v>
      </c>
      <c r="B321" s="51">
        <v>6020.84</v>
      </c>
      <c r="C321" s="52">
        <v>3896.82</v>
      </c>
      <c r="D321" s="52">
        <v>3560.09</v>
      </c>
      <c r="E321" s="52">
        <v>831.71</v>
      </c>
      <c r="F321" s="52">
        <v>4307.88</v>
      </c>
      <c r="G321" s="52">
        <v>4157.3</v>
      </c>
      <c r="H321" s="52">
        <v>1756.25</v>
      </c>
      <c r="I321" s="53">
        <v>21018.39</v>
      </c>
      <c r="J321" s="49"/>
    </row>
    <row r="322" spans="1:10" x14ac:dyDescent="0.2">
      <c r="A322" s="50">
        <f t="shared" si="5"/>
        <v>43786</v>
      </c>
      <c r="B322" s="51">
        <v>5055.9399999999996</v>
      </c>
      <c r="C322" s="52">
        <v>3061.56</v>
      </c>
      <c r="D322" s="52">
        <v>2963.98</v>
      </c>
      <c r="E322" s="52">
        <v>798.76</v>
      </c>
      <c r="F322" s="52">
        <v>4662.58</v>
      </c>
      <c r="G322" s="52">
        <v>3417.13</v>
      </c>
      <c r="H322" s="52">
        <v>1650.71</v>
      </c>
      <c r="I322" s="53">
        <v>18309.240000000002</v>
      </c>
      <c r="J322" s="49"/>
    </row>
    <row r="323" spans="1:10" x14ac:dyDescent="0.2">
      <c r="A323" s="50">
        <f t="shared" si="5"/>
        <v>43787</v>
      </c>
      <c r="B323" s="51">
        <v>5862.11</v>
      </c>
      <c r="C323" s="52">
        <v>3502.43</v>
      </c>
      <c r="D323" s="52">
        <v>2910.29</v>
      </c>
      <c r="E323" s="52">
        <v>1375.26</v>
      </c>
      <c r="F323" s="52">
        <v>4663.57</v>
      </c>
      <c r="G323" s="52">
        <v>5046.4799999999996</v>
      </c>
      <c r="H323" s="52">
        <v>2851.0400000000004</v>
      </c>
      <c r="I323" s="53">
        <v>20509.099999999995</v>
      </c>
      <c r="J323" s="49"/>
    </row>
    <row r="324" spans="1:10" x14ac:dyDescent="0.2">
      <c r="A324" s="50">
        <f t="shared" si="5"/>
        <v>43788</v>
      </c>
      <c r="B324" s="51">
        <v>7267.78</v>
      </c>
      <c r="C324" s="52">
        <v>4060.67</v>
      </c>
      <c r="D324" s="52">
        <v>4351.53</v>
      </c>
      <c r="E324" s="52">
        <v>1868.19</v>
      </c>
      <c r="F324" s="52">
        <v>4629.6099999999997</v>
      </c>
      <c r="G324" s="52">
        <v>5889.26</v>
      </c>
      <c r="H324" s="52">
        <v>2928.07</v>
      </c>
      <c r="I324" s="53">
        <v>25138.97</v>
      </c>
      <c r="J324" s="49"/>
    </row>
    <row r="325" spans="1:10" x14ac:dyDescent="0.2">
      <c r="A325" s="50">
        <f t="shared" si="5"/>
        <v>43789</v>
      </c>
      <c r="B325" s="51">
        <v>9144.91</v>
      </c>
      <c r="C325" s="52">
        <v>4878.3599999999997</v>
      </c>
      <c r="D325" s="52">
        <v>4887.82</v>
      </c>
      <c r="E325" s="52">
        <v>2742.01</v>
      </c>
      <c r="F325" s="52">
        <v>6019.77</v>
      </c>
      <c r="G325" s="52">
        <v>6706.73</v>
      </c>
      <c r="H325" s="52">
        <v>3460.2799999999997</v>
      </c>
      <c r="I325" s="53">
        <v>30919.32</v>
      </c>
      <c r="J325" s="49"/>
    </row>
    <row r="326" spans="1:10" x14ac:dyDescent="0.2">
      <c r="A326" s="50">
        <f t="shared" si="5"/>
        <v>43790</v>
      </c>
      <c r="B326" s="51">
        <v>9099.5400000000009</v>
      </c>
      <c r="C326" s="52">
        <v>5133.66</v>
      </c>
      <c r="D326" s="52">
        <v>4782.2</v>
      </c>
      <c r="E326" s="52">
        <v>2522.92</v>
      </c>
      <c r="F326" s="52">
        <v>5318.16</v>
      </c>
      <c r="G326" s="52">
        <v>6435.03</v>
      </c>
      <c r="H326" s="52">
        <v>3155.8300000000004</v>
      </c>
      <c r="I326" s="53">
        <v>30135.68</v>
      </c>
      <c r="J326" s="49"/>
    </row>
    <row r="327" spans="1:10" x14ac:dyDescent="0.2">
      <c r="A327" s="50">
        <f t="shared" si="5"/>
        <v>43791</v>
      </c>
      <c r="B327" s="51">
        <v>7624.41</v>
      </c>
      <c r="C327" s="52">
        <v>4766.55</v>
      </c>
      <c r="D327" s="52">
        <v>4539.3</v>
      </c>
      <c r="E327" s="52">
        <v>1362.37</v>
      </c>
      <c r="F327" s="52">
        <v>4751.82</v>
      </c>
      <c r="G327" s="52">
        <v>4872.1000000000004</v>
      </c>
      <c r="H327" s="52">
        <v>2382.5</v>
      </c>
      <c r="I327" s="53">
        <v>25534.049999999996</v>
      </c>
      <c r="J327" s="49"/>
    </row>
    <row r="328" spans="1:10" x14ac:dyDescent="0.2">
      <c r="A328" s="50">
        <f t="shared" si="5"/>
        <v>43792</v>
      </c>
      <c r="B328" s="51">
        <v>6595.62</v>
      </c>
      <c r="C328" s="52">
        <v>3941.32</v>
      </c>
      <c r="D328" s="52">
        <v>3661.98</v>
      </c>
      <c r="E328" s="52">
        <v>1966.62</v>
      </c>
      <c r="F328" s="52">
        <v>4487.66</v>
      </c>
      <c r="G328" s="52">
        <v>3820.45</v>
      </c>
      <c r="H328" s="52">
        <v>1786.2800000000002</v>
      </c>
      <c r="I328" s="53">
        <v>22687.370000000003</v>
      </c>
      <c r="J328" s="49"/>
    </row>
    <row r="329" spans="1:10" x14ac:dyDescent="0.2">
      <c r="A329" s="50">
        <f t="shared" si="5"/>
        <v>43793</v>
      </c>
      <c r="B329" s="51">
        <v>5352.19</v>
      </c>
      <c r="C329" s="52">
        <v>2777.67</v>
      </c>
      <c r="D329" s="52">
        <v>2803.74</v>
      </c>
      <c r="E329" s="52">
        <v>2350.77</v>
      </c>
      <c r="F329" s="52">
        <v>2958.67</v>
      </c>
      <c r="G329" s="52">
        <v>3492.28</v>
      </c>
      <c r="H329" s="52">
        <v>1725.44</v>
      </c>
      <c r="I329" s="53">
        <v>18009.88</v>
      </c>
      <c r="J329" s="49"/>
    </row>
    <row r="330" spans="1:10" x14ac:dyDescent="0.2">
      <c r="A330" s="50">
        <f t="shared" si="5"/>
        <v>43794</v>
      </c>
      <c r="B330" s="51">
        <v>6210.04</v>
      </c>
      <c r="C330" s="52">
        <v>3472.22</v>
      </c>
      <c r="D330" s="52">
        <v>3068.22</v>
      </c>
      <c r="E330" s="52">
        <v>2442.71</v>
      </c>
      <c r="F330" s="52">
        <v>3746.61</v>
      </c>
      <c r="G330" s="52">
        <v>4933.7299999999996</v>
      </c>
      <c r="H330" s="52">
        <v>2756.58</v>
      </c>
      <c r="I330" s="53">
        <v>21116.949999999997</v>
      </c>
      <c r="J330" s="49"/>
    </row>
    <row r="331" spans="1:10" x14ac:dyDescent="0.2">
      <c r="A331" s="50">
        <f t="shared" si="5"/>
        <v>43795</v>
      </c>
      <c r="B331" s="51">
        <v>7435.7</v>
      </c>
      <c r="C331" s="52">
        <v>4293.8</v>
      </c>
      <c r="D331" s="52">
        <v>3596.3</v>
      </c>
      <c r="E331" s="52">
        <v>1973.6</v>
      </c>
      <c r="F331" s="52">
        <v>4933.6000000000004</v>
      </c>
      <c r="G331" s="52">
        <v>5536.3</v>
      </c>
      <c r="H331" s="52">
        <v>2873.7999999999997</v>
      </c>
      <c r="I331" s="53">
        <v>24895.5</v>
      </c>
      <c r="J331" s="49"/>
    </row>
    <row r="332" spans="1:10" x14ac:dyDescent="0.2">
      <c r="A332" s="50">
        <f t="shared" si="5"/>
        <v>43796</v>
      </c>
      <c r="B332" s="51">
        <v>8482.0300000000007</v>
      </c>
      <c r="C332" s="52">
        <v>5217.66</v>
      </c>
      <c r="D332" s="52">
        <v>4216.33</v>
      </c>
      <c r="E332" s="52">
        <v>1735.79</v>
      </c>
      <c r="F332" s="52">
        <v>5729</v>
      </c>
      <c r="G332" s="52">
        <v>5420.33</v>
      </c>
      <c r="H332" s="52">
        <v>2707.14</v>
      </c>
      <c r="I332" s="53">
        <v>28094</v>
      </c>
      <c r="J332" s="49"/>
    </row>
    <row r="333" spans="1:10" x14ac:dyDescent="0.2">
      <c r="A333" s="50">
        <f t="shared" si="5"/>
        <v>43797</v>
      </c>
      <c r="B333" s="51">
        <v>8390</v>
      </c>
      <c r="C333" s="52">
        <v>4914.1000000000004</v>
      </c>
      <c r="D333" s="52">
        <v>4194.6000000000004</v>
      </c>
      <c r="E333" s="52">
        <v>1540.1</v>
      </c>
      <c r="F333" s="52">
        <v>5009.5</v>
      </c>
      <c r="G333" s="52">
        <v>5715</v>
      </c>
      <c r="H333" s="52">
        <v>2950.44</v>
      </c>
      <c r="I333" s="53">
        <v>26812.86</v>
      </c>
      <c r="J333" s="49"/>
    </row>
    <row r="334" spans="1:10" x14ac:dyDescent="0.2">
      <c r="A334" s="50">
        <f t="shared" si="5"/>
        <v>43798</v>
      </c>
      <c r="B334" s="51">
        <v>6637.57</v>
      </c>
      <c r="C334" s="52">
        <v>3915.7</v>
      </c>
      <c r="D334" s="52">
        <v>3479.65</v>
      </c>
      <c r="E334" s="52">
        <v>2061.02</v>
      </c>
      <c r="F334" s="52">
        <v>4147.67</v>
      </c>
      <c r="G334" s="52">
        <v>4819.57</v>
      </c>
      <c r="H334" s="52">
        <v>2334.65</v>
      </c>
      <c r="I334" s="53">
        <v>22726.53</v>
      </c>
      <c r="J334" s="49"/>
    </row>
    <row r="335" spans="1:10" x14ac:dyDescent="0.2">
      <c r="A335" s="50">
        <f t="shared" si="5"/>
        <v>43799</v>
      </c>
      <c r="B335" s="51">
        <v>5510.3</v>
      </c>
      <c r="C335" s="52">
        <v>3191.3</v>
      </c>
      <c r="D335" s="52">
        <v>2938.7</v>
      </c>
      <c r="E335" s="52">
        <v>1955</v>
      </c>
      <c r="F335" s="52">
        <v>3258.2</v>
      </c>
      <c r="G335" s="52">
        <v>3815.2</v>
      </c>
      <c r="H335" s="52">
        <v>1748.9</v>
      </c>
      <c r="I335" s="53">
        <v>18919.8</v>
      </c>
      <c r="J335" s="49"/>
    </row>
    <row r="336" spans="1:10" x14ac:dyDescent="0.2">
      <c r="A336" s="50">
        <f t="shared" si="5"/>
        <v>43800</v>
      </c>
      <c r="B336" s="51">
        <v>6506.57</v>
      </c>
      <c r="C336" s="52">
        <v>4420.29</v>
      </c>
      <c r="D336" s="52">
        <v>3475.72</v>
      </c>
      <c r="E336" s="52">
        <v>997.37</v>
      </c>
      <c r="F336" s="52">
        <v>3808.61</v>
      </c>
      <c r="G336" s="52">
        <v>3634.13</v>
      </c>
      <c r="H336" s="52">
        <v>1728.62</v>
      </c>
      <c r="I336" s="53">
        <v>21114.070000000003</v>
      </c>
      <c r="J336" s="49"/>
    </row>
    <row r="337" spans="1:10" x14ac:dyDescent="0.2">
      <c r="A337" s="50">
        <f t="shared" si="5"/>
        <v>43801</v>
      </c>
      <c r="B337" s="51">
        <v>8091.19</v>
      </c>
      <c r="C337" s="52">
        <v>5259.16</v>
      </c>
      <c r="D337" s="52">
        <v>4573.18</v>
      </c>
      <c r="E337" s="52">
        <v>2403.46</v>
      </c>
      <c r="F337" s="52">
        <v>5480.94</v>
      </c>
      <c r="G337" s="52">
        <v>5749.73</v>
      </c>
      <c r="H337" s="52">
        <v>2988.7200000000003</v>
      </c>
      <c r="I337" s="53">
        <v>28568.939999999995</v>
      </c>
      <c r="J337" s="49"/>
    </row>
    <row r="338" spans="1:10" x14ac:dyDescent="0.2">
      <c r="A338" s="50">
        <f t="shared" si="5"/>
        <v>43802</v>
      </c>
      <c r="B338" s="51">
        <v>8309.17</v>
      </c>
      <c r="C338" s="52">
        <v>5233.26</v>
      </c>
      <c r="D338" s="52">
        <v>4745.1899999999996</v>
      </c>
      <c r="E338" s="52">
        <v>2173.14</v>
      </c>
      <c r="F338" s="52">
        <v>5509.15</v>
      </c>
      <c r="G338" s="52">
        <v>5350.54</v>
      </c>
      <c r="H338" s="52">
        <v>2922.1900000000005</v>
      </c>
      <c r="I338" s="53">
        <v>28398.259999999995</v>
      </c>
      <c r="J338" s="49"/>
    </row>
    <row r="339" spans="1:10" x14ac:dyDescent="0.2">
      <c r="A339" s="50">
        <f t="shared" si="5"/>
        <v>43803</v>
      </c>
      <c r="B339" s="51">
        <v>8520.7000000000007</v>
      </c>
      <c r="C339" s="52">
        <v>5150.1000000000004</v>
      </c>
      <c r="D339" s="52">
        <v>4724</v>
      </c>
      <c r="E339" s="52">
        <v>1936.8</v>
      </c>
      <c r="F339" s="52">
        <v>5518.5</v>
      </c>
      <c r="G339" s="52">
        <v>5398.5</v>
      </c>
      <c r="H339" s="52">
        <v>2786.88</v>
      </c>
      <c r="I339" s="53">
        <v>28461.72</v>
      </c>
      <c r="J339" s="49"/>
    </row>
    <row r="340" spans="1:10" x14ac:dyDescent="0.2">
      <c r="A340" s="50">
        <f t="shared" si="5"/>
        <v>43804</v>
      </c>
      <c r="B340" s="51">
        <v>8556.18</v>
      </c>
      <c r="C340" s="52">
        <v>5151.46</v>
      </c>
      <c r="D340" s="52">
        <v>4661.68</v>
      </c>
      <c r="E340" s="52">
        <v>2469.9499999999998</v>
      </c>
      <c r="F340" s="52">
        <v>5586.66</v>
      </c>
      <c r="G340" s="52">
        <v>5719.07</v>
      </c>
      <c r="H340" s="52">
        <v>3020.3999999999996</v>
      </c>
      <c r="I340" s="53">
        <v>29124.6</v>
      </c>
      <c r="J340" s="49"/>
    </row>
    <row r="341" spans="1:10" x14ac:dyDescent="0.2">
      <c r="A341" s="50">
        <f t="shared" si="5"/>
        <v>43805</v>
      </c>
      <c r="B341" s="51">
        <v>8246.39</v>
      </c>
      <c r="C341" s="52">
        <v>4966.3599999999997</v>
      </c>
      <c r="D341" s="52">
        <v>4706.0200000000004</v>
      </c>
      <c r="E341" s="52">
        <v>1999.04</v>
      </c>
      <c r="F341" s="52">
        <v>5382.49</v>
      </c>
      <c r="G341" s="52">
        <v>5765.11</v>
      </c>
      <c r="H341" s="52">
        <v>2960.12</v>
      </c>
      <c r="I341" s="53">
        <v>28105.290000000005</v>
      </c>
      <c r="J341" s="49"/>
    </row>
    <row r="342" spans="1:10" x14ac:dyDescent="0.2">
      <c r="A342" s="50">
        <f t="shared" si="5"/>
        <v>43806</v>
      </c>
      <c r="B342" s="51">
        <v>7747.05</v>
      </c>
      <c r="C342" s="52">
        <v>4910.96</v>
      </c>
      <c r="D342" s="52">
        <v>4284.0200000000004</v>
      </c>
      <c r="E342" s="52">
        <v>2511.5100000000002</v>
      </c>
      <c r="F342" s="52">
        <v>5512.82</v>
      </c>
      <c r="G342" s="52">
        <v>4405.83</v>
      </c>
      <c r="H342" s="52">
        <v>2109.2199999999998</v>
      </c>
      <c r="I342" s="53">
        <v>27262.97</v>
      </c>
      <c r="J342" s="49"/>
    </row>
    <row r="343" spans="1:10" x14ac:dyDescent="0.2">
      <c r="A343" s="50">
        <f t="shared" si="5"/>
        <v>43807</v>
      </c>
      <c r="B343" s="51">
        <v>6988.5</v>
      </c>
      <c r="C343" s="52">
        <v>4615.8</v>
      </c>
      <c r="D343" s="52">
        <v>3926.1</v>
      </c>
      <c r="E343" s="52">
        <v>1836.6</v>
      </c>
      <c r="F343" s="52">
        <v>4456.2</v>
      </c>
      <c r="G343" s="52">
        <v>4430.2</v>
      </c>
      <c r="H343" s="52">
        <v>2083.9</v>
      </c>
      <c r="I343" s="53">
        <v>24169.5</v>
      </c>
      <c r="J343" s="49"/>
    </row>
    <row r="344" spans="1:10" x14ac:dyDescent="0.2">
      <c r="A344" s="50">
        <f t="shared" si="5"/>
        <v>43808</v>
      </c>
      <c r="B344" s="51">
        <v>7591.98</v>
      </c>
      <c r="C344" s="52">
        <v>5236.32</v>
      </c>
      <c r="D344" s="52">
        <v>4227.16</v>
      </c>
      <c r="E344" s="52">
        <v>2152.38</v>
      </c>
      <c r="F344" s="52">
        <v>4941.1899999999996</v>
      </c>
      <c r="G344" s="52">
        <v>5074.04</v>
      </c>
      <c r="H344" s="52">
        <v>2792.4</v>
      </c>
      <c r="I344" s="53">
        <v>26430.67</v>
      </c>
      <c r="J344" s="49"/>
    </row>
    <row r="345" spans="1:10" x14ac:dyDescent="0.2">
      <c r="A345" s="50">
        <f t="shared" si="5"/>
        <v>43809</v>
      </c>
      <c r="B345" s="51">
        <v>8045.97</v>
      </c>
      <c r="C345" s="52">
        <v>4775.47</v>
      </c>
      <c r="D345" s="52">
        <v>4632.67</v>
      </c>
      <c r="E345" s="52">
        <v>1953.15</v>
      </c>
      <c r="F345" s="52">
        <v>5981.83</v>
      </c>
      <c r="G345" s="52">
        <v>5383.03</v>
      </c>
      <c r="H345" s="52">
        <v>2693.79</v>
      </c>
      <c r="I345" s="53">
        <v>28078.33</v>
      </c>
      <c r="J345" s="49"/>
    </row>
    <row r="346" spans="1:10" x14ac:dyDescent="0.2">
      <c r="A346" s="50">
        <f t="shared" si="5"/>
        <v>43810</v>
      </c>
      <c r="B346" s="51">
        <v>7977.09</v>
      </c>
      <c r="C346" s="52">
        <v>4948.74</v>
      </c>
      <c r="D346" s="52">
        <v>4570.78</v>
      </c>
      <c r="E346" s="52">
        <v>2251.4</v>
      </c>
      <c r="F346" s="52">
        <v>5360.67</v>
      </c>
      <c r="G346" s="52">
        <v>5411.29</v>
      </c>
      <c r="H346" s="52">
        <v>2743.5</v>
      </c>
      <c r="I346" s="53">
        <v>27776.47</v>
      </c>
      <c r="J346" s="49"/>
    </row>
    <row r="347" spans="1:10" x14ac:dyDescent="0.2">
      <c r="A347" s="50">
        <f t="shared" si="5"/>
        <v>43811</v>
      </c>
      <c r="B347" s="51">
        <v>8312.7999999999993</v>
      </c>
      <c r="C347" s="52">
        <v>4894.3999999999996</v>
      </c>
      <c r="D347" s="52">
        <v>4719.3</v>
      </c>
      <c r="E347" s="52">
        <v>2893</v>
      </c>
      <c r="F347" s="52">
        <v>6037</v>
      </c>
      <c r="G347" s="52">
        <v>5718</v>
      </c>
      <c r="H347" s="52">
        <v>2756.9</v>
      </c>
      <c r="I347" s="53">
        <v>29817.599999999999</v>
      </c>
      <c r="J347" s="49"/>
    </row>
    <row r="348" spans="1:10" x14ac:dyDescent="0.2">
      <c r="A348" s="50">
        <f t="shared" si="5"/>
        <v>43812</v>
      </c>
      <c r="B348" s="51">
        <v>8038.16</v>
      </c>
      <c r="C348" s="52">
        <v>4836.93</v>
      </c>
      <c r="D348" s="52">
        <v>4747.8900000000003</v>
      </c>
      <c r="E348" s="52">
        <v>2624.34</v>
      </c>
      <c r="F348" s="52">
        <v>5497.77</v>
      </c>
      <c r="G348" s="52">
        <v>5732.28</v>
      </c>
      <c r="H348" s="52">
        <v>2754.57</v>
      </c>
      <c r="I348" s="53">
        <v>28722.799999999999</v>
      </c>
      <c r="J348" s="49"/>
    </row>
    <row r="349" spans="1:10" x14ac:dyDescent="0.2">
      <c r="A349" s="50">
        <f t="shared" si="5"/>
        <v>43813</v>
      </c>
      <c r="B349" s="51">
        <v>7750.57</v>
      </c>
      <c r="C349" s="52">
        <v>4338.09</v>
      </c>
      <c r="D349" s="52">
        <v>4587.17</v>
      </c>
      <c r="E349" s="52">
        <v>3228.16</v>
      </c>
      <c r="F349" s="52">
        <v>6304.3</v>
      </c>
      <c r="G349" s="52">
        <v>4983.62</v>
      </c>
      <c r="H349" s="52">
        <v>2339.83</v>
      </c>
      <c r="I349" s="53">
        <v>28852.080000000002</v>
      </c>
      <c r="J349" s="49"/>
    </row>
    <row r="350" spans="1:10" x14ac:dyDescent="0.2">
      <c r="A350" s="50">
        <f t="shared" si="5"/>
        <v>43814</v>
      </c>
      <c r="B350" s="51">
        <v>7809.44</v>
      </c>
      <c r="C350" s="52">
        <v>4665.67</v>
      </c>
      <c r="D350" s="52">
        <v>4858.78</v>
      </c>
      <c r="E350" s="52">
        <v>2669.37</v>
      </c>
      <c r="F350" s="52">
        <v>6203.53</v>
      </c>
      <c r="G350" s="52">
        <v>4892.1899999999996</v>
      </c>
      <c r="H350" s="52">
        <v>2366.69</v>
      </c>
      <c r="I350" s="53">
        <v>28732.289999999997</v>
      </c>
      <c r="J350" s="49"/>
    </row>
    <row r="351" spans="1:10" x14ac:dyDescent="0.2">
      <c r="A351" s="50">
        <f t="shared" si="5"/>
        <v>43815</v>
      </c>
      <c r="B351" s="51">
        <v>7877.1</v>
      </c>
      <c r="C351" s="52">
        <v>4285.1000000000004</v>
      </c>
      <c r="D351" s="52">
        <v>5103.6000000000004</v>
      </c>
      <c r="E351" s="52">
        <v>1856.5</v>
      </c>
      <c r="F351" s="52">
        <v>5533.4</v>
      </c>
      <c r="G351" s="52">
        <v>5791.2</v>
      </c>
      <c r="H351" s="52">
        <v>2894.96</v>
      </c>
      <c r="I351" s="53">
        <v>27551.940000000006</v>
      </c>
      <c r="J351" s="49"/>
    </row>
    <row r="352" spans="1:10" x14ac:dyDescent="0.2">
      <c r="A352" s="50">
        <f t="shared" ref="A352:A366" si="6">A351+1</f>
        <v>43816</v>
      </c>
      <c r="B352" s="51">
        <v>7957.84</v>
      </c>
      <c r="C352" s="52">
        <v>4443.76</v>
      </c>
      <c r="D352" s="52">
        <v>5063.41</v>
      </c>
      <c r="E352" s="52">
        <v>2341.3200000000002</v>
      </c>
      <c r="F352" s="52">
        <v>5417.33</v>
      </c>
      <c r="G352" s="52">
        <v>6414.54</v>
      </c>
      <c r="H352" s="52">
        <v>3115.28</v>
      </c>
      <c r="I352" s="53">
        <v>28522.920000000006</v>
      </c>
      <c r="J352" s="49"/>
    </row>
    <row r="353" spans="1:10" x14ac:dyDescent="0.2">
      <c r="A353" s="50">
        <f t="shared" si="6"/>
        <v>43817</v>
      </c>
      <c r="B353" s="51">
        <v>7685.91</v>
      </c>
      <c r="C353" s="52">
        <v>4193.12</v>
      </c>
      <c r="D353" s="52">
        <v>5150.8999999999996</v>
      </c>
      <c r="E353" s="52">
        <v>2330.7600000000002</v>
      </c>
      <c r="F353" s="52">
        <v>6043.43</v>
      </c>
      <c r="G353" s="52">
        <v>6243.42</v>
      </c>
      <c r="H353" s="52">
        <v>2954.2900000000004</v>
      </c>
      <c r="I353" s="53">
        <v>28693.25</v>
      </c>
      <c r="J353" s="49"/>
    </row>
    <row r="354" spans="1:10" x14ac:dyDescent="0.2">
      <c r="A354" s="50">
        <f t="shared" si="6"/>
        <v>43818</v>
      </c>
      <c r="B354" s="51">
        <v>8072.51</v>
      </c>
      <c r="C354" s="52">
        <v>4301.88</v>
      </c>
      <c r="D354" s="52">
        <v>5068.5200000000004</v>
      </c>
      <c r="E354" s="52">
        <v>3302.09</v>
      </c>
      <c r="F354" s="52">
        <v>6002.6</v>
      </c>
      <c r="G354" s="52">
        <v>6191.06</v>
      </c>
      <c r="H354" s="52">
        <v>3116.7200000000003</v>
      </c>
      <c r="I354" s="53">
        <v>29821.939999999995</v>
      </c>
      <c r="J354" s="49"/>
    </row>
    <row r="355" spans="1:10" x14ac:dyDescent="0.2">
      <c r="A355" s="50">
        <f t="shared" si="6"/>
        <v>43819</v>
      </c>
      <c r="B355" s="51">
        <v>7835</v>
      </c>
      <c r="C355" s="52">
        <v>4178.8</v>
      </c>
      <c r="D355" s="52">
        <v>5090.7</v>
      </c>
      <c r="E355" s="52">
        <v>2306.1999999999998</v>
      </c>
      <c r="F355" s="52">
        <v>6031.6</v>
      </c>
      <c r="G355" s="52">
        <v>5834.6</v>
      </c>
      <c r="H355" s="52">
        <v>2798.8999999999996</v>
      </c>
      <c r="I355" s="53">
        <v>28478</v>
      </c>
      <c r="J355" s="49"/>
    </row>
    <row r="356" spans="1:10" x14ac:dyDescent="0.2">
      <c r="A356" s="50">
        <f t="shared" si="6"/>
        <v>43820</v>
      </c>
      <c r="B356" s="51">
        <v>7315.27</v>
      </c>
      <c r="C356" s="52">
        <v>4070.71</v>
      </c>
      <c r="D356" s="52">
        <v>5039.5</v>
      </c>
      <c r="E356" s="52">
        <v>2940.8</v>
      </c>
      <c r="F356" s="52">
        <v>5564.11</v>
      </c>
      <c r="G356" s="52">
        <v>5366.43</v>
      </c>
      <c r="H356" s="52">
        <v>2159.9500000000003</v>
      </c>
      <c r="I356" s="53">
        <v>28136.87</v>
      </c>
      <c r="J356" s="49"/>
    </row>
    <row r="357" spans="1:10" x14ac:dyDescent="0.2">
      <c r="A357" s="50">
        <f t="shared" si="6"/>
        <v>43821</v>
      </c>
      <c r="B357" s="51">
        <v>7097.29</v>
      </c>
      <c r="C357" s="52">
        <v>3778.51</v>
      </c>
      <c r="D357" s="52">
        <v>5043.95</v>
      </c>
      <c r="E357" s="52">
        <v>2874.35</v>
      </c>
      <c r="F357" s="52">
        <v>4951.1000000000004</v>
      </c>
      <c r="G357" s="52">
        <v>4958.8</v>
      </c>
      <c r="H357" s="52">
        <v>2261.73</v>
      </c>
      <c r="I357" s="53">
        <v>26442.269999999997</v>
      </c>
      <c r="J357" s="49"/>
    </row>
    <row r="358" spans="1:10" x14ac:dyDescent="0.2">
      <c r="A358" s="50">
        <f t="shared" si="6"/>
        <v>43822</v>
      </c>
      <c r="B358" s="51">
        <v>7751.97</v>
      </c>
      <c r="C358" s="52">
        <v>4469.9399999999996</v>
      </c>
      <c r="D358" s="52">
        <v>5098.8100000000004</v>
      </c>
      <c r="E358" s="52">
        <v>2550.88</v>
      </c>
      <c r="F358" s="52">
        <v>5533.91</v>
      </c>
      <c r="G358" s="52">
        <v>5872.87</v>
      </c>
      <c r="H358" s="52">
        <v>3025.5699999999997</v>
      </c>
      <c r="I358" s="53">
        <v>28252.81</v>
      </c>
      <c r="J358" s="49"/>
    </row>
    <row r="359" spans="1:10" x14ac:dyDescent="0.2">
      <c r="A359" s="50">
        <f t="shared" si="6"/>
        <v>43823</v>
      </c>
      <c r="B359" s="51">
        <v>7978.7</v>
      </c>
      <c r="C359" s="52">
        <v>4835.8</v>
      </c>
      <c r="D359" s="52">
        <v>4951.3</v>
      </c>
      <c r="E359" s="52">
        <v>2207.8000000000002</v>
      </c>
      <c r="F359" s="52">
        <v>5905.8</v>
      </c>
      <c r="G359" s="52">
        <v>5542.5</v>
      </c>
      <c r="H359" s="52">
        <v>2848.2</v>
      </c>
      <c r="I359" s="53">
        <v>28573.699999999997</v>
      </c>
      <c r="J359" s="49"/>
    </row>
    <row r="360" spans="1:10" x14ac:dyDescent="0.2">
      <c r="A360" s="50">
        <f t="shared" si="6"/>
        <v>43824</v>
      </c>
      <c r="B360" s="51">
        <v>7921.91</v>
      </c>
      <c r="C360" s="52">
        <v>5210.6499999999996</v>
      </c>
      <c r="D360" s="52">
        <v>4746.4399999999996</v>
      </c>
      <c r="E360" s="52">
        <v>2357.94</v>
      </c>
      <c r="F360" s="52">
        <v>5807.65</v>
      </c>
      <c r="G360" s="52">
        <v>4981.47</v>
      </c>
      <c r="H360" s="52">
        <v>2427.75</v>
      </c>
      <c r="I360" s="53">
        <v>28598.309999999998</v>
      </c>
      <c r="J360" s="49"/>
    </row>
    <row r="361" spans="1:10" x14ac:dyDescent="0.2">
      <c r="A361" s="50">
        <f t="shared" si="6"/>
        <v>43825</v>
      </c>
      <c r="B361" s="51">
        <v>8226.23</v>
      </c>
      <c r="C361" s="52">
        <v>4837.04</v>
      </c>
      <c r="D361" s="52">
        <v>4821.42</v>
      </c>
      <c r="E361" s="52">
        <v>3030.91</v>
      </c>
      <c r="F361" s="52">
        <v>6453.06</v>
      </c>
      <c r="G361" s="52">
        <v>5292.75</v>
      </c>
      <c r="H361" s="52">
        <v>2102.4500000000003</v>
      </c>
      <c r="I361" s="53">
        <v>30558.960000000003</v>
      </c>
      <c r="J361" s="49"/>
    </row>
    <row r="362" spans="1:10" x14ac:dyDescent="0.2">
      <c r="A362" s="50">
        <f t="shared" si="6"/>
        <v>43826</v>
      </c>
      <c r="B362" s="51">
        <v>7740.97</v>
      </c>
      <c r="C362" s="52">
        <v>4886.6499999999996</v>
      </c>
      <c r="D362" s="52">
        <v>5166.92</v>
      </c>
      <c r="E362" s="52">
        <v>2316.71</v>
      </c>
      <c r="F362" s="52">
        <v>6511.77</v>
      </c>
      <c r="G362" s="52">
        <v>5222.04</v>
      </c>
      <c r="H362" s="52">
        <v>2189.0199999999995</v>
      </c>
      <c r="I362" s="53">
        <v>29656.04</v>
      </c>
      <c r="J362" s="49"/>
    </row>
    <row r="363" spans="1:10" x14ac:dyDescent="0.2">
      <c r="A363" s="50">
        <f t="shared" si="6"/>
        <v>43827</v>
      </c>
      <c r="B363" s="51">
        <v>3222</v>
      </c>
      <c r="C363" s="52">
        <v>2247</v>
      </c>
      <c r="D363" s="52">
        <v>3264</v>
      </c>
      <c r="E363" s="52">
        <v>132</v>
      </c>
      <c r="F363" s="52">
        <v>2548</v>
      </c>
      <c r="G363" s="52">
        <v>3395</v>
      </c>
      <c r="H363" s="52">
        <v>1646</v>
      </c>
      <c r="I363" s="53">
        <v>13162</v>
      </c>
      <c r="J363" s="49"/>
    </row>
    <row r="364" spans="1:10" x14ac:dyDescent="0.2">
      <c r="A364" s="50">
        <f t="shared" si="6"/>
        <v>43828</v>
      </c>
      <c r="B364" s="51">
        <v>1435</v>
      </c>
      <c r="C364" s="52">
        <v>729</v>
      </c>
      <c r="D364" s="52">
        <v>939</v>
      </c>
      <c r="E364" s="52">
        <v>42</v>
      </c>
      <c r="F364" s="52">
        <v>1240</v>
      </c>
      <c r="G364" s="52">
        <v>2687</v>
      </c>
      <c r="H364" s="52">
        <v>1536</v>
      </c>
      <c r="I364" s="53">
        <v>5536</v>
      </c>
      <c r="J364" s="49"/>
    </row>
    <row r="365" spans="1:10" x14ac:dyDescent="0.2">
      <c r="A365" s="50">
        <f t="shared" si="6"/>
        <v>43829</v>
      </c>
      <c r="B365" s="51">
        <v>1658</v>
      </c>
      <c r="C365" s="52">
        <v>1242</v>
      </c>
      <c r="D365" s="52">
        <v>1932</v>
      </c>
      <c r="E365" s="52">
        <v>460</v>
      </c>
      <c r="F365" s="52">
        <v>1039</v>
      </c>
      <c r="G365" s="52">
        <v>2766</v>
      </c>
      <c r="H365" s="52">
        <v>1804</v>
      </c>
      <c r="I365" s="53">
        <v>7293</v>
      </c>
      <c r="J365" s="49"/>
    </row>
    <row r="366" spans="1:10" x14ac:dyDescent="0.2">
      <c r="A366" s="50">
        <f t="shared" si="6"/>
        <v>43830</v>
      </c>
      <c r="B366" s="51">
        <v>1053</v>
      </c>
      <c r="C366" s="52">
        <v>664</v>
      </c>
      <c r="D366" s="52">
        <v>1885</v>
      </c>
      <c r="E366" s="52">
        <v>42</v>
      </c>
      <c r="F366" s="52">
        <v>268</v>
      </c>
      <c r="G366" s="52">
        <v>1327</v>
      </c>
      <c r="H366" s="52">
        <v>812.2</v>
      </c>
      <c r="I366" s="53">
        <v>4426.8</v>
      </c>
      <c r="J366" s="49"/>
    </row>
    <row r="367" spans="1:10" x14ac:dyDescent="0.2">
      <c r="A367" s="50"/>
      <c r="B367" s="51"/>
      <c r="C367" s="52"/>
      <c r="D367" s="52"/>
      <c r="E367" s="52"/>
      <c r="F367" s="52"/>
      <c r="G367" s="52"/>
      <c r="H367" s="52"/>
      <c r="I367" s="53"/>
      <c r="J367" s="49"/>
    </row>
    <row r="368" spans="1:10" x14ac:dyDescent="0.2">
      <c r="A368" s="50"/>
      <c r="B368" s="51"/>
      <c r="C368" s="52"/>
      <c r="D368" s="52"/>
      <c r="E368" s="52"/>
      <c r="F368" s="52"/>
      <c r="G368" s="52"/>
      <c r="H368" s="52"/>
      <c r="I368" s="53"/>
      <c r="J368" s="49"/>
    </row>
    <row r="369" spans="1:10" ht="13.5" thickBot="1" x14ac:dyDescent="0.25">
      <c r="A369" s="54"/>
      <c r="B369" s="55"/>
      <c r="C369" s="56"/>
      <c r="D369" s="56"/>
      <c r="E369" s="56"/>
      <c r="F369" s="56"/>
      <c r="G369" s="56"/>
      <c r="H369" s="56"/>
      <c r="I369" s="57"/>
      <c r="J369" s="49"/>
    </row>
    <row r="371" spans="1:10" x14ac:dyDescent="0.2">
      <c r="I371" s="58">
        <f>MAX(I2:I367)</f>
        <v>34632.910000000003</v>
      </c>
    </row>
  </sheetData>
  <conditionalFormatting sqref="A31">
    <cfRule type="expression" dxfId="30" priority="3" stopIfTrue="1">
      <formula>WEEKDAY(A31:A51,2)&gt;5</formula>
    </cfRule>
  </conditionalFormatting>
  <conditionalFormatting sqref="A32:A369">
    <cfRule type="expression" dxfId="29" priority="2" stopIfTrue="1">
      <formula>WEEKDAY(A32:A52,2)&gt;5</formula>
    </cfRule>
  </conditionalFormatting>
  <conditionalFormatting sqref="A2:A30">
    <cfRule type="expression" dxfId="28" priority="1" stopIfTrue="1">
      <formula>WEEKDAY(A2:A22,2)&gt;5</formula>
    </cfRule>
  </conditionalFormatting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371"/>
  <sheetViews>
    <sheetView zoomScaleNormal="100" workbookViewId="0">
      <selection activeCell="T1" sqref="T1:W1048576"/>
    </sheetView>
  </sheetViews>
  <sheetFormatPr defaultRowHeight="12.75" x14ac:dyDescent="0.2"/>
  <cols>
    <col min="1" max="1" width="9.140625" style="44"/>
    <col min="2" max="2" width="10.85546875" style="44" customWidth="1"/>
    <col min="3" max="3" width="10.28515625" style="44" customWidth="1"/>
    <col min="4" max="4" width="9.85546875" style="44" customWidth="1"/>
    <col min="5" max="5" width="10.5703125" style="44" customWidth="1"/>
    <col min="6" max="6" width="10" style="44" customWidth="1"/>
    <col min="7" max="7" width="9.85546875" style="44" customWidth="1"/>
    <col min="8" max="8" width="10.140625" style="44" customWidth="1"/>
    <col min="9" max="9" width="13.85546875" style="44" customWidth="1"/>
    <col min="10" max="10" width="12.5703125" style="44" customWidth="1"/>
    <col min="11" max="253" width="9.140625" style="44"/>
    <col min="254" max="254" width="10.85546875" style="44" customWidth="1"/>
    <col min="255" max="255" width="10.28515625" style="44" customWidth="1"/>
    <col min="256" max="256" width="9.85546875" style="44" customWidth="1"/>
    <col min="257" max="257" width="10.5703125" style="44" customWidth="1"/>
    <col min="258" max="258" width="10" style="44" customWidth="1"/>
    <col min="259" max="259" width="9.85546875" style="44" customWidth="1"/>
    <col min="260" max="260" width="10.140625" style="44" customWidth="1"/>
    <col min="261" max="261" width="13.85546875" style="44" customWidth="1"/>
    <col min="262" max="262" width="12.5703125" style="44" customWidth="1"/>
    <col min="263" max="509" width="9.140625" style="44"/>
    <col min="510" max="510" width="10.85546875" style="44" customWidth="1"/>
    <col min="511" max="511" width="10.28515625" style="44" customWidth="1"/>
    <col min="512" max="512" width="9.85546875" style="44" customWidth="1"/>
    <col min="513" max="513" width="10.5703125" style="44" customWidth="1"/>
    <col min="514" max="514" width="10" style="44" customWidth="1"/>
    <col min="515" max="515" width="9.85546875" style="44" customWidth="1"/>
    <col min="516" max="516" width="10.140625" style="44" customWidth="1"/>
    <col min="517" max="517" width="13.85546875" style="44" customWidth="1"/>
    <col min="518" max="518" width="12.5703125" style="44" customWidth="1"/>
    <col min="519" max="765" width="9.140625" style="44"/>
    <col min="766" max="766" width="10.85546875" style="44" customWidth="1"/>
    <col min="767" max="767" width="10.28515625" style="44" customWidth="1"/>
    <col min="768" max="768" width="9.85546875" style="44" customWidth="1"/>
    <col min="769" max="769" width="10.5703125" style="44" customWidth="1"/>
    <col min="770" max="770" width="10" style="44" customWidth="1"/>
    <col min="771" max="771" width="9.85546875" style="44" customWidth="1"/>
    <col min="772" max="772" width="10.140625" style="44" customWidth="1"/>
    <col min="773" max="773" width="13.85546875" style="44" customWidth="1"/>
    <col min="774" max="774" width="12.5703125" style="44" customWidth="1"/>
    <col min="775" max="1021" width="9.140625" style="44"/>
    <col min="1022" max="1022" width="10.85546875" style="44" customWidth="1"/>
    <col min="1023" max="1023" width="10.28515625" style="44" customWidth="1"/>
    <col min="1024" max="1024" width="9.85546875" style="44" customWidth="1"/>
    <col min="1025" max="1025" width="10.5703125" style="44" customWidth="1"/>
    <col min="1026" max="1026" width="10" style="44" customWidth="1"/>
    <col min="1027" max="1027" width="9.85546875" style="44" customWidth="1"/>
    <col min="1028" max="1028" width="10.140625" style="44" customWidth="1"/>
    <col min="1029" max="1029" width="13.85546875" style="44" customWidth="1"/>
    <col min="1030" max="1030" width="12.5703125" style="44" customWidth="1"/>
    <col min="1031" max="1277" width="9.140625" style="44"/>
    <col min="1278" max="1278" width="10.85546875" style="44" customWidth="1"/>
    <col min="1279" max="1279" width="10.28515625" style="44" customWidth="1"/>
    <col min="1280" max="1280" width="9.85546875" style="44" customWidth="1"/>
    <col min="1281" max="1281" width="10.5703125" style="44" customWidth="1"/>
    <col min="1282" max="1282" width="10" style="44" customWidth="1"/>
    <col min="1283" max="1283" width="9.85546875" style="44" customWidth="1"/>
    <col min="1284" max="1284" width="10.140625" style="44" customWidth="1"/>
    <col min="1285" max="1285" width="13.85546875" style="44" customWidth="1"/>
    <col min="1286" max="1286" width="12.5703125" style="44" customWidth="1"/>
    <col min="1287" max="1533" width="9.140625" style="44"/>
    <col min="1534" max="1534" width="10.85546875" style="44" customWidth="1"/>
    <col min="1535" max="1535" width="10.28515625" style="44" customWidth="1"/>
    <col min="1536" max="1536" width="9.85546875" style="44" customWidth="1"/>
    <col min="1537" max="1537" width="10.5703125" style="44" customWidth="1"/>
    <col min="1538" max="1538" width="10" style="44" customWidth="1"/>
    <col min="1539" max="1539" width="9.85546875" style="44" customWidth="1"/>
    <col min="1540" max="1540" width="10.140625" style="44" customWidth="1"/>
    <col min="1541" max="1541" width="13.85546875" style="44" customWidth="1"/>
    <col min="1542" max="1542" width="12.5703125" style="44" customWidth="1"/>
    <col min="1543" max="1789" width="9.140625" style="44"/>
    <col min="1790" max="1790" width="10.85546875" style="44" customWidth="1"/>
    <col min="1791" max="1791" width="10.28515625" style="44" customWidth="1"/>
    <col min="1792" max="1792" width="9.85546875" style="44" customWidth="1"/>
    <col min="1793" max="1793" width="10.5703125" style="44" customWidth="1"/>
    <col min="1794" max="1794" width="10" style="44" customWidth="1"/>
    <col min="1795" max="1795" width="9.85546875" style="44" customWidth="1"/>
    <col min="1796" max="1796" width="10.140625" style="44" customWidth="1"/>
    <col min="1797" max="1797" width="13.85546875" style="44" customWidth="1"/>
    <col min="1798" max="1798" width="12.5703125" style="44" customWidth="1"/>
    <col min="1799" max="2045" width="9.140625" style="44"/>
    <col min="2046" max="2046" width="10.85546875" style="44" customWidth="1"/>
    <col min="2047" max="2047" width="10.28515625" style="44" customWidth="1"/>
    <col min="2048" max="2048" width="9.85546875" style="44" customWidth="1"/>
    <col min="2049" max="2049" width="10.5703125" style="44" customWidth="1"/>
    <col min="2050" max="2050" width="10" style="44" customWidth="1"/>
    <col min="2051" max="2051" width="9.85546875" style="44" customWidth="1"/>
    <col min="2052" max="2052" width="10.140625" style="44" customWidth="1"/>
    <col min="2053" max="2053" width="13.85546875" style="44" customWidth="1"/>
    <col min="2054" max="2054" width="12.5703125" style="44" customWidth="1"/>
    <col min="2055" max="2301" width="9.140625" style="44"/>
    <col min="2302" max="2302" width="10.85546875" style="44" customWidth="1"/>
    <col min="2303" max="2303" width="10.28515625" style="44" customWidth="1"/>
    <col min="2304" max="2304" width="9.85546875" style="44" customWidth="1"/>
    <col min="2305" max="2305" width="10.5703125" style="44" customWidth="1"/>
    <col min="2306" max="2306" width="10" style="44" customWidth="1"/>
    <col min="2307" max="2307" width="9.85546875" style="44" customWidth="1"/>
    <col min="2308" max="2308" width="10.140625" style="44" customWidth="1"/>
    <col min="2309" max="2309" width="13.85546875" style="44" customWidth="1"/>
    <col min="2310" max="2310" width="12.5703125" style="44" customWidth="1"/>
    <col min="2311" max="2557" width="9.140625" style="44"/>
    <col min="2558" max="2558" width="10.85546875" style="44" customWidth="1"/>
    <col min="2559" max="2559" width="10.28515625" style="44" customWidth="1"/>
    <col min="2560" max="2560" width="9.85546875" style="44" customWidth="1"/>
    <col min="2561" max="2561" width="10.5703125" style="44" customWidth="1"/>
    <col min="2562" max="2562" width="10" style="44" customWidth="1"/>
    <col min="2563" max="2563" width="9.85546875" style="44" customWidth="1"/>
    <col min="2564" max="2564" width="10.140625" style="44" customWidth="1"/>
    <col min="2565" max="2565" width="13.85546875" style="44" customWidth="1"/>
    <col min="2566" max="2566" width="12.5703125" style="44" customWidth="1"/>
    <col min="2567" max="2813" width="9.140625" style="44"/>
    <col min="2814" max="2814" width="10.85546875" style="44" customWidth="1"/>
    <col min="2815" max="2815" width="10.28515625" style="44" customWidth="1"/>
    <col min="2816" max="2816" width="9.85546875" style="44" customWidth="1"/>
    <col min="2817" max="2817" width="10.5703125" style="44" customWidth="1"/>
    <col min="2818" max="2818" width="10" style="44" customWidth="1"/>
    <col min="2819" max="2819" width="9.85546875" style="44" customWidth="1"/>
    <col min="2820" max="2820" width="10.140625" style="44" customWidth="1"/>
    <col min="2821" max="2821" width="13.85546875" style="44" customWidth="1"/>
    <col min="2822" max="2822" width="12.5703125" style="44" customWidth="1"/>
    <col min="2823" max="3069" width="9.140625" style="44"/>
    <col min="3070" max="3070" width="10.85546875" style="44" customWidth="1"/>
    <col min="3071" max="3071" width="10.28515625" style="44" customWidth="1"/>
    <col min="3072" max="3072" width="9.85546875" style="44" customWidth="1"/>
    <col min="3073" max="3073" width="10.5703125" style="44" customWidth="1"/>
    <col min="3074" max="3074" width="10" style="44" customWidth="1"/>
    <col min="3075" max="3075" width="9.85546875" style="44" customWidth="1"/>
    <col min="3076" max="3076" width="10.140625" style="44" customWidth="1"/>
    <col min="3077" max="3077" width="13.85546875" style="44" customWidth="1"/>
    <col min="3078" max="3078" width="12.5703125" style="44" customWidth="1"/>
    <col min="3079" max="3325" width="9.140625" style="44"/>
    <col min="3326" max="3326" width="10.85546875" style="44" customWidth="1"/>
    <col min="3327" max="3327" width="10.28515625" style="44" customWidth="1"/>
    <col min="3328" max="3328" width="9.85546875" style="44" customWidth="1"/>
    <col min="3329" max="3329" width="10.5703125" style="44" customWidth="1"/>
    <col min="3330" max="3330" width="10" style="44" customWidth="1"/>
    <col min="3331" max="3331" width="9.85546875" style="44" customWidth="1"/>
    <col min="3332" max="3332" width="10.140625" style="44" customWidth="1"/>
    <col min="3333" max="3333" width="13.85546875" style="44" customWidth="1"/>
    <col min="3334" max="3334" width="12.5703125" style="44" customWidth="1"/>
    <col min="3335" max="3581" width="9.140625" style="44"/>
    <col min="3582" max="3582" width="10.85546875" style="44" customWidth="1"/>
    <col min="3583" max="3583" width="10.28515625" style="44" customWidth="1"/>
    <col min="3584" max="3584" width="9.85546875" style="44" customWidth="1"/>
    <col min="3585" max="3585" width="10.5703125" style="44" customWidth="1"/>
    <col min="3586" max="3586" width="10" style="44" customWidth="1"/>
    <col min="3587" max="3587" width="9.85546875" style="44" customWidth="1"/>
    <col min="3588" max="3588" width="10.140625" style="44" customWidth="1"/>
    <col min="3589" max="3589" width="13.85546875" style="44" customWidth="1"/>
    <col min="3590" max="3590" width="12.5703125" style="44" customWidth="1"/>
    <col min="3591" max="3837" width="9.140625" style="44"/>
    <col min="3838" max="3838" width="10.85546875" style="44" customWidth="1"/>
    <col min="3839" max="3839" width="10.28515625" style="44" customWidth="1"/>
    <col min="3840" max="3840" width="9.85546875" style="44" customWidth="1"/>
    <col min="3841" max="3841" width="10.5703125" style="44" customWidth="1"/>
    <col min="3842" max="3842" width="10" style="44" customWidth="1"/>
    <col min="3843" max="3843" width="9.85546875" style="44" customWidth="1"/>
    <col min="3844" max="3844" width="10.140625" style="44" customWidth="1"/>
    <col min="3845" max="3845" width="13.85546875" style="44" customWidth="1"/>
    <col min="3846" max="3846" width="12.5703125" style="44" customWidth="1"/>
    <col min="3847" max="4093" width="9.140625" style="44"/>
    <col min="4094" max="4094" width="10.85546875" style="44" customWidth="1"/>
    <col min="4095" max="4095" width="10.28515625" style="44" customWidth="1"/>
    <col min="4096" max="4096" width="9.85546875" style="44" customWidth="1"/>
    <col min="4097" max="4097" width="10.5703125" style="44" customWidth="1"/>
    <col min="4098" max="4098" width="10" style="44" customWidth="1"/>
    <col min="4099" max="4099" width="9.85546875" style="44" customWidth="1"/>
    <col min="4100" max="4100" width="10.140625" style="44" customWidth="1"/>
    <col min="4101" max="4101" width="13.85546875" style="44" customWidth="1"/>
    <col min="4102" max="4102" width="12.5703125" style="44" customWidth="1"/>
    <col min="4103" max="4349" width="9.140625" style="44"/>
    <col min="4350" max="4350" width="10.85546875" style="44" customWidth="1"/>
    <col min="4351" max="4351" width="10.28515625" style="44" customWidth="1"/>
    <col min="4352" max="4352" width="9.85546875" style="44" customWidth="1"/>
    <col min="4353" max="4353" width="10.5703125" style="44" customWidth="1"/>
    <col min="4354" max="4354" width="10" style="44" customWidth="1"/>
    <col min="4355" max="4355" width="9.85546875" style="44" customWidth="1"/>
    <col min="4356" max="4356" width="10.140625" style="44" customWidth="1"/>
    <col min="4357" max="4357" width="13.85546875" style="44" customWidth="1"/>
    <col min="4358" max="4358" width="12.5703125" style="44" customWidth="1"/>
    <col min="4359" max="4605" width="9.140625" style="44"/>
    <col min="4606" max="4606" width="10.85546875" style="44" customWidth="1"/>
    <col min="4607" max="4607" width="10.28515625" style="44" customWidth="1"/>
    <col min="4608" max="4608" width="9.85546875" style="44" customWidth="1"/>
    <col min="4609" max="4609" width="10.5703125" style="44" customWidth="1"/>
    <col min="4610" max="4610" width="10" style="44" customWidth="1"/>
    <col min="4611" max="4611" width="9.85546875" style="44" customWidth="1"/>
    <col min="4612" max="4612" width="10.140625" style="44" customWidth="1"/>
    <col min="4613" max="4613" width="13.85546875" style="44" customWidth="1"/>
    <col min="4614" max="4614" width="12.5703125" style="44" customWidth="1"/>
    <col min="4615" max="4861" width="9.140625" style="44"/>
    <col min="4862" max="4862" width="10.85546875" style="44" customWidth="1"/>
    <col min="4863" max="4863" width="10.28515625" style="44" customWidth="1"/>
    <col min="4864" max="4864" width="9.85546875" style="44" customWidth="1"/>
    <col min="4865" max="4865" width="10.5703125" style="44" customWidth="1"/>
    <col min="4866" max="4866" width="10" style="44" customWidth="1"/>
    <col min="4867" max="4867" width="9.85546875" style="44" customWidth="1"/>
    <col min="4868" max="4868" width="10.140625" style="44" customWidth="1"/>
    <col min="4869" max="4869" width="13.85546875" style="44" customWidth="1"/>
    <col min="4870" max="4870" width="12.5703125" style="44" customWidth="1"/>
    <col min="4871" max="5117" width="9.140625" style="44"/>
    <col min="5118" max="5118" width="10.85546875" style="44" customWidth="1"/>
    <col min="5119" max="5119" width="10.28515625" style="44" customWidth="1"/>
    <col min="5120" max="5120" width="9.85546875" style="44" customWidth="1"/>
    <col min="5121" max="5121" width="10.5703125" style="44" customWidth="1"/>
    <col min="5122" max="5122" width="10" style="44" customWidth="1"/>
    <col min="5123" max="5123" width="9.85546875" style="44" customWidth="1"/>
    <col min="5124" max="5124" width="10.140625" style="44" customWidth="1"/>
    <col min="5125" max="5125" width="13.85546875" style="44" customWidth="1"/>
    <col min="5126" max="5126" width="12.5703125" style="44" customWidth="1"/>
    <col min="5127" max="5373" width="9.140625" style="44"/>
    <col min="5374" max="5374" width="10.85546875" style="44" customWidth="1"/>
    <col min="5375" max="5375" width="10.28515625" style="44" customWidth="1"/>
    <col min="5376" max="5376" width="9.85546875" style="44" customWidth="1"/>
    <col min="5377" max="5377" width="10.5703125" style="44" customWidth="1"/>
    <col min="5378" max="5378" width="10" style="44" customWidth="1"/>
    <col min="5379" max="5379" width="9.85546875" style="44" customWidth="1"/>
    <col min="5380" max="5380" width="10.140625" style="44" customWidth="1"/>
    <col min="5381" max="5381" width="13.85546875" style="44" customWidth="1"/>
    <col min="5382" max="5382" width="12.5703125" style="44" customWidth="1"/>
    <col min="5383" max="5629" width="9.140625" style="44"/>
    <col min="5630" max="5630" width="10.85546875" style="44" customWidth="1"/>
    <col min="5631" max="5631" width="10.28515625" style="44" customWidth="1"/>
    <col min="5632" max="5632" width="9.85546875" style="44" customWidth="1"/>
    <col min="5633" max="5633" width="10.5703125" style="44" customWidth="1"/>
    <col min="5634" max="5634" width="10" style="44" customWidth="1"/>
    <col min="5635" max="5635" width="9.85546875" style="44" customWidth="1"/>
    <col min="5636" max="5636" width="10.140625" style="44" customWidth="1"/>
    <col min="5637" max="5637" width="13.85546875" style="44" customWidth="1"/>
    <col min="5638" max="5638" width="12.5703125" style="44" customWidth="1"/>
    <col min="5639" max="5885" width="9.140625" style="44"/>
    <col min="5886" max="5886" width="10.85546875" style="44" customWidth="1"/>
    <col min="5887" max="5887" width="10.28515625" style="44" customWidth="1"/>
    <col min="5888" max="5888" width="9.85546875" style="44" customWidth="1"/>
    <col min="5889" max="5889" width="10.5703125" style="44" customWidth="1"/>
    <col min="5890" max="5890" width="10" style="44" customWidth="1"/>
    <col min="5891" max="5891" width="9.85546875" style="44" customWidth="1"/>
    <col min="5892" max="5892" width="10.140625" style="44" customWidth="1"/>
    <col min="5893" max="5893" width="13.85546875" style="44" customWidth="1"/>
    <col min="5894" max="5894" width="12.5703125" style="44" customWidth="1"/>
    <col min="5895" max="6141" width="9.140625" style="44"/>
    <col min="6142" max="6142" width="10.85546875" style="44" customWidth="1"/>
    <col min="6143" max="6143" width="10.28515625" style="44" customWidth="1"/>
    <col min="6144" max="6144" width="9.85546875" style="44" customWidth="1"/>
    <col min="6145" max="6145" width="10.5703125" style="44" customWidth="1"/>
    <col min="6146" max="6146" width="10" style="44" customWidth="1"/>
    <col min="6147" max="6147" width="9.85546875" style="44" customWidth="1"/>
    <col min="6148" max="6148" width="10.140625" style="44" customWidth="1"/>
    <col min="6149" max="6149" width="13.85546875" style="44" customWidth="1"/>
    <col min="6150" max="6150" width="12.5703125" style="44" customWidth="1"/>
    <col min="6151" max="6397" width="9.140625" style="44"/>
    <col min="6398" max="6398" width="10.85546875" style="44" customWidth="1"/>
    <col min="6399" max="6399" width="10.28515625" style="44" customWidth="1"/>
    <col min="6400" max="6400" width="9.85546875" style="44" customWidth="1"/>
    <col min="6401" max="6401" width="10.5703125" style="44" customWidth="1"/>
    <col min="6402" max="6402" width="10" style="44" customWidth="1"/>
    <col min="6403" max="6403" width="9.85546875" style="44" customWidth="1"/>
    <col min="6404" max="6404" width="10.140625" style="44" customWidth="1"/>
    <col min="6405" max="6405" width="13.85546875" style="44" customWidth="1"/>
    <col min="6406" max="6406" width="12.5703125" style="44" customWidth="1"/>
    <col min="6407" max="6653" width="9.140625" style="44"/>
    <col min="6654" max="6654" width="10.85546875" style="44" customWidth="1"/>
    <col min="6655" max="6655" width="10.28515625" style="44" customWidth="1"/>
    <col min="6656" max="6656" width="9.85546875" style="44" customWidth="1"/>
    <col min="6657" max="6657" width="10.5703125" style="44" customWidth="1"/>
    <col min="6658" max="6658" width="10" style="44" customWidth="1"/>
    <col min="6659" max="6659" width="9.85546875" style="44" customWidth="1"/>
    <col min="6660" max="6660" width="10.140625" style="44" customWidth="1"/>
    <col min="6661" max="6661" width="13.85546875" style="44" customWidth="1"/>
    <col min="6662" max="6662" width="12.5703125" style="44" customWidth="1"/>
    <col min="6663" max="6909" width="9.140625" style="44"/>
    <col min="6910" max="6910" width="10.85546875" style="44" customWidth="1"/>
    <col min="6911" max="6911" width="10.28515625" style="44" customWidth="1"/>
    <col min="6912" max="6912" width="9.85546875" style="44" customWidth="1"/>
    <col min="6913" max="6913" width="10.5703125" style="44" customWidth="1"/>
    <col min="6914" max="6914" width="10" style="44" customWidth="1"/>
    <col min="6915" max="6915" width="9.85546875" style="44" customWidth="1"/>
    <col min="6916" max="6916" width="10.140625" style="44" customWidth="1"/>
    <col min="6917" max="6917" width="13.85546875" style="44" customWidth="1"/>
    <col min="6918" max="6918" width="12.5703125" style="44" customWidth="1"/>
    <col min="6919" max="7165" width="9.140625" style="44"/>
    <col min="7166" max="7166" width="10.85546875" style="44" customWidth="1"/>
    <col min="7167" max="7167" width="10.28515625" style="44" customWidth="1"/>
    <col min="7168" max="7168" width="9.85546875" style="44" customWidth="1"/>
    <col min="7169" max="7169" width="10.5703125" style="44" customWidth="1"/>
    <col min="7170" max="7170" width="10" style="44" customWidth="1"/>
    <col min="7171" max="7171" width="9.85546875" style="44" customWidth="1"/>
    <col min="7172" max="7172" width="10.140625" style="44" customWidth="1"/>
    <col min="7173" max="7173" width="13.85546875" style="44" customWidth="1"/>
    <col min="7174" max="7174" width="12.5703125" style="44" customWidth="1"/>
    <col min="7175" max="7421" width="9.140625" style="44"/>
    <col min="7422" max="7422" width="10.85546875" style="44" customWidth="1"/>
    <col min="7423" max="7423" width="10.28515625" style="44" customWidth="1"/>
    <col min="7424" max="7424" width="9.85546875" style="44" customWidth="1"/>
    <col min="7425" max="7425" width="10.5703125" style="44" customWidth="1"/>
    <col min="7426" max="7426" width="10" style="44" customWidth="1"/>
    <col min="7427" max="7427" width="9.85546875" style="44" customWidth="1"/>
    <col min="7428" max="7428" width="10.140625" style="44" customWidth="1"/>
    <col min="7429" max="7429" width="13.85546875" style="44" customWidth="1"/>
    <col min="7430" max="7430" width="12.5703125" style="44" customWidth="1"/>
    <col min="7431" max="7677" width="9.140625" style="44"/>
    <col min="7678" max="7678" width="10.85546875" style="44" customWidth="1"/>
    <col min="7679" max="7679" width="10.28515625" style="44" customWidth="1"/>
    <col min="7680" max="7680" width="9.85546875" style="44" customWidth="1"/>
    <col min="7681" max="7681" width="10.5703125" style="44" customWidth="1"/>
    <col min="7682" max="7682" width="10" style="44" customWidth="1"/>
    <col min="7683" max="7683" width="9.85546875" style="44" customWidth="1"/>
    <col min="7684" max="7684" width="10.140625" style="44" customWidth="1"/>
    <col min="7685" max="7685" width="13.85546875" style="44" customWidth="1"/>
    <col min="7686" max="7686" width="12.5703125" style="44" customWidth="1"/>
    <col min="7687" max="7933" width="9.140625" style="44"/>
    <col min="7934" max="7934" width="10.85546875" style="44" customWidth="1"/>
    <col min="7935" max="7935" width="10.28515625" style="44" customWidth="1"/>
    <col min="7936" max="7936" width="9.85546875" style="44" customWidth="1"/>
    <col min="7937" max="7937" width="10.5703125" style="44" customWidth="1"/>
    <col min="7938" max="7938" width="10" style="44" customWidth="1"/>
    <col min="7939" max="7939" width="9.85546875" style="44" customWidth="1"/>
    <col min="7940" max="7940" width="10.140625" style="44" customWidth="1"/>
    <col min="7941" max="7941" width="13.85546875" style="44" customWidth="1"/>
    <col min="7942" max="7942" width="12.5703125" style="44" customWidth="1"/>
    <col min="7943" max="8189" width="9.140625" style="44"/>
    <col min="8190" max="8190" width="10.85546875" style="44" customWidth="1"/>
    <col min="8191" max="8191" width="10.28515625" style="44" customWidth="1"/>
    <col min="8192" max="8192" width="9.85546875" style="44" customWidth="1"/>
    <col min="8193" max="8193" width="10.5703125" style="44" customWidth="1"/>
    <col min="8194" max="8194" width="10" style="44" customWidth="1"/>
    <col min="8195" max="8195" width="9.85546875" style="44" customWidth="1"/>
    <col min="8196" max="8196" width="10.140625" style="44" customWidth="1"/>
    <col min="8197" max="8197" width="13.85546875" style="44" customWidth="1"/>
    <col min="8198" max="8198" width="12.5703125" style="44" customWidth="1"/>
    <col min="8199" max="8445" width="9.140625" style="44"/>
    <col min="8446" max="8446" width="10.85546875" style="44" customWidth="1"/>
    <col min="8447" max="8447" width="10.28515625" style="44" customWidth="1"/>
    <col min="8448" max="8448" width="9.85546875" style="44" customWidth="1"/>
    <col min="8449" max="8449" width="10.5703125" style="44" customWidth="1"/>
    <col min="8450" max="8450" width="10" style="44" customWidth="1"/>
    <col min="8451" max="8451" width="9.85546875" style="44" customWidth="1"/>
    <col min="8452" max="8452" width="10.140625" style="44" customWidth="1"/>
    <col min="8453" max="8453" width="13.85546875" style="44" customWidth="1"/>
    <col min="8454" max="8454" width="12.5703125" style="44" customWidth="1"/>
    <col min="8455" max="8701" width="9.140625" style="44"/>
    <col min="8702" max="8702" width="10.85546875" style="44" customWidth="1"/>
    <col min="8703" max="8703" width="10.28515625" style="44" customWidth="1"/>
    <col min="8704" max="8704" width="9.85546875" style="44" customWidth="1"/>
    <col min="8705" max="8705" width="10.5703125" style="44" customWidth="1"/>
    <col min="8706" max="8706" width="10" style="44" customWidth="1"/>
    <col min="8707" max="8707" width="9.85546875" style="44" customWidth="1"/>
    <col min="8708" max="8708" width="10.140625" style="44" customWidth="1"/>
    <col min="8709" max="8709" width="13.85546875" style="44" customWidth="1"/>
    <col min="8710" max="8710" width="12.5703125" style="44" customWidth="1"/>
    <col min="8711" max="8957" width="9.140625" style="44"/>
    <col min="8958" max="8958" width="10.85546875" style="44" customWidth="1"/>
    <col min="8959" max="8959" width="10.28515625" style="44" customWidth="1"/>
    <col min="8960" max="8960" width="9.85546875" style="44" customWidth="1"/>
    <col min="8961" max="8961" width="10.5703125" style="44" customWidth="1"/>
    <col min="8962" max="8962" width="10" style="44" customWidth="1"/>
    <col min="8963" max="8963" width="9.85546875" style="44" customWidth="1"/>
    <col min="8964" max="8964" width="10.140625" style="44" customWidth="1"/>
    <col min="8965" max="8965" width="13.85546875" style="44" customWidth="1"/>
    <col min="8966" max="8966" width="12.5703125" style="44" customWidth="1"/>
    <col min="8967" max="9213" width="9.140625" style="44"/>
    <col min="9214" max="9214" width="10.85546875" style="44" customWidth="1"/>
    <col min="9215" max="9215" width="10.28515625" style="44" customWidth="1"/>
    <col min="9216" max="9216" width="9.85546875" style="44" customWidth="1"/>
    <col min="9217" max="9217" width="10.5703125" style="44" customWidth="1"/>
    <col min="9218" max="9218" width="10" style="44" customWidth="1"/>
    <col min="9219" max="9219" width="9.85546875" style="44" customWidth="1"/>
    <col min="9220" max="9220" width="10.140625" style="44" customWidth="1"/>
    <col min="9221" max="9221" width="13.85546875" style="44" customWidth="1"/>
    <col min="9222" max="9222" width="12.5703125" style="44" customWidth="1"/>
    <col min="9223" max="9469" width="9.140625" style="44"/>
    <col min="9470" max="9470" width="10.85546875" style="44" customWidth="1"/>
    <col min="9471" max="9471" width="10.28515625" style="44" customWidth="1"/>
    <col min="9472" max="9472" width="9.85546875" style="44" customWidth="1"/>
    <col min="9473" max="9473" width="10.5703125" style="44" customWidth="1"/>
    <col min="9474" max="9474" width="10" style="44" customWidth="1"/>
    <col min="9475" max="9475" width="9.85546875" style="44" customWidth="1"/>
    <col min="9476" max="9476" width="10.140625" style="44" customWidth="1"/>
    <col min="9477" max="9477" width="13.85546875" style="44" customWidth="1"/>
    <col min="9478" max="9478" width="12.5703125" style="44" customWidth="1"/>
    <col min="9479" max="9725" width="9.140625" style="44"/>
    <col min="9726" max="9726" width="10.85546875" style="44" customWidth="1"/>
    <col min="9727" max="9727" width="10.28515625" style="44" customWidth="1"/>
    <col min="9728" max="9728" width="9.85546875" style="44" customWidth="1"/>
    <col min="9729" max="9729" width="10.5703125" style="44" customWidth="1"/>
    <col min="9730" max="9730" width="10" style="44" customWidth="1"/>
    <col min="9731" max="9731" width="9.85546875" style="44" customWidth="1"/>
    <col min="9732" max="9732" width="10.140625" style="44" customWidth="1"/>
    <col min="9733" max="9733" width="13.85546875" style="44" customWidth="1"/>
    <col min="9734" max="9734" width="12.5703125" style="44" customWidth="1"/>
    <col min="9735" max="9981" width="9.140625" style="44"/>
    <col min="9982" max="9982" width="10.85546875" style="44" customWidth="1"/>
    <col min="9983" max="9983" width="10.28515625" style="44" customWidth="1"/>
    <col min="9984" max="9984" width="9.85546875" style="44" customWidth="1"/>
    <col min="9985" max="9985" width="10.5703125" style="44" customWidth="1"/>
    <col min="9986" max="9986" width="10" style="44" customWidth="1"/>
    <col min="9987" max="9987" width="9.85546875" style="44" customWidth="1"/>
    <col min="9988" max="9988" width="10.140625" style="44" customWidth="1"/>
    <col min="9989" max="9989" width="13.85546875" style="44" customWidth="1"/>
    <col min="9990" max="9990" width="12.5703125" style="44" customWidth="1"/>
    <col min="9991" max="10237" width="9.140625" style="44"/>
    <col min="10238" max="10238" width="10.85546875" style="44" customWidth="1"/>
    <col min="10239" max="10239" width="10.28515625" style="44" customWidth="1"/>
    <col min="10240" max="10240" width="9.85546875" style="44" customWidth="1"/>
    <col min="10241" max="10241" width="10.5703125" style="44" customWidth="1"/>
    <col min="10242" max="10242" width="10" style="44" customWidth="1"/>
    <col min="10243" max="10243" width="9.85546875" style="44" customWidth="1"/>
    <col min="10244" max="10244" width="10.140625" style="44" customWidth="1"/>
    <col min="10245" max="10245" width="13.85546875" style="44" customWidth="1"/>
    <col min="10246" max="10246" width="12.5703125" style="44" customWidth="1"/>
    <col min="10247" max="10493" width="9.140625" style="44"/>
    <col min="10494" max="10494" width="10.85546875" style="44" customWidth="1"/>
    <col min="10495" max="10495" width="10.28515625" style="44" customWidth="1"/>
    <col min="10496" max="10496" width="9.85546875" style="44" customWidth="1"/>
    <col min="10497" max="10497" width="10.5703125" style="44" customWidth="1"/>
    <col min="10498" max="10498" width="10" style="44" customWidth="1"/>
    <col min="10499" max="10499" width="9.85546875" style="44" customWidth="1"/>
    <col min="10500" max="10500" width="10.140625" style="44" customWidth="1"/>
    <col min="10501" max="10501" width="13.85546875" style="44" customWidth="1"/>
    <col min="10502" max="10502" width="12.5703125" style="44" customWidth="1"/>
    <col min="10503" max="10749" width="9.140625" style="44"/>
    <col min="10750" max="10750" width="10.85546875" style="44" customWidth="1"/>
    <col min="10751" max="10751" width="10.28515625" style="44" customWidth="1"/>
    <col min="10752" max="10752" width="9.85546875" style="44" customWidth="1"/>
    <col min="10753" max="10753" width="10.5703125" style="44" customWidth="1"/>
    <col min="10754" max="10754" width="10" style="44" customWidth="1"/>
    <col min="10755" max="10755" width="9.85546875" style="44" customWidth="1"/>
    <col min="10756" max="10756" width="10.140625" style="44" customWidth="1"/>
    <col min="10757" max="10757" width="13.85546875" style="44" customWidth="1"/>
    <col min="10758" max="10758" width="12.5703125" style="44" customWidth="1"/>
    <col min="10759" max="11005" width="9.140625" style="44"/>
    <col min="11006" max="11006" width="10.85546875" style="44" customWidth="1"/>
    <col min="11007" max="11007" width="10.28515625" style="44" customWidth="1"/>
    <col min="11008" max="11008" width="9.85546875" style="44" customWidth="1"/>
    <col min="11009" max="11009" width="10.5703125" style="44" customWidth="1"/>
    <col min="11010" max="11010" width="10" style="44" customWidth="1"/>
    <col min="11011" max="11011" width="9.85546875" style="44" customWidth="1"/>
    <col min="11012" max="11012" width="10.140625" style="44" customWidth="1"/>
    <col min="11013" max="11013" width="13.85546875" style="44" customWidth="1"/>
    <col min="11014" max="11014" width="12.5703125" style="44" customWidth="1"/>
    <col min="11015" max="11261" width="9.140625" style="44"/>
    <col min="11262" max="11262" width="10.85546875" style="44" customWidth="1"/>
    <col min="11263" max="11263" width="10.28515625" style="44" customWidth="1"/>
    <col min="11264" max="11264" width="9.85546875" style="44" customWidth="1"/>
    <col min="11265" max="11265" width="10.5703125" style="44" customWidth="1"/>
    <col min="11266" max="11266" width="10" style="44" customWidth="1"/>
    <col min="11267" max="11267" width="9.85546875" style="44" customWidth="1"/>
    <col min="11268" max="11268" width="10.140625" style="44" customWidth="1"/>
    <col min="11269" max="11269" width="13.85546875" style="44" customWidth="1"/>
    <col min="11270" max="11270" width="12.5703125" style="44" customWidth="1"/>
    <col min="11271" max="11517" width="9.140625" style="44"/>
    <col min="11518" max="11518" width="10.85546875" style="44" customWidth="1"/>
    <col min="11519" max="11519" width="10.28515625" style="44" customWidth="1"/>
    <col min="11520" max="11520" width="9.85546875" style="44" customWidth="1"/>
    <col min="11521" max="11521" width="10.5703125" style="44" customWidth="1"/>
    <col min="11522" max="11522" width="10" style="44" customWidth="1"/>
    <col min="11523" max="11523" width="9.85546875" style="44" customWidth="1"/>
    <col min="11524" max="11524" width="10.140625" style="44" customWidth="1"/>
    <col min="11525" max="11525" width="13.85546875" style="44" customWidth="1"/>
    <col min="11526" max="11526" width="12.5703125" style="44" customWidth="1"/>
    <col min="11527" max="11773" width="9.140625" style="44"/>
    <col min="11774" max="11774" width="10.85546875" style="44" customWidth="1"/>
    <col min="11775" max="11775" width="10.28515625" style="44" customWidth="1"/>
    <col min="11776" max="11776" width="9.85546875" style="44" customWidth="1"/>
    <col min="11777" max="11777" width="10.5703125" style="44" customWidth="1"/>
    <col min="11778" max="11778" width="10" style="44" customWidth="1"/>
    <col min="11779" max="11779" width="9.85546875" style="44" customWidth="1"/>
    <col min="11780" max="11780" width="10.140625" style="44" customWidth="1"/>
    <col min="11781" max="11781" width="13.85546875" style="44" customWidth="1"/>
    <col min="11782" max="11782" width="12.5703125" style="44" customWidth="1"/>
    <col min="11783" max="12029" width="9.140625" style="44"/>
    <col min="12030" max="12030" width="10.85546875" style="44" customWidth="1"/>
    <col min="12031" max="12031" width="10.28515625" style="44" customWidth="1"/>
    <col min="12032" max="12032" width="9.85546875" style="44" customWidth="1"/>
    <col min="12033" max="12033" width="10.5703125" style="44" customWidth="1"/>
    <col min="12034" max="12034" width="10" style="44" customWidth="1"/>
    <col min="12035" max="12035" width="9.85546875" style="44" customWidth="1"/>
    <col min="12036" max="12036" width="10.140625" style="44" customWidth="1"/>
    <col min="12037" max="12037" width="13.85546875" style="44" customWidth="1"/>
    <col min="12038" max="12038" width="12.5703125" style="44" customWidth="1"/>
    <col min="12039" max="12285" width="9.140625" style="44"/>
    <col min="12286" max="12286" width="10.85546875" style="44" customWidth="1"/>
    <col min="12287" max="12287" width="10.28515625" style="44" customWidth="1"/>
    <col min="12288" max="12288" width="9.85546875" style="44" customWidth="1"/>
    <col min="12289" max="12289" width="10.5703125" style="44" customWidth="1"/>
    <col min="12290" max="12290" width="10" style="44" customWidth="1"/>
    <col min="12291" max="12291" width="9.85546875" style="44" customWidth="1"/>
    <col min="12292" max="12292" width="10.140625" style="44" customWidth="1"/>
    <col min="12293" max="12293" width="13.85546875" style="44" customWidth="1"/>
    <col min="12294" max="12294" width="12.5703125" style="44" customWidth="1"/>
    <col min="12295" max="12541" width="9.140625" style="44"/>
    <col min="12542" max="12542" width="10.85546875" style="44" customWidth="1"/>
    <col min="12543" max="12543" width="10.28515625" style="44" customWidth="1"/>
    <col min="12544" max="12544" width="9.85546875" style="44" customWidth="1"/>
    <col min="12545" max="12545" width="10.5703125" style="44" customWidth="1"/>
    <col min="12546" max="12546" width="10" style="44" customWidth="1"/>
    <col min="12547" max="12547" width="9.85546875" style="44" customWidth="1"/>
    <col min="12548" max="12548" width="10.140625" style="44" customWidth="1"/>
    <col min="12549" max="12549" width="13.85546875" style="44" customWidth="1"/>
    <col min="12550" max="12550" width="12.5703125" style="44" customWidth="1"/>
    <col min="12551" max="12797" width="9.140625" style="44"/>
    <col min="12798" max="12798" width="10.85546875" style="44" customWidth="1"/>
    <col min="12799" max="12799" width="10.28515625" style="44" customWidth="1"/>
    <col min="12800" max="12800" width="9.85546875" style="44" customWidth="1"/>
    <col min="12801" max="12801" width="10.5703125" style="44" customWidth="1"/>
    <col min="12802" max="12802" width="10" style="44" customWidth="1"/>
    <col min="12803" max="12803" width="9.85546875" style="44" customWidth="1"/>
    <col min="12804" max="12804" width="10.140625" style="44" customWidth="1"/>
    <col min="12805" max="12805" width="13.85546875" style="44" customWidth="1"/>
    <col min="12806" max="12806" width="12.5703125" style="44" customWidth="1"/>
    <col min="12807" max="13053" width="9.140625" style="44"/>
    <col min="13054" max="13054" width="10.85546875" style="44" customWidth="1"/>
    <col min="13055" max="13055" width="10.28515625" style="44" customWidth="1"/>
    <col min="13056" max="13056" width="9.85546875" style="44" customWidth="1"/>
    <col min="13057" max="13057" width="10.5703125" style="44" customWidth="1"/>
    <col min="13058" max="13058" width="10" style="44" customWidth="1"/>
    <col min="13059" max="13059" width="9.85546875" style="44" customWidth="1"/>
    <col min="13060" max="13060" width="10.140625" style="44" customWidth="1"/>
    <col min="13061" max="13061" width="13.85546875" style="44" customWidth="1"/>
    <col min="13062" max="13062" width="12.5703125" style="44" customWidth="1"/>
    <col min="13063" max="13309" width="9.140625" style="44"/>
    <col min="13310" max="13310" width="10.85546875" style="44" customWidth="1"/>
    <col min="13311" max="13311" width="10.28515625" style="44" customWidth="1"/>
    <col min="13312" max="13312" width="9.85546875" style="44" customWidth="1"/>
    <col min="13313" max="13313" width="10.5703125" style="44" customWidth="1"/>
    <col min="13314" max="13314" width="10" style="44" customWidth="1"/>
    <col min="13315" max="13315" width="9.85546875" style="44" customWidth="1"/>
    <col min="13316" max="13316" width="10.140625" style="44" customWidth="1"/>
    <col min="13317" max="13317" width="13.85546875" style="44" customWidth="1"/>
    <col min="13318" max="13318" width="12.5703125" style="44" customWidth="1"/>
    <col min="13319" max="13565" width="9.140625" style="44"/>
    <col min="13566" max="13566" width="10.85546875" style="44" customWidth="1"/>
    <col min="13567" max="13567" width="10.28515625" style="44" customWidth="1"/>
    <col min="13568" max="13568" width="9.85546875" style="44" customWidth="1"/>
    <col min="13569" max="13569" width="10.5703125" style="44" customWidth="1"/>
    <col min="13570" max="13570" width="10" style="44" customWidth="1"/>
    <col min="13571" max="13571" width="9.85546875" style="44" customWidth="1"/>
    <col min="13572" max="13572" width="10.140625" style="44" customWidth="1"/>
    <col min="13573" max="13573" width="13.85546875" style="44" customWidth="1"/>
    <col min="13574" max="13574" width="12.5703125" style="44" customWidth="1"/>
    <col min="13575" max="13821" width="9.140625" style="44"/>
    <col min="13822" max="13822" width="10.85546875" style="44" customWidth="1"/>
    <col min="13823" max="13823" width="10.28515625" style="44" customWidth="1"/>
    <col min="13824" max="13824" width="9.85546875" style="44" customWidth="1"/>
    <col min="13825" max="13825" width="10.5703125" style="44" customWidth="1"/>
    <col min="13826" max="13826" width="10" style="44" customWidth="1"/>
    <col min="13827" max="13827" width="9.85546875" style="44" customWidth="1"/>
    <col min="13828" max="13828" width="10.140625" style="44" customWidth="1"/>
    <col min="13829" max="13829" width="13.85546875" style="44" customWidth="1"/>
    <col min="13830" max="13830" width="12.5703125" style="44" customWidth="1"/>
    <col min="13831" max="14077" width="9.140625" style="44"/>
    <col min="14078" max="14078" width="10.85546875" style="44" customWidth="1"/>
    <col min="14079" max="14079" width="10.28515625" style="44" customWidth="1"/>
    <col min="14080" max="14080" width="9.85546875" style="44" customWidth="1"/>
    <col min="14081" max="14081" width="10.5703125" style="44" customWidth="1"/>
    <col min="14082" max="14082" width="10" style="44" customWidth="1"/>
    <col min="14083" max="14083" width="9.85546875" style="44" customWidth="1"/>
    <col min="14084" max="14084" width="10.140625" style="44" customWidth="1"/>
    <col min="14085" max="14085" width="13.85546875" style="44" customWidth="1"/>
    <col min="14086" max="14086" width="12.5703125" style="44" customWidth="1"/>
    <col min="14087" max="14333" width="9.140625" style="44"/>
    <col min="14334" max="14334" width="10.85546875" style="44" customWidth="1"/>
    <col min="14335" max="14335" width="10.28515625" style="44" customWidth="1"/>
    <col min="14336" max="14336" width="9.85546875" style="44" customWidth="1"/>
    <col min="14337" max="14337" width="10.5703125" style="44" customWidth="1"/>
    <col min="14338" max="14338" width="10" style="44" customWidth="1"/>
    <col min="14339" max="14339" width="9.85546875" style="44" customWidth="1"/>
    <col min="14340" max="14340" width="10.140625" style="44" customWidth="1"/>
    <col min="14341" max="14341" width="13.85546875" style="44" customWidth="1"/>
    <col min="14342" max="14342" width="12.5703125" style="44" customWidth="1"/>
    <col min="14343" max="14589" width="9.140625" style="44"/>
    <col min="14590" max="14590" width="10.85546875" style="44" customWidth="1"/>
    <col min="14591" max="14591" width="10.28515625" style="44" customWidth="1"/>
    <col min="14592" max="14592" width="9.85546875" style="44" customWidth="1"/>
    <col min="14593" max="14593" width="10.5703125" style="44" customWidth="1"/>
    <col min="14594" max="14594" width="10" style="44" customWidth="1"/>
    <col min="14595" max="14595" width="9.85546875" style="44" customWidth="1"/>
    <col min="14596" max="14596" width="10.140625" style="44" customWidth="1"/>
    <col min="14597" max="14597" width="13.85546875" style="44" customWidth="1"/>
    <col min="14598" max="14598" width="12.5703125" style="44" customWidth="1"/>
    <col min="14599" max="14845" width="9.140625" style="44"/>
    <col min="14846" max="14846" width="10.85546875" style="44" customWidth="1"/>
    <col min="14847" max="14847" width="10.28515625" style="44" customWidth="1"/>
    <col min="14848" max="14848" width="9.85546875" style="44" customWidth="1"/>
    <col min="14849" max="14849" width="10.5703125" style="44" customWidth="1"/>
    <col min="14850" max="14850" width="10" style="44" customWidth="1"/>
    <col min="14851" max="14851" width="9.85546875" style="44" customWidth="1"/>
    <col min="14852" max="14852" width="10.140625" style="44" customWidth="1"/>
    <col min="14853" max="14853" width="13.85546875" style="44" customWidth="1"/>
    <col min="14854" max="14854" width="12.5703125" style="44" customWidth="1"/>
    <col min="14855" max="15101" width="9.140625" style="44"/>
    <col min="15102" max="15102" width="10.85546875" style="44" customWidth="1"/>
    <col min="15103" max="15103" width="10.28515625" style="44" customWidth="1"/>
    <col min="15104" max="15104" width="9.85546875" style="44" customWidth="1"/>
    <col min="15105" max="15105" width="10.5703125" style="44" customWidth="1"/>
    <col min="15106" max="15106" width="10" style="44" customWidth="1"/>
    <col min="15107" max="15107" width="9.85546875" style="44" customWidth="1"/>
    <col min="15108" max="15108" width="10.140625" style="44" customWidth="1"/>
    <col min="15109" max="15109" width="13.85546875" style="44" customWidth="1"/>
    <col min="15110" max="15110" width="12.5703125" style="44" customWidth="1"/>
    <col min="15111" max="15357" width="9.140625" style="44"/>
    <col min="15358" max="15358" width="10.85546875" style="44" customWidth="1"/>
    <col min="15359" max="15359" width="10.28515625" style="44" customWidth="1"/>
    <col min="15360" max="15360" width="9.85546875" style="44" customWidth="1"/>
    <col min="15361" max="15361" width="10.5703125" style="44" customWidth="1"/>
    <col min="15362" max="15362" width="10" style="44" customWidth="1"/>
    <col min="15363" max="15363" width="9.85546875" style="44" customWidth="1"/>
    <col min="15364" max="15364" width="10.140625" style="44" customWidth="1"/>
    <col min="15365" max="15365" width="13.85546875" style="44" customWidth="1"/>
    <col min="15366" max="15366" width="12.5703125" style="44" customWidth="1"/>
    <col min="15367" max="15613" width="9.140625" style="44"/>
    <col min="15614" max="15614" width="10.85546875" style="44" customWidth="1"/>
    <col min="15615" max="15615" width="10.28515625" style="44" customWidth="1"/>
    <col min="15616" max="15616" width="9.85546875" style="44" customWidth="1"/>
    <col min="15617" max="15617" width="10.5703125" style="44" customWidth="1"/>
    <col min="15618" max="15618" width="10" style="44" customWidth="1"/>
    <col min="15619" max="15619" width="9.85546875" style="44" customWidth="1"/>
    <col min="15620" max="15620" width="10.140625" style="44" customWidth="1"/>
    <col min="15621" max="15621" width="13.85546875" style="44" customWidth="1"/>
    <col min="15622" max="15622" width="12.5703125" style="44" customWidth="1"/>
    <col min="15623" max="15869" width="9.140625" style="44"/>
    <col min="15870" max="15870" width="10.85546875" style="44" customWidth="1"/>
    <col min="15871" max="15871" width="10.28515625" style="44" customWidth="1"/>
    <col min="15872" max="15872" width="9.85546875" style="44" customWidth="1"/>
    <col min="15873" max="15873" width="10.5703125" style="44" customWidth="1"/>
    <col min="15874" max="15874" width="10" style="44" customWidth="1"/>
    <col min="15875" max="15875" width="9.85546875" style="44" customWidth="1"/>
    <col min="15876" max="15876" width="10.140625" style="44" customWidth="1"/>
    <col min="15877" max="15877" width="13.85546875" style="44" customWidth="1"/>
    <col min="15878" max="15878" width="12.5703125" style="44" customWidth="1"/>
    <col min="15879" max="16125" width="9.140625" style="44"/>
    <col min="16126" max="16126" width="10.85546875" style="44" customWidth="1"/>
    <col min="16127" max="16127" width="10.28515625" style="44" customWidth="1"/>
    <col min="16128" max="16128" width="9.85546875" style="44" customWidth="1"/>
    <col min="16129" max="16129" width="10.5703125" style="44" customWidth="1"/>
    <col min="16130" max="16130" width="10" style="44" customWidth="1"/>
    <col min="16131" max="16131" width="9.85546875" style="44" customWidth="1"/>
    <col min="16132" max="16132" width="10.140625" style="44" customWidth="1"/>
    <col min="16133" max="16133" width="13.85546875" style="44" customWidth="1"/>
    <col min="16134" max="16134" width="12.5703125" style="44" customWidth="1"/>
    <col min="16135" max="16384" width="9.140625" style="44"/>
  </cols>
  <sheetData>
    <row r="1" spans="1:23" ht="90" thickBot="1" x14ac:dyDescent="0.25">
      <c r="A1" s="40" t="s">
        <v>42</v>
      </c>
      <c r="B1" s="41" t="s">
        <v>28</v>
      </c>
      <c r="C1" s="42" t="s">
        <v>29</v>
      </c>
      <c r="D1" s="42" t="s">
        <v>30</v>
      </c>
      <c r="E1" s="42" t="s">
        <v>31</v>
      </c>
      <c r="F1" s="42" t="s">
        <v>32</v>
      </c>
      <c r="G1" s="42" t="s">
        <v>33</v>
      </c>
      <c r="H1" s="42" t="s">
        <v>34</v>
      </c>
      <c r="I1" s="43" t="s">
        <v>43</v>
      </c>
      <c r="J1" s="72" t="s">
        <v>44</v>
      </c>
      <c r="K1" s="72" t="s">
        <v>45</v>
      </c>
      <c r="L1" s="72" t="s">
        <v>46</v>
      </c>
      <c r="M1" s="73" t="s">
        <v>47</v>
      </c>
      <c r="N1" s="73" t="s">
        <v>48</v>
      </c>
      <c r="O1" s="73" t="s">
        <v>49</v>
      </c>
      <c r="P1" s="71" t="s">
        <v>50</v>
      </c>
      <c r="Q1" s="71" t="s">
        <v>51</v>
      </c>
      <c r="R1" s="71" t="s">
        <v>52</v>
      </c>
      <c r="S1" s="71" t="s">
        <v>53</v>
      </c>
      <c r="T1" s="74" t="s">
        <v>55</v>
      </c>
      <c r="U1" s="75" t="s">
        <v>56</v>
      </c>
      <c r="V1" s="75" t="s">
        <v>57</v>
      </c>
      <c r="W1" s="75" t="s">
        <v>54</v>
      </c>
    </row>
    <row r="2" spans="1:23" x14ac:dyDescent="0.2">
      <c r="A2" s="45">
        <v>43831</v>
      </c>
      <c r="B2" s="46">
        <v>1060</v>
      </c>
      <c r="C2" s="47">
        <v>648.70000000000005</v>
      </c>
      <c r="D2" s="47">
        <v>1768.6</v>
      </c>
      <c r="E2" s="47">
        <v>41.2</v>
      </c>
      <c r="F2" s="47">
        <v>260.10000000000002</v>
      </c>
      <c r="G2" s="47">
        <v>1126.5</v>
      </c>
      <c r="H2" s="47">
        <v>606.1</v>
      </c>
      <c r="I2" s="48">
        <v>4299</v>
      </c>
      <c r="J2" s="49"/>
    </row>
    <row r="3" spans="1:23" x14ac:dyDescent="0.2">
      <c r="A3" s="50">
        <f t="shared" ref="A3:A30" si="0">A2+1</f>
        <v>43832</v>
      </c>
      <c r="B3" s="51">
        <v>1121.8</v>
      </c>
      <c r="C3" s="52">
        <v>879.1</v>
      </c>
      <c r="D3" s="52">
        <v>1189.9000000000001</v>
      </c>
      <c r="E3" s="52">
        <v>122.2</v>
      </c>
      <c r="F3" s="52">
        <v>215</v>
      </c>
      <c r="G3" s="52">
        <v>1092</v>
      </c>
      <c r="H3" s="52">
        <v>591.70000000000005</v>
      </c>
      <c r="I3" s="53">
        <v>4028.3</v>
      </c>
      <c r="J3" s="49"/>
    </row>
    <row r="4" spans="1:23" x14ac:dyDescent="0.2">
      <c r="A4" s="50">
        <f t="shared" si="0"/>
        <v>43833</v>
      </c>
      <c r="B4" s="51">
        <v>1693.4</v>
      </c>
      <c r="C4" s="52">
        <v>1364.8</v>
      </c>
      <c r="D4" s="52">
        <v>2067.6999999999998</v>
      </c>
      <c r="E4" s="52">
        <v>579.29999999999995</v>
      </c>
      <c r="F4" s="52">
        <v>957</v>
      </c>
      <c r="G4" s="52">
        <v>1480.9</v>
      </c>
      <c r="H4" s="52">
        <v>907.6</v>
      </c>
      <c r="I4" s="53">
        <v>7235.5</v>
      </c>
      <c r="J4" s="49"/>
    </row>
    <row r="5" spans="1:23" x14ac:dyDescent="0.2">
      <c r="A5" s="50">
        <f t="shared" si="0"/>
        <v>43834</v>
      </c>
      <c r="B5" s="51">
        <v>1920.8</v>
      </c>
      <c r="C5" s="52">
        <v>1268</v>
      </c>
      <c r="D5" s="52">
        <v>2572.6</v>
      </c>
      <c r="E5" s="52">
        <v>45.4</v>
      </c>
      <c r="F5" s="52">
        <v>901.7</v>
      </c>
      <c r="G5" s="52">
        <v>2079.3000000000002</v>
      </c>
      <c r="H5" s="52">
        <v>1133.2</v>
      </c>
      <c r="I5" s="53">
        <v>7654.5999999999995</v>
      </c>
      <c r="J5" s="49"/>
    </row>
    <row r="6" spans="1:23" x14ac:dyDescent="0.2">
      <c r="A6" s="50">
        <f t="shared" si="0"/>
        <v>43835</v>
      </c>
      <c r="B6" s="51">
        <v>1615.7</v>
      </c>
      <c r="C6" s="52">
        <v>1206.3</v>
      </c>
      <c r="D6" s="52">
        <v>2170.6999999999998</v>
      </c>
      <c r="E6" s="52">
        <v>272.39999999999998</v>
      </c>
      <c r="F6" s="52">
        <v>1017.1</v>
      </c>
      <c r="G6" s="52">
        <v>2645</v>
      </c>
      <c r="H6" s="52">
        <v>1385.5</v>
      </c>
      <c r="I6" s="53">
        <v>7541.7000000000007</v>
      </c>
      <c r="J6" s="49"/>
    </row>
    <row r="7" spans="1:23" x14ac:dyDescent="0.2">
      <c r="A7" s="50">
        <f t="shared" si="0"/>
        <v>43836</v>
      </c>
      <c r="B7" s="51">
        <v>1433.5</v>
      </c>
      <c r="C7" s="52">
        <v>1071.4000000000001</v>
      </c>
      <c r="D7" s="52">
        <v>1604.3</v>
      </c>
      <c r="E7" s="52">
        <v>47</v>
      </c>
      <c r="F7" s="52">
        <v>783.8</v>
      </c>
      <c r="G7" s="52">
        <v>2489.4</v>
      </c>
      <c r="H7" s="52">
        <v>1366.7</v>
      </c>
      <c r="I7" s="53">
        <v>6062.7</v>
      </c>
      <c r="J7" s="49"/>
    </row>
    <row r="8" spans="1:23" x14ac:dyDescent="0.2">
      <c r="A8" s="50">
        <f t="shared" si="0"/>
        <v>43837</v>
      </c>
      <c r="B8" s="51">
        <v>1375.56</v>
      </c>
      <c r="C8" s="52">
        <v>1146.92</v>
      </c>
      <c r="D8" s="52">
        <v>1732.01</v>
      </c>
      <c r="E8" s="52">
        <v>42.1</v>
      </c>
      <c r="F8" s="52">
        <v>257.22000000000003</v>
      </c>
      <c r="G8" s="52">
        <v>2188.0300000000002</v>
      </c>
      <c r="H8" s="52">
        <v>1284.18</v>
      </c>
      <c r="I8" s="53">
        <v>5457.66</v>
      </c>
      <c r="J8" s="49"/>
    </row>
    <row r="9" spans="1:23" x14ac:dyDescent="0.2">
      <c r="A9" s="50">
        <f t="shared" si="0"/>
        <v>43838</v>
      </c>
      <c r="B9" s="51">
        <v>6006.48</v>
      </c>
      <c r="C9" s="52">
        <v>4315.04</v>
      </c>
      <c r="D9" s="52">
        <v>3174.11</v>
      </c>
      <c r="E9" s="52">
        <v>1554.45</v>
      </c>
      <c r="F9" s="52">
        <v>3962.22</v>
      </c>
      <c r="G9" s="52">
        <v>4281.49</v>
      </c>
      <c r="H9" s="52">
        <v>2154.02</v>
      </c>
      <c r="I9" s="53">
        <v>21139.77</v>
      </c>
      <c r="J9" s="49"/>
    </row>
    <row r="10" spans="1:23" x14ac:dyDescent="0.2">
      <c r="A10" s="50">
        <f t="shared" si="0"/>
        <v>43839</v>
      </c>
      <c r="B10" s="51">
        <v>8470.5</v>
      </c>
      <c r="C10" s="52">
        <v>5587.6</v>
      </c>
      <c r="D10" s="52">
        <v>4982.1000000000004</v>
      </c>
      <c r="E10" s="52">
        <v>2906.4</v>
      </c>
      <c r="F10" s="52">
        <v>5551.2</v>
      </c>
      <c r="G10" s="52">
        <v>5843.3</v>
      </c>
      <c r="H10" s="52">
        <v>2586.1</v>
      </c>
      <c r="I10" s="53">
        <v>30755.000000000007</v>
      </c>
      <c r="J10" s="49"/>
    </row>
    <row r="11" spans="1:23" x14ac:dyDescent="0.2">
      <c r="A11" s="50">
        <f t="shared" si="0"/>
        <v>43840</v>
      </c>
      <c r="B11" s="51">
        <v>8589.91</v>
      </c>
      <c r="C11" s="52">
        <v>5388.05</v>
      </c>
      <c r="D11" s="52">
        <v>5140.2700000000004</v>
      </c>
      <c r="E11" s="52">
        <v>2064.58</v>
      </c>
      <c r="F11" s="52">
        <v>5799.89</v>
      </c>
      <c r="G11" s="52">
        <v>5979.75</v>
      </c>
      <c r="H11" s="52">
        <v>2620.2499999999995</v>
      </c>
      <c r="I11" s="53">
        <v>30342.199999999997</v>
      </c>
      <c r="J11" s="49"/>
    </row>
    <row r="12" spans="1:23" x14ac:dyDescent="0.2">
      <c r="A12" s="50">
        <f t="shared" si="0"/>
        <v>43841</v>
      </c>
      <c r="B12" s="51">
        <v>7547.05</v>
      </c>
      <c r="C12" s="52">
        <v>4976.34</v>
      </c>
      <c r="D12" s="52">
        <v>5153.71</v>
      </c>
      <c r="E12" s="52">
        <v>1493.99</v>
      </c>
      <c r="F12" s="52">
        <v>5133.5</v>
      </c>
      <c r="G12" s="52">
        <v>5037.46</v>
      </c>
      <c r="H12" s="52">
        <v>2398.2099999999996</v>
      </c>
      <c r="I12" s="53">
        <v>26943.84</v>
      </c>
      <c r="J12" s="49"/>
    </row>
    <row r="13" spans="1:23" x14ac:dyDescent="0.2">
      <c r="A13" s="50">
        <f t="shared" si="0"/>
        <v>43842</v>
      </c>
      <c r="B13" s="51">
        <v>7399.41</v>
      </c>
      <c r="C13" s="52">
        <v>5021</v>
      </c>
      <c r="D13" s="52">
        <v>5336.83</v>
      </c>
      <c r="E13" s="52">
        <v>1381.93</v>
      </c>
      <c r="F13" s="52">
        <v>4867.04</v>
      </c>
      <c r="G13" s="52">
        <v>4840.83</v>
      </c>
      <c r="H13" s="52">
        <v>2196.39</v>
      </c>
      <c r="I13" s="53">
        <v>26650.65</v>
      </c>
      <c r="J13" s="49"/>
    </row>
    <row r="14" spans="1:23" x14ac:dyDescent="0.2">
      <c r="A14" s="50">
        <f t="shared" si="0"/>
        <v>43843</v>
      </c>
      <c r="B14" s="51">
        <v>7832.2</v>
      </c>
      <c r="C14" s="52">
        <v>5366.9</v>
      </c>
      <c r="D14" s="52">
        <v>5329.1</v>
      </c>
      <c r="E14" s="52">
        <v>1597.4</v>
      </c>
      <c r="F14" s="52">
        <v>5054.5</v>
      </c>
      <c r="G14" s="52">
        <v>5663.5</v>
      </c>
      <c r="H14" s="52">
        <v>2797.7</v>
      </c>
      <c r="I14" s="53">
        <v>28045.899999999998</v>
      </c>
      <c r="J14" s="49"/>
    </row>
    <row r="15" spans="1:23" x14ac:dyDescent="0.2">
      <c r="A15" s="50">
        <f t="shared" si="0"/>
        <v>43844</v>
      </c>
      <c r="B15" s="51">
        <v>8146.5</v>
      </c>
      <c r="C15" s="52">
        <v>4997.6000000000004</v>
      </c>
      <c r="D15" s="52">
        <v>5391.6</v>
      </c>
      <c r="E15" s="52">
        <v>2061.8000000000002</v>
      </c>
      <c r="F15" s="52">
        <v>5440</v>
      </c>
      <c r="G15" s="52">
        <v>5895.6</v>
      </c>
      <c r="H15" s="52">
        <v>2832.1</v>
      </c>
      <c r="I15" s="53">
        <v>29101</v>
      </c>
      <c r="J15" s="49"/>
    </row>
    <row r="16" spans="1:23" x14ac:dyDescent="0.2">
      <c r="A16" s="50">
        <f t="shared" si="0"/>
        <v>43845</v>
      </c>
      <c r="B16" s="51">
        <v>7496.83</v>
      </c>
      <c r="C16" s="52">
        <v>5202.1000000000004</v>
      </c>
      <c r="D16" s="52">
        <v>5147.46</v>
      </c>
      <c r="E16" s="52">
        <v>1427.6</v>
      </c>
      <c r="F16" s="52">
        <v>5114.71</v>
      </c>
      <c r="G16" s="52">
        <v>6206.67</v>
      </c>
      <c r="H16" s="52">
        <v>2893.71</v>
      </c>
      <c r="I16" s="53">
        <v>27701.659999999996</v>
      </c>
      <c r="J16" s="49"/>
    </row>
    <row r="17" spans="1:10" x14ac:dyDescent="0.2">
      <c r="A17" s="50">
        <f t="shared" si="0"/>
        <v>43846</v>
      </c>
      <c r="B17" s="51">
        <v>7672.86</v>
      </c>
      <c r="C17" s="52">
        <v>5329.36</v>
      </c>
      <c r="D17" s="52">
        <v>5487.61</v>
      </c>
      <c r="E17" s="52">
        <v>2263.48</v>
      </c>
      <c r="F17" s="52">
        <v>5661.95</v>
      </c>
      <c r="G17" s="52">
        <v>5520.85</v>
      </c>
      <c r="H17" s="52">
        <v>2758.5</v>
      </c>
      <c r="I17" s="53">
        <v>29177.61</v>
      </c>
      <c r="J17" s="49"/>
    </row>
    <row r="18" spans="1:10" x14ac:dyDescent="0.2">
      <c r="A18" s="50">
        <f t="shared" si="0"/>
        <v>43847</v>
      </c>
      <c r="B18" s="51">
        <v>8059.6</v>
      </c>
      <c r="C18" s="52">
        <v>5408.3</v>
      </c>
      <c r="D18" s="52">
        <v>5200.6000000000004</v>
      </c>
      <c r="E18" s="52">
        <v>2024.9</v>
      </c>
      <c r="F18" s="52">
        <v>6103.4</v>
      </c>
      <c r="G18" s="52">
        <v>5822.8</v>
      </c>
      <c r="H18" s="52">
        <v>2690.7999999999997</v>
      </c>
      <c r="I18" s="53">
        <v>29928.800000000003</v>
      </c>
      <c r="J18" s="49"/>
    </row>
    <row r="19" spans="1:10" x14ac:dyDescent="0.2">
      <c r="A19" s="50">
        <f t="shared" si="0"/>
        <v>43848</v>
      </c>
      <c r="B19" s="51">
        <v>7832</v>
      </c>
      <c r="C19" s="52">
        <v>4843.7</v>
      </c>
      <c r="D19" s="52">
        <v>5006.3</v>
      </c>
      <c r="E19" s="52">
        <v>2640</v>
      </c>
      <c r="F19" s="52">
        <v>5461.4</v>
      </c>
      <c r="G19" s="52">
        <v>4718.8</v>
      </c>
      <c r="H19" s="52">
        <v>1938.2</v>
      </c>
      <c r="I19" s="53">
        <v>28564</v>
      </c>
      <c r="J19" s="49"/>
    </row>
    <row r="20" spans="1:10" x14ac:dyDescent="0.2">
      <c r="A20" s="50">
        <f t="shared" si="0"/>
        <v>43849</v>
      </c>
      <c r="B20" s="51">
        <v>7844.22</v>
      </c>
      <c r="C20" s="52">
        <v>4867.55</v>
      </c>
      <c r="D20" s="52">
        <v>4866.71</v>
      </c>
      <c r="E20" s="52">
        <v>1916.26</v>
      </c>
      <c r="F20" s="52">
        <v>5689.9</v>
      </c>
      <c r="G20" s="52">
        <v>4165.4799999999996</v>
      </c>
      <c r="H20" s="52">
        <v>1949.18</v>
      </c>
      <c r="I20" s="53">
        <v>27400.94</v>
      </c>
      <c r="J20" s="49"/>
    </row>
    <row r="21" spans="1:10" x14ac:dyDescent="0.2">
      <c r="A21" s="50">
        <f t="shared" si="0"/>
        <v>43850</v>
      </c>
      <c r="B21" s="51">
        <v>8660.27</v>
      </c>
      <c r="C21" s="52">
        <v>5430.33</v>
      </c>
      <c r="D21" s="52">
        <v>5460.59</v>
      </c>
      <c r="E21" s="52">
        <v>1912.33</v>
      </c>
      <c r="F21" s="52">
        <v>6008.29</v>
      </c>
      <c r="G21" s="52">
        <v>5288.19</v>
      </c>
      <c r="H21" s="52">
        <v>2723.1400000000003</v>
      </c>
      <c r="I21" s="53">
        <v>30036.860000000004</v>
      </c>
      <c r="J21" s="49"/>
    </row>
    <row r="22" spans="1:10" x14ac:dyDescent="0.2">
      <c r="A22" s="50">
        <f t="shared" si="0"/>
        <v>43851</v>
      </c>
      <c r="B22" s="51">
        <v>8572.5</v>
      </c>
      <c r="C22" s="52">
        <v>5334.1</v>
      </c>
      <c r="D22" s="52">
        <v>5319.9</v>
      </c>
      <c r="E22" s="52">
        <v>3200.4</v>
      </c>
      <c r="F22" s="52">
        <v>5947.4</v>
      </c>
      <c r="G22" s="52">
        <v>5671.8</v>
      </c>
      <c r="H22" s="52">
        <v>2646.8999999999996</v>
      </c>
      <c r="I22" s="53">
        <v>31399.200000000004</v>
      </c>
      <c r="J22" s="49"/>
    </row>
    <row r="23" spans="1:10" x14ac:dyDescent="0.2">
      <c r="A23" s="50">
        <f t="shared" si="0"/>
        <v>43852</v>
      </c>
      <c r="B23" s="51">
        <v>8726.9</v>
      </c>
      <c r="C23" s="52">
        <v>5387.8</v>
      </c>
      <c r="D23" s="52">
        <v>5305</v>
      </c>
      <c r="E23" s="52">
        <v>2566.4</v>
      </c>
      <c r="F23" s="52">
        <v>6030.4</v>
      </c>
      <c r="G23" s="52">
        <v>5903.7</v>
      </c>
      <c r="H23" s="52">
        <v>2663.9</v>
      </c>
      <c r="I23" s="53">
        <v>31256.299999999996</v>
      </c>
      <c r="J23" s="49"/>
    </row>
    <row r="24" spans="1:10" x14ac:dyDescent="0.2">
      <c r="A24" s="50">
        <f t="shared" si="0"/>
        <v>43853</v>
      </c>
      <c r="B24" s="51">
        <v>8301.49</v>
      </c>
      <c r="C24" s="52">
        <v>5257.02</v>
      </c>
      <c r="D24" s="52">
        <v>5017.41</v>
      </c>
      <c r="E24" s="52">
        <v>2693.78</v>
      </c>
      <c r="F24" s="52">
        <v>5700.17</v>
      </c>
      <c r="G24" s="52">
        <v>5949.67</v>
      </c>
      <c r="H24" s="52">
        <v>2852.94</v>
      </c>
      <c r="I24" s="53">
        <v>30066.599999999995</v>
      </c>
      <c r="J24" s="49"/>
    </row>
    <row r="25" spans="1:10" x14ac:dyDescent="0.2">
      <c r="A25" s="50">
        <f t="shared" si="0"/>
        <v>43854</v>
      </c>
      <c r="B25" s="51">
        <v>8514.1</v>
      </c>
      <c r="C25" s="52">
        <v>5398.85</v>
      </c>
      <c r="D25" s="52">
        <v>5426.53</v>
      </c>
      <c r="E25" s="52">
        <v>2164.1799999999998</v>
      </c>
      <c r="F25" s="52">
        <v>6022.87</v>
      </c>
      <c r="G25" s="52">
        <v>6053.82</v>
      </c>
      <c r="H25" s="52">
        <v>3032.61</v>
      </c>
      <c r="I25" s="53">
        <v>30547.739999999998</v>
      </c>
      <c r="J25" s="49"/>
    </row>
    <row r="26" spans="1:10" x14ac:dyDescent="0.2">
      <c r="A26" s="50">
        <f t="shared" si="0"/>
        <v>43855</v>
      </c>
      <c r="B26" s="51">
        <v>8657.1</v>
      </c>
      <c r="C26" s="52">
        <v>5349.3</v>
      </c>
      <c r="D26" s="52">
        <v>5174.1000000000004</v>
      </c>
      <c r="E26" s="52">
        <v>2695.4</v>
      </c>
      <c r="F26" s="52">
        <v>5521.7</v>
      </c>
      <c r="G26" s="52">
        <v>5189.7</v>
      </c>
      <c r="H26" s="52">
        <v>2333.7000000000003</v>
      </c>
      <c r="I26" s="53">
        <v>30253.600000000002</v>
      </c>
      <c r="J26" s="49"/>
    </row>
    <row r="27" spans="1:10" x14ac:dyDescent="0.2">
      <c r="A27" s="50">
        <f t="shared" si="0"/>
        <v>43856</v>
      </c>
      <c r="B27" s="51">
        <v>8600</v>
      </c>
      <c r="C27" s="52">
        <v>5237.7</v>
      </c>
      <c r="D27" s="52">
        <v>5154.2</v>
      </c>
      <c r="E27" s="52">
        <v>2055.6</v>
      </c>
      <c r="F27" s="52">
        <v>5959.4</v>
      </c>
      <c r="G27" s="52">
        <v>4824.3999999999996</v>
      </c>
      <c r="H27" s="52">
        <v>2054.8999999999996</v>
      </c>
      <c r="I27" s="53">
        <v>29776.400000000001</v>
      </c>
      <c r="J27" s="49"/>
    </row>
    <row r="28" spans="1:10" x14ac:dyDescent="0.2">
      <c r="A28" s="50">
        <f t="shared" si="0"/>
        <v>43857</v>
      </c>
      <c r="B28" s="51">
        <v>8569.57</v>
      </c>
      <c r="C28" s="52">
        <v>5399.58</v>
      </c>
      <c r="D28" s="52">
        <v>5429.34</v>
      </c>
      <c r="E28" s="52">
        <v>1772.98</v>
      </c>
      <c r="F28" s="52">
        <v>5562.41</v>
      </c>
      <c r="G28" s="52">
        <v>5979.74</v>
      </c>
      <c r="H28" s="52">
        <v>3126.44</v>
      </c>
      <c r="I28" s="53">
        <v>29587.179999999997</v>
      </c>
      <c r="J28" s="49"/>
    </row>
    <row r="29" spans="1:10" x14ac:dyDescent="0.2">
      <c r="A29" s="50">
        <f t="shared" si="0"/>
        <v>43858</v>
      </c>
      <c r="B29" s="51">
        <v>8760.24</v>
      </c>
      <c r="C29" s="52">
        <v>5577.75</v>
      </c>
      <c r="D29" s="52">
        <v>5742.59</v>
      </c>
      <c r="E29" s="52">
        <v>2296.5100000000002</v>
      </c>
      <c r="F29" s="52">
        <v>6465.04</v>
      </c>
      <c r="G29" s="52">
        <v>6388.32</v>
      </c>
      <c r="H29" s="52">
        <v>3266.89</v>
      </c>
      <c r="I29" s="53">
        <v>31963.560000000005</v>
      </c>
      <c r="J29" s="49"/>
    </row>
    <row r="30" spans="1:10" x14ac:dyDescent="0.2">
      <c r="A30" s="50">
        <f t="shared" si="0"/>
        <v>43859</v>
      </c>
      <c r="B30" s="51">
        <v>9137.7000000000007</v>
      </c>
      <c r="C30" s="52">
        <v>5728.4</v>
      </c>
      <c r="D30" s="52">
        <v>5591.5</v>
      </c>
      <c r="E30" s="52">
        <v>2975</v>
      </c>
      <c r="F30" s="52">
        <v>6976.1</v>
      </c>
      <c r="G30" s="52">
        <v>6568.4</v>
      </c>
      <c r="H30" s="52">
        <v>3222.3999999999996</v>
      </c>
      <c r="I30" s="53">
        <v>33754.699999999997</v>
      </c>
      <c r="J30" s="49"/>
    </row>
    <row r="31" spans="1:10" x14ac:dyDescent="0.2">
      <c r="A31" s="50">
        <f>A30+1</f>
        <v>43860</v>
      </c>
      <c r="B31" s="51">
        <v>8912.59</v>
      </c>
      <c r="C31" s="52">
        <v>5752.61</v>
      </c>
      <c r="D31" s="52">
        <v>5742.2</v>
      </c>
      <c r="E31" s="52">
        <v>2264.27</v>
      </c>
      <c r="F31" s="52">
        <v>5961.67</v>
      </c>
      <c r="G31" s="52">
        <v>6647.11</v>
      </c>
      <c r="H31" s="52">
        <v>3180.66</v>
      </c>
      <c r="I31" s="53">
        <v>32099.790000000005</v>
      </c>
      <c r="J31" s="49"/>
    </row>
    <row r="32" spans="1:10" x14ac:dyDescent="0.2">
      <c r="A32" s="50">
        <f t="shared" ref="A32:A95" si="1">A31+1</f>
        <v>43861</v>
      </c>
      <c r="B32" s="51">
        <v>8693.35</v>
      </c>
      <c r="C32" s="52">
        <v>5539.02</v>
      </c>
      <c r="D32" s="52">
        <v>5563.7</v>
      </c>
      <c r="E32" s="52">
        <v>2143.6</v>
      </c>
      <c r="F32" s="52">
        <v>6363.27</v>
      </c>
      <c r="G32" s="52">
        <v>6338.06</v>
      </c>
      <c r="H32" s="52">
        <v>3257.1899999999996</v>
      </c>
      <c r="I32" s="53">
        <v>31383.81</v>
      </c>
      <c r="J32" s="49"/>
    </row>
    <row r="33" spans="1:10" x14ac:dyDescent="0.2">
      <c r="A33" s="50">
        <f t="shared" si="1"/>
        <v>43862</v>
      </c>
      <c r="B33" s="51">
        <v>8554.18</v>
      </c>
      <c r="C33" s="52">
        <v>4928.28</v>
      </c>
      <c r="D33" s="52">
        <v>5535.65</v>
      </c>
      <c r="E33" s="52">
        <v>2584.89</v>
      </c>
      <c r="F33" s="52">
        <v>7449.72</v>
      </c>
      <c r="G33" s="52">
        <v>5191.6400000000003</v>
      </c>
      <c r="H33" s="52">
        <v>2421.17</v>
      </c>
      <c r="I33" s="53">
        <v>31823.190000000002</v>
      </c>
      <c r="J33" s="49"/>
    </row>
    <row r="34" spans="1:10" x14ac:dyDescent="0.2">
      <c r="A34" s="50">
        <f t="shared" si="1"/>
        <v>43863</v>
      </c>
      <c r="B34" s="51">
        <v>8512.2000000000007</v>
      </c>
      <c r="C34" s="52">
        <v>4774.7</v>
      </c>
      <c r="D34" s="52">
        <v>5507.1</v>
      </c>
      <c r="E34" s="52">
        <v>1807.8</v>
      </c>
      <c r="F34" s="52">
        <v>5977.7</v>
      </c>
      <c r="G34" s="52">
        <v>5306.3</v>
      </c>
      <c r="H34" s="52">
        <v>2288.1999999999998</v>
      </c>
      <c r="I34" s="53">
        <v>29597.599999999999</v>
      </c>
      <c r="J34" s="49"/>
    </row>
    <row r="35" spans="1:10" x14ac:dyDescent="0.2">
      <c r="A35" s="50">
        <f t="shared" si="1"/>
        <v>43864</v>
      </c>
      <c r="B35" s="51">
        <v>8410.81</v>
      </c>
      <c r="C35" s="52">
        <v>5242.07</v>
      </c>
      <c r="D35" s="52">
        <v>5591.69</v>
      </c>
      <c r="E35" s="52">
        <v>1974.71</v>
      </c>
      <c r="F35" s="52">
        <v>6310.4</v>
      </c>
      <c r="G35" s="52">
        <v>6053.97</v>
      </c>
      <c r="H35" s="52">
        <v>2767.3900000000003</v>
      </c>
      <c r="I35" s="53">
        <v>30816.260000000002</v>
      </c>
      <c r="J35" s="49"/>
    </row>
    <row r="36" spans="1:10" x14ac:dyDescent="0.2">
      <c r="A36" s="50">
        <f t="shared" si="1"/>
        <v>43865</v>
      </c>
      <c r="B36" s="51">
        <v>8386.67</v>
      </c>
      <c r="C36" s="52">
        <v>5364.55</v>
      </c>
      <c r="D36" s="52">
        <v>5582.67</v>
      </c>
      <c r="E36" s="52">
        <v>2027.29</v>
      </c>
      <c r="F36" s="52">
        <v>5452.15</v>
      </c>
      <c r="G36" s="52">
        <v>6341.21</v>
      </c>
      <c r="H36" s="52">
        <v>3074.1800000000003</v>
      </c>
      <c r="I36" s="53">
        <v>30080.36</v>
      </c>
      <c r="J36" s="49"/>
    </row>
    <row r="37" spans="1:10" x14ac:dyDescent="0.2">
      <c r="A37" s="50">
        <f t="shared" si="1"/>
        <v>43866</v>
      </c>
      <c r="B37" s="51">
        <v>8515.7800000000007</v>
      </c>
      <c r="C37" s="52">
        <v>5263.9</v>
      </c>
      <c r="D37" s="52">
        <v>5652.58</v>
      </c>
      <c r="E37" s="52">
        <v>3153.07</v>
      </c>
      <c r="F37" s="52">
        <v>6219.91</v>
      </c>
      <c r="G37" s="52">
        <v>6371.32</v>
      </c>
      <c r="H37" s="52">
        <v>3136.77</v>
      </c>
      <c r="I37" s="53">
        <v>32039.789999999997</v>
      </c>
      <c r="J37" s="49"/>
    </row>
    <row r="38" spans="1:10" x14ac:dyDescent="0.2">
      <c r="A38" s="50">
        <f t="shared" si="1"/>
        <v>43867</v>
      </c>
      <c r="B38" s="51">
        <v>8447.4</v>
      </c>
      <c r="C38" s="52">
        <v>5321.6</v>
      </c>
      <c r="D38" s="52">
        <v>5744.7</v>
      </c>
      <c r="E38" s="52">
        <v>2232.1</v>
      </c>
      <c r="F38" s="52">
        <v>5854.6</v>
      </c>
      <c r="G38" s="52">
        <v>6128.3</v>
      </c>
      <c r="H38" s="52">
        <v>2729.3</v>
      </c>
      <c r="I38" s="53">
        <v>30999.400000000005</v>
      </c>
      <c r="J38" s="49"/>
    </row>
    <row r="39" spans="1:10" x14ac:dyDescent="0.2">
      <c r="A39" s="50">
        <f t="shared" si="1"/>
        <v>43868</v>
      </c>
      <c r="B39" s="51">
        <v>8440.1200000000008</v>
      </c>
      <c r="C39" s="52">
        <v>5241.08</v>
      </c>
      <c r="D39" s="52">
        <v>5842.41</v>
      </c>
      <c r="E39" s="52">
        <v>1751.65</v>
      </c>
      <c r="F39" s="52">
        <v>5603.25</v>
      </c>
      <c r="G39" s="52">
        <v>6391.24</v>
      </c>
      <c r="H39" s="52">
        <v>2894.9199999999996</v>
      </c>
      <c r="I39" s="53">
        <v>30374.83</v>
      </c>
      <c r="J39" s="49"/>
    </row>
    <row r="40" spans="1:10" x14ac:dyDescent="0.2">
      <c r="A40" s="50">
        <f t="shared" si="1"/>
        <v>43869</v>
      </c>
      <c r="B40" s="51">
        <v>8005.88</v>
      </c>
      <c r="C40" s="52">
        <v>4841.21</v>
      </c>
      <c r="D40" s="52">
        <v>5447.56</v>
      </c>
      <c r="E40" s="52">
        <v>2478.14</v>
      </c>
      <c r="F40" s="52">
        <v>5346.43</v>
      </c>
      <c r="G40" s="52">
        <v>5406.79</v>
      </c>
      <c r="H40" s="52">
        <v>2369.6799999999998</v>
      </c>
      <c r="I40" s="53">
        <v>29156.33</v>
      </c>
      <c r="J40" s="49"/>
    </row>
    <row r="41" spans="1:10" x14ac:dyDescent="0.2">
      <c r="A41" s="50">
        <f t="shared" si="1"/>
        <v>43870</v>
      </c>
      <c r="B41" s="51">
        <v>7576.83</v>
      </c>
      <c r="C41" s="52">
        <v>4800.8100000000004</v>
      </c>
      <c r="D41" s="52">
        <v>5243.06</v>
      </c>
      <c r="E41" s="52">
        <v>2362.5300000000002</v>
      </c>
      <c r="F41" s="52">
        <v>5964.72</v>
      </c>
      <c r="G41" s="52">
        <v>5141.6099999999997</v>
      </c>
      <c r="H41" s="52">
        <v>2189.1799999999998</v>
      </c>
      <c r="I41" s="53">
        <v>28900.38</v>
      </c>
      <c r="J41" s="49"/>
    </row>
    <row r="42" spans="1:10" x14ac:dyDescent="0.2">
      <c r="A42" s="50">
        <f t="shared" si="1"/>
        <v>43871</v>
      </c>
      <c r="B42" s="51">
        <v>8278.7000000000007</v>
      </c>
      <c r="C42" s="52">
        <v>5209.7</v>
      </c>
      <c r="D42" s="52">
        <v>5368.2</v>
      </c>
      <c r="E42" s="52">
        <v>2181</v>
      </c>
      <c r="F42" s="52">
        <v>5749.8</v>
      </c>
      <c r="G42" s="52">
        <v>5988.9</v>
      </c>
      <c r="H42" s="52">
        <v>2945.6</v>
      </c>
      <c r="I42" s="53">
        <v>29830.700000000004</v>
      </c>
      <c r="J42" s="49"/>
    </row>
    <row r="43" spans="1:10" x14ac:dyDescent="0.2">
      <c r="A43" s="50">
        <f t="shared" si="1"/>
        <v>43872</v>
      </c>
      <c r="B43" s="51">
        <v>9012.4699999999993</v>
      </c>
      <c r="C43" s="52">
        <v>5477.91</v>
      </c>
      <c r="D43" s="52">
        <v>5721.42</v>
      </c>
      <c r="E43" s="52">
        <v>2982.61</v>
      </c>
      <c r="F43" s="52">
        <v>5670.7</v>
      </c>
      <c r="G43" s="52">
        <v>6134.78</v>
      </c>
      <c r="H43" s="52">
        <v>2938.48</v>
      </c>
      <c r="I43" s="53">
        <v>32061.41</v>
      </c>
      <c r="J43" s="49"/>
    </row>
    <row r="44" spans="1:10" x14ac:dyDescent="0.2">
      <c r="A44" s="50">
        <f t="shared" si="1"/>
        <v>43873</v>
      </c>
      <c r="B44" s="51">
        <v>8994.6</v>
      </c>
      <c r="C44" s="52">
        <v>5301.46</v>
      </c>
      <c r="D44" s="52">
        <v>5671.19</v>
      </c>
      <c r="E44" s="52">
        <v>2502.73</v>
      </c>
      <c r="F44" s="52">
        <v>5779.14</v>
      </c>
      <c r="G44" s="52">
        <v>6296.25</v>
      </c>
      <c r="H44" s="52">
        <v>2990.44</v>
      </c>
      <c r="I44" s="53">
        <v>31554.929999999997</v>
      </c>
      <c r="J44" s="49"/>
    </row>
    <row r="45" spans="1:10" x14ac:dyDescent="0.2">
      <c r="A45" s="50">
        <f t="shared" si="1"/>
        <v>43874</v>
      </c>
      <c r="B45" s="51">
        <v>9121.9599999999991</v>
      </c>
      <c r="C45" s="52">
        <v>5382.94</v>
      </c>
      <c r="D45" s="52">
        <v>5750.2</v>
      </c>
      <c r="E45" s="52">
        <v>3474.26</v>
      </c>
      <c r="F45" s="52">
        <v>5896.12</v>
      </c>
      <c r="G45" s="52">
        <v>6057.49</v>
      </c>
      <c r="H45" s="52">
        <v>3001.9100000000003</v>
      </c>
      <c r="I45" s="53">
        <v>32681.06</v>
      </c>
      <c r="J45" s="49"/>
    </row>
    <row r="46" spans="1:10" x14ac:dyDescent="0.2">
      <c r="A46" s="50">
        <f t="shared" si="1"/>
        <v>43875</v>
      </c>
      <c r="B46" s="51">
        <v>8930.7999999999993</v>
      </c>
      <c r="C46" s="52">
        <v>5360.1</v>
      </c>
      <c r="D46" s="52">
        <v>5512.2</v>
      </c>
      <c r="E46" s="52">
        <v>2814.8</v>
      </c>
      <c r="F46" s="52">
        <v>5645.3</v>
      </c>
      <c r="G46" s="52">
        <v>6175.5</v>
      </c>
      <c r="H46" s="52">
        <v>2873.2</v>
      </c>
      <c r="I46" s="53">
        <v>31565.499999999996</v>
      </c>
      <c r="J46" s="49"/>
    </row>
    <row r="47" spans="1:10" x14ac:dyDescent="0.2">
      <c r="A47" s="50">
        <f t="shared" si="1"/>
        <v>43876</v>
      </c>
      <c r="B47" s="51">
        <v>8674.91</v>
      </c>
      <c r="C47" s="52">
        <v>5149.9399999999996</v>
      </c>
      <c r="D47" s="52">
        <v>5543.17</v>
      </c>
      <c r="E47" s="52">
        <v>2521.6799999999998</v>
      </c>
      <c r="F47" s="52">
        <v>6198.95</v>
      </c>
      <c r="G47" s="52">
        <v>5116.2299999999996</v>
      </c>
      <c r="H47" s="52">
        <v>2047.7600000000002</v>
      </c>
      <c r="I47" s="53">
        <v>31157.119999999995</v>
      </c>
      <c r="J47" s="49"/>
    </row>
    <row r="48" spans="1:10" x14ac:dyDescent="0.2">
      <c r="A48" s="50">
        <f t="shared" si="1"/>
        <v>43877</v>
      </c>
      <c r="B48" s="51">
        <v>8295.86</v>
      </c>
      <c r="C48" s="52">
        <v>4859.9399999999996</v>
      </c>
      <c r="D48" s="52">
        <v>5181.1099999999997</v>
      </c>
      <c r="E48" s="52">
        <v>2375.5</v>
      </c>
      <c r="F48" s="52">
        <v>5992.88</v>
      </c>
      <c r="G48" s="52">
        <v>4302.09</v>
      </c>
      <c r="H48" s="52">
        <v>2034.62</v>
      </c>
      <c r="I48" s="53">
        <v>28972.760000000002</v>
      </c>
      <c r="J48" s="49"/>
    </row>
    <row r="49" spans="1:10" x14ac:dyDescent="0.2">
      <c r="A49" s="50">
        <f t="shared" si="1"/>
        <v>43878</v>
      </c>
      <c r="B49" s="51">
        <v>8674.89</v>
      </c>
      <c r="C49" s="52">
        <v>5338.92</v>
      </c>
      <c r="D49" s="52">
        <v>5585.96</v>
      </c>
      <c r="E49" s="52">
        <v>2220.41</v>
      </c>
      <c r="F49" s="52">
        <v>6192.89</v>
      </c>
      <c r="G49" s="52">
        <v>5989.29</v>
      </c>
      <c r="H49" s="52">
        <v>2953.69</v>
      </c>
      <c r="I49" s="53">
        <v>31048.670000000002</v>
      </c>
      <c r="J49" s="49"/>
    </row>
    <row r="50" spans="1:10" x14ac:dyDescent="0.2">
      <c r="A50" s="50">
        <f t="shared" si="1"/>
        <v>43879</v>
      </c>
      <c r="B50" s="51">
        <v>8678.2000000000007</v>
      </c>
      <c r="C50" s="52">
        <v>5401.6</v>
      </c>
      <c r="D50" s="52">
        <v>5427.6</v>
      </c>
      <c r="E50" s="52">
        <v>2587.4</v>
      </c>
      <c r="F50" s="52">
        <v>6837.5</v>
      </c>
      <c r="G50" s="52">
        <v>6199.6</v>
      </c>
      <c r="H50" s="52">
        <v>2942.8999999999996</v>
      </c>
      <c r="I50" s="53">
        <v>32189</v>
      </c>
      <c r="J50" s="49"/>
    </row>
    <row r="51" spans="1:10" x14ac:dyDescent="0.2">
      <c r="A51" s="50">
        <f t="shared" si="1"/>
        <v>43880</v>
      </c>
      <c r="B51" s="51">
        <v>9195.33</v>
      </c>
      <c r="C51" s="52">
        <v>5424.42</v>
      </c>
      <c r="D51" s="52">
        <v>5503.19</v>
      </c>
      <c r="E51" s="52">
        <v>2600.4699999999998</v>
      </c>
      <c r="F51" s="52">
        <v>7080.83</v>
      </c>
      <c r="G51" s="52">
        <v>5944.82</v>
      </c>
      <c r="H51" s="52">
        <v>2731.8399999999997</v>
      </c>
      <c r="I51" s="53">
        <v>33017.22</v>
      </c>
      <c r="J51" s="49"/>
    </row>
    <row r="52" spans="1:10" x14ac:dyDescent="0.2">
      <c r="A52" s="50">
        <f t="shared" si="1"/>
        <v>43881</v>
      </c>
      <c r="B52" s="51">
        <v>9082.31</v>
      </c>
      <c r="C52" s="52">
        <v>5425.79</v>
      </c>
      <c r="D52" s="52">
        <v>5628.12</v>
      </c>
      <c r="E52" s="52">
        <v>2219.9299999999998</v>
      </c>
      <c r="F52" s="52">
        <v>6897.99</v>
      </c>
      <c r="G52" s="52">
        <v>5593.53</v>
      </c>
      <c r="H52" s="52">
        <v>2771.0099999999998</v>
      </c>
      <c r="I52" s="53">
        <v>32076.66</v>
      </c>
      <c r="J52" s="49"/>
    </row>
    <row r="53" spans="1:10" x14ac:dyDescent="0.2">
      <c r="A53" s="50">
        <f t="shared" si="1"/>
        <v>43882</v>
      </c>
      <c r="B53" s="51">
        <v>8425.57</v>
      </c>
      <c r="C53" s="52">
        <v>5288.87</v>
      </c>
      <c r="D53" s="52">
        <v>5316.53</v>
      </c>
      <c r="E53" s="52">
        <v>1772.93</v>
      </c>
      <c r="F53" s="52">
        <v>6448.37</v>
      </c>
      <c r="G53" s="52">
        <v>5905.95</v>
      </c>
      <c r="H53" s="52">
        <v>2931.3099999999995</v>
      </c>
      <c r="I53" s="53">
        <v>30226.909999999996</v>
      </c>
      <c r="J53" s="49"/>
    </row>
    <row r="54" spans="1:10" x14ac:dyDescent="0.2">
      <c r="A54" s="50">
        <f t="shared" si="1"/>
        <v>43883</v>
      </c>
      <c r="B54" s="51">
        <v>8391.2999999999993</v>
      </c>
      <c r="C54" s="52">
        <v>5214.6000000000004</v>
      </c>
      <c r="D54" s="52">
        <v>5231.3999999999996</v>
      </c>
      <c r="E54" s="52">
        <v>2208.1999999999998</v>
      </c>
      <c r="F54" s="52">
        <v>6641.2</v>
      </c>
      <c r="G54" s="52">
        <v>4551.3</v>
      </c>
      <c r="H54" s="52">
        <v>2076.4</v>
      </c>
      <c r="I54" s="53">
        <v>30161.599999999999</v>
      </c>
      <c r="J54" s="49"/>
    </row>
    <row r="55" spans="1:10" x14ac:dyDescent="0.2">
      <c r="A55" s="50">
        <f t="shared" si="1"/>
        <v>43884</v>
      </c>
      <c r="B55" s="51">
        <v>8153.77</v>
      </c>
      <c r="C55" s="52">
        <v>5059.6400000000003</v>
      </c>
      <c r="D55" s="52">
        <v>5074.0200000000004</v>
      </c>
      <c r="E55" s="52">
        <v>1841.86</v>
      </c>
      <c r="F55" s="52">
        <v>6380.96</v>
      </c>
      <c r="G55" s="52">
        <v>4487.76</v>
      </c>
      <c r="H55" s="52">
        <v>1879.07</v>
      </c>
      <c r="I55" s="53">
        <v>29118.940000000002</v>
      </c>
      <c r="J55" s="49"/>
    </row>
    <row r="56" spans="1:10" x14ac:dyDescent="0.2">
      <c r="A56" s="50">
        <f t="shared" si="1"/>
        <v>43885</v>
      </c>
      <c r="B56" s="51">
        <v>8770.11</v>
      </c>
      <c r="C56" s="52">
        <v>5010.0200000000004</v>
      </c>
      <c r="D56" s="52">
        <v>5541.5</v>
      </c>
      <c r="E56" s="52">
        <v>1845.68</v>
      </c>
      <c r="F56" s="52">
        <v>6754.15</v>
      </c>
      <c r="G56" s="52">
        <v>4589.32</v>
      </c>
      <c r="H56" s="52">
        <v>2174.4899999999998</v>
      </c>
      <c r="I56" s="53">
        <v>30336.29</v>
      </c>
      <c r="J56" s="49"/>
    </row>
    <row r="57" spans="1:10" x14ac:dyDescent="0.2">
      <c r="A57" s="50">
        <f t="shared" si="1"/>
        <v>43886</v>
      </c>
      <c r="B57" s="51">
        <v>8616.2199999999993</v>
      </c>
      <c r="C57" s="52">
        <v>5204.6499999999996</v>
      </c>
      <c r="D57" s="52">
        <v>5487.7</v>
      </c>
      <c r="E57" s="52">
        <v>2245.66</v>
      </c>
      <c r="F57" s="52">
        <v>6628.13</v>
      </c>
      <c r="G57" s="52">
        <v>6018.86</v>
      </c>
      <c r="H57" s="52">
        <v>2877.86</v>
      </c>
      <c r="I57" s="53">
        <v>31323.360000000001</v>
      </c>
      <c r="J57" s="49"/>
    </row>
    <row r="58" spans="1:10" x14ac:dyDescent="0.2">
      <c r="A58" s="50">
        <f t="shared" si="1"/>
        <v>43887</v>
      </c>
      <c r="B58" s="51">
        <v>8548.5</v>
      </c>
      <c r="C58" s="52">
        <v>5412.1</v>
      </c>
      <c r="D58" s="52">
        <v>5362.5</v>
      </c>
      <c r="E58" s="52">
        <v>2137.9</v>
      </c>
      <c r="F58" s="52">
        <v>6561.8</v>
      </c>
      <c r="G58" s="52">
        <v>5957.2</v>
      </c>
      <c r="H58" s="52">
        <v>2743.9000000000005</v>
      </c>
      <c r="I58" s="53">
        <v>31236.1</v>
      </c>
      <c r="J58" s="49"/>
    </row>
    <row r="59" spans="1:10" x14ac:dyDescent="0.2">
      <c r="A59" s="50">
        <f t="shared" si="1"/>
        <v>43888</v>
      </c>
      <c r="B59" s="51">
        <v>9199.34</v>
      </c>
      <c r="C59" s="52">
        <v>5493.35</v>
      </c>
      <c r="D59" s="52">
        <v>5636.82</v>
      </c>
      <c r="E59" s="52">
        <v>2322.23</v>
      </c>
      <c r="F59" s="52">
        <v>6608.86</v>
      </c>
      <c r="G59" s="52">
        <v>5823.93</v>
      </c>
      <c r="H59" s="52">
        <v>2741.57</v>
      </c>
      <c r="I59" s="53">
        <v>32342.959999999999</v>
      </c>
      <c r="J59" s="49"/>
    </row>
    <row r="60" spans="1:10" x14ac:dyDescent="0.2">
      <c r="A60" s="50">
        <f t="shared" si="1"/>
        <v>43889</v>
      </c>
      <c r="B60" s="51">
        <v>8144.67</v>
      </c>
      <c r="C60" s="52">
        <v>4877.17</v>
      </c>
      <c r="D60" s="52">
        <v>4914.47</v>
      </c>
      <c r="E60" s="52">
        <v>1946.19</v>
      </c>
      <c r="F60" s="52">
        <v>7058.06</v>
      </c>
      <c r="G60" s="52">
        <v>5994.17</v>
      </c>
      <c r="H60" s="52">
        <v>2900.17</v>
      </c>
      <c r="I60" s="53">
        <v>30034.560000000005</v>
      </c>
      <c r="J60" s="49"/>
    </row>
    <row r="61" spans="1:10" x14ac:dyDescent="0.2">
      <c r="A61" s="50">
        <f t="shared" si="1"/>
        <v>43890</v>
      </c>
      <c r="B61" s="51">
        <v>7506.58</v>
      </c>
      <c r="C61" s="52">
        <v>4531.17</v>
      </c>
      <c r="D61" s="52">
        <v>4463.83</v>
      </c>
      <c r="E61" s="52">
        <v>1755.4</v>
      </c>
      <c r="F61" s="52">
        <v>6901.88</v>
      </c>
      <c r="G61" s="52">
        <v>5155.12</v>
      </c>
      <c r="H61" s="52">
        <v>2292.1200000000003</v>
      </c>
      <c r="I61" s="53">
        <v>28021.860000000004</v>
      </c>
      <c r="J61" s="49"/>
    </row>
    <row r="62" spans="1:10" x14ac:dyDescent="0.2">
      <c r="A62" s="50">
        <f t="shared" si="1"/>
        <v>43891</v>
      </c>
      <c r="B62" s="51">
        <v>7367.5</v>
      </c>
      <c r="C62" s="52">
        <v>4525.2</v>
      </c>
      <c r="D62" s="52">
        <v>4300.8</v>
      </c>
      <c r="E62" s="52">
        <v>1882.4</v>
      </c>
      <c r="F62" s="52">
        <v>7218.4</v>
      </c>
      <c r="G62" s="52">
        <v>4720.7</v>
      </c>
      <c r="H62" s="52">
        <v>2009</v>
      </c>
      <c r="I62" s="53">
        <v>28006.000000000004</v>
      </c>
      <c r="J62" s="49"/>
    </row>
    <row r="63" spans="1:10" x14ac:dyDescent="0.2">
      <c r="A63" s="50">
        <f t="shared" si="1"/>
        <v>43892</v>
      </c>
      <c r="B63" s="51">
        <v>7586.91</v>
      </c>
      <c r="C63" s="52">
        <v>4697.3599999999997</v>
      </c>
      <c r="D63" s="52">
        <v>4597.3900000000003</v>
      </c>
      <c r="E63" s="52">
        <v>707.17</v>
      </c>
      <c r="F63" s="52">
        <v>6979.52</v>
      </c>
      <c r="G63" s="52">
        <v>5705.4</v>
      </c>
      <c r="H63" s="52">
        <v>2548.8300000000004</v>
      </c>
      <c r="I63" s="53">
        <v>27724.92</v>
      </c>
      <c r="J63" s="49"/>
    </row>
    <row r="64" spans="1:10" x14ac:dyDescent="0.2">
      <c r="A64" s="50">
        <f t="shared" si="1"/>
        <v>43893</v>
      </c>
      <c r="B64" s="51">
        <v>7514.09</v>
      </c>
      <c r="C64" s="52">
        <v>4635.75</v>
      </c>
      <c r="D64" s="52">
        <v>4674.78</v>
      </c>
      <c r="E64" s="52">
        <v>814.58</v>
      </c>
      <c r="F64" s="52">
        <v>7347.14</v>
      </c>
      <c r="G64" s="52">
        <v>6587.72</v>
      </c>
      <c r="H64" s="52">
        <v>3037.48</v>
      </c>
      <c r="I64" s="53">
        <v>28536.58</v>
      </c>
      <c r="J64" s="49"/>
    </row>
    <row r="65" spans="1:10" x14ac:dyDescent="0.2">
      <c r="A65" s="50">
        <f t="shared" si="1"/>
        <v>43894</v>
      </c>
      <c r="B65" s="51">
        <v>7589.35</v>
      </c>
      <c r="C65" s="52">
        <v>4516.42</v>
      </c>
      <c r="D65" s="52">
        <v>4726.76</v>
      </c>
      <c r="E65" s="52">
        <v>769.57</v>
      </c>
      <c r="F65" s="52">
        <v>7734.52</v>
      </c>
      <c r="G65" s="52">
        <v>6226.98</v>
      </c>
      <c r="H65" s="52">
        <v>2746.8599999999997</v>
      </c>
      <c r="I65" s="53">
        <v>28816.739999999998</v>
      </c>
      <c r="J65" s="49"/>
    </row>
    <row r="66" spans="1:10" x14ac:dyDescent="0.2">
      <c r="A66" s="50">
        <f t="shared" si="1"/>
        <v>43895</v>
      </c>
      <c r="B66" s="51">
        <v>7823.5</v>
      </c>
      <c r="C66" s="52">
        <v>4643.8999999999996</v>
      </c>
      <c r="D66" s="52">
        <v>4675.3</v>
      </c>
      <c r="E66" s="52">
        <v>1438</v>
      </c>
      <c r="F66" s="52">
        <v>7879.6</v>
      </c>
      <c r="G66" s="52">
        <v>6726.8</v>
      </c>
      <c r="H66" s="52">
        <v>3159.2</v>
      </c>
      <c r="I66" s="53">
        <v>30027.900000000005</v>
      </c>
      <c r="J66" s="49"/>
    </row>
    <row r="67" spans="1:10" x14ac:dyDescent="0.2">
      <c r="A67" s="50">
        <f t="shared" si="1"/>
        <v>43896</v>
      </c>
      <c r="B67" s="51">
        <v>7225.34</v>
      </c>
      <c r="C67" s="52">
        <v>4586.99</v>
      </c>
      <c r="D67" s="52">
        <v>4696.6499999999996</v>
      </c>
      <c r="E67" s="52">
        <v>754.22</v>
      </c>
      <c r="F67" s="52">
        <v>3422.89</v>
      </c>
      <c r="G67" s="52">
        <v>6471.24</v>
      </c>
      <c r="H67" s="52">
        <v>2832.02</v>
      </c>
      <c r="I67" s="53">
        <v>24325.31</v>
      </c>
      <c r="J67" s="49"/>
    </row>
    <row r="68" spans="1:10" x14ac:dyDescent="0.2">
      <c r="A68" s="50">
        <f t="shared" si="1"/>
        <v>43897</v>
      </c>
      <c r="B68" s="51">
        <v>7636.93</v>
      </c>
      <c r="C68" s="52">
        <v>4220.6400000000003</v>
      </c>
      <c r="D68" s="52">
        <v>4346.8900000000003</v>
      </c>
      <c r="E68" s="52">
        <v>1348.77</v>
      </c>
      <c r="F68" s="52">
        <v>5332.85</v>
      </c>
      <c r="G68" s="52">
        <v>5446.48</v>
      </c>
      <c r="H68" s="52">
        <v>2448.4499999999998</v>
      </c>
      <c r="I68" s="53">
        <v>25884.11</v>
      </c>
      <c r="J68" s="49"/>
    </row>
    <row r="69" spans="1:10" x14ac:dyDescent="0.2">
      <c r="A69" s="50">
        <f t="shared" si="1"/>
        <v>43898</v>
      </c>
      <c r="B69" s="51">
        <v>7263.31</v>
      </c>
      <c r="C69" s="52">
        <v>4133.6499999999996</v>
      </c>
      <c r="D69" s="52">
        <v>4323.22</v>
      </c>
      <c r="E69" s="52">
        <v>1072.9000000000001</v>
      </c>
      <c r="F69" s="52">
        <v>6729.7</v>
      </c>
      <c r="G69" s="52">
        <v>5157.3599999999997</v>
      </c>
      <c r="H69" s="52">
        <v>2169.2599999999998</v>
      </c>
      <c r="I69" s="53">
        <v>26510.880000000005</v>
      </c>
      <c r="J69" s="49"/>
    </row>
    <row r="70" spans="1:10" x14ac:dyDescent="0.2">
      <c r="A70" s="50">
        <f t="shared" si="1"/>
        <v>43899</v>
      </c>
      <c r="B70" s="51">
        <v>7143.1</v>
      </c>
      <c r="C70" s="52">
        <v>4333.8</v>
      </c>
      <c r="D70" s="52">
        <v>4486.3999999999996</v>
      </c>
      <c r="E70" s="52">
        <v>761.1</v>
      </c>
      <c r="F70" s="52">
        <v>6944.2</v>
      </c>
      <c r="G70" s="52">
        <v>4997</v>
      </c>
      <c r="H70" s="52">
        <v>2307.8000000000002</v>
      </c>
      <c r="I70" s="53">
        <v>26357.800000000003</v>
      </c>
      <c r="J70" s="49"/>
    </row>
    <row r="71" spans="1:10" x14ac:dyDescent="0.2">
      <c r="A71" s="50">
        <f t="shared" si="1"/>
        <v>43900</v>
      </c>
      <c r="B71" s="51">
        <v>7339.11</v>
      </c>
      <c r="C71" s="52">
        <v>4489.92</v>
      </c>
      <c r="D71" s="52">
        <v>4515.92</v>
      </c>
      <c r="E71" s="52">
        <v>676.56</v>
      </c>
      <c r="F71" s="52">
        <v>7016.97</v>
      </c>
      <c r="G71" s="52">
        <v>5568.13</v>
      </c>
      <c r="H71" s="52">
        <v>2667.46</v>
      </c>
      <c r="I71" s="53">
        <v>26939.15</v>
      </c>
      <c r="J71" s="49"/>
    </row>
    <row r="72" spans="1:10" x14ac:dyDescent="0.2">
      <c r="A72" s="50">
        <f t="shared" si="1"/>
        <v>43901</v>
      </c>
      <c r="B72" s="51">
        <v>7107.3</v>
      </c>
      <c r="C72" s="52">
        <v>4397.8</v>
      </c>
      <c r="D72" s="52">
        <v>3942.8</v>
      </c>
      <c r="E72" s="52">
        <v>775.8</v>
      </c>
      <c r="F72" s="52">
        <v>7528.8</v>
      </c>
      <c r="G72" s="52">
        <v>5136.5</v>
      </c>
      <c r="H72" s="52">
        <v>2407.1000000000004</v>
      </c>
      <c r="I72" s="53">
        <v>26481.9</v>
      </c>
      <c r="J72" s="49"/>
    </row>
    <row r="73" spans="1:10" x14ac:dyDescent="0.2">
      <c r="A73" s="50">
        <f t="shared" si="1"/>
        <v>43902</v>
      </c>
      <c r="B73" s="51">
        <v>7356.4</v>
      </c>
      <c r="C73" s="52">
        <v>4548.6400000000003</v>
      </c>
      <c r="D73" s="52">
        <v>3730.15</v>
      </c>
      <c r="E73" s="52">
        <v>1220.3399999999999</v>
      </c>
      <c r="F73" s="52">
        <v>7212.22</v>
      </c>
      <c r="G73" s="52">
        <v>5976.18</v>
      </c>
      <c r="H73" s="52">
        <v>2640.96</v>
      </c>
      <c r="I73" s="53">
        <v>27402.97</v>
      </c>
      <c r="J73" s="49"/>
    </row>
    <row r="74" spans="1:10" x14ac:dyDescent="0.2">
      <c r="A74" s="50">
        <f t="shared" si="1"/>
        <v>43903</v>
      </c>
      <c r="B74" s="51">
        <v>7718.04</v>
      </c>
      <c r="C74" s="52">
        <v>4602.1000000000004</v>
      </c>
      <c r="D74" s="52">
        <v>3672.5</v>
      </c>
      <c r="E74" s="52">
        <v>1428.4</v>
      </c>
      <c r="F74" s="52">
        <v>8166.4</v>
      </c>
      <c r="G74" s="52">
        <v>5677.7</v>
      </c>
      <c r="H74" s="52">
        <v>2485.4300000000003</v>
      </c>
      <c r="I74" s="53">
        <v>28779.710000000003</v>
      </c>
      <c r="J74" s="49"/>
    </row>
    <row r="75" spans="1:10" x14ac:dyDescent="0.2">
      <c r="A75" s="50">
        <f t="shared" si="1"/>
        <v>43904</v>
      </c>
      <c r="B75" s="51">
        <v>7114.92</v>
      </c>
      <c r="C75" s="52">
        <v>4446.88</v>
      </c>
      <c r="D75" s="52">
        <v>3559.74</v>
      </c>
      <c r="E75" s="52">
        <v>555.78</v>
      </c>
      <c r="F75" s="52">
        <v>7033.07</v>
      </c>
      <c r="G75" s="52">
        <v>4942.3</v>
      </c>
      <c r="H75" s="52">
        <v>1885.1799999999998</v>
      </c>
      <c r="I75" s="53">
        <v>25767.51</v>
      </c>
      <c r="J75" s="49"/>
    </row>
    <row r="76" spans="1:10" x14ac:dyDescent="0.2">
      <c r="A76" s="50">
        <f t="shared" si="1"/>
        <v>43905</v>
      </c>
      <c r="B76" s="51">
        <v>6875.39</v>
      </c>
      <c r="C76" s="52">
        <v>4284.09</v>
      </c>
      <c r="D76" s="52">
        <v>3544.7</v>
      </c>
      <c r="E76" s="52">
        <v>409.42</v>
      </c>
      <c r="F76" s="52">
        <v>6968.07</v>
      </c>
      <c r="G76" s="52">
        <v>5237.9399999999996</v>
      </c>
      <c r="H76" s="52">
        <v>2066.84</v>
      </c>
      <c r="I76" s="53">
        <v>25252.769999999997</v>
      </c>
      <c r="J76" s="49"/>
    </row>
    <row r="77" spans="1:10" x14ac:dyDescent="0.2">
      <c r="A77" s="50">
        <f t="shared" si="1"/>
        <v>43906</v>
      </c>
      <c r="B77" s="51">
        <v>7373.34</v>
      </c>
      <c r="C77" s="52">
        <v>4369.33</v>
      </c>
      <c r="D77" s="52">
        <v>3756.85</v>
      </c>
      <c r="E77" s="52">
        <v>623.94000000000005</v>
      </c>
      <c r="F77" s="52">
        <v>7422.78</v>
      </c>
      <c r="G77" s="52">
        <v>5758.37</v>
      </c>
      <c r="H77" s="52">
        <v>2627.1800000000003</v>
      </c>
      <c r="I77" s="53">
        <v>26677.43</v>
      </c>
      <c r="J77" s="49"/>
    </row>
    <row r="78" spans="1:10" x14ac:dyDescent="0.2">
      <c r="A78" s="50">
        <f t="shared" si="1"/>
        <v>43907</v>
      </c>
      <c r="B78" s="51">
        <v>7154.5</v>
      </c>
      <c r="C78" s="52">
        <v>4262.2</v>
      </c>
      <c r="D78" s="52">
        <v>3854.7</v>
      </c>
      <c r="E78" s="52">
        <v>870.3</v>
      </c>
      <c r="F78" s="52">
        <v>7540.1</v>
      </c>
      <c r="G78" s="52">
        <v>5844.8</v>
      </c>
      <c r="H78" s="52">
        <v>1322.9</v>
      </c>
      <c r="I78" s="53">
        <v>28203.7</v>
      </c>
      <c r="J78" s="49"/>
    </row>
    <row r="79" spans="1:10" x14ac:dyDescent="0.2">
      <c r="A79" s="50">
        <f t="shared" si="1"/>
        <v>43908</v>
      </c>
      <c r="B79" s="51">
        <v>6655.16</v>
      </c>
      <c r="C79" s="52">
        <v>4254.68</v>
      </c>
      <c r="D79" s="52">
        <v>4009.29</v>
      </c>
      <c r="E79" s="52">
        <v>808.62</v>
      </c>
      <c r="F79" s="52">
        <v>6648.58</v>
      </c>
      <c r="G79" s="52">
        <v>6034.43</v>
      </c>
      <c r="H79" s="52">
        <v>2632.86</v>
      </c>
      <c r="I79" s="53">
        <v>25777.9</v>
      </c>
      <c r="J79" s="49"/>
    </row>
    <row r="80" spans="1:10" x14ac:dyDescent="0.2">
      <c r="A80" s="50">
        <f t="shared" si="1"/>
        <v>43909</v>
      </c>
      <c r="B80" s="51">
        <v>6541.98</v>
      </c>
      <c r="C80" s="52">
        <v>4070.07</v>
      </c>
      <c r="D80" s="52">
        <v>3749.66</v>
      </c>
      <c r="E80" s="52">
        <v>821.2</v>
      </c>
      <c r="F80" s="52">
        <v>7005.96</v>
      </c>
      <c r="G80" s="52">
        <v>5966.15</v>
      </c>
      <c r="H80" s="52">
        <v>2742.04</v>
      </c>
      <c r="I80" s="53">
        <v>25412.979999999996</v>
      </c>
      <c r="J80" s="49"/>
    </row>
    <row r="81" spans="1:10" x14ac:dyDescent="0.2">
      <c r="A81" s="50">
        <f t="shared" si="1"/>
        <v>43910</v>
      </c>
      <c r="B81" s="51">
        <v>6020.7</v>
      </c>
      <c r="C81" s="52">
        <v>3681.13</v>
      </c>
      <c r="D81" s="52">
        <v>3435.88</v>
      </c>
      <c r="E81" s="52">
        <v>1001.8</v>
      </c>
      <c r="F81" s="52">
        <v>6840.56</v>
      </c>
      <c r="G81" s="52">
        <v>5844.1</v>
      </c>
      <c r="H81" s="52">
        <v>2713.69</v>
      </c>
      <c r="I81" s="53">
        <v>24110.48</v>
      </c>
      <c r="J81" s="49"/>
    </row>
    <row r="82" spans="1:10" x14ac:dyDescent="0.2">
      <c r="A82" s="50">
        <f t="shared" si="1"/>
        <v>43911</v>
      </c>
      <c r="B82" s="51">
        <v>5300.5</v>
      </c>
      <c r="C82" s="52">
        <v>3599</v>
      </c>
      <c r="D82" s="52">
        <v>2886.3</v>
      </c>
      <c r="E82" s="52">
        <v>260</v>
      </c>
      <c r="F82" s="52">
        <v>5866.2</v>
      </c>
      <c r="G82" s="52">
        <v>4611.8</v>
      </c>
      <c r="H82" s="52">
        <v>2222.4299999999998</v>
      </c>
      <c r="I82" s="53">
        <v>20301.37</v>
      </c>
      <c r="J82" s="49"/>
    </row>
    <row r="83" spans="1:10" x14ac:dyDescent="0.2">
      <c r="A83" s="50">
        <f t="shared" si="1"/>
        <v>43912</v>
      </c>
      <c r="B83" s="51">
        <v>4182.17</v>
      </c>
      <c r="C83" s="52">
        <v>3281.02</v>
      </c>
      <c r="D83" s="52">
        <v>2675.24</v>
      </c>
      <c r="E83" s="52">
        <v>112.48</v>
      </c>
      <c r="F83" s="52">
        <v>4881.9799999999996</v>
      </c>
      <c r="G83" s="52">
        <v>4528.1000000000004</v>
      </c>
      <c r="H83" s="52">
        <v>2091.3100000000004</v>
      </c>
      <c r="I83" s="53">
        <v>17569.679999999997</v>
      </c>
      <c r="J83" s="49"/>
    </row>
    <row r="84" spans="1:10" x14ac:dyDescent="0.2">
      <c r="A84" s="50">
        <f t="shared" si="1"/>
        <v>43913</v>
      </c>
      <c r="B84" s="51">
        <v>6243.19</v>
      </c>
      <c r="C84" s="52">
        <v>3989.2</v>
      </c>
      <c r="D84" s="52">
        <v>3605.43</v>
      </c>
      <c r="E84" s="52">
        <v>208.32</v>
      </c>
      <c r="F84" s="52">
        <v>6799.01</v>
      </c>
      <c r="G84" s="52">
        <v>5130.59</v>
      </c>
      <c r="H84" s="52">
        <v>2564.5700000000002</v>
      </c>
      <c r="I84" s="53">
        <v>23411.170000000002</v>
      </c>
      <c r="J84" s="49"/>
    </row>
    <row r="85" spans="1:10" x14ac:dyDescent="0.2">
      <c r="A85" s="50">
        <f t="shared" si="1"/>
        <v>43914</v>
      </c>
      <c r="B85" s="51">
        <v>7011.46</v>
      </c>
      <c r="C85" s="52">
        <v>4056.17</v>
      </c>
      <c r="D85" s="52">
        <v>3793.42</v>
      </c>
      <c r="E85" s="52">
        <v>1196.44</v>
      </c>
      <c r="F85" s="52">
        <v>7401.52</v>
      </c>
      <c r="G85" s="52">
        <v>4998.01</v>
      </c>
      <c r="H85" s="52">
        <v>2688.48</v>
      </c>
      <c r="I85" s="53">
        <v>25768.540000000005</v>
      </c>
      <c r="J85" s="49"/>
    </row>
    <row r="86" spans="1:10" x14ac:dyDescent="0.2">
      <c r="A86" s="50">
        <f t="shared" si="1"/>
        <v>43915</v>
      </c>
      <c r="B86" s="51">
        <v>6506.9</v>
      </c>
      <c r="C86" s="52">
        <v>4058.69</v>
      </c>
      <c r="D86" s="52">
        <v>3767.6</v>
      </c>
      <c r="E86" s="52">
        <v>278.87</v>
      </c>
      <c r="F86" s="52">
        <v>6521.99</v>
      </c>
      <c r="G86" s="52">
        <v>5565.1</v>
      </c>
      <c r="H86" s="52">
        <v>2805.9400000000005</v>
      </c>
      <c r="I86" s="53">
        <v>23893.21</v>
      </c>
      <c r="J86" s="49"/>
    </row>
    <row r="87" spans="1:10" x14ac:dyDescent="0.2">
      <c r="A87" s="50">
        <f t="shared" si="1"/>
        <v>43916</v>
      </c>
      <c r="B87" s="51">
        <v>5883.53</v>
      </c>
      <c r="C87" s="52">
        <v>3776.8</v>
      </c>
      <c r="D87" s="52">
        <v>3649.68</v>
      </c>
      <c r="E87" s="52">
        <v>929.85</v>
      </c>
      <c r="F87" s="52">
        <v>6538.61</v>
      </c>
      <c r="G87" s="52">
        <v>5595.74</v>
      </c>
      <c r="H87" s="52">
        <v>2532.17</v>
      </c>
      <c r="I87" s="53">
        <v>23842.04</v>
      </c>
      <c r="J87" s="49"/>
    </row>
    <row r="88" spans="1:10" x14ac:dyDescent="0.2">
      <c r="A88" s="50">
        <f t="shared" si="1"/>
        <v>43917</v>
      </c>
      <c r="B88" s="51">
        <v>4731.63</v>
      </c>
      <c r="C88" s="52">
        <v>3424.54</v>
      </c>
      <c r="D88" s="52">
        <v>3417.3</v>
      </c>
      <c r="E88" s="52">
        <v>448.27</v>
      </c>
      <c r="F88" s="52">
        <v>5446.22</v>
      </c>
      <c r="G88" s="52">
        <v>4094.65</v>
      </c>
      <c r="H88" s="52">
        <v>2138.4299999999998</v>
      </c>
      <c r="I88" s="53">
        <v>19424.180000000004</v>
      </c>
      <c r="J88" s="49"/>
    </row>
    <row r="89" spans="1:10" x14ac:dyDescent="0.2">
      <c r="A89" s="50">
        <f t="shared" si="1"/>
        <v>43918</v>
      </c>
      <c r="B89" s="51">
        <v>1435.7</v>
      </c>
      <c r="C89" s="52">
        <v>922.7</v>
      </c>
      <c r="D89" s="52">
        <v>752.3</v>
      </c>
      <c r="E89" s="52">
        <v>42.6</v>
      </c>
      <c r="F89" s="52">
        <v>758.9</v>
      </c>
      <c r="G89" s="52">
        <v>1643.7</v>
      </c>
      <c r="H89" s="52">
        <v>1254.1000000000001</v>
      </c>
      <c r="I89" s="53">
        <v>4301.7999999999993</v>
      </c>
      <c r="J89" s="49"/>
    </row>
    <row r="90" spans="1:10" x14ac:dyDescent="0.2">
      <c r="A90" s="50">
        <f t="shared" si="1"/>
        <v>43919</v>
      </c>
      <c r="B90" s="51">
        <v>1358.9</v>
      </c>
      <c r="C90" s="52">
        <v>716.2</v>
      </c>
      <c r="D90" s="52">
        <v>395.7</v>
      </c>
      <c r="E90" s="52">
        <v>399.6</v>
      </c>
      <c r="F90" s="52">
        <v>1631.6</v>
      </c>
      <c r="G90" s="52">
        <v>1582</v>
      </c>
      <c r="H90" s="52">
        <v>1189.1999999999998</v>
      </c>
      <c r="I90" s="53">
        <v>4894.8</v>
      </c>
      <c r="J90" s="49"/>
    </row>
    <row r="91" spans="1:10" x14ac:dyDescent="0.2">
      <c r="A91" s="50">
        <f t="shared" si="1"/>
        <v>43920</v>
      </c>
      <c r="B91" s="51">
        <v>1086.4000000000001</v>
      </c>
      <c r="C91" s="52">
        <v>706</v>
      </c>
      <c r="D91" s="52">
        <v>409.5</v>
      </c>
      <c r="E91" s="52">
        <v>41.2</v>
      </c>
      <c r="F91" s="52">
        <v>310.39999999999998</v>
      </c>
      <c r="G91" s="52">
        <v>1963.2</v>
      </c>
      <c r="H91" s="52">
        <v>1655.9</v>
      </c>
      <c r="I91" s="53">
        <v>2860.7999999999997</v>
      </c>
      <c r="J91" s="49"/>
    </row>
    <row r="92" spans="1:10" x14ac:dyDescent="0.2">
      <c r="A92" s="50">
        <f t="shared" si="1"/>
        <v>43921</v>
      </c>
      <c r="B92" s="51">
        <v>1193.2</v>
      </c>
      <c r="C92" s="52">
        <v>684.5</v>
      </c>
      <c r="D92" s="52">
        <v>418.9</v>
      </c>
      <c r="E92" s="52">
        <v>42.6</v>
      </c>
      <c r="F92" s="52">
        <v>310</v>
      </c>
      <c r="G92" s="52">
        <v>2191.3000000000002</v>
      </c>
      <c r="H92" s="52">
        <v>1871.5</v>
      </c>
      <c r="I92" s="53">
        <v>2969</v>
      </c>
      <c r="J92" s="49"/>
    </row>
    <row r="93" spans="1:10" x14ac:dyDescent="0.2">
      <c r="A93" s="50">
        <f t="shared" si="1"/>
        <v>43922</v>
      </c>
      <c r="B93" s="51">
        <v>904.4</v>
      </c>
      <c r="C93" s="52">
        <v>832.2</v>
      </c>
      <c r="D93" s="52">
        <v>401.5</v>
      </c>
      <c r="E93" s="52">
        <v>42.2</v>
      </c>
      <c r="F93" s="52">
        <v>308.3</v>
      </c>
      <c r="G93" s="52">
        <v>1808.4</v>
      </c>
      <c r="H93" s="52">
        <v>1473.2999999999997</v>
      </c>
      <c r="I93" s="53">
        <v>2823.7000000000003</v>
      </c>
      <c r="J93" s="49"/>
    </row>
    <row r="94" spans="1:10" x14ac:dyDescent="0.2">
      <c r="A94" s="50">
        <f t="shared" si="1"/>
        <v>43923</v>
      </c>
      <c r="B94" s="51">
        <v>885.69</v>
      </c>
      <c r="C94" s="52">
        <v>683.2</v>
      </c>
      <c r="D94" s="52">
        <v>398.9</v>
      </c>
      <c r="E94" s="52">
        <v>43.1</v>
      </c>
      <c r="F94" s="52">
        <v>313</v>
      </c>
      <c r="G94" s="52">
        <v>1978.8</v>
      </c>
      <c r="H94" s="52">
        <v>1631.4</v>
      </c>
      <c r="I94" s="53">
        <v>2671.2899999999995</v>
      </c>
      <c r="J94" s="49"/>
    </row>
    <row r="95" spans="1:10" x14ac:dyDescent="0.2">
      <c r="A95" s="50">
        <f t="shared" si="1"/>
        <v>43924</v>
      </c>
      <c r="B95" s="51">
        <v>912.4</v>
      </c>
      <c r="C95" s="52">
        <v>680.6</v>
      </c>
      <c r="D95" s="52">
        <v>402.6</v>
      </c>
      <c r="E95" s="52">
        <v>42.5</v>
      </c>
      <c r="F95" s="52">
        <v>308.3</v>
      </c>
      <c r="G95" s="52">
        <v>1744.5</v>
      </c>
      <c r="H95" s="52">
        <v>1426.3</v>
      </c>
      <c r="I95" s="53">
        <v>2664.6000000000004</v>
      </c>
      <c r="J95" s="49"/>
    </row>
    <row r="96" spans="1:10" x14ac:dyDescent="0.2">
      <c r="A96" s="50">
        <f t="shared" ref="A96:A159" si="2">A95+1</f>
        <v>43925</v>
      </c>
      <c r="B96" s="51">
        <v>874.4</v>
      </c>
      <c r="C96" s="52">
        <v>686.5</v>
      </c>
      <c r="D96" s="52">
        <v>392.4</v>
      </c>
      <c r="E96" s="52">
        <v>42.5</v>
      </c>
      <c r="F96" s="52">
        <v>307.60000000000002</v>
      </c>
      <c r="G96" s="52">
        <v>1650.1</v>
      </c>
      <c r="H96" s="52">
        <v>1284.5999999999999</v>
      </c>
      <c r="I96" s="53">
        <v>2668.9</v>
      </c>
      <c r="J96" s="49"/>
    </row>
    <row r="97" spans="1:10" x14ac:dyDescent="0.2">
      <c r="A97" s="50">
        <f t="shared" si="2"/>
        <v>43926</v>
      </c>
      <c r="B97" s="51">
        <v>867.3</v>
      </c>
      <c r="C97" s="52">
        <v>671.4</v>
      </c>
      <c r="D97" s="52">
        <v>379</v>
      </c>
      <c r="E97" s="52">
        <v>42.4</v>
      </c>
      <c r="F97" s="52">
        <v>308.2</v>
      </c>
      <c r="G97" s="52">
        <v>1518.5</v>
      </c>
      <c r="H97" s="52">
        <v>1152.5</v>
      </c>
      <c r="I97" s="53">
        <v>2634.2999999999997</v>
      </c>
      <c r="J97" s="49"/>
    </row>
    <row r="98" spans="1:10" x14ac:dyDescent="0.2">
      <c r="A98" s="50">
        <f t="shared" si="2"/>
        <v>43927</v>
      </c>
      <c r="B98" s="51">
        <v>5281.5</v>
      </c>
      <c r="C98" s="52">
        <v>3179.5</v>
      </c>
      <c r="D98" s="52">
        <v>2162.6999999999998</v>
      </c>
      <c r="E98" s="52">
        <v>1311.8</v>
      </c>
      <c r="F98" s="52">
        <v>5106.5</v>
      </c>
      <c r="G98" s="52">
        <v>4369.2</v>
      </c>
      <c r="H98" s="52">
        <v>2095.5</v>
      </c>
      <c r="I98" s="53">
        <v>19315.7</v>
      </c>
      <c r="J98" s="49"/>
    </row>
    <row r="99" spans="1:10" x14ac:dyDescent="0.2">
      <c r="A99" s="50">
        <f t="shared" si="2"/>
        <v>43928</v>
      </c>
      <c r="B99" s="51">
        <v>6874.14</v>
      </c>
      <c r="C99" s="52">
        <v>3825.29</v>
      </c>
      <c r="D99" s="52">
        <v>3742.17</v>
      </c>
      <c r="E99" s="52">
        <v>971.55</v>
      </c>
      <c r="F99" s="52">
        <v>6694.73</v>
      </c>
      <c r="G99" s="52">
        <v>5194.87</v>
      </c>
      <c r="H99" s="52">
        <v>2368.0499999999997</v>
      </c>
      <c r="I99" s="53">
        <v>24934.699999999997</v>
      </c>
      <c r="J99" s="49"/>
    </row>
    <row r="100" spans="1:10" x14ac:dyDescent="0.2">
      <c r="A100" s="50">
        <f t="shared" si="2"/>
        <v>43929</v>
      </c>
      <c r="B100" s="51">
        <v>6713.23</v>
      </c>
      <c r="C100" s="52">
        <v>3757.59</v>
      </c>
      <c r="D100" s="52">
        <v>4452.46</v>
      </c>
      <c r="E100" s="52">
        <v>347.41</v>
      </c>
      <c r="F100" s="52">
        <v>6424.11</v>
      </c>
      <c r="G100" s="52">
        <v>5477.75</v>
      </c>
      <c r="H100" s="52">
        <v>2790.7</v>
      </c>
      <c r="I100" s="53">
        <v>24381.85</v>
      </c>
      <c r="J100" s="49"/>
    </row>
    <row r="101" spans="1:10" x14ac:dyDescent="0.2">
      <c r="A101" s="50">
        <f t="shared" si="2"/>
        <v>43930</v>
      </c>
      <c r="B101" s="51">
        <v>6846.34</v>
      </c>
      <c r="C101" s="52">
        <v>3845.72</v>
      </c>
      <c r="D101" s="52">
        <v>4231.55</v>
      </c>
      <c r="E101" s="52">
        <v>501.21</v>
      </c>
      <c r="F101" s="52">
        <v>6934.09</v>
      </c>
      <c r="G101" s="52">
        <v>5586.97</v>
      </c>
      <c r="H101" s="52">
        <v>2808.4900000000002</v>
      </c>
      <c r="I101" s="53">
        <v>25137.39</v>
      </c>
      <c r="J101" s="49"/>
    </row>
    <row r="102" spans="1:10" x14ac:dyDescent="0.2">
      <c r="A102" s="50">
        <f t="shared" si="2"/>
        <v>43931</v>
      </c>
      <c r="B102" s="51">
        <v>6873.1</v>
      </c>
      <c r="C102" s="52">
        <v>4137.8</v>
      </c>
      <c r="D102" s="52">
        <v>4196.2</v>
      </c>
      <c r="E102" s="52">
        <v>595.70000000000005</v>
      </c>
      <c r="F102" s="52">
        <v>6788.5</v>
      </c>
      <c r="G102" s="52">
        <v>4813.7</v>
      </c>
      <c r="H102" s="52">
        <v>2484.1999999999998</v>
      </c>
      <c r="I102" s="53">
        <v>24920.800000000003</v>
      </c>
      <c r="J102" s="49"/>
    </row>
    <row r="103" spans="1:10" x14ac:dyDescent="0.2">
      <c r="A103" s="50">
        <f t="shared" si="2"/>
        <v>43932</v>
      </c>
      <c r="B103" s="51">
        <v>6816.73</v>
      </c>
      <c r="C103" s="52">
        <v>3887.43</v>
      </c>
      <c r="D103" s="52">
        <v>3804.94</v>
      </c>
      <c r="E103" s="52">
        <v>656.42</v>
      </c>
      <c r="F103" s="52">
        <v>6475.88</v>
      </c>
      <c r="G103" s="52">
        <v>3992.5</v>
      </c>
      <c r="H103" s="52">
        <v>1771.4199999999998</v>
      </c>
      <c r="I103" s="53">
        <v>23862.480000000003</v>
      </c>
      <c r="J103" s="49"/>
    </row>
    <row r="104" spans="1:10" x14ac:dyDescent="0.2">
      <c r="A104" s="50">
        <f t="shared" si="2"/>
        <v>43933</v>
      </c>
      <c r="B104" s="51">
        <v>6460.97</v>
      </c>
      <c r="C104" s="52">
        <v>3640.48</v>
      </c>
      <c r="D104" s="52">
        <v>3883.05</v>
      </c>
      <c r="E104" s="52">
        <v>568.41</v>
      </c>
      <c r="F104" s="52">
        <v>6331.34</v>
      </c>
      <c r="G104" s="52">
        <v>3598.36</v>
      </c>
      <c r="H104" s="52">
        <v>1633.28</v>
      </c>
      <c r="I104" s="53">
        <v>22849.33</v>
      </c>
      <c r="J104" s="49"/>
    </row>
    <row r="105" spans="1:10" x14ac:dyDescent="0.2">
      <c r="A105" s="50">
        <f t="shared" si="2"/>
        <v>43934</v>
      </c>
      <c r="B105" s="51">
        <v>6701.5</v>
      </c>
      <c r="C105" s="52">
        <v>3698.07</v>
      </c>
      <c r="D105" s="52">
        <v>4174.3599999999997</v>
      </c>
      <c r="E105" s="52">
        <v>580.72</v>
      </c>
      <c r="F105" s="52">
        <v>6849.36</v>
      </c>
      <c r="G105" s="52">
        <v>5109.87</v>
      </c>
      <c r="H105" s="52">
        <v>2663.56</v>
      </c>
      <c r="I105" s="53">
        <v>24450.319999999996</v>
      </c>
      <c r="J105" s="49"/>
    </row>
    <row r="106" spans="1:10" x14ac:dyDescent="0.2">
      <c r="A106" s="50">
        <f t="shared" si="2"/>
        <v>43935</v>
      </c>
      <c r="B106" s="51">
        <v>6770.2</v>
      </c>
      <c r="C106" s="52">
        <v>4066.3</v>
      </c>
      <c r="D106" s="52">
        <v>4170.3</v>
      </c>
      <c r="E106" s="52">
        <v>493.4</v>
      </c>
      <c r="F106" s="52">
        <v>7167.3</v>
      </c>
      <c r="G106" s="52">
        <v>5022.8</v>
      </c>
      <c r="H106" s="52">
        <v>2586.5999999999995</v>
      </c>
      <c r="I106" s="53">
        <v>25103.7</v>
      </c>
      <c r="J106" s="49"/>
    </row>
    <row r="107" spans="1:10" x14ac:dyDescent="0.2">
      <c r="A107" s="50">
        <f t="shared" si="2"/>
        <v>43936</v>
      </c>
      <c r="B107" s="51">
        <v>6764.13</v>
      </c>
      <c r="C107" s="52">
        <v>4008.81</v>
      </c>
      <c r="D107" s="52">
        <v>4004.71</v>
      </c>
      <c r="E107" s="52">
        <v>847.21</v>
      </c>
      <c r="F107" s="52">
        <v>6716.54</v>
      </c>
      <c r="G107" s="52">
        <v>5056.41</v>
      </c>
      <c r="H107" s="52">
        <v>2284.67</v>
      </c>
      <c r="I107" s="53">
        <v>25113.14</v>
      </c>
      <c r="J107" s="49"/>
    </row>
    <row r="108" spans="1:10" x14ac:dyDescent="0.2">
      <c r="A108" s="50">
        <f t="shared" si="2"/>
        <v>43937</v>
      </c>
      <c r="B108" s="51">
        <v>6466.78</v>
      </c>
      <c r="C108" s="52">
        <v>3794.56</v>
      </c>
      <c r="D108" s="52">
        <v>3551.24</v>
      </c>
      <c r="E108" s="52">
        <v>877.49</v>
      </c>
      <c r="F108" s="52">
        <v>6989.66</v>
      </c>
      <c r="G108" s="52">
        <v>4755.7299999999996</v>
      </c>
      <c r="H108" s="52">
        <v>2439.6800000000003</v>
      </c>
      <c r="I108" s="53">
        <v>23995.78</v>
      </c>
      <c r="J108" s="49"/>
    </row>
    <row r="109" spans="1:10" x14ac:dyDescent="0.2">
      <c r="A109" s="50">
        <f t="shared" si="2"/>
        <v>43938</v>
      </c>
      <c r="B109" s="51">
        <v>6536.92</v>
      </c>
      <c r="C109" s="52">
        <v>3694.02</v>
      </c>
      <c r="D109" s="52">
        <v>3112.96</v>
      </c>
      <c r="E109" s="52">
        <v>1248.58</v>
      </c>
      <c r="F109" s="52">
        <v>7345.03</v>
      </c>
      <c r="G109" s="52">
        <v>4555.6400000000003</v>
      </c>
      <c r="H109" s="52">
        <v>2234.96</v>
      </c>
      <c r="I109" s="53">
        <v>24258.190000000002</v>
      </c>
      <c r="J109" s="49"/>
    </row>
    <row r="110" spans="1:10" x14ac:dyDescent="0.2">
      <c r="A110" s="50">
        <f t="shared" si="2"/>
        <v>43939</v>
      </c>
      <c r="B110" s="51">
        <v>6213.2</v>
      </c>
      <c r="C110" s="52">
        <v>3757.1</v>
      </c>
      <c r="D110" s="52">
        <v>2946.4</v>
      </c>
      <c r="E110" s="52">
        <v>827.7</v>
      </c>
      <c r="F110" s="52">
        <v>6887.7</v>
      </c>
      <c r="G110" s="52">
        <v>4012.6</v>
      </c>
      <c r="H110" s="52">
        <v>1810.2</v>
      </c>
      <c r="I110" s="53">
        <v>22834.499999999996</v>
      </c>
      <c r="J110" s="49"/>
    </row>
    <row r="111" spans="1:10" x14ac:dyDescent="0.2">
      <c r="A111" s="50">
        <f t="shared" si="2"/>
        <v>43940</v>
      </c>
      <c r="B111" s="51">
        <v>5955.94</v>
      </c>
      <c r="C111" s="52">
        <v>3760.74</v>
      </c>
      <c r="D111" s="52">
        <v>2817.39</v>
      </c>
      <c r="E111" s="52">
        <v>180.21</v>
      </c>
      <c r="F111" s="52">
        <v>5717.35</v>
      </c>
      <c r="G111" s="52">
        <v>4455.4399999999996</v>
      </c>
      <c r="H111" s="52">
        <v>1748.1299999999999</v>
      </c>
      <c r="I111" s="53">
        <v>21138.939999999995</v>
      </c>
      <c r="J111" s="49"/>
    </row>
    <row r="112" spans="1:10" x14ac:dyDescent="0.2">
      <c r="A112" s="50">
        <f t="shared" si="2"/>
        <v>43941</v>
      </c>
      <c r="B112" s="51">
        <v>6190.88</v>
      </c>
      <c r="C112" s="52">
        <v>3856.72</v>
      </c>
      <c r="D112" s="52">
        <v>3288</v>
      </c>
      <c r="E112" s="52">
        <v>267.8</v>
      </c>
      <c r="F112" s="52">
        <v>6360.4</v>
      </c>
      <c r="G112" s="52">
        <v>4830.26</v>
      </c>
      <c r="H112" s="52">
        <v>2095.1999999999998</v>
      </c>
      <c r="I112" s="53">
        <v>22698.859999999997</v>
      </c>
      <c r="J112" s="49"/>
    </row>
    <row r="113" spans="1:10" x14ac:dyDescent="0.2">
      <c r="A113" s="50">
        <f t="shared" si="2"/>
        <v>43942</v>
      </c>
      <c r="B113" s="51">
        <v>6154.32</v>
      </c>
      <c r="C113" s="52">
        <v>3713.14</v>
      </c>
      <c r="D113" s="52">
        <v>3120.44</v>
      </c>
      <c r="E113" s="52">
        <v>819.63</v>
      </c>
      <c r="F113" s="52">
        <v>6572.44</v>
      </c>
      <c r="G113" s="52">
        <v>4800.7</v>
      </c>
      <c r="H113" s="52">
        <v>2221.56</v>
      </c>
      <c r="I113" s="53">
        <v>22959.109999999997</v>
      </c>
      <c r="J113" s="49"/>
    </row>
    <row r="114" spans="1:10" x14ac:dyDescent="0.2">
      <c r="A114" s="50">
        <f t="shared" si="2"/>
        <v>43943</v>
      </c>
      <c r="B114" s="51">
        <v>5636</v>
      </c>
      <c r="C114" s="52">
        <v>3443.8</v>
      </c>
      <c r="D114" s="52">
        <v>3046.9</v>
      </c>
      <c r="E114" s="52">
        <v>1073.5999999999999</v>
      </c>
      <c r="F114" s="52">
        <v>6576.3</v>
      </c>
      <c r="G114" s="52">
        <v>4268.8999999999996</v>
      </c>
      <c r="H114" s="52">
        <v>2004.2</v>
      </c>
      <c r="I114" s="53">
        <v>22041.3</v>
      </c>
      <c r="J114" s="49"/>
    </row>
    <row r="115" spans="1:10" x14ac:dyDescent="0.2">
      <c r="A115" s="50">
        <f t="shared" si="2"/>
        <v>43944</v>
      </c>
      <c r="B115" s="51">
        <v>5202.3599999999997</v>
      </c>
      <c r="C115" s="52">
        <v>3258.17</v>
      </c>
      <c r="D115" s="52">
        <v>2943.25</v>
      </c>
      <c r="E115" s="52">
        <v>501.45</v>
      </c>
      <c r="F115" s="52">
        <v>6306.41</v>
      </c>
      <c r="G115" s="52">
        <v>5062.66</v>
      </c>
      <c r="H115" s="52">
        <v>2441.9199999999996</v>
      </c>
      <c r="I115" s="53">
        <v>20832.38</v>
      </c>
      <c r="J115" s="49"/>
    </row>
    <row r="116" spans="1:10" x14ac:dyDescent="0.2">
      <c r="A116" s="50">
        <f t="shared" si="2"/>
        <v>43945</v>
      </c>
      <c r="B116" s="51">
        <v>5072.0200000000004</v>
      </c>
      <c r="C116" s="52">
        <v>3169.98</v>
      </c>
      <c r="D116" s="52">
        <v>2729.52</v>
      </c>
      <c r="E116" s="52">
        <v>938.95</v>
      </c>
      <c r="F116" s="52">
        <v>5770.23</v>
      </c>
      <c r="G116" s="52">
        <v>4989.3599999999997</v>
      </c>
      <c r="H116" s="52">
        <v>2111.42</v>
      </c>
      <c r="I116" s="53">
        <v>20558.64</v>
      </c>
      <c r="J116" s="49"/>
    </row>
    <row r="117" spans="1:10" x14ac:dyDescent="0.2">
      <c r="A117" s="50">
        <f t="shared" si="2"/>
        <v>43946</v>
      </c>
      <c r="B117" s="51">
        <v>4889.38</v>
      </c>
      <c r="C117" s="52">
        <v>3178.12</v>
      </c>
      <c r="D117" s="52">
        <v>2602.39</v>
      </c>
      <c r="E117" s="52">
        <v>692.03</v>
      </c>
      <c r="F117" s="52">
        <v>5032.66</v>
      </c>
      <c r="G117" s="52">
        <v>3853.2</v>
      </c>
      <c r="H117" s="52">
        <v>1832.72</v>
      </c>
      <c r="I117" s="53">
        <v>18415.060000000001</v>
      </c>
      <c r="J117" s="49"/>
    </row>
    <row r="118" spans="1:10" x14ac:dyDescent="0.2">
      <c r="A118" s="50">
        <f t="shared" si="2"/>
        <v>43947</v>
      </c>
      <c r="B118" s="51">
        <v>5117.5</v>
      </c>
      <c r="C118" s="52">
        <v>3349.2</v>
      </c>
      <c r="D118" s="52">
        <v>2785.4</v>
      </c>
      <c r="E118" s="52">
        <v>1373</v>
      </c>
      <c r="F118" s="52">
        <v>5528.7</v>
      </c>
      <c r="G118" s="52">
        <v>3284.7</v>
      </c>
      <c r="H118" s="52">
        <v>1653.3999999999999</v>
      </c>
      <c r="I118" s="53">
        <v>19785.099999999999</v>
      </c>
      <c r="J118" s="49"/>
    </row>
    <row r="119" spans="1:10" x14ac:dyDescent="0.2">
      <c r="A119" s="50">
        <f t="shared" si="2"/>
        <v>43948</v>
      </c>
      <c r="B119" s="51">
        <v>6248.94</v>
      </c>
      <c r="C119" s="52">
        <v>3571.98</v>
      </c>
      <c r="D119" s="52">
        <v>3131</v>
      </c>
      <c r="E119" s="52">
        <v>1650.47</v>
      </c>
      <c r="F119" s="52">
        <v>5664.85</v>
      </c>
      <c r="G119" s="52">
        <v>4057.76</v>
      </c>
      <c r="H119" s="52">
        <v>2205.8300000000004</v>
      </c>
      <c r="I119" s="53">
        <v>22119.17</v>
      </c>
      <c r="J119" s="49"/>
    </row>
    <row r="120" spans="1:10" x14ac:dyDescent="0.2">
      <c r="A120" s="50">
        <f t="shared" si="2"/>
        <v>43949</v>
      </c>
      <c r="B120" s="51">
        <v>5794.32</v>
      </c>
      <c r="C120" s="52">
        <v>3619.78</v>
      </c>
      <c r="D120" s="52">
        <v>2966.69</v>
      </c>
      <c r="E120" s="52">
        <v>1264.56</v>
      </c>
      <c r="F120" s="52">
        <v>5334.16</v>
      </c>
      <c r="G120" s="52">
        <v>4005.12</v>
      </c>
      <c r="H120" s="52">
        <v>1945.6200000000001</v>
      </c>
      <c r="I120" s="53">
        <v>21039.010000000002</v>
      </c>
      <c r="J120" s="49"/>
    </row>
    <row r="121" spans="1:10" x14ac:dyDescent="0.2">
      <c r="A121" s="50">
        <f t="shared" si="2"/>
        <v>43950</v>
      </c>
      <c r="B121" s="51">
        <v>5487.34</v>
      </c>
      <c r="C121" s="52">
        <v>3508.72</v>
      </c>
      <c r="D121" s="52">
        <v>3039.59</v>
      </c>
      <c r="E121" s="52">
        <v>1114.79</v>
      </c>
      <c r="F121" s="52">
        <v>5220.04</v>
      </c>
      <c r="G121" s="52">
        <v>4711.9799999999996</v>
      </c>
      <c r="H121" s="52">
        <v>2189.0100000000002</v>
      </c>
      <c r="I121" s="53">
        <v>20893.449999999997</v>
      </c>
      <c r="J121" s="49"/>
    </row>
    <row r="122" spans="1:10" x14ac:dyDescent="0.2">
      <c r="A122" s="50">
        <f t="shared" si="2"/>
        <v>43951</v>
      </c>
      <c r="B122" s="51">
        <v>5629.7</v>
      </c>
      <c r="C122" s="52">
        <v>3488.7</v>
      </c>
      <c r="D122" s="52">
        <v>2875.2</v>
      </c>
      <c r="E122" s="52">
        <v>1020.9</v>
      </c>
      <c r="F122" s="52">
        <v>5311.6</v>
      </c>
      <c r="G122" s="52">
        <v>4752.8</v>
      </c>
      <c r="H122" s="52">
        <v>2021.1</v>
      </c>
      <c r="I122" s="53">
        <v>21057.8</v>
      </c>
      <c r="J122" s="49"/>
    </row>
    <row r="123" spans="1:10" x14ac:dyDescent="0.2">
      <c r="A123" s="50">
        <f t="shared" si="2"/>
        <v>43952</v>
      </c>
      <c r="B123" s="51">
        <v>5802.99</v>
      </c>
      <c r="C123" s="52">
        <v>3663.51</v>
      </c>
      <c r="D123" s="52">
        <v>3004.77</v>
      </c>
      <c r="E123" s="52">
        <v>1376.13</v>
      </c>
      <c r="F123" s="52">
        <v>5157.32</v>
      </c>
      <c r="G123" s="52">
        <v>3889.38</v>
      </c>
      <c r="H123" s="52">
        <v>1403.7299999999998</v>
      </c>
      <c r="I123" s="53">
        <v>21490.370000000003</v>
      </c>
      <c r="J123" s="49"/>
    </row>
    <row r="124" spans="1:10" x14ac:dyDescent="0.2">
      <c r="A124" s="50">
        <f t="shared" si="2"/>
        <v>43953</v>
      </c>
      <c r="B124" s="51">
        <v>5946.48</v>
      </c>
      <c r="C124" s="52">
        <v>3434.09</v>
      </c>
      <c r="D124" s="52">
        <v>2867.7</v>
      </c>
      <c r="E124" s="52">
        <v>1836.46</v>
      </c>
      <c r="F124" s="52">
        <v>5872.83</v>
      </c>
      <c r="G124" s="52">
        <v>3988.69</v>
      </c>
      <c r="H124" s="52">
        <v>1511.2</v>
      </c>
      <c r="I124" s="53">
        <v>22435.049999999996</v>
      </c>
      <c r="J124" s="49"/>
    </row>
    <row r="125" spans="1:10" x14ac:dyDescent="0.2">
      <c r="A125" s="50">
        <f t="shared" si="2"/>
        <v>43954</v>
      </c>
      <c r="B125" s="51">
        <v>5489.18</v>
      </c>
      <c r="C125" s="52">
        <v>3408.32</v>
      </c>
      <c r="D125" s="52">
        <v>2700.86</v>
      </c>
      <c r="E125" s="52">
        <v>1790.11</v>
      </c>
      <c r="F125" s="52">
        <v>5763.74</v>
      </c>
      <c r="G125" s="52">
        <v>4633.26</v>
      </c>
      <c r="H125" s="52">
        <v>1559.62</v>
      </c>
      <c r="I125" s="53">
        <v>22225.850000000002</v>
      </c>
      <c r="J125" s="49"/>
    </row>
    <row r="126" spans="1:10" x14ac:dyDescent="0.2">
      <c r="A126" s="50">
        <f t="shared" si="2"/>
        <v>43955</v>
      </c>
      <c r="B126" s="51">
        <v>5806.4</v>
      </c>
      <c r="C126" s="52">
        <v>3665.8</v>
      </c>
      <c r="D126" s="52">
        <v>2900.6</v>
      </c>
      <c r="E126" s="52">
        <v>1660.1</v>
      </c>
      <c r="F126" s="52">
        <v>5580.6</v>
      </c>
      <c r="G126" s="52">
        <v>4531.8</v>
      </c>
      <c r="H126" s="52">
        <v>1646.5</v>
      </c>
      <c r="I126" s="53">
        <v>22498.799999999999</v>
      </c>
      <c r="J126" s="49"/>
    </row>
    <row r="127" spans="1:10" x14ac:dyDescent="0.2">
      <c r="A127" s="50">
        <f t="shared" si="2"/>
        <v>43956</v>
      </c>
      <c r="B127" s="51">
        <v>6007.15</v>
      </c>
      <c r="C127" s="52">
        <v>3757.3</v>
      </c>
      <c r="D127" s="52">
        <v>2874.13</v>
      </c>
      <c r="E127" s="52">
        <v>1498.28</v>
      </c>
      <c r="F127" s="52">
        <v>5761.24</v>
      </c>
      <c r="G127" s="52">
        <v>3597.96</v>
      </c>
      <c r="H127" s="52">
        <v>1533.07</v>
      </c>
      <c r="I127" s="53">
        <v>21962.99</v>
      </c>
      <c r="J127" s="49"/>
    </row>
    <row r="128" spans="1:10" x14ac:dyDescent="0.2">
      <c r="A128" s="50">
        <f t="shared" si="2"/>
        <v>43957</v>
      </c>
      <c r="B128" s="51">
        <v>5625.67</v>
      </c>
      <c r="C128" s="52">
        <v>3802.67</v>
      </c>
      <c r="D128" s="52">
        <v>2925.57</v>
      </c>
      <c r="E128" s="52">
        <v>1045.57</v>
      </c>
      <c r="F128" s="52">
        <v>5191.46</v>
      </c>
      <c r="G128" s="52">
        <v>4567.38</v>
      </c>
      <c r="H128" s="52">
        <v>1679.94</v>
      </c>
      <c r="I128" s="53">
        <v>21478.38</v>
      </c>
      <c r="J128" s="49"/>
    </row>
    <row r="129" spans="1:10" x14ac:dyDescent="0.2">
      <c r="A129" s="50">
        <f t="shared" si="2"/>
        <v>43958</v>
      </c>
      <c r="B129" s="51">
        <v>5644.9</v>
      </c>
      <c r="C129" s="52">
        <v>3634.37</v>
      </c>
      <c r="D129" s="52">
        <v>3076.77</v>
      </c>
      <c r="E129" s="52">
        <v>699.54</v>
      </c>
      <c r="F129" s="52">
        <v>5120.71</v>
      </c>
      <c r="G129" s="52">
        <v>4360.5200000000004</v>
      </c>
      <c r="H129" s="52">
        <v>1744.43</v>
      </c>
      <c r="I129" s="53">
        <v>20792.38</v>
      </c>
      <c r="J129" s="49"/>
    </row>
    <row r="130" spans="1:10" x14ac:dyDescent="0.2">
      <c r="A130" s="50">
        <f t="shared" si="2"/>
        <v>43959</v>
      </c>
      <c r="B130" s="51">
        <v>5950.6</v>
      </c>
      <c r="C130" s="52">
        <v>3759.2</v>
      </c>
      <c r="D130" s="52">
        <v>3086.5</v>
      </c>
      <c r="E130" s="52">
        <v>1591.6</v>
      </c>
      <c r="F130" s="52">
        <v>5329.1</v>
      </c>
      <c r="G130" s="52">
        <v>3963.5</v>
      </c>
      <c r="H130" s="52">
        <v>1366.6</v>
      </c>
      <c r="I130" s="53">
        <v>22313.9</v>
      </c>
      <c r="J130" s="49"/>
    </row>
    <row r="131" spans="1:10" x14ac:dyDescent="0.2">
      <c r="A131" s="50">
        <f t="shared" si="2"/>
        <v>43960</v>
      </c>
      <c r="B131" s="51">
        <v>2314.9499999999998</v>
      </c>
      <c r="C131" s="52">
        <v>1156.03</v>
      </c>
      <c r="D131" s="52">
        <v>1119.27</v>
      </c>
      <c r="E131" s="52">
        <v>237.71</v>
      </c>
      <c r="F131" s="52">
        <v>1501.87</v>
      </c>
      <c r="G131" s="52">
        <v>2147.48</v>
      </c>
      <c r="H131" s="52">
        <v>915.62</v>
      </c>
      <c r="I131" s="53">
        <v>7561.69</v>
      </c>
      <c r="J131" s="49"/>
    </row>
    <row r="132" spans="1:10" x14ac:dyDescent="0.2">
      <c r="A132" s="50">
        <f t="shared" si="2"/>
        <v>43961</v>
      </c>
      <c r="B132" s="51">
        <v>4841.99</v>
      </c>
      <c r="C132" s="52">
        <v>3081.63</v>
      </c>
      <c r="D132" s="52">
        <v>1903.93</v>
      </c>
      <c r="E132" s="52">
        <v>1394.48</v>
      </c>
      <c r="F132" s="52">
        <v>5254.9</v>
      </c>
      <c r="G132" s="52">
        <v>3460.15</v>
      </c>
      <c r="H132" s="52">
        <v>1212.17</v>
      </c>
      <c r="I132" s="53">
        <v>18724.910000000003</v>
      </c>
      <c r="J132" s="49"/>
    </row>
    <row r="133" spans="1:10" x14ac:dyDescent="0.2">
      <c r="A133" s="50">
        <f t="shared" si="2"/>
        <v>43962</v>
      </c>
      <c r="B133" s="51">
        <v>5589.2</v>
      </c>
      <c r="C133" s="52">
        <v>3680.96</v>
      </c>
      <c r="D133" s="52">
        <v>2891.58</v>
      </c>
      <c r="E133" s="52">
        <v>1305.18</v>
      </c>
      <c r="F133" s="52">
        <v>5886.37</v>
      </c>
      <c r="G133" s="52">
        <v>4099.75</v>
      </c>
      <c r="H133" s="52">
        <v>1476.1599999999999</v>
      </c>
      <c r="I133" s="53">
        <v>21976.880000000001</v>
      </c>
      <c r="J133" s="49"/>
    </row>
    <row r="134" spans="1:10" x14ac:dyDescent="0.2">
      <c r="A134" s="50">
        <f t="shared" si="2"/>
        <v>43963</v>
      </c>
      <c r="B134" s="51">
        <v>6047.6</v>
      </c>
      <c r="C134" s="52">
        <v>4056.7</v>
      </c>
      <c r="D134" s="52">
        <v>2992.6</v>
      </c>
      <c r="E134" s="52">
        <v>1216.5999999999999</v>
      </c>
      <c r="F134" s="52">
        <v>5897.7</v>
      </c>
      <c r="G134" s="52">
        <v>4861.2</v>
      </c>
      <c r="H134" s="52">
        <v>2077.5</v>
      </c>
      <c r="I134" s="53">
        <v>22994.9</v>
      </c>
      <c r="J134" s="49"/>
    </row>
    <row r="135" spans="1:10" x14ac:dyDescent="0.2">
      <c r="A135" s="50">
        <f t="shared" si="2"/>
        <v>43964</v>
      </c>
      <c r="B135" s="51">
        <v>6152.21</v>
      </c>
      <c r="C135" s="52">
        <v>3967.73</v>
      </c>
      <c r="D135" s="52">
        <v>3086.62</v>
      </c>
      <c r="E135" s="52">
        <v>1489.72</v>
      </c>
      <c r="F135" s="52">
        <v>6078.51</v>
      </c>
      <c r="G135" s="52">
        <v>4831.6000000000004</v>
      </c>
      <c r="H135" s="52">
        <v>2035.6</v>
      </c>
      <c r="I135" s="53">
        <v>23570.79</v>
      </c>
      <c r="J135" s="49"/>
    </row>
    <row r="136" spans="1:10" x14ac:dyDescent="0.2">
      <c r="A136" s="50">
        <f t="shared" si="2"/>
        <v>43965</v>
      </c>
      <c r="B136" s="51">
        <v>6065.08</v>
      </c>
      <c r="C136" s="52">
        <v>4036.16</v>
      </c>
      <c r="D136" s="52">
        <v>2913.08</v>
      </c>
      <c r="E136" s="52">
        <v>1727.97</v>
      </c>
      <c r="F136" s="52">
        <v>5767.08</v>
      </c>
      <c r="G136" s="52">
        <v>5068.67</v>
      </c>
      <c r="H136" s="52">
        <v>2207.5899999999997</v>
      </c>
      <c r="I136" s="53">
        <v>23370.45</v>
      </c>
      <c r="J136" s="49"/>
    </row>
    <row r="137" spans="1:10" x14ac:dyDescent="0.2">
      <c r="A137" s="50">
        <f t="shared" si="2"/>
        <v>43966</v>
      </c>
      <c r="B137" s="51">
        <v>6283.09</v>
      </c>
      <c r="C137" s="52">
        <v>3819.05</v>
      </c>
      <c r="D137" s="52">
        <v>3081.6</v>
      </c>
      <c r="E137" s="52">
        <v>1955.77</v>
      </c>
      <c r="F137" s="52">
        <v>5893.5</v>
      </c>
      <c r="G137" s="52">
        <v>4910.04</v>
      </c>
      <c r="H137" s="52">
        <v>2269.04</v>
      </c>
      <c r="I137" s="53">
        <v>23674.010000000002</v>
      </c>
      <c r="J137" s="49"/>
    </row>
    <row r="138" spans="1:10" x14ac:dyDescent="0.2">
      <c r="A138" s="50">
        <f t="shared" si="2"/>
        <v>43967</v>
      </c>
      <c r="B138" s="51">
        <v>6196.8</v>
      </c>
      <c r="C138" s="52">
        <v>3672.9</v>
      </c>
      <c r="D138" s="52">
        <v>2762.5</v>
      </c>
      <c r="E138" s="52">
        <v>2271.5</v>
      </c>
      <c r="F138" s="52">
        <v>5288.4</v>
      </c>
      <c r="G138" s="52">
        <v>3686.5</v>
      </c>
      <c r="H138" s="52">
        <v>1464.8000000000002</v>
      </c>
      <c r="I138" s="53">
        <v>22413.8</v>
      </c>
      <c r="J138" s="49"/>
    </row>
    <row r="139" spans="1:10" x14ac:dyDescent="0.2">
      <c r="A139" s="50">
        <f t="shared" si="2"/>
        <v>43968</v>
      </c>
      <c r="B139" s="51">
        <v>4966.92</v>
      </c>
      <c r="C139" s="52">
        <v>3459.96</v>
      </c>
      <c r="D139" s="52">
        <v>2565.7600000000002</v>
      </c>
      <c r="E139" s="52">
        <v>1676.13</v>
      </c>
      <c r="F139" s="52">
        <v>5316.08</v>
      </c>
      <c r="G139" s="52">
        <v>3163</v>
      </c>
      <c r="H139" s="52">
        <v>1317.85</v>
      </c>
      <c r="I139" s="53">
        <v>19830</v>
      </c>
      <c r="J139" s="49"/>
    </row>
    <row r="140" spans="1:10" x14ac:dyDescent="0.2">
      <c r="A140" s="50">
        <f t="shared" si="2"/>
        <v>43969</v>
      </c>
      <c r="B140" s="51">
        <v>6173.13</v>
      </c>
      <c r="C140" s="52">
        <v>3744.43</v>
      </c>
      <c r="D140" s="52">
        <v>2904.06</v>
      </c>
      <c r="E140" s="52">
        <v>1788.98</v>
      </c>
      <c r="F140" s="52">
        <v>5468.77</v>
      </c>
      <c r="G140" s="52">
        <v>4520.6899999999996</v>
      </c>
      <c r="H140" s="52">
        <v>2104.0599999999995</v>
      </c>
      <c r="I140" s="53">
        <v>22496</v>
      </c>
      <c r="J140" s="49"/>
    </row>
    <row r="141" spans="1:10" x14ac:dyDescent="0.2">
      <c r="A141" s="50">
        <f t="shared" si="2"/>
        <v>43970</v>
      </c>
      <c r="B141" s="51">
        <v>6470.12</v>
      </c>
      <c r="C141" s="52">
        <v>3745.96</v>
      </c>
      <c r="D141" s="52">
        <v>3148.33</v>
      </c>
      <c r="E141" s="52">
        <v>1834.9</v>
      </c>
      <c r="F141" s="52">
        <v>5748.54</v>
      </c>
      <c r="G141" s="52">
        <v>4741.21</v>
      </c>
      <c r="H141" s="52">
        <v>2306.14</v>
      </c>
      <c r="I141" s="53">
        <v>23382.92</v>
      </c>
      <c r="J141" s="49"/>
    </row>
    <row r="142" spans="1:10" x14ac:dyDescent="0.2">
      <c r="A142" s="50">
        <f t="shared" si="2"/>
        <v>43971</v>
      </c>
      <c r="B142" s="51">
        <v>6721.3</v>
      </c>
      <c r="C142" s="52">
        <v>3954.6</v>
      </c>
      <c r="D142" s="52">
        <v>3087.8</v>
      </c>
      <c r="E142" s="52">
        <v>2000.7</v>
      </c>
      <c r="F142" s="52">
        <v>6313.1</v>
      </c>
      <c r="G142" s="52">
        <v>4739.3999999999996</v>
      </c>
      <c r="H142" s="52">
        <v>1964.2000000000003</v>
      </c>
      <c r="I142" s="53">
        <v>24852.7</v>
      </c>
      <c r="J142" s="49"/>
    </row>
    <row r="143" spans="1:10" x14ac:dyDescent="0.2">
      <c r="A143" s="50">
        <f t="shared" si="2"/>
        <v>43972</v>
      </c>
      <c r="B143" s="51">
        <v>6424.13</v>
      </c>
      <c r="C143" s="52">
        <v>3844.55</v>
      </c>
      <c r="D143" s="52">
        <v>3127.76</v>
      </c>
      <c r="E143" s="52">
        <v>1128.6400000000001</v>
      </c>
      <c r="F143" s="52">
        <v>5561.76</v>
      </c>
      <c r="G143" s="52">
        <v>4863.49</v>
      </c>
      <c r="H143" s="52">
        <v>2182.5500000000002</v>
      </c>
      <c r="I143" s="53">
        <v>22767.780000000002</v>
      </c>
      <c r="J143" s="49"/>
    </row>
    <row r="144" spans="1:10" x14ac:dyDescent="0.2">
      <c r="A144" s="50">
        <f t="shared" si="2"/>
        <v>43973</v>
      </c>
      <c r="B144" s="51">
        <v>6389.85</v>
      </c>
      <c r="C144" s="52">
        <v>3860.94</v>
      </c>
      <c r="D144" s="52">
        <v>3001.79</v>
      </c>
      <c r="E144" s="52">
        <v>1626.38</v>
      </c>
      <c r="F144" s="52">
        <v>6048.16</v>
      </c>
      <c r="G144" s="52">
        <v>4878.75</v>
      </c>
      <c r="H144" s="52">
        <v>2089.02</v>
      </c>
      <c r="I144" s="53">
        <v>23716.850000000002</v>
      </c>
      <c r="J144" s="49"/>
    </row>
    <row r="145" spans="1:10" x14ac:dyDescent="0.2">
      <c r="A145" s="50">
        <f t="shared" si="2"/>
        <v>43974</v>
      </c>
      <c r="B145" s="51">
        <v>6213.72</v>
      </c>
      <c r="C145" s="52">
        <v>3667</v>
      </c>
      <c r="D145" s="52">
        <v>2811.7</v>
      </c>
      <c r="E145" s="52">
        <v>1931.62</v>
      </c>
      <c r="F145" s="52">
        <v>5672.63</v>
      </c>
      <c r="G145" s="52">
        <v>3710.92</v>
      </c>
      <c r="H145" s="52">
        <v>1553.95</v>
      </c>
      <c r="I145" s="53">
        <v>22453.640000000003</v>
      </c>
      <c r="J145" s="49"/>
    </row>
    <row r="146" spans="1:10" x14ac:dyDescent="0.2">
      <c r="A146" s="50">
        <f t="shared" si="2"/>
        <v>43975</v>
      </c>
      <c r="B146" s="51">
        <v>4910.8999999999996</v>
      </c>
      <c r="C146" s="52">
        <v>3554.1</v>
      </c>
      <c r="D146" s="52">
        <v>2567.1</v>
      </c>
      <c r="E146" s="52">
        <v>1330.9</v>
      </c>
      <c r="F146" s="52">
        <v>5014</v>
      </c>
      <c r="G146" s="52">
        <v>3027.3</v>
      </c>
      <c r="H146" s="52">
        <v>1275.3999999999999</v>
      </c>
      <c r="I146" s="53">
        <v>19128.899999999998</v>
      </c>
      <c r="J146" s="49"/>
    </row>
    <row r="147" spans="1:10" x14ac:dyDescent="0.2">
      <c r="A147" s="50">
        <f t="shared" si="2"/>
        <v>43976</v>
      </c>
      <c r="B147" s="51">
        <v>5426.68</v>
      </c>
      <c r="C147" s="52">
        <v>3814.45</v>
      </c>
      <c r="D147" s="52">
        <v>2934.79</v>
      </c>
      <c r="E147" s="52">
        <v>1068.28</v>
      </c>
      <c r="F147" s="52">
        <v>4678.08</v>
      </c>
      <c r="G147" s="52">
        <v>3740.43</v>
      </c>
      <c r="H147" s="52">
        <v>1709.97</v>
      </c>
      <c r="I147" s="53">
        <v>19952.740000000002</v>
      </c>
      <c r="J147" s="49"/>
    </row>
    <row r="148" spans="1:10" x14ac:dyDescent="0.2">
      <c r="A148" s="50">
        <f t="shared" si="2"/>
        <v>43977</v>
      </c>
      <c r="B148" s="51">
        <v>5944.02</v>
      </c>
      <c r="C148" s="52">
        <v>3778.15</v>
      </c>
      <c r="D148" s="52">
        <v>3034.53</v>
      </c>
      <c r="E148" s="52">
        <v>1993.92</v>
      </c>
      <c r="F148" s="52">
        <v>4925.1899999999996</v>
      </c>
      <c r="G148" s="52">
        <v>4215.66</v>
      </c>
      <c r="H148" s="52">
        <v>1833.16</v>
      </c>
      <c r="I148" s="53">
        <v>22058.31</v>
      </c>
      <c r="J148" s="49"/>
    </row>
    <row r="149" spans="1:10" x14ac:dyDescent="0.2">
      <c r="A149" s="50">
        <f t="shared" si="2"/>
        <v>43978</v>
      </c>
      <c r="B149" s="51">
        <v>6205.32</v>
      </c>
      <c r="C149" s="52">
        <v>3787.47</v>
      </c>
      <c r="D149" s="52">
        <v>3095.01</v>
      </c>
      <c r="E149" s="52">
        <v>2141.09</v>
      </c>
      <c r="F149" s="52">
        <v>5820.12</v>
      </c>
      <c r="G149" s="52">
        <v>4744.99</v>
      </c>
      <c r="H149" s="52">
        <v>2179.8399999999997</v>
      </c>
      <c r="I149" s="53">
        <v>23614.16</v>
      </c>
      <c r="J149" s="49"/>
    </row>
    <row r="150" spans="1:10" x14ac:dyDescent="0.2">
      <c r="A150" s="50">
        <f t="shared" si="2"/>
        <v>43979</v>
      </c>
      <c r="B150" s="51">
        <v>5906.4</v>
      </c>
      <c r="C150" s="52">
        <v>3847.8</v>
      </c>
      <c r="D150" s="52">
        <v>3166</v>
      </c>
      <c r="E150" s="52">
        <v>1671.7</v>
      </c>
      <c r="F150" s="52">
        <v>5590.9</v>
      </c>
      <c r="G150" s="52">
        <v>4734.3</v>
      </c>
      <c r="H150" s="52">
        <v>2211.5</v>
      </c>
      <c r="I150" s="53">
        <v>22705.600000000002</v>
      </c>
      <c r="J150" s="49"/>
    </row>
    <row r="151" spans="1:10" x14ac:dyDescent="0.2">
      <c r="A151" s="50">
        <f t="shared" si="2"/>
        <v>43980</v>
      </c>
      <c r="B151" s="51">
        <v>5839.43</v>
      </c>
      <c r="C151" s="52">
        <v>3952.23</v>
      </c>
      <c r="D151" s="52">
        <v>2931.82</v>
      </c>
      <c r="E151" s="52">
        <v>1618.57</v>
      </c>
      <c r="F151" s="52">
        <v>5941.16</v>
      </c>
      <c r="G151" s="52">
        <v>4789.97</v>
      </c>
      <c r="H151" s="52">
        <v>2281.17</v>
      </c>
      <c r="I151" s="53">
        <v>22792.010000000002</v>
      </c>
      <c r="J151" s="49"/>
    </row>
    <row r="152" spans="1:10" x14ac:dyDescent="0.2">
      <c r="A152" s="50">
        <f t="shared" si="2"/>
        <v>43981</v>
      </c>
      <c r="B152" s="51">
        <v>5659.31</v>
      </c>
      <c r="C152" s="52">
        <v>3851.51</v>
      </c>
      <c r="D152" s="52">
        <v>2881.97</v>
      </c>
      <c r="E152" s="52">
        <v>1479.58</v>
      </c>
      <c r="F152" s="52">
        <v>5499.54</v>
      </c>
      <c r="G152" s="52">
        <v>3535.23</v>
      </c>
      <c r="H152" s="52">
        <v>1350.44</v>
      </c>
      <c r="I152" s="53">
        <v>21556.7</v>
      </c>
      <c r="J152" s="49"/>
    </row>
    <row r="153" spans="1:10" x14ac:dyDescent="0.2">
      <c r="A153" s="50">
        <f t="shared" si="2"/>
        <v>43982</v>
      </c>
      <c r="B153" s="51">
        <v>4181.1000000000004</v>
      </c>
      <c r="C153" s="52">
        <v>3480.86</v>
      </c>
      <c r="D153" s="52">
        <v>2429.62</v>
      </c>
      <c r="E153" s="52">
        <v>426.88</v>
      </c>
      <c r="F153" s="52">
        <v>4774.78</v>
      </c>
      <c r="G153" s="52">
        <v>3448.8</v>
      </c>
      <c r="H153" s="52">
        <v>1705.42</v>
      </c>
      <c r="I153" s="53">
        <v>17036.620000000003</v>
      </c>
      <c r="J153" s="49"/>
    </row>
    <row r="154" spans="1:10" x14ac:dyDescent="0.2">
      <c r="A154" s="50">
        <f t="shared" si="2"/>
        <v>43983</v>
      </c>
      <c r="B154" s="51">
        <v>5742.7</v>
      </c>
      <c r="C154" s="52">
        <v>4002.4</v>
      </c>
      <c r="D154" s="52">
        <v>2926.2</v>
      </c>
      <c r="E154" s="52">
        <v>1392.6</v>
      </c>
      <c r="F154" s="52">
        <v>5723.7</v>
      </c>
      <c r="G154" s="52">
        <v>4256.8</v>
      </c>
      <c r="H154" s="52">
        <v>2056.3000000000002</v>
      </c>
      <c r="I154" s="53">
        <v>21988.1</v>
      </c>
      <c r="J154" s="49"/>
    </row>
    <row r="155" spans="1:10" x14ac:dyDescent="0.2">
      <c r="A155" s="50">
        <f t="shared" si="2"/>
        <v>43984</v>
      </c>
      <c r="B155" s="51">
        <v>5882.88</v>
      </c>
      <c r="C155" s="52">
        <v>3892.78</v>
      </c>
      <c r="D155" s="52">
        <v>3118.58</v>
      </c>
      <c r="E155" s="52">
        <v>2503.13</v>
      </c>
      <c r="F155" s="52">
        <v>5415.39</v>
      </c>
      <c r="G155" s="52">
        <v>4761.43</v>
      </c>
      <c r="H155" s="52">
        <v>2132.83</v>
      </c>
      <c r="I155" s="53">
        <v>23441.360000000001</v>
      </c>
      <c r="J155" s="49"/>
    </row>
    <row r="156" spans="1:10" x14ac:dyDescent="0.2">
      <c r="A156" s="50">
        <f t="shared" si="2"/>
        <v>43985</v>
      </c>
      <c r="B156" s="51">
        <v>5876.01</v>
      </c>
      <c r="C156" s="52">
        <v>3954.05</v>
      </c>
      <c r="D156" s="52">
        <v>3197.94</v>
      </c>
      <c r="E156" s="52">
        <v>2169.9499999999998</v>
      </c>
      <c r="F156" s="52">
        <v>5269.88</v>
      </c>
      <c r="G156" s="52">
        <v>4965.5200000000004</v>
      </c>
      <c r="H156" s="52">
        <v>2153.12</v>
      </c>
      <c r="I156" s="53">
        <v>23280.230000000003</v>
      </c>
      <c r="J156" s="49"/>
    </row>
    <row r="157" spans="1:10" x14ac:dyDescent="0.2">
      <c r="A157" s="50">
        <f t="shared" si="2"/>
        <v>43986</v>
      </c>
      <c r="B157" s="51">
        <v>5989.88</v>
      </c>
      <c r="C157" s="52">
        <v>3838.7</v>
      </c>
      <c r="D157" s="52">
        <v>3146.34</v>
      </c>
      <c r="E157" s="52">
        <v>2010.08</v>
      </c>
      <c r="F157" s="52">
        <v>5882.1</v>
      </c>
      <c r="G157" s="52">
        <v>5011.59</v>
      </c>
      <c r="H157" s="52">
        <v>2128.9499999999998</v>
      </c>
      <c r="I157" s="53">
        <v>23749.739999999998</v>
      </c>
      <c r="J157" s="49"/>
    </row>
    <row r="158" spans="1:10" x14ac:dyDescent="0.2">
      <c r="A158" s="50">
        <f t="shared" si="2"/>
        <v>43987</v>
      </c>
      <c r="B158" s="51">
        <v>5846.4</v>
      </c>
      <c r="C158" s="52">
        <v>3971.5</v>
      </c>
      <c r="D158" s="52">
        <v>3149.9</v>
      </c>
      <c r="E158" s="52">
        <v>1808.9</v>
      </c>
      <c r="F158" s="52">
        <v>5542.5</v>
      </c>
      <c r="G158" s="52">
        <v>4514.3</v>
      </c>
      <c r="H158" s="52">
        <v>1937.6</v>
      </c>
      <c r="I158" s="53">
        <v>22895.899999999998</v>
      </c>
      <c r="J158" s="49"/>
    </row>
    <row r="159" spans="1:10" x14ac:dyDescent="0.2">
      <c r="A159" s="50">
        <f t="shared" si="2"/>
        <v>43988</v>
      </c>
      <c r="B159" s="51">
        <v>5702.87</v>
      </c>
      <c r="C159" s="52">
        <v>4338.6499999999996</v>
      </c>
      <c r="D159" s="52">
        <v>2434.2800000000002</v>
      </c>
      <c r="E159" s="52">
        <v>718.98</v>
      </c>
      <c r="F159" s="52">
        <v>4410.21</v>
      </c>
      <c r="G159" s="52">
        <v>2748.03</v>
      </c>
      <c r="H159" s="52">
        <v>873.58</v>
      </c>
      <c r="I159" s="53">
        <v>19479.439999999999</v>
      </c>
      <c r="J159" s="49"/>
    </row>
    <row r="160" spans="1:10" x14ac:dyDescent="0.2">
      <c r="A160" s="50">
        <f t="shared" ref="A160:A223" si="3">A159+1</f>
        <v>43989</v>
      </c>
      <c r="B160" s="51">
        <v>6046.72</v>
      </c>
      <c r="C160" s="52">
        <v>4073.45</v>
      </c>
      <c r="D160" s="52">
        <v>2704.25</v>
      </c>
      <c r="E160" s="52">
        <v>1771.77</v>
      </c>
      <c r="F160" s="52">
        <v>4651.49</v>
      </c>
      <c r="G160" s="52">
        <v>3310.55</v>
      </c>
      <c r="H160" s="52">
        <v>1295.07</v>
      </c>
      <c r="I160" s="53">
        <v>21263.16</v>
      </c>
      <c r="J160" s="49"/>
    </row>
    <row r="161" spans="1:10" x14ac:dyDescent="0.2">
      <c r="A161" s="50">
        <f t="shared" si="3"/>
        <v>43990</v>
      </c>
      <c r="B161" s="51">
        <v>6082.51</v>
      </c>
      <c r="C161" s="52">
        <v>4271.16</v>
      </c>
      <c r="D161" s="52">
        <v>3204.74</v>
      </c>
      <c r="E161" s="52">
        <v>1397.15</v>
      </c>
      <c r="F161" s="52">
        <v>5656.36</v>
      </c>
      <c r="G161" s="52">
        <v>4451.88</v>
      </c>
      <c r="H161" s="52">
        <v>1989.77</v>
      </c>
      <c r="I161" s="53">
        <v>23074.03</v>
      </c>
      <c r="J161" s="49"/>
    </row>
    <row r="162" spans="1:10" x14ac:dyDescent="0.2">
      <c r="A162" s="50">
        <f t="shared" si="3"/>
        <v>43991</v>
      </c>
      <c r="B162" s="51">
        <v>6466.1</v>
      </c>
      <c r="C162" s="52">
        <v>4485.3999999999996</v>
      </c>
      <c r="D162" s="52">
        <v>3104.9</v>
      </c>
      <c r="E162" s="52">
        <v>2040.9</v>
      </c>
      <c r="F162" s="52">
        <v>5495.6</v>
      </c>
      <c r="G162" s="52">
        <v>5097.1000000000004</v>
      </c>
      <c r="H162" s="52">
        <v>2083.5</v>
      </c>
      <c r="I162" s="53">
        <v>24606.5</v>
      </c>
      <c r="J162" s="49"/>
    </row>
    <row r="163" spans="1:10" x14ac:dyDescent="0.2">
      <c r="A163" s="50">
        <f t="shared" si="3"/>
        <v>43992</v>
      </c>
      <c r="B163" s="51">
        <v>6068.79</v>
      </c>
      <c r="C163" s="52">
        <v>4571.54</v>
      </c>
      <c r="D163" s="52">
        <v>3298.91</v>
      </c>
      <c r="E163" s="52">
        <v>1635.44</v>
      </c>
      <c r="F163" s="52">
        <v>5502.6</v>
      </c>
      <c r="G163" s="52">
        <v>4822.37</v>
      </c>
      <c r="H163" s="52">
        <v>1803.84</v>
      </c>
      <c r="I163" s="53">
        <v>24095.809999999998</v>
      </c>
      <c r="J163" s="49"/>
    </row>
    <row r="164" spans="1:10" x14ac:dyDescent="0.2">
      <c r="A164" s="50">
        <f t="shared" si="3"/>
        <v>43993</v>
      </c>
      <c r="B164" s="51">
        <v>6256.33</v>
      </c>
      <c r="C164" s="52">
        <v>4505.96</v>
      </c>
      <c r="D164" s="52">
        <v>3302.38</v>
      </c>
      <c r="E164" s="52">
        <v>1461.9</v>
      </c>
      <c r="F164" s="52">
        <v>5593.26</v>
      </c>
      <c r="G164" s="52">
        <v>4495.37</v>
      </c>
      <c r="H164" s="52">
        <v>1754.52</v>
      </c>
      <c r="I164" s="53">
        <v>23860.68</v>
      </c>
      <c r="J164" s="49"/>
    </row>
    <row r="165" spans="1:10" x14ac:dyDescent="0.2">
      <c r="A165" s="50">
        <f t="shared" si="3"/>
        <v>43994</v>
      </c>
      <c r="B165" s="51">
        <v>6104.08</v>
      </c>
      <c r="C165" s="52">
        <v>4239.13</v>
      </c>
      <c r="D165" s="52">
        <v>3157.21</v>
      </c>
      <c r="E165" s="52">
        <v>1463.91</v>
      </c>
      <c r="F165" s="52">
        <v>5672.45</v>
      </c>
      <c r="G165" s="52">
        <v>3989.69</v>
      </c>
      <c r="H165" s="52">
        <v>1438.69</v>
      </c>
      <c r="I165" s="53">
        <v>23187.78</v>
      </c>
      <c r="J165" s="49"/>
    </row>
    <row r="166" spans="1:10" x14ac:dyDescent="0.2">
      <c r="A166" s="50">
        <f t="shared" si="3"/>
        <v>43995</v>
      </c>
      <c r="B166" s="51">
        <v>5997.6</v>
      </c>
      <c r="C166" s="52">
        <v>4051.1</v>
      </c>
      <c r="D166" s="52">
        <v>3077.1</v>
      </c>
      <c r="E166" s="52">
        <v>1602.6</v>
      </c>
      <c r="F166" s="52">
        <v>5785.7</v>
      </c>
      <c r="G166" s="52">
        <v>3783.8</v>
      </c>
      <c r="H166" s="52">
        <v>1226</v>
      </c>
      <c r="I166" s="53">
        <v>23071.9</v>
      </c>
      <c r="J166" s="49"/>
    </row>
    <row r="167" spans="1:10" x14ac:dyDescent="0.2">
      <c r="A167" s="50">
        <f t="shared" si="3"/>
        <v>43996</v>
      </c>
      <c r="B167" s="51">
        <v>4506.92</v>
      </c>
      <c r="C167" s="52">
        <v>3821.03</v>
      </c>
      <c r="D167" s="52">
        <v>2794.82</v>
      </c>
      <c r="E167" s="52">
        <v>1097.8399999999999</v>
      </c>
      <c r="F167" s="52">
        <v>5177.53</v>
      </c>
      <c r="G167" s="52">
        <v>3914.81</v>
      </c>
      <c r="H167" s="52">
        <v>1466.98</v>
      </c>
      <c r="I167" s="53">
        <v>19845.97</v>
      </c>
      <c r="J167" s="49"/>
    </row>
    <row r="168" spans="1:10" x14ac:dyDescent="0.2">
      <c r="A168" s="50">
        <f t="shared" si="3"/>
        <v>43997</v>
      </c>
      <c r="B168" s="51">
        <v>5394.08</v>
      </c>
      <c r="C168" s="52">
        <v>4381.5600000000004</v>
      </c>
      <c r="D168" s="52">
        <v>3068.04</v>
      </c>
      <c r="E168" s="52">
        <v>1742.44</v>
      </c>
      <c r="F168" s="52">
        <v>5815.87</v>
      </c>
      <c r="G168" s="52">
        <v>4323.42</v>
      </c>
      <c r="H168" s="52">
        <v>1662.2</v>
      </c>
      <c r="I168" s="53">
        <v>23063.210000000003</v>
      </c>
      <c r="J168" s="49"/>
    </row>
    <row r="169" spans="1:10" x14ac:dyDescent="0.2">
      <c r="A169" s="50">
        <f t="shared" si="3"/>
        <v>43998</v>
      </c>
      <c r="B169" s="51">
        <v>5995.33</v>
      </c>
      <c r="C169" s="52">
        <v>4466.8999999999996</v>
      </c>
      <c r="D169" s="52">
        <v>3320.91</v>
      </c>
      <c r="E169" s="52">
        <v>2344.1799999999998</v>
      </c>
      <c r="F169" s="52">
        <v>5562.49</v>
      </c>
      <c r="G169" s="52">
        <v>4201.91</v>
      </c>
      <c r="H169" s="52">
        <v>1892.34</v>
      </c>
      <c r="I169" s="53">
        <v>23999.379999999997</v>
      </c>
      <c r="J169" s="49"/>
    </row>
    <row r="170" spans="1:10" x14ac:dyDescent="0.2">
      <c r="A170" s="50">
        <f t="shared" si="3"/>
        <v>43999</v>
      </c>
      <c r="B170" s="51">
        <v>6096.2</v>
      </c>
      <c r="C170" s="52">
        <v>4322.2</v>
      </c>
      <c r="D170" s="52">
        <v>3205.8</v>
      </c>
      <c r="E170" s="52">
        <v>2385.8000000000002</v>
      </c>
      <c r="F170" s="52">
        <v>5771.9</v>
      </c>
      <c r="G170" s="52">
        <v>4043.1</v>
      </c>
      <c r="H170" s="52">
        <v>1865.8</v>
      </c>
      <c r="I170" s="53">
        <v>23959.200000000001</v>
      </c>
      <c r="J170" s="49"/>
    </row>
    <row r="171" spans="1:10" x14ac:dyDescent="0.2">
      <c r="A171" s="50">
        <f t="shared" si="3"/>
        <v>44000</v>
      </c>
      <c r="B171" s="51">
        <v>6191.8</v>
      </c>
      <c r="C171" s="52">
        <v>4112.67</v>
      </c>
      <c r="D171" s="52">
        <v>3326.1</v>
      </c>
      <c r="E171" s="52">
        <v>2016.17</v>
      </c>
      <c r="F171" s="52">
        <v>5999.54</v>
      </c>
      <c r="G171" s="52">
        <v>4408.29</v>
      </c>
      <c r="H171" s="52">
        <v>2081.8199999999997</v>
      </c>
      <c r="I171" s="53">
        <v>23972.750000000004</v>
      </c>
      <c r="J171" s="49"/>
    </row>
    <row r="172" spans="1:10" x14ac:dyDescent="0.2">
      <c r="A172" s="50">
        <f t="shared" si="3"/>
        <v>44001</v>
      </c>
      <c r="B172" s="51">
        <v>6035.78</v>
      </c>
      <c r="C172" s="52">
        <v>4304.43</v>
      </c>
      <c r="D172" s="52">
        <v>3357.01</v>
      </c>
      <c r="E172" s="52">
        <v>1794.44</v>
      </c>
      <c r="F172" s="52">
        <v>5764.33</v>
      </c>
      <c r="G172" s="52">
        <v>4296.6899999999996</v>
      </c>
      <c r="H172" s="52">
        <v>1945.9299999999998</v>
      </c>
      <c r="I172" s="53">
        <v>23606.749999999996</v>
      </c>
      <c r="J172" s="49"/>
    </row>
    <row r="173" spans="1:10" x14ac:dyDescent="0.2">
      <c r="A173" s="50">
        <f t="shared" si="3"/>
        <v>44002</v>
      </c>
      <c r="B173" s="51">
        <v>5979.57</v>
      </c>
      <c r="C173" s="52">
        <v>3833.48</v>
      </c>
      <c r="D173" s="52">
        <v>3105.88</v>
      </c>
      <c r="E173" s="52">
        <v>1687.18</v>
      </c>
      <c r="F173" s="52">
        <v>5893.81</v>
      </c>
      <c r="G173" s="52">
        <v>3820</v>
      </c>
      <c r="H173" s="52">
        <v>1420.36</v>
      </c>
      <c r="I173" s="53">
        <v>22899.56</v>
      </c>
      <c r="J173" s="49"/>
    </row>
    <row r="174" spans="1:10" x14ac:dyDescent="0.2">
      <c r="A174" s="50">
        <f t="shared" si="3"/>
        <v>44003</v>
      </c>
      <c r="B174" s="51">
        <v>5680.5</v>
      </c>
      <c r="C174" s="52">
        <v>4075.8</v>
      </c>
      <c r="D174" s="52">
        <v>3043.6</v>
      </c>
      <c r="E174" s="52">
        <v>1759.2</v>
      </c>
      <c r="F174" s="52">
        <v>5294.9</v>
      </c>
      <c r="G174" s="52">
        <v>3675.8</v>
      </c>
      <c r="H174" s="52">
        <v>1334.3999999999999</v>
      </c>
      <c r="I174" s="53">
        <v>22195.399999999998</v>
      </c>
      <c r="J174" s="49"/>
    </row>
    <row r="175" spans="1:10" x14ac:dyDescent="0.2">
      <c r="A175" s="50">
        <f t="shared" si="3"/>
        <v>44004</v>
      </c>
      <c r="B175" s="51">
        <v>5445.88</v>
      </c>
      <c r="C175" s="52">
        <v>4026.77</v>
      </c>
      <c r="D175" s="52">
        <v>3192.01</v>
      </c>
      <c r="E175" s="52">
        <v>1957.93</v>
      </c>
      <c r="F175" s="52">
        <v>5493.72</v>
      </c>
      <c r="G175" s="52">
        <v>4834.8500000000004</v>
      </c>
      <c r="H175" s="52">
        <v>2015.58</v>
      </c>
      <c r="I175" s="53">
        <v>22935.58</v>
      </c>
      <c r="J175" s="49"/>
    </row>
    <row r="176" spans="1:10" x14ac:dyDescent="0.2">
      <c r="A176" s="50">
        <f t="shared" si="3"/>
        <v>44005</v>
      </c>
      <c r="B176" s="51">
        <v>6204.81</v>
      </c>
      <c r="C176" s="52">
        <v>4192.8999999999996</v>
      </c>
      <c r="D176" s="52">
        <v>3314.79</v>
      </c>
      <c r="E176" s="52">
        <v>2130.3000000000002</v>
      </c>
      <c r="F176" s="52">
        <v>5802.44</v>
      </c>
      <c r="G176" s="52">
        <v>4737.6400000000003</v>
      </c>
      <c r="H176" s="52">
        <v>1922.97</v>
      </c>
      <c r="I176" s="53">
        <v>24459.909999999996</v>
      </c>
      <c r="J176" s="49"/>
    </row>
    <row r="177" spans="1:10" x14ac:dyDescent="0.2">
      <c r="A177" s="50">
        <f t="shared" si="3"/>
        <v>44006</v>
      </c>
      <c r="B177" s="51">
        <v>5996.3</v>
      </c>
      <c r="C177" s="52">
        <v>3862.06</v>
      </c>
      <c r="D177" s="52">
        <v>3294.99</v>
      </c>
      <c r="E177" s="52">
        <v>2598.2800000000002</v>
      </c>
      <c r="F177" s="52">
        <v>6499.5</v>
      </c>
      <c r="G177" s="52">
        <v>4067.84</v>
      </c>
      <c r="H177" s="52">
        <v>1542.9699999999998</v>
      </c>
      <c r="I177" s="53">
        <v>24776</v>
      </c>
      <c r="J177" s="49"/>
    </row>
    <row r="178" spans="1:10" x14ac:dyDescent="0.2">
      <c r="A178" s="50">
        <f t="shared" si="3"/>
        <v>44007</v>
      </c>
      <c r="B178" s="51">
        <v>6263.3</v>
      </c>
      <c r="C178" s="52">
        <v>4063.3</v>
      </c>
      <c r="D178" s="52">
        <v>3401.3</v>
      </c>
      <c r="E178" s="52">
        <v>2258.1999999999998</v>
      </c>
      <c r="F178" s="52">
        <v>5994.7</v>
      </c>
      <c r="G178" s="52">
        <v>4483.5</v>
      </c>
      <c r="H178" s="52">
        <v>1588.7</v>
      </c>
      <c r="I178" s="53">
        <v>24875.600000000002</v>
      </c>
      <c r="J178" s="49"/>
    </row>
    <row r="179" spans="1:10" x14ac:dyDescent="0.2">
      <c r="A179" s="50">
        <f t="shared" si="3"/>
        <v>44008</v>
      </c>
      <c r="B179" s="51">
        <v>5873.65</v>
      </c>
      <c r="C179" s="52">
        <v>3820.02</v>
      </c>
      <c r="D179" s="52">
        <v>3379.7</v>
      </c>
      <c r="E179" s="52">
        <v>1790.29</v>
      </c>
      <c r="F179" s="52">
        <v>5850.71</v>
      </c>
      <c r="G179" s="52">
        <v>4163.2</v>
      </c>
      <c r="H179" s="52">
        <v>1440.77</v>
      </c>
      <c r="I179" s="53">
        <v>23436.799999999999</v>
      </c>
      <c r="J179" s="49"/>
    </row>
    <row r="180" spans="1:10" x14ac:dyDescent="0.2">
      <c r="A180" s="50">
        <f t="shared" si="3"/>
        <v>44009</v>
      </c>
      <c r="B180" s="51">
        <v>5404.14</v>
      </c>
      <c r="C180" s="52">
        <v>3421.1</v>
      </c>
      <c r="D180" s="52">
        <v>3125.29</v>
      </c>
      <c r="E180" s="52">
        <v>1207.3</v>
      </c>
      <c r="F180" s="52">
        <v>5375.07</v>
      </c>
      <c r="G180" s="52">
        <v>3184.72</v>
      </c>
      <c r="H180" s="52">
        <v>1083.2</v>
      </c>
      <c r="I180" s="53">
        <v>20634.419999999998</v>
      </c>
      <c r="J180" s="49"/>
    </row>
    <row r="181" spans="1:10" x14ac:dyDescent="0.2">
      <c r="A181" s="50">
        <f t="shared" si="3"/>
        <v>44010</v>
      </c>
      <c r="B181" s="51">
        <v>3496.67</v>
      </c>
      <c r="C181" s="52">
        <v>3066.25</v>
      </c>
      <c r="D181" s="52">
        <v>2371.2399999999998</v>
      </c>
      <c r="E181" s="52">
        <v>397.71</v>
      </c>
      <c r="F181" s="52">
        <v>4461.1099999999997</v>
      </c>
      <c r="G181" s="52">
        <v>3195.53</v>
      </c>
      <c r="H181" s="52">
        <v>1150.1399999999999</v>
      </c>
      <c r="I181" s="53">
        <v>15838.369999999999</v>
      </c>
      <c r="J181" s="49"/>
    </row>
    <row r="182" spans="1:10" x14ac:dyDescent="0.2">
      <c r="A182" s="50">
        <f t="shared" si="3"/>
        <v>44011</v>
      </c>
      <c r="B182" s="51">
        <v>5254.7</v>
      </c>
      <c r="C182" s="52">
        <v>3427.4</v>
      </c>
      <c r="D182" s="52">
        <v>2898.5</v>
      </c>
      <c r="E182" s="52">
        <v>1558.4</v>
      </c>
      <c r="F182" s="52">
        <v>5319.4</v>
      </c>
      <c r="G182" s="52">
        <v>4085.3</v>
      </c>
      <c r="H182" s="52">
        <v>1657</v>
      </c>
      <c r="I182" s="53">
        <v>20886.7</v>
      </c>
      <c r="J182" s="49"/>
    </row>
    <row r="183" spans="1:10" x14ac:dyDescent="0.2">
      <c r="A183" s="50">
        <f t="shared" si="3"/>
        <v>44012</v>
      </c>
      <c r="B183" s="51">
        <v>5582.7</v>
      </c>
      <c r="C183" s="52">
        <v>3831.3</v>
      </c>
      <c r="D183" s="52">
        <v>3229.75</v>
      </c>
      <c r="E183" s="52">
        <v>1531.07</v>
      </c>
      <c r="F183" s="52">
        <v>5740.83</v>
      </c>
      <c r="G183" s="52">
        <v>3691.43</v>
      </c>
      <c r="H183" s="52">
        <v>1435.41</v>
      </c>
      <c r="I183" s="53">
        <v>22171.670000000002</v>
      </c>
      <c r="J183" s="49"/>
    </row>
    <row r="184" spans="1:10" x14ac:dyDescent="0.2">
      <c r="A184" s="50">
        <f t="shared" si="3"/>
        <v>44013</v>
      </c>
      <c r="B184" s="51">
        <v>5693.96</v>
      </c>
      <c r="C184" s="52">
        <v>3646.59</v>
      </c>
      <c r="D184" s="52">
        <v>3194.7</v>
      </c>
      <c r="E184" s="52">
        <v>1680.3</v>
      </c>
      <c r="F184" s="52">
        <v>5937.81</v>
      </c>
      <c r="G184" s="52">
        <v>3192.58</v>
      </c>
      <c r="H184" s="52">
        <v>1302.6300000000001</v>
      </c>
      <c r="I184" s="53">
        <v>22043.31</v>
      </c>
      <c r="J184" s="49"/>
    </row>
    <row r="185" spans="1:10" x14ac:dyDescent="0.2">
      <c r="A185" s="50">
        <f t="shared" si="3"/>
        <v>44014</v>
      </c>
      <c r="B185" s="51">
        <v>6093.6</v>
      </c>
      <c r="C185" s="52">
        <v>3922.63</v>
      </c>
      <c r="D185" s="52">
        <v>3307.84</v>
      </c>
      <c r="E185" s="52">
        <v>1965.77</v>
      </c>
      <c r="F185" s="52">
        <v>5904.37</v>
      </c>
      <c r="G185" s="52">
        <v>4207.54</v>
      </c>
      <c r="H185" s="52">
        <v>1900.73</v>
      </c>
      <c r="I185" s="53">
        <v>23501.02</v>
      </c>
      <c r="J185" s="49"/>
    </row>
    <row r="186" spans="1:10" x14ac:dyDescent="0.2">
      <c r="A186" s="50">
        <f t="shared" si="3"/>
        <v>44015</v>
      </c>
      <c r="B186" s="51">
        <v>6033.2</v>
      </c>
      <c r="C186" s="52">
        <v>3981.3</v>
      </c>
      <c r="D186" s="52">
        <v>3162.7</v>
      </c>
      <c r="E186" s="52">
        <v>1952.4</v>
      </c>
      <c r="F186" s="52">
        <v>5486.6</v>
      </c>
      <c r="G186" s="52">
        <v>3913.8</v>
      </c>
      <c r="H186" s="52">
        <v>1588.1000000000001</v>
      </c>
      <c r="I186" s="53">
        <v>22941.9</v>
      </c>
      <c r="J186" s="49"/>
    </row>
    <row r="187" spans="1:10" x14ac:dyDescent="0.2">
      <c r="A187" s="50">
        <f t="shared" si="3"/>
        <v>44016</v>
      </c>
      <c r="B187" s="51">
        <v>4949.76</v>
      </c>
      <c r="C187" s="52">
        <v>3445.1</v>
      </c>
      <c r="D187" s="52">
        <v>2438.58</v>
      </c>
      <c r="E187" s="52">
        <v>1496.4</v>
      </c>
      <c r="F187" s="52">
        <v>5162.83</v>
      </c>
      <c r="G187" s="52">
        <v>3745.14</v>
      </c>
      <c r="H187" s="52">
        <v>1438.3</v>
      </c>
      <c r="I187" s="53">
        <v>19799.509999999998</v>
      </c>
      <c r="J187" s="49"/>
    </row>
    <row r="188" spans="1:10" x14ac:dyDescent="0.2">
      <c r="A188" s="50">
        <f t="shared" si="3"/>
        <v>44017</v>
      </c>
      <c r="B188" s="51">
        <v>3399.2</v>
      </c>
      <c r="C188" s="52">
        <v>3373.57</v>
      </c>
      <c r="D188" s="52">
        <v>2080.12</v>
      </c>
      <c r="E188" s="52">
        <v>1223.06</v>
      </c>
      <c r="F188" s="52">
        <v>4400.26</v>
      </c>
      <c r="G188" s="52">
        <v>3435.3</v>
      </c>
      <c r="H188" s="52">
        <v>1181.4099999999999</v>
      </c>
      <c r="I188" s="53">
        <v>16730.099999999999</v>
      </c>
      <c r="J188" s="49"/>
    </row>
    <row r="189" spans="1:10" x14ac:dyDescent="0.2">
      <c r="A189" s="50">
        <f t="shared" si="3"/>
        <v>44018</v>
      </c>
      <c r="B189" s="51">
        <v>5061.13</v>
      </c>
      <c r="C189" s="52">
        <v>3964.24</v>
      </c>
      <c r="D189" s="52">
        <v>2806.01</v>
      </c>
      <c r="E189" s="52">
        <v>1905.29</v>
      </c>
      <c r="F189" s="52">
        <v>4917.91</v>
      </c>
      <c r="G189" s="52">
        <v>3888.39</v>
      </c>
      <c r="H189" s="52">
        <v>1766.9099999999999</v>
      </c>
      <c r="I189" s="53">
        <v>20776.059999999998</v>
      </c>
      <c r="J189" s="49"/>
    </row>
    <row r="190" spans="1:10" x14ac:dyDescent="0.2">
      <c r="A190" s="50">
        <f t="shared" si="3"/>
        <v>44019</v>
      </c>
      <c r="B190" s="51">
        <v>6219.8</v>
      </c>
      <c r="C190" s="52">
        <v>4437.6000000000004</v>
      </c>
      <c r="D190" s="52">
        <v>3191</v>
      </c>
      <c r="E190" s="52">
        <v>2112.4</v>
      </c>
      <c r="F190" s="52">
        <v>5475.4</v>
      </c>
      <c r="G190" s="52">
        <v>3971.4</v>
      </c>
      <c r="H190" s="52">
        <v>1431.1999999999998</v>
      </c>
      <c r="I190" s="53">
        <v>23976.400000000001</v>
      </c>
      <c r="J190" s="49"/>
    </row>
    <row r="191" spans="1:10" x14ac:dyDescent="0.2">
      <c r="A191" s="50">
        <f t="shared" si="3"/>
        <v>44020</v>
      </c>
      <c r="B191" s="51">
        <v>5780.14</v>
      </c>
      <c r="C191" s="52">
        <v>4288.6499999999996</v>
      </c>
      <c r="D191" s="52">
        <v>3117.2</v>
      </c>
      <c r="E191" s="52">
        <v>2067.25</v>
      </c>
      <c r="F191" s="52">
        <v>5234.45</v>
      </c>
      <c r="G191" s="52">
        <v>4373.54</v>
      </c>
      <c r="H191" s="52">
        <v>1738.0600000000002</v>
      </c>
      <c r="I191" s="53">
        <v>23123.170000000002</v>
      </c>
      <c r="J191" s="49"/>
    </row>
    <row r="192" spans="1:10" x14ac:dyDescent="0.2">
      <c r="A192" s="50">
        <f t="shared" si="3"/>
        <v>44021</v>
      </c>
      <c r="B192" s="51">
        <v>6159.29</v>
      </c>
      <c r="C192" s="52">
        <v>4384.7</v>
      </c>
      <c r="D192" s="52">
        <v>3178</v>
      </c>
      <c r="E192" s="52">
        <v>2492.42</v>
      </c>
      <c r="F192" s="52">
        <v>5637.97</v>
      </c>
      <c r="G192" s="52">
        <v>4174.1899999999996</v>
      </c>
      <c r="H192" s="52">
        <v>1832.1799999999998</v>
      </c>
      <c r="I192" s="53">
        <v>24194.39</v>
      </c>
      <c r="J192" s="49"/>
    </row>
    <row r="193" spans="1:10" x14ac:dyDescent="0.2">
      <c r="A193" s="50">
        <f t="shared" si="3"/>
        <v>44022</v>
      </c>
      <c r="B193" s="51">
        <v>5928.31</v>
      </c>
      <c r="C193" s="52">
        <v>4464.55</v>
      </c>
      <c r="D193" s="52">
        <v>2994.07</v>
      </c>
      <c r="E193" s="52">
        <v>2161.89</v>
      </c>
      <c r="F193" s="52">
        <v>5341.1</v>
      </c>
      <c r="G193" s="52">
        <v>3570.89</v>
      </c>
      <c r="H193" s="52">
        <v>1756.5300000000002</v>
      </c>
      <c r="I193" s="53">
        <v>22704.28</v>
      </c>
      <c r="J193" s="49"/>
    </row>
    <row r="194" spans="1:10" x14ac:dyDescent="0.2">
      <c r="A194" s="50">
        <f t="shared" si="3"/>
        <v>44023</v>
      </c>
      <c r="B194" s="51">
        <v>5755.2</v>
      </c>
      <c r="C194" s="52">
        <v>4222.6000000000004</v>
      </c>
      <c r="D194" s="52">
        <v>2804.5</v>
      </c>
      <c r="E194" s="52">
        <v>2089.8000000000002</v>
      </c>
      <c r="F194" s="52">
        <v>5345.3</v>
      </c>
      <c r="G194" s="52">
        <v>3442.2</v>
      </c>
      <c r="H194" s="52">
        <v>1529.2</v>
      </c>
      <c r="I194" s="53">
        <v>22130.399999999998</v>
      </c>
      <c r="J194" s="49"/>
    </row>
    <row r="195" spans="1:10" x14ac:dyDescent="0.2">
      <c r="A195" s="50">
        <f t="shared" si="3"/>
        <v>44024</v>
      </c>
      <c r="B195" s="51">
        <v>3956.51</v>
      </c>
      <c r="C195" s="52">
        <v>3943.23</v>
      </c>
      <c r="D195" s="52">
        <v>2553.5700000000002</v>
      </c>
      <c r="E195" s="52">
        <v>1528.33</v>
      </c>
      <c r="F195" s="52">
        <v>3941.82</v>
      </c>
      <c r="G195" s="52">
        <v>3723.27</v>
      </c>
      <c r="H195" s="52">
        <v>1352.3</v>
      </c>
      <c r="I195" s="53">
        <v>18294.43</v>
      </c>
      <c r="J195" s="49"/>
    </row>
    <row r="196" spans="1:10" x14ac:dyDescent="0.2">
      <c r="A196" s="50">
        <f t="shared" si="3"/>
        <v>44025</v>
      </c>
      <c r="B196" s="51">
        <v>5546.95</v>
      </c>
      <c r="C196" s="52">
        <v>4330.46</v>
      </c>
      <c r="D196" s="52">
        <v>2992.73</v>
      </c>
      <c r="E196" s="52">
        <v>1805.84</v>
      </c>
      <c r="F196" s="52">
        <v>4589.8599999999997</v>
      </c>
      <c r="G196" s="52">
        <v>4089.16</v>
      </c>
      <c r="H196" s="52">
        <v>1780.5900000000001</v>
      </c>
      <c r="I196" s="53">
        <v>21574.41</v>
      </c>
      <c r="J196" s="49"/>
    </row>
    <row r="197" spans="1:10" x14ac:dyDescent="0.2">
      <c r="A197" s="50">
        <f t="shared" si="3"/>
        <v>44026</v>
      </c>
      <c r="B197" s="51">
        <v>6118.12</v>
      </c>
      <c r="C197" s="52">
        <v>4581.49</v>
      </c>
      <c r="D197" s="52">
        <v>2990.74</v>
      </c>
      <c r="E197" s="52">
        <v>2016.89</v>
      </c>
      <c r="F197" s="52">
        <v>6422.01</v>
      </c>
      <c r="G197" s="52">
        <v>3936.9</v>
      </c>
      <c r="H197" s="52">
        <v>1828.66</v>
      </c>
      <c r="I197" s="53">
        <v>24237.49</v>
      </c>
      <c r="J197" s="49"/>
    </row>
    <row r="198" spans="1:10" x14ac:dyDescent="0.2">
      <c r="A198" s="50">
        <f t="shared" si="3"/>
        <v>44027</v>
      </c>
      <c r="B198" s="51">
        <v>6300.1</v>
      </c>
      <c r="C198" s="52">
        <v>4581.5</v>
      </c>
      <c r="D198" s="52">
        <v>3066.7</v>
      </c>
      <c r="E198" s="52">
        <v>1913.1</v>
      </c>
      <c r="F198" s="52">
        <v>6301.1</v>
      </c>
      <c r="G198" s="52">
        <v>4029.3</v>
      </c>
      <c r="H198" s="52">
        <v>1825.8</v>
      </c>
      <c r="I198" s="53">
        <v>24366</v>
      </c>
      <c r="J198" s="49"/>
    </row>
    <row r="199" spans="1:10" x14ac:dyDescent="0.2">
      <c r="A199" s="50">
        <f t="shared" si="3"/>
        <v>44028</v>
      </c>
      <c r="B199" s="51">
        <v>6068.11</v>
      </c>
      <c r="C199" s="52">
        <v>4636.9399999999996</v>
      </c>
      <c r="D199" s="52">
        <v>3073.98</v>
      </c>
      <c r="E199" s="52">
        <v>1951.51</v>
      </c>
      <c r="F199" s="52">
        <v>6747.94</v>
      </c>
      <c r="G199" s="52">
        <v>4477.93</v>
      </c>
      <c r="H199" s="52">
        <v>1990.6000000000001</v>
      </c>
      <c r="I199" s="53">
        <v>24965.81</v>
      </c>
      <c r="J199" s="49"/>
    </row>
    <row r="200" spans="1:10" x14ac:dyDescent="0.2">
      <c r="A200" s="50">
        <f t="shared" si="3"/>
        <v>44029</v>
      </c>
      <c r="B200" s="51">
        <v>5896.8</v>
      </c>
      <c r="C200" s="52">
        <v>4266.6000000000004</v>
      </c>
      <c r="D200" s="52">
        <v>3032.2</v>
      </c>
      <c r="E200" s="52">
        <v>1772.2</v>
      </c>
      <c r="F200" s="52">
        <v>6252.5</v>
      </c>
      <c r="G200" s="52">
        <v>3896.9</v>
      </c>
      <c r="H200" s="52">
        <v>1958.7000000000003</v>
      </c>
      <c r="I200" s="53">
        <v>23158.500000000004</v>
      </c>
      <c r="J200" s="49"/>
    </row>
    <row r="201" spans="1:10" x14ac:dyDescent="0.2">
      <c r="A201" s="50">
        <f t="shared" si="3"/>
        <v>44030</v>
      </c>
      <c r="B201" s="51">
        <v>5169.63</v>
      </c>
      <c r="C201" s="52">
        <v>3999.63</v>
      </c>
      <c r="D201" s="52">
        <v>2787</v>
      </c>
      <c r="E201" s="52">
        <v>1705.23</v>
      </c>
      <c r="F201" s="52">
        <v>5997.41</v>
      </c>
      <c r="G201" s="52">
        <v>2663.07</v>
      </c>
      <c r="H201" s="52">
        <v>1243.4399999999998</v>
      </c>
      <c r="I201" s="53">
        <v>21078.530000000002</v>
      </c>
      <c r="J201" s="49"/>
    </row>
    <row r="202" spans="1:10" x14ac:dyDescent="0.2">
      <c r="A202" s="50">
        <f t="shared" si="3"/>
        <v>44031</v>
      </c>
      <c r="B202" s="51">
        <v>4275.5</v>
      </c>
      <c r="C202" s="52">
        <v>3854.1</v>
      </c>
      <c r="D202" s="52">
        <v>2578</v>
      </c>
      <c r="E202" s="52">
        <v>1902.7</v>
      </c>
      <c r="F202" s="52">
        <v>5624.4</v>
      </c>
      <c r="G202" s="52">
        <v>3027.3</v>
      </c>
      <c r="H202" s="52">
        <v>1156.7</v>
      </c>
      <c r="I202" s="53">
        <v>20105.3</v>
      </c>
      <c r="J202" s="49"/>
    </row>
    <row r="203" spans="1:10" x14ac:dyDescent="0.2">
      <c r="A203" s="50">
        <f t="shared" si="3"/>
        <v>44032</v>
      </c>
      <c r="B203" s="51">
        <v>5462.25</v>
      </c>
      <c r="C203" s="52">
        <v>4326.32</v>
      </c>
      <c r="D203" s="52">
        <v>3092.17</v>
      </c>
      <c r="E203" s="52">
        <v>1851.45</v>
      </c>
      <c r="F203" s="52">
        <v>5725.5</v>
      </c>
      <c r="G203" s="52">
        <v>4211.24</v>
      </c>
      <c r="H203" s="52">
        <v>1894.57</v>
      </c>
      <c r="I203" s="53">
        <v>22774.36</v>
      </c>
      <c r="J203" s="49"/>
    </row>
    <row r="204" spans="1:10" x14ac:dyDescent="0.2">
      <c r="A204" s="50">
        <f t="shared" si="3"/>
        <v>44033</v>
      </c>
      <c r="B204" s="51">
        <v>6120.66</v>
      </c>
      <c r="C204" s="52">
        <v>4275.09</v>
      </c>
      <c r="D204" s="52">
        <v>3213.45</v>
      </c>
      <c r="E204" s="52">
        <v>2131.04</v>
      </c>
      <c r="F204" s="52">
        <v>5905.49</v>
      </c>
      <c r="G204" s="52">
        <v>3768.82</v>
      </c>
      <c r="H204" s="52">
        <v>1750.6399999999999</v>
      </c>
      <c r="I204" s="53">
        <v>23663.910000000003</v>
      </c>
      <c r="J204" s="49"/>
    </row>
    <row r="205" spans="1:10" x14ac:dyDescent="0.2">
      <c r="A205" s="50">
        <f t="shared" si="3"/>
        <v>44034</v>
      </c>
      <c r="B205" s="51">
        <v>6066.72</v>
      </c>
      <c r="C205" s="52">
        <v>3875.48</v>
      </c>
      <c r="D205" s="52">
        <v>3236.43</v>
      </c>
      <c r="E205" s="52">
        <v>2469.73</v>
      </c>
      <c r="F205" s="52">
        <v>6320.7</v>
      </c>
      <c r="G205" s="52">
        <v>3909.9</v>
      </c>
      <c r="H205" s="52">
        <v>2052.91</v>
      </c>
      <c r="I205" s="53">
        <v>23826.050000000003</v>
      </c>
      <c r="J205" s="49"/>
    </row>
    <row r="206" spans="1:10" x14ac:dyDescent="0.2">
      <c r="A206" s="50">
        <f t="shared" si="3"/>
        <v>44035</v>
      </c>
      <c r="B206" s="51">
        <v>6042.1</v>
      </c>
      <c r="C206" s="52">
        <v>3987.5</v>
      </c>
      <c r="D206" s="52">
        <v>3301.8</v>
      </c>
      <c r="E206" s="52">
        <v>2161.5</v>
      </c>
      <c r="F206" s="52">
        <v>5693.8</v>
      </c>
      <c r="G206" s="52">
        <v>4377.8999999999996</v>
      </c>
      <c r="H206" s="52">
        <v>1930.8</v>
      </c>
      <c r="I206" s="53">
        <v>23633.8</v>
      </c>
      <c r="J206" s="49"/>
    </row>
    <row r="207" spans="1:10" x14ac:dyDescent="0.2">
      <c r="A207" s="50">
        <f t="shared" si="3"/>
        <v>44036</v>
      </c>
      <c r="B207" s="51">
        <v>5711.9</v>
      </c>
      <c r="C207" s="52">
        <v>3969.32</v>
      </c>
      <c r="D207" s="52">
        <v>3216.23</v>
      </c>
      <c r="E207" s="52">
        <v>1973.07</v>
      </c>
      <c r="F207" s="52">
        <v>5158.96</v>
      </c>
      <c r="G207" s="52">
        <v>4627.2700000000004</v>
      </c>
      <c r="H207" s="52">
        <v>1875.4899999999998</v>
      </c>
      <c r="I207" s="53">
        <v>22781.260000000002</v>
      </c>
      <c r="J207" s="49"/>
    </row>
    <row r="208" spans="1:10" x14ac:dyDescent="0.2">
      <c r="A208" s="50">
        <f t="shared" si="3"/>
        <v>44037</v>
      </c>
      <c r="B208" s="51">
        <v>5680.97</v>
      </c>
      <c r="C208" s="52">
        <v>3838.65</v>
      </c>
      <c r="D208" s="52">
        <v>3038.57</v>
      </c>
      <c r="E208" s="52">
        <v>2464.0700000000002</v>
      </c>
      <c r="F208" s="52">
        <v>5370.28</v>
      </c>
      <c r="G208" s="52">
        <v>3547.66</v>
      </c>
      <c r="H208" s="52">
        <v>1382.5700000000002</v>
      </c>
      <c r="I208" s="53">
        <v>22557.63</v>
      </c>
      <c r="J208" s="49"/>
    </row>
    <row r="209" spans="1:10" x14ac:dyDescent="0.2">
      <c r="A209" s="50">
        <f t="shared" si="3"/>
        <v>44038</v>
      </c>
      <c r="B209" s="51">
        <v>4973.16</v>
      </c>
      <c r="C209" s="52">
        <v>3650.11</v>
      </c>
      <c r="D209" s="52">
        <v>2886.35</v>
      </c>
      <c r="E209" s="52">
        <v>1884.98</v>
      </c>
      <c r="F209" s="52">
        <v>4571.54</v>
      </c>
      <c r="G209" s="52">
        <v>3083.2</v>
      </c>
      <c r="H209" s="52">
        <v>1026.8900000000001</v>
      </c>
      <c r="I209" s="53">
        <v>20022.45</v>
      </c>
      <c r="J209" s="49"/>
    </row>
    <row r="210" spans="1:10" x14ac:dyDescent="0.2">
      <c r="A210" s="50">
        <f t="shared" si="3"/>
        <v>44039</v>
      </c>
      <c r="B210" s="51">
        <v>5345.2</v>
      </c>
      <c r="C210" s="52">
        <v>4001</v>
      </c>
      <c r="D210" s="52">
        <v>3127.9</v>
      </c>
      <c r="E210" s="52">
        <v>1937.9</v>
      </c>
      <c r="F210" s="52">
        <v>4970.8999999999996</v>
      </c>
      <c r="G210" s="52">
        <v>3910.7</v>
      </c>
      <c r="H210" s="52">
        <v>1803.5</v>
      </c>
      <c r="I210" s="53">
        <v>21490.100000000002</v>
      </c>
      <c r="J210" s="49"/>
    </row>
    <row r="211" spans="1:10" x14ac:dyDescent="0.2">
      <c r="A211" s="50">
        <f t="shared" si="3"/>
        <v>44040</v>
      </c>
      <c r="B211" s="51">
        <v>6034.18</v>
      </c>
      <c r="C211" s="52">
        <v>4187.7</v>
      </c>
      <c r="D211" s="52">
        <v>3277.91</v>
      </c>
      <c r="E211" s="52">
        <v>2241.12</v>
      </c>
      <c r="F211" s="52">
        <v>5163.5</v>
      </c>
      <c r="G211" s="52">
        <v>4276.04</v>
      </c>
      <c r="H211" s="52">
        <v>1962.61</v>
      </c>
      <c r="I211" s="53">
        <v>23217.84</v>
      </c>
      <c r="J211" s="49"/>
    </row>
    <row r="212" spans="1:10" x14ac:dyDescent="0.2">
      <c r="A212" s="50">
        <f t="shared" si="3"/>
        <v>44041</v>
      </c>
      <c r="B212" s="51">
        <v>5994.23</v>
      </c>
      <c r="C212" s="52">
        <v>4079.49</v>
      </c>
      <c r="D212" s="52">
        <v>3279.56</v>
      </c>
      <c r="E212" s="52">
        <v>2094.6799999999998</v>
      </c>
      <c r="F212" s="52">
        <v>5597.6</v>
      </c>
      <c r="G212" s="52">
        <v>4829.43</v>
      </c>
      <c r="H212" s="52">
        <v>2015.4400000000003</v>
      </c>
      <c r="I212" s="53">
        <v>23859.55</v>
      </c>
      <c r="J212" s="49"/>
    </row>
    <row r="213" spans="1:10" x14ac:dyDescent="0.2">
      <c r="A213" s="50">
        <f t="shared" si="3"/>
        <v>44042</v>
      </c>
      <c r="B213" s="51">
        <v>6131.75</v>
      </c>
      <c r="C213" s="52">
        <v>3979.02</v>
      </c>
      <c r="D213" s="52">
        <v>3238.8</v>
      </c>
      <c r="E213" s="52">
        <v>2613.75</v>
      </c>
      <c r="F213" s="52">
        <v>5915.52</v>
      </c>
      <c r="G213" s="52">
        <v>4726.84</v>
      </c>
      <c r="H213" s="52">
        <v>2029.3100000000004</v>
      </c>
      <c r="I213" s="53">
        <v>24576.37</v>
      </c>
      <c r="J213" s="49"/>
    </row>
    <row r="214" spans="1:10" x14ac:dyDescent="0.2">
      <c r="A214" s="50">
        <f t="shared" si="3"/>
        <v>44043</v>
      </c>
      <c r="B214" s="51">
        <v>6027.7</v>
      </c>
      <c r="C214" s="52">
        <v>4058.2</v>
      </c>
      <c r="D214" s="52">
        <v>3218.1</v>
      </c>
      <c r="E214" s="52">
        <v>2469.1999999999998</v>
      </c>
      <c r="F214" s="52">
        <v>6279.7</v>
      </c>
      <c r="G214" s="52">
        <v>4694.5</v>
      </c>
      <c r="H214" s="52">
        <v>2088.1999999999998</v>
      </c>
      <c r="I214" s="53">
        <v>24659.200000000001</v>
      </c>
      <c r="J214" s="49"/>
    </row>
    <row r="215" spans="1:10" x14ac:dyDescent="0.2">
      <c r="A215" s="50">
        <f t="shared" si="3"/>
        <v>44044</v>
      </c>
      <c r="B215" s="51">
        <v>5915.17</v>
      </c>
      <c r="C215" s="52">
        <v>3804.73</v>
      </c>
      <c r="D215" s="52">
        <v>3005.36</v>
      </c>
      <c r="E215" s="52">
        <v>1864.77</v>
      </c>
      <c r="F215" s="52">
        <v>5944.79</v>
      </c>
      <c r="G215" s="52">
        <v>3768.13</v>
      </c>
      <c r="H215" s="52">
        <v>1729.56</v>
      </c>
      <c r="I215" s="53">
        <v>22573.39</v>
      </c>
      <c r="J215" s="49"/>
    </row>
    <row r="216" spans="1:10" x14ac:dyDescent="0.2">
      <c r="A216" s="50">
        <f t="shared" si="3"/>
        <v>44045</v>
      </c>
      <c r="B216" s="51">
        <v>5905.85</v>
      </c>
      <c r="C216" s="52">
        <v>3989.3</v>
      </c>
      <c r="D216" s="52">
        <v>2865.28</v>
      </c>
      <c r="E216" s="52">
        <v>1649.48</v>
      </c>
      <c r="F216" s="52">
        <v>5662.75</v>
      </c>
      <c r="G216" s="52">
        <v>3896.85</v>
      </c>
      <c r="H216" s="52">
        <v>1323.5</v>
      </c>
      <c r="I216" s="53">
        <v>22646.010000000002</v>
      </c>
      <c r="J216" s="49"/>
    </row>
    <row r="217" spans="1:10" x14ac:dyDescent="0.2">
      <c r="A217" s="50">
        <f t="shared" si="3"/>
        <v>44046</v>
      </c>
      <c r="B217" s="51">
        <v>5889.26</v>
      </c>
      <c r="C217" s="52">
        <v>4146.8</v>
      </c>
      <c r="D217" s="52">
        <v>3215.47</v>
      </c>
      <c r="E217" s="52">
        <v>1939.84</v>
      </c>
      <c r="F217" s="52">
        <v>5537.12</v>
      </c>
      <c r="G217" s="52">
        <v>4600.3900000000003</v>
      </c>
      <c r="H217" s="52">
        <v>2120.4999999999995</v>
      </c>
      <c r="I217" s="53">
        <v>23208.38</v>
      </c>
      <c r="J217" s="49"/>
    </row>
    <row r="218" spans="1:10" x14ac:dyDescent="0.2">
      <c r="A218" s="50">
        <f t="shared" si="3"/>
        <v>44047</v>
      </c>
      <c r="B218" s="51">
        <v>6350.3</v>
      </c>
      <c r="C218" s="52">
        <v>4181</v>
      </c>
      <c r="D218" s="52">
        <v>3284.3</v>
      </c>
      <c r="E218" s="52">
        <v>1879</v>
      </c>
      <c r="F218" s="52">
        <v>6974.9</v>
      </c>
      <c r="G218" s="52">
        <v>4710.7</v>
      </c>
      <c r="H218" s="52">
        <v>2045.2999999999997</v>
      </c>
      <c r="I218" s="53">
        <v>25334.9</v>
      </c>
      <c r="J218" s="49"/>
    </row>
    <row r="219" spans="1:10" x14ac:dyDescent="0.2">
      <c r="A219" s="50">
        <f t="shared" si="3"/>
        <v>44048</v>
      </c>
      <c r="B219" s="51">
        <v>6208.18</v>
      </c>
      <c r="C219" s="52">
        <v>4283.0600000000004</v>
      </c>
      <c r="D219" s="52">
        <v>3238.27</v>
      </c>
      <c r="E219" s="52">
        <v>2063.2399999999998</v>
      </c>
      <c r="F219" s="52">
        <v>6373.48</v>
      </c>
      <c r="G219" s="52">
        <v>4784.66</v>
      </c>
      <c r="H219" s="52">
        <v>1981.5499999999997</v>
      </c>
      <c r="I219" s="53">
        <v>24969.340000000004</v>
      </c>
      <c r="J219" s="49"/>
    </row>
    <row r="220" spans="1:10" x14ac:dyDescent="0.2">
      <c r="A220" s="50">
        <f t="shared" si="3"/>
        <v>44049</v>
      </c>
      <c r="B220" s="51">
        <v>6427.59</v>
      </c>
      <c r="C220" s="52">
        <v>4361.95</v>
      </c>
      <c r="D220" s="52">
        <v>3224.64</v>
      </c>
      <c r="E220" s="52">
        <v>2089.5700000000002</v>
      </c>
      <c r="F220" s="52">
        <v>6227.4</v>
      </c>
      <c r="G220" s="52">
        <v>4809.62</v>
      </c>
      <c r="H220" s="52">
        <v>2068.04</v>
      </c>
      <c r="I220" s="53">
        <v>25072.73</v>
      </c>
      <c r="J220" s="49"/>
    </row>
    <row r="221" spans="1:10" x14ac:dyDescent="0.2">
      <c r="A221" s="50">
        <f t="shared" si="3"/>
        <v>44050</v>
      </c>
      <c r="B221" s="51">
        <v>6649.49</v>
      </c>
      <c r="C221" s="52">
        <v>4342.28</v>
      </c>
      <c r="D221" s="52">
        <v>3213.73</v>
      </c>
      <c r="E221" s="52">
        <v>2576.8000000000002</v>
      </c>
      <c r="F221" s="52">
        <v>7561.44</v>
      </c>
      <c r="G221" s="52">
        <v>4820.45</v>
      </c>
      <c r="H221" s="52">
        <v>2040.0700000000002</v>
      </c>
      <c r="I221" s="53">
        <v>27124.12</v>
      </c>
      <c r="J221" s="49"/>
    </row>
    <row r="222" spans="1:10" x14ac:dyDescent="0.2">
      <c r="A222" s="50">
        <f t="shared" si="3"/>
        <v>44051</v>
      </c>
      <c r="B222" s="51">
        <v>6179</v>
      </c>
      <c r="C222" s="52">
        <v>3984.7</v>
      </c>
      <c r="D222" s="52">
        <v>3097.9</v>
      </c>
      <c r="E222" s="52">
        <v>2045.2</v>
      </c>
      <c r="F222" s="52">
        <v>5942.8</v>
      </c>
      <c r="G222" s="52">
        <v>4078</v>
      </c>
      <c r="H222" s="52">
        <v>1721.1</v>
      </c>
      <c r="I222" s="53">
        <v>23606.500000000004</v>
      </c>
      <c r="J222" s="49"/>
    </row>
    <row r="223" spans="1:10" x14ac:dyDescent="0.2">
      <c r="A223" s="50">
        <f t="shared" si="3"/>
        <v>44052</v>
      </c>
      <c r="B223" s="51">
        <v>5919.25</v>
      </c>
      <c r="C223" s="52">
        <v>3832.56</v>
      </c>
      <c r="D223" s="52">
        <v>3026.69</v>
      </c>
      <c r="E223" s="52">
        <v>2200.7399999999998</v>
      </c>
      <c r="F223" s="52">
        <v>5273.49</v>
      </c>
      <c r="G223" s="52">
        <v>3641.98</v>
      </c>
      <c r="H223" s="52">
        <v>1435.46</v>
      </c>
      <c r="I223" s="53">
        <v>22459.25</v>
      </c>
      <c r="J223" s="49"/>
    </row>
    <row r="224" spans="1:10" x14ac:dyDescent="0.2">
      <c r="A224" s="50">
        <f t="shared" ref="A224:A287" si="4">A223+1</f>
        <v>44053</v>
      </c>
      <c r="B224" s="51">
        <v>6518.58</v>
      </c>
      <c r="C224" s="52">
        <v>3936.64</v>
      </c>
      <c r="D224" s="52">
        <v>3197.03</v>
      </c>
      <c r="E224" s="52">
        <v>2226.75</v>
      </c>
      <c r="F224" s="52">
        <v>5733.31</v>
      </c>
      <c r="G224" s="52">
        <v>4415.2</v>
      </c>
      <c r="H224" s="52">
        <v>2013.03</v>
      </c>
      <c r="I224" s="53">
        <v>24014.480000000003</v>
      </c>
      <c r="J224" s="49"/>
    </row>
    <row r="225" spans="1:10" x14ac:dyDescent="0.2">
      <c r="A225" s="50">
        <f t="shared" si="4"/>
        <v>44054</v>
      </c>
      <c r="B225" s="51">
        <v>6494.93</v>
      </c>
      <c r="C225" s="52">
        <v>3892.03</v>
      </c>
      <c r="D225" s="52">
        <v>3371.25</v>
      </c>
      <c r="E225" s="52">
        <v>2262.25</v>
      </c>
      <c r="F225" s="52">
        <v>6608.98</v>
      </c>
      <c r="G225" s="52">
        <v>5067.97</v>
      </c>
      <c r="H225" s="52">
        <v>2407.1100000000006</v>
      </c>
      <c r="I225" s="53">
        <v>25290.300000000003</v>
      </c>
      <c r="J225" s="49"/>
    </row>
    <row r="226" spans="1:10" x14ac:dyDescent="0.2">
      <c r="A226" s="50">
        <f t="shared" si="4"/>
        <v>44055</v>
      </c>
      <c r="B226" s="51">
        <v>6423</v>
      </c>
      <c r="C226" s="52">
        <v>3949</v>
      </c>
      <c r="D226" s="52">
        <v>3291</v>
      </c>
      <c r="E226" s="52">
        <v>2531</v>
      </c>
      <c r="F226" s="52">
        <v>5062</v>
      </c>
      <c r="G226" s="52">
        <v>4656</v>
      </c>
      <c r="H226" s="52">
        <v>1944</v>
      </c>
      <c r="I226" s="53">
        <v>23968</v>
      </c>
      <c r="J226" s="49"/>
    </row>
    <row r="227" spans="1:10" x14ac:dyDescent="0.2">
      <c r="A227" s="50">
        <f t="shared" si="4"/>
        <v>44056</v>
      </c>
      <c r="B227" s="51">
        <v>6259.15</v>
      </c>
      <c r="C227" s="52">
        <v>4054.79</v>
      </c>
      <c r="D227" s="52">
        <v>3317.09</v>
      </c>
      <c r="E227" s="52">
        <v>2184.64</v>
      </c>
      <c r="F227" s="52">
        <v>5246.98</v>
      </c>
      <c r="G227" s="52">
        <v>4259.13</v>
      </c>
      <c r="H227" s="52">
        <v>1481.2199999999998</v>
      </c>
      <c r="I227" s="53">
        <v>23840.559999999998</v>
      </c>
      <c r="J227" s="49"/>
    </row>
    <row r="228" spans="1:10" x14ac:dyDescent="0.2">
      <c r="A228" s="50">
        <f t="shared" si="4"/>
        <v>44057</v>
      </c>
      <c r="B228" s="51">
        <v>8440.2199999999993</v>
      </c>
      <c r="C228" s="52">
        <v>4309.07</v>
      </c>
      <c r="D228" s="52">
        <v>3952.89</v>
      </c>
      <c r="E228" s="52">
        <v>3009.16</v>
      </c>
      <c r="F228" s="52">
        <v>6285.28</v>
      </c>
      <c r="G228" s="52">
        <v>4316.07</v>
      </c>
      <c r="H228" s="52">
        <v>1636.2199999999998</v>
      </c>
      <c r="I228" s="53">
        <v>28676.469999999998</v>
      </c>
      <c r="J228" s="49"/>
    </row>
    <row r="229" spans="1:10" x14ac:dyDescent="0.2">
      <c r="A229" s="50">
        <f t="shared" si="4"/>
        <v>44058</v>
      </c>
      <c r="B229" s="51">
        <v>8935.74</v>
      </c>
      <c r="C229" s="52">
        <v>4425.45</v>
      </c>
      <c r="D229" s="52">
        <v>3840.51</v>
      </c>
      <c r="E229" s="52">
        <v>2345.41</v>
      </c>
      <c r="F229" s="52">
        <v>5730.8</v>
      </c>
      <c r="G229" s="52">
        <v>3521.49</v>
      </c>
      <c r="H229" s="52">
        <v>1232.2900000000002</v>
      </c>
      <c r="I229" s="53">
        <v>27567.109999999993</v>
      </c>
      <c r="J229" s="49"/>
    </row>
    <row r="230" spans="1:10" x14ac:dyDescent="0.2">
      <c r="A230" s="50">
        <f t="shared" si="4"/>
        <v>44059</v>
      </c>
      <c r="B230" s="51">
        <v>6709</v>
      </c>
      <c r="C230" s="52">
        <v>4004</v>
      </c>
      <c r="D230" s="52">
        <v>2949</v>
      </c>
      <c r="E230" s="52">
        <v>2475</v>
      </c>
      <c r="F230" s="52">
        <v>4802</v>
      </c>
      <c r="G230" s="52">
        <v>2878</v>
      </c>
      <c r="H230" s="52">
        <v>833</v>
      </c>
      <c r="I230" s="53">
        <v>22984</v>
      </c>
      <c r="J230" s="49"/>
    </row>
    <row r="231" spans="1:10" x14ac:dyDescent="0.2">
      <c r="A231" s="50">
        <f t="shared" si="4"/>
        <v>44060</v>
      </c>
      <c r="B231" s="51">
        <v>6645.04</v>
      </c>
      <c r="C231" s="52">
        <v>3931.01</v>
      </c>
      <c r="D231" s="52">
        <v>3284.48</v>
      </c>
      <c r="E231" s="52">
        <v>2628.5</v>
      </c>
      <c r="F231" s="52">
        <v>6083.82</v>
      </c>
      <c r="G231" s="52">
        <v>4413.22</v>
      </c>
      <c r="H231" s="52">
        <v>1754.3700000000003</v>
      </c>
      <c r="I231" s="53">
        <v>25231.7</v>
      </c>
      <c r="J231" s="49"/>
    </row>
    <row r="232" spans="1:10" x14ac:dyDescent="0.2">
      <c r="A232" s="50">
        <f t="shared" si="4"/>
        <v>44061</v>
      </c>
      <c r="B232" s="51">
        <v>6596.77</v>
      </c>
      <c r="C232" s="52">
        <v>3946.12</v>
      </c>
      <c r="D232" s="52">
        <v>3341.71</v>
      </c>
      <c r="E232" s="52">
        <v>2604.92</v>
      </c>
      <c r="F232" s="52">
        <v>5399.32</v>
      </c>
      <c r="G232" s="52">
        <v>5082.29</v>
      </c>
      <c r="H232" s="52">
        <v>2015.34</v>
      </c>
      <c r="I232" s="53">
        <v>24955.789999999997</v>
      </c>
      <c r="J232" s="49"/>
    </row>
    <row r="233" spans="1:10" x14ac:dyDescent="0.2">
      <c r="A233" s="50">
        <f t="shared" si="4"/>
        <v>44062</v>
      </c>
      <c r="B233" s="51">
        <v>6517.61</v>
      </c>
      <c r="C233" s="52">
        <v>3779.25</v>
      </c>
      <c r="D233" s="52">
        <v>3463.33</v>
      </c>
      <c r="E233" s="52">
        <v>2681.01</v>
      </c>
      <c r="F233" s="52">
        <v>5568.17</v>
      </c>
      <c r="G233" s="52">
        <v>5339.77</v>
      </c>
      <c r="H233" s="52">
        <v>2242.44</v>
      </c>
      <c r="I233" s="53">
        <v>25106.700000000004</v>
      </c>
      <c r="J233" s="49"/>
    </row>
    <row r="234" spans="1:10" x14ac:dyDescent="0.2">
      <c r="A234" s="50">
        <f t="shared" si="4"/>
        <v>44063</v>
      </c>
      <c r="B234" s="51">
        <v>6543</v>
      </c>
      <c r="C234" s="52">
        <v>3969</v>
      </c>
      <c r="D234" s="52">
        <v>3532</v>
      </c>
      <c r="E234" s="52">
        <v>2282</v>
      </c>
      <c r="F234" s="52">
        <v>5062</v>
      </c>
      <c r="G234" s="52">
        <v>5633</v>
      </c>
      <c r="H234" s="52">
        <v>2294</v>
      </c>
      <c r="I234" s="53">
        <v>24727</v>
      </c>
      <c r="J234" s="49"/>
    </row>
    <row r="235" spans="1:10" x14ac:dyDescent="0.2">
      <c r="A235" s="50">
        <f t="shared" si="4"/>
        <v>44064</v>
      </c>
      <c r="B235" s="51">
        <v>6327.1</v>
      </c>
      <c r="C235" s="52">
        <v>3848.69</v>
      </c>
      <c r="D235" s="52">
        <v>3416.09</v>
      </c>
      <c r="E235" s="52">
        <v>2486.64</v>
      </c>
      <c r="F235" s="52">
        <v>4881.22</v>
      </c>
      <c r="G235" s="52">
        <v>5248.95</v>
      </c>
      <c r="H235" s="52">
        <v>2367.08</v>
      </c>
      <c r="I235" s="53">
        <v>23841.61</v>
      </c>
      <c r="J235" s="49"/>
    </row>
    <row r="236" spans="1:10" x14ac:dyDescent="0.2">
      <c r="A236" s="50">
        <f t="shared" si="4"/>
        <v>44065</v>
      </c>
      <c r="B236" s="51">
        <v>6237.05</v>
      </c>
      <c r="C236" s="52">
        <v>3755.58</v>
      </c>
      <c r="D236" s="52">
        <v>3081.36</v>
      </c>
      <c r="E236" s="52">
        <v>2470.73</v>
      </c>
      <c r="F236" s="52">
        <v>5310.48</v>
      </c>
      <c r="G236" s="52">
        <v>4217.41</v>
      </c>
      <c r="H236" s="52">
        <v>1828.1000000000001</v>
      </c>
      <c r="I236" s="53">
        <v>23244.510000000002</v>
      </c>
      <c r="J236" s="49"/>
    </row>
    <row r="237" spans="1:10" x14ac:dyDescent="0.2">
      <c r="A237" s="50">
        <f t="shared" si="4"/>
        <v>44066</v>
      </c>
      <c r="B237" s="51">
        <v>5729.44</v>
      </c>
      <c r="C237" s="52">
        <v>3609.02</v>
      </c>
      <c r="D237" s="52">
        <v>3155.12</v>
      </c>
      <c r="E237" s="52">
        <v>2642.22</v>
      </c>
      <c r="F237" s="52">
        <v>4819.1099999999997</v>
      </c>
      <c r="G237" s="52">
        <v>4114.9399999999996</v>
      </c>
      <c r="H237" s="52">
        <v>1897.1100000000001</v>
      </c>
      <c r="I237" s="53">
        <v>22172.739999999994</v>
      </c>
      <c r="J237" s="49"/>
    </row>
    <row r="238" spans="1:10" x14ac:dyDescent="0.2">
      <c r="A238" s="50">
        <f t="shared" si="4"/>
        <v>44067</v>
      </c>
      <c r="B238" s="51">
        <v>6289</v>
      </c>
      <c r="C238" s="52">
        <v>3933</v>
      </c>
      <c r="D238" s="52">
        <v>3220</v>
      </c>
      <c r="E238" s="52">
        <v>3045</v>
      </c>
      <c r="F238" s="52">
        <v>5537</v>
      </c>
      <c r="G238" s="52">
        <v>4819</v>
      </c>
      <c r="H238" s="52">
        <v>2261</v>
      </c>
      <c r="I238" s="53">
        <v>24582</v>
      </c>
      <c r="J238" s="49"/>
    </row>
    <row r="239" spans="1:10" x14ac:dyDescent="0.2">
      <c r="A239" s="50">
        <f t="shared" si="4"/>
        <v>44068</v>
      </c>
      <c r="B239" s="51">
        <v>5969.25</v>
      </c>
      <c r="C239" s="52">
        <v>3927.98</v>
      </c>
      <c r="D239" s="52">
        <v>3076.91</v>
      </c>
      <c r="E239" s="52">
        <v>2398.54</v>
      </c>
      <c r="F239" s="52">
        <v>5210.0600000000004</v>
      </c>
      <c r="G239" s="52">
        <v>4289.13</v>
      </c>
      <c r="H239" s="52">
        <v>2059.4700000000003</v>
      </c>
      <c r="I239" s="53">
        <v>22812.400000000001</v>
      </c>
      <c r="J239" s="49"/>
    </row>
    <row r="240" spans="1:10" x14ac:dyDescent="0.2">
      <c r="A240" s="50">
        <f t="shared" si="4"/>
        <v>44069</v>
      </c>
      <c r="B240" s="51">
        <v>5569.55</v>
      </c>
      <c r="C240" s="52">
        <v>3932.51</v>
      </c>
      <c r="D240" s="52">
        <v>3020.82</v>
      </c>
      <c r="E240" s="52">
        <v>2375.16</v>
      </c>
      <c r="F240" s="52">
        <v>4617.09</v>
      </c>
      <c r="G240" s="52">
        <v>4855.87</v>
      </c>
      <c r="H240" s="52">
        <v>2175.87</v>
      </c>
      <c r="I240" s="53">
        <v>22195.13</v>
      </c>
      <c r="J240" s="49"/>
    </row>
    <row r="241" spans="1:10" x14ac:dyDescent="0.2">
      <c r="A241" s="50">
        <f t="shared" si="4"/>
        <v>44070</v>
      </c>
      <c r="B241" s="51">
        <v>5720.4</v>
      </c>
      <c r="C241" s="52">
        <v>3774.17</v>
      </c>
      <c r="D241" s="52">
        <v>2994.29</v>
      </c>
      <c r="E241" s="52">
        <v>2318.38</v>
      </c>
      <c r="F241" s="52">
        <v>5102.51</v>
      </c>
      <c r="G241" s="52">
        <v>5019.6499999999996</v>
      </c>
      <c r="H241" s="52">
        <v>2407.21</v>
      </c>
      <c r="I241" s="53">
        <v>22522.190000000002</v>
      </c>
      <c r="J241" s="49"/>
    </row>
    <row r="242" spans="1:10" x14ac:dyDescent="0.2">
      <c r="A242" s="50">
        <f t="shared" si="4"/>
        <v>44071</v>
      </c>
      <c r="B242" s="51">
        <v>6413</v>
      </c>
      <c r="C242" s="52">
        <v>3994</v>
      </c>
      <c r="D242" s="52">
        <v>3235</v>
      </c>
      <c r="E242" s="52">
        <v>2567</v>
      </c>
      <c r="F242" s="52">
        <v>6022</v>
      </c>
      <c r="G242" s="52">
        <v>4879</v>
      </c>
      <c r="H242" s="52">
        <v>2179</v>
      </c>
      <c r="I242" s="53">
        <v>24931</v>
      </c>
      <c r="J242" s="49"/>
    </row>
    <row r="243" spans="1:10" x14ac:dyDescent="0.2">
      <c r="A243" s="50">
        <f t="shared" si="4"/>
        <v>44072</v>
      </c>
      <c r="B243" s="51">
        <v>5922.14</v>
      </c>
      <c r="C243" s="52">
        <v>4078.48</v>
      </c>
      <c r="D243" s="52">
        <v>3067.03</v>
      </c>
      <c r="E243" s="52">
        <v>2309.4899999999998</v>
      </c>
      <c r="F243" s="52">
        <v>4845.1899999999996</v>
      </c>
      <c r="G243" s="52">
        <v>4168.99</v>
      </c>
      <c r="H243" s="52">
        <v>1715.01</v>
      </c>
      <c r="I243" s="53">
        <v>22676.31</v>
      </c>
      <c r="J243" s="49"/>
    </row>
    <row r="244" spans="1:10" x14ac:dyDescent="0.2">
      <c r="A244" s="50">
        <f t="shared" si="4"/>
        <v>44073</v>
      </c>
      <c r="B244" s="51">
        <v>5505.75</v>
      </c>
      <c r="C244" s="52">
        <v>3932.68</v>
      </c>
      <c r="D244" s="52">
        <v>2969.96</v>
      </c>
      <c r="E244" s="52">
        <v>1992.46</v>
      </c>
      <c r="F244" s="52">
        <v>3659.46</v>
      </c>
      <c r="G244" s="52">
        <v>4005.43</v>
      </c>
      <c r="H244" s="52">
        <v>1778.29</v>
      </c>
      <c r="I244" s="53">
        <v>20287.449999999997</v>
      </c>
      <c r="J244" s="49"/>
    </row>
    <row r="245" spans="1:10" x14ac:dyDescent="0.2">
      <c r="A245" s="50">
        <f t="shared" si="4"/>
        <v>44074</v>
      </c>
      <c r="B245" s="51">
        <v>5928.18</v>
      </c>
      <c r="C245" s="52">
        <v>4057.72</v>
      </c>
      <c r="D245" s="52">
        <v>3207.07</v>
      </c>
      <c r="E245" s="52">
        <v>2347.44</v>
      </c>
      <c r="F245" s="52">
        <v>4768.6899999999996</v>
      </c>
      <c r="G245" s="52">
        <v>5190.05</v>
      </c>
      <c r="H245" s="52">
        <v>2660.8900000000003</v>
      </c>
      <c r="I245" s="53">
        <v>22838.26</v>
      </c>
      <c r="J245" s="49"/>
    </row>
    <row r="246" spans="1:10" x14ac:dyDescent="0.2">
      <c r="A246" s="50">
        <f t="shared" si="4"/>
        <v>44075</v>
      </c>
      <c r="B246" s="51">
        <v>6389</v>
      </c>
      <c r="C246" s="52">
        <v>4319</v>
      </c>
      <c r="D246" s="52">
        <v>3175</v>
      </c>
      <c r="E246" s="52">
        <v>2624</v>
      </c>
      <c r="F246" s="52">
        <v>6495</v>
      </c>
      <c r="G246" s="52">
        <v>5423</v>
      </c>
      <c r="H246" s="52">
        <v>2711</v>
      </c>
      <c r="I246" s="53">
        <v>25714</v>
      </c>
      <c r="J246" s="49"/>
    </row>
    <row r="247" spans="1:10" x14ac:dyDescent="0.2">
      <c r="A247" s="50">
        <f t="shared" si="4"/>
        <v>44076</v>
      </c>
      <c r="B247" s="51">
        <v>6053.44</v>
      </c>
      <c r="C247" s="52">
        <v>4343.96</v>
      </c>
      <c r="D247" s="52">
        <v>3247.84</v>
      </c>
      <c r="E247" s="52">
        <v>2686.9</v>
      </c>
      <c r="F247" s="52">
        <v>5931.24</v>
      </c>
      <c r="G247" s="52">
        <v>5394.22</v>
      </c>
      <c r="H247" s="52">
        <v>2644.48</v>
      </c>
      <c r="I247" s="53">
        <v>25013.119999999999</v>
      </c>
      <c r="J247" s="49"/>
    </row>
    <row r="248" spans="1:10" x14ac:dyDescent="0.2">
      <c r="A248" s="50">
        <f t="shared" si="4"/>
        <v>44077</v>
      </c>
      <c r="B248" s="51">
        <v>6360.97</v>
      </c>
      <c r="C248" s="52">
        <v>4121.8999999999996</v>
      </c>
      <c r="D248" s="52">
        <v>3396.65</v>
      </c>
      <c r="E248" s="52">
        <v>2477.23</v>
      </c>
      <c r="F248" s="52">
        <v>4894.0600000000004</v>
      </c>
      <c r="G248" s="52">
        <v>5371.98</v>
      </c>
      <c r="H248" s="52">
        <v>2647.73</v>
      </c>
      <c r="I248" s="53">
        <v>23975.059999999998</v>
      </c>
      <c r="J248" s="49"/>
    </row>
    <row r="249" spans="1:10" x14ac:dyDescent="0.2">
      <c r="A249" s="50">
        <f t="shared" si="4"/>
        <v>44078</v>
      </c>
      <c r="B249" s="51">
        <v>6072.98</v>
      </c>
      <c r="C249" s="52">
        <v>3842.63</v>
      </c>
      <c r="D249" s="52">
        <v>3380.83</v>
      </c>
      <c r="E249" s="52">
        <v>2367.6999999999998</v>
      </c>
      <c r="F249" s="52">
        <v>4622.84</v>
      </c>
      <c r="G249" s="52">
        <v>5285.52</v>
      </c>
      <c r="H249" s="52">
        <v>2489.4700000000003</v>
      </c>
      <c r="I249" s="53">
        <v>23083.03</v>
      </c>
      <c r="J249" s="49"/>
    </row>
    <row r="250" spans="1:10" x14ac:dyDescent="0.2">
      <c r="A250" s="50">
        <f t="shared" si="4"/>
        <v>44079</v>
      </c>
      <c r="B250" s="51">
        <v>6585</v>
      </c>
      <c r="C250" s="52">
        <v>3747</v>
      </c>
      <c r="D250" s="52">
        <v>3270</v>
      </c>
      <c r="E250" s="52">
        <v>2496</v>
      </c>
      <c r="F250" s="52">
        <v>4791</v>
      </c>
      <c r="G250" s="52">
        <v>4529</v>
      </c>
      <c r="H250" s="52">
        <v>1944</v>
      </c>
      <c r="I250" s="53">
        <v>23474</v>
      </c>
      <c r="J250" s="49"/>
    </row>
    <row r="251" spans="1:10" x14ac:dyDescent="0.2">
      <c r="A251" s="50">
        <f t="shared" si="4"/>
        <v>44080</v>
      </c>
      <c r="B251" s="51">
        <v>6186.61</v>
      </c>
      <c r="C251" s="52">
        <v>3641.21</v>
      </c>
      <c r="D251" s="52">
        <v>3018.6</v>
      </c>
      <c r="E251" s="52">
        <v>2328.59</v>
      </c>
      <c r="F251" s="52">
        <v>4732.12</v>
      </c>
      <c r="G251" s="52">
        <v>4334.1099999999997</v>
      </c>
      <c r="H251" s="52">
        <v>1857.2799999999997</v>
      </c>
      <c r="I251" s="53">
        <v>22383.960000000003</v>
      </c>
      <c r="J251" s="49"/>
    </row>
    <row r="252" spans="1:10" x14ac:dyDescent="0.2">
      <c r="A252" s="50">
        <f t="shared" si="4"/>
        <v>44081</v>
      </c>
      <c r="B252" s="51">
        <v>5720.98</v>
      </c>
      <c r="C252" s="52">
        <v>4073.06</v>
      </c>
      <c r="D252" s="52">
        <v>3225.19</v>
      </c>
      <c r="E252" s="52">
        <v>2164.7399999999998</v>
      </c>
      <c r="F252" s="52">
        <v>4050.14</v>
      </c>
      <c r="G252" s="52">
        <v>5020.37</v>
      </c>
      <c r="H252" s="52">
        <v>2329.06</v>
      </c>
      <c r="I252" s="53">
        <v>21925.42</v>
      </c>
      <c r="J252" s="49"/>
    </row>
    <row r="253" spans="1:10" x14ac:dyDescent="0.2">
      <c r="A253" s="50">
        <f t="shared" si="4"/>
        <v>44082</v>
      </c>
      <c r="B253" s="51">
        <v>6599.33</v>
      </c>
      <c r="C253" s="52">
        <v>3780.45</v>
      </c>
      <c r="D253" s="52">
        <v>3406.54</v>
      </c>
      <c r="E253" s="52">
        <v>2599.77</v>
      </c>
      <c r="F253" s="52">
        <v>5617.59</v>
      </c>
      <c r="G253" s="52">
        <v>5461.09</v>
      </c>
      <c r="H253" s="52">
        <v>2438.0899999999997</v>
      </c>
      <c r="I253" s="53">
        <v>25026.68</v>
      </c>
      <c r="J253" s="49"/>
    </row>
    <row r="254" spans="1:10" x14ac:dyDescent="0.2">
      <c r="A254" s="50">
        <f t="shared" si="4"/>
        <v>44083</v>
      </c>
      <c r="B254" s="51">
        <v>6825</v>
      </c>
      <c r="C254" s="52">
        <v>4068</v>
      </c>
      <c r="D254" s="52">
        <v>3288</v>
      </c>
      <c r="E254" s="52">
        <v>2272</v>
      </c>
      <c r="F254" s="52">
        <v>4893</v>
      </c>
      <c r="G254" s="52">
        <v>5523</v>
      </c>
      <c r="H254" s="52">
        <v>2497</v>
      </c>
      <c r="I254" s="53">
        <v>24372</v>
      </c>
      <c r="J254" s="49"/>
    </row>
    <row r="255" spans="1:10" x14ac:dyDescent="0.2">
      <c r="A255" s="50">
        <f t="shared" si="4"/>
        <v>44084</v>
      </c>
      <c r="B255" s="51">
        <v>6480.4</v>
      </c>
      <c r="C255" s="52">
        <v>4078.33</v>
      </c>
      <c r="D255" s="52">
        <v>3118.03</v>
      </c>
      <c r="E255" s="52">
        <v>2291.59</v>
      </c>
      <c r="F255" s="52">
        <v>4829.2</v>
      </c>
      <c r="G255" s="52">
        <v>5440.08</v>
      </c>
      <c r="H255" s="52">
        <v>2399.3799999999997</v>
      </c>
      <c r="I255" s="53">
        <v>23838.249999999996</v>
      </c>
      <c r="J255" s="49"/>
    </row>
    <row r="256" spans="1:10" x14ac:dyDescent="0.2">
      <c r="A256" s="50">
        <f t="shared" si="4"/>
        <v>44085</v>
      </c>
      <c r="B256" s="51">
        <v>6713.38</v>
      </c>
      <c r="C256" s="52">
        <v>3950.04</v>
      </c>
      <c r="D256" s="52">
        <v>3287.43</v>
      </c>
      <c r="E256" s="52">
        <v>2420.25</v>
      </c>
      <c r="F256" s="52">
        <v>4969.7</v>
      </c>
      <c r="G256" s="52">
        <v>5123.6000000000004</v>
      </c>
      <c r="H256" s="52">
        <v>2529.3000000000002</v>
      </c>
      <c r="I256" s="53">
        <v>23935.100000000002</v>
      </c>
      <c r="J256" s="49"/>
    </row>
    <row r="257" spans="1:10" x14ac:dyDescent="0.2">
      <c r="A257" s="50">
        <f t="shared" si="4"/>
        <v>44086</v>
      </c>
      <c r="B257" s="51">
        <v>5824.04</v>
      </c>
      <c r="C257" s="52">
        <v>3551.23</v>
      </c>
      <c r="D257" s="52">
        <v>2782.88</v>
      </c>
      <c r="E257" s="52">
        <v>2429.23</v>
      </c>
      <c r="F257" s="52">
        <v>5341.17</v>
      </c>
      <c r="G257" s="52">
        <v>3505.14</v>
      </c>
      <c r="H257" s="52">
        <v>1902.98</v>
      </c>
      <c r="I257" s="53">
        <v>21530.710000000003</v>
      </c>
      <c r="J257" s="49"/>
    </row>
    <row r="258" spans="1:10" x14ac:dyDescent="0.2">
      <c r="A258" s="50">
        <f t="shared" si="4"/>
        <v>44087</v>
      </c>
      <c r="B258" s="51">
        <v>5806</v>
      </c>
      <c r="C258" s="52">
        <v>3705</v>
      </c>
      <c r="D258" s="52">
        <v>2622</v>
      </c>
      <c r="E258" s="52">
        <v>2493</v>
      </c>
      <c r="F258" s="52">
        <v>4560</v>
      </c>
      <c r="G258" s="52">
        <v>3452</v>
      </c>
      <c r="H258" s="52">
        <v>1757</v>
      </c>
      <c r="I258" s="53">
        <v>20881</v>
      </c>
      <c r="J258" s="49"/>
    </row>
    <row r="259" spans="1:10" x14ac:dyDescent="0.2">
      <c r="A259" s="50">
        <f t="shared" si="4"/>
        <v>44088</v>
      </c>
      <c r="B259" s="51">
        <v>6307.81</v>
      </c>
      <c r="C259" s="52">
        <v>3957.3</v>
      </c>
      <c r="D259" s="52">
        <v>3253.23</v>
      </c>
      <c r="E259" s="52">
        <v>2032.77</v>
      </c>
      <c r="F259" s="52">
        <v>3957.27</v>
      </c>
      <c r="G259" s="52">
        <v>4980.01</v>
      </c>
      <c r="H259" s="52">
        <v>2694.88</v>
      </c>
      <c r="I259" s="53">
        <v>21793.51</v>
      </c>
      <c r="J259" s="49"/>
    </row>
    <row r="260" spans="1:10" x14ac:dyDescent="0.2">
      <c r="A260" s="50">
        <f t="shared" si="4"/>
        <v>44089</v>
      </c>
      <c r="B260" s="51">
        <v>6541.27</v>
      </c>
      <c r="C260" s="52">
        <v>3948.22</v>
      </c>
      <c r="D260" s="52">
        <v>3245.17</v>
      </c>
      <c r="E260" s="52">
        <v>2222.1999999999998</v>
      </c>
      <c r="F260" s="52">
        <v>4842.32</v>
      </c>
      <c r="G260" s="52">
        <v>5344.87</v>
      </c>
      <c r="H260" s="52">
        <v>2571.7799999999997</v>
      </c>
      <c r="I260" s="53">
        <v>23572.27</v>
      </c>
      <c r="J260" s="49"/>
    </row>
    <row r="261" spans="1:10" x14ac:dyDescent="0.2">
      <c r="A261" s="50">
        <f t="shared" si="4"/>
        <v>44090</v>
      </c>
      <c r="B261" s="51">
        <v>6378.95</v>
      </c>
      <c r="C261" s="52">
        <v>3735.83</v>
      </c>
      <c r="D261" s="52">
        <v>3331.9</v>
      </c>
      <c r="E261" s="52">
        <v>2573.42</v>
      </c>
      <c r="F261" s="52">
        <v>5559.06</v>
      </c>
      <c r="G261" s="52">
        <v>6028.78</v>
      </c>
      <c r="H261" s="52">
        <v>2703.96</v>
      </c>
      <c r="I261" s="53">
        <v>24903.98</v>
      </c>
      <c r="J261" s="49"/>
    </row>
    <row r="262" spans="1:10" x14ac:dyDescent="0.2">
      <c r="A262" s="50">
        <f t="shared" si="4"/>
        <v>44091</v>
      </c>
      <c r="B262" s="51">
        <v>6631.15</v>
      </c>
      <c r="C262" s="52">
        <v>4051.8</v>
      </c>
      <c r="D262" s="52">
        <v>3392.06</v>
      </c>
      <c r="E262" s="52">
        <v>2279.7800000000002</v>
      </c>
      <c r="F262" s="52">
        <v>6093.82</v>
      </c>
      <c r="G262" s="52">
        <v>5753.84</v>
      </c>
      <c r="H262" s="52">
        <v>2406.1800000000003</v>
      </c>
      <c r="I262" s="53">
        <v>25796.27</v>
      </c>
      <c r="J262" s="49"/>
    </row>
    <row r="263" spans="1:10" x14ac:dyDescent="0.2">
      <c r="A263" s="50">
        <f t="shared" si="4"/>
        <v>44092</v>
      </c>
      <c r="B263" s="51">
        <v>6131.61</v>
      </c>
      <c r="C263" s="52">
        <v>3799.85</v>
      </c>
      <c r="D263" s="52">
        <v>3215.07</v>
      </c>
      <c r="E263" s="52">
        <v>2396.0100000000002</v>
      </c>
      <c r="F263" s="52">
        <v>5352.76</v>
      </c>
      <c r="G263" s="52">
        <v>5300.38</v>
      </c>
      <c r="H263" s="52">
        <v>2369.9300000000003</v>
      </c>
      <c r="I263" s="53">
        <v>23825.75</v>
      </c>
      <c r="J263" s="49"/>
    </row>
    <row r="264" spans="1:10" x14ac:dyDescent="0.2">
      <c r="A264" s="50">
        <f t="shared" si="4"/>
        <v>44093</v>
      </c>
      <c r="B264" s="51">
        <v>5244.32</v>
      </c>
      <c r="C264" s="52">
        <v>3366.7</v>
      </c>
      <c r="D264" s="52">
        <v>2548.9499999999998</v>
      </c>
      <c r="E264" s="52">
        <v>2453.36</v>
      </c>
      <c r="F264" s="52">
        <v>4643.1899999999996</v>
      </c>
      <c r="G264" s="52">
        <v>3449.54</v>
      </c>
      <c r="H264" s="52">
        <v>1297.03</v>
      </c>
      <c r="I264" s="53">
        <v>20409.030000000002</v>
      </c>
      <c r="J264" s="49"/>
    </row>
    <row r="265" spans="1:10" x14ac:dyDescent="0.2">
      <c r="A265" s="50">
        <f t="shared" si="4"/>
        <v>44094</v>
      </c>
      <c r="B265" s="51">
        <v>3189.45</v>
      </c>
      <c r="C265" s="52">
        <v>2286.52</v>
      </c>
      <c r="D265" s="52">
        <v>2049.31</v>
      </c>
      <c r="E265" s="52">
        <v>2321.54</v>
      </c>
      <c r="F265" s="52">
        <v>3589.28</v>
      </c>
      <c r="G265" s="52">
        <v>3475.96</v>
      </c>
      <c r="H265" s="52">
        <v>1384.98</v>
      </c>
      <c r="I265" s="53">
        <v>15527.080000000002</v>
      </c>
      <c r="J265" s="49"/>
    </row>
    <row r="266" spans="1:10" x14ac:dyDescent="0.2">
      <c r="A266" s="50">
        <f t="shared" si="4"/>
        <v>44095</v>
      </c>
      <c r="B266" s="51">
        <v>5924.07</v>
      </c>
      <c r="C266" s="52">
        <v>3784.8</v>
      </c>
      <c r="D266" s="52">
        <v>3327.39</v>
      </c>
      <c r="E266" s="52">
        <v>2284.75</v>
      </c>
      <c r="F266" s="52">
        <v>5000.3100000000004</v>
      </c>
      <c r="G266" s="52">
        <v>6356.78</v>
      </c>
      <c r="H266" s="52">
        <v>2912.25</v>
      </c>
      <c r="I266" s="53">
        <v>23765.85</v>
      </c>
      <c r="J266" s="49"/>
    </row>
    <row r="267" spans="1:10" x14ac:dyDescent="0.2">
      <c r="A267" s="50">
        <f t="shared" si="4"/>
        <v>44096</v>
      </c>
      <c r="B267" s="51">
        <v>6255.75</v>
      </c>
      <c r="C267" s="52">
        <v>3781.26</v>
      </c>
      <c r="D267" s="52">
        <v>3423.79</v>
      </c>
      <c r="E267" s="52">
        <v>2321.0500000000002</v>
      </c>
      <c r="F267" s="52">
        <v>4868.17</v>
      </c>
      <c r="G267" s="52">
        <v>5512.91</v>
      </c>
      <c r="H267" s="52">
        <v>2600.5600000000004</v>
      </c>
      <c r="I267" s="53">
        <v>23562.369999999995</v>
      </c>
      <c r="J267" s="49"/>
    </row>
    <row r="268" spans="1:10" x14ac:dyDescent="0.2">
      <c r="A268" s="50">
        <f t="shared" si="4"/>
        <v>44097</v>
      </c>
      <c r="B268" s="51">
        <v>6080.5</v>
      </c>
      <c r="C268" s="52">
        <v>3780.4</v>
      </c>
      <c r="D268" s="52">
        <v>3357.3</v>
      </c>
      <c r="E268" s="52">
        <v>2351.6</v>
      </c>
      <c r="F268" s="52">
        <v>4150.3</v>
      </c>
      <c r="G268" s="52">
        <v>4989</v>
      </c>
      <c r="H268" s="52">
        <v>2642.6</v>
      </c>
      <c r="I268" s="53">
        <v>22066.500000000004</v>
      </c>
      <c r="J268" s="49"/>
    </row>
    <row r="269" spans="1:10" x14ac:dyDescent="0.2">
      <c r="A269" s="50">
        <f t="shared" si="4"/>
        <v>44098</v>
      </c>
      <c r="B269" s="51">
        <v>6155.47</v>
      </c>
      <c r="C269" s="52">
        <v>3733.69</v>
      </c>
      <c r="D269" s="52">
        <v>3317.32</v>
      </c>
      <c r="E269" s="52">
        <v>2648.16</v>
      </c>
      <c r="F269" s="52">
        <v>5436.34</v>
      </c>
      <c r="G269" s="52">
        <v>5963.94</v>
      </c>
      <c r="H269" s="52">
        <v>2894.4900000000002</v>
      </c>
      <c r="I269" s="53">
        <v>24360.429999999997</v>
      </c>
      <c r="J269" s="49"/>
    </row>
    <row r="270" spans="1:10" x14ac:dyDescent="0.2">
      <c r="A270" s="50">
        <f t="shared" si="4"/>
        <v>44099</v>
      </c>
      <c r="B270" s="51">
        <v>6076.48</v>
      </c>
      <c r="C270" s="52">
        <v>3784.72</v>
      </c>
      <c r="D270" s="52">
        <v>3278.28</v>
      </c>
      <c r="E270" s="52">
        <v>2757.74</v>
      </c>
      <c r="F270" s="52">
        <v>5252.25</v>
      </c>
      <c r="G270" s="52">
        <v>5456.91</v>
      </c>
      <c r="H270" s="52">
        <v>2608.8200000000002</v>
      </c>
      <c r="I270" s="53">
        <v>23997.56</v>
      </c>
      <c r="J270" s="49"/>
    </row>
    <row r="271" spans="1:10" x14ac:dyDescent="0.2">
      <c r="A271" s="50">
        <f t="shared" si="4"/>
        <v>44100</v>
      </c>
      <c r="B271" s="51">
        <v>5491.49</v>
      </c>
      <c r="C271" s="52">
        <v>3633.13</v>
      </c>
      <c r="D271" s="52">
        <v>3000.41</v>
      </c>
      <c r="E271" s="52">
        <v>2809.35</v>
      </c>
      <c r="F271" s="52">
        <v>4346.63</v>
      </c>
      <c r="G271" s="52">
        <v>3691.62</v>
      </c>
      <c r="H271" s="52">
        <v>2065.9699999999998</v>
      </c>
      <c r="I271" s="53">
        <v>20906.659999999996</v>
      </c>
      <c r="J271" s="49"/>
    </row>
    <row r="272" spans="1:10" x14ac:dyDescent="0.2">
      <c r="A272" s="50">
        <f t="shared" si="4"/>
        <v>44101</v>
      </c>
      <c r="B272" s="51">
        <v>1727.7</v>
      </c>
      <c r="C272" s="52">
        <v>1289.8</v>
      </c>
      <c r="D272" s="52">
        <v>1105.8</v>
      </c>
      <c r="E272" s="52">
        <v>1337.7</v>
      </c>
      <c r="F272" s="52">
        <v>657.6</v>
      </c>
      <c r="G272" s="52">
        <v>2493</v>
      </c>
      <c r="H272" s="52">
        <v>1504.3999999999999</v>
      </c>
      <c r="I272" s="53">
        <v>7107.2000000000007</v>
      </c>
      <c r="J272" s="49"/>
    </row>
    <row r="273" spans="1:10" x14ac:dyDescent="0.2">
      <c r="A273" s="50">
        <f t="shared" si="4"/>
        <v>44102</v>
      </c>
      <c r="B273" s="51">
        <v>4632.28</v>
      </c>
      <c r="C273" s="52">
        <v>3831.58</v>
      </c>
      <c r="D273" s="52">
        <v>2038.19</v>
      </c>
      <c r="E273" s="52">
        <v>2518.33</v>
      </c>
      <c r="F273" s="52">
        <v>4451.59</v>
      </c>
      <c r="G273" s="52">
        <v>4977.83</v>
      </c>
      <c r="H273" s="52">
        <v>2489.9599999999996</v>
      </c>
      <c r="I273" s="53">
        <v>19959.840000000004</v>
      </c>
      <c r="J273" s="49"/>
    </row>
    <row r="274" spans="1:10" x14ac:dyDescent="0.2">
      <c r="A274" s="50">
        <f t="shared" si="4"/>
        <v>44103</v>
      </c>
      <c r="B274" s="51">
        <v>5618.4</v>
      </c>
      <c r="C274" s="52">
        <v>4507.33</v>
      </c>
      <c r="D274" s="52">
        <v>2975.48</v>
      </c>
      <c r="E274" s="52">
        <v>2722.34</v>
      </c>
      <c r="F274" s="52">
        <v>5369.05</v>
      </c>
      <c r="G274" s="52">
        <v>5461.75</v>
      </c>
      <c r="H274" s="52">
        <v>2530.2199999999998</v>
      </c>
      <c r="I274" s="53">
        <v>24124.129999999997</v>
      </c>
      <c r="J274" s="49"/>
    </row>
    <row r="275" spans="1:10" x14ac:dyDescent="0.2">
      <c r="A275" s="50">
        <f t="shared" si="4"/>
        <v>44104</v>
      </c>
      <c r="B275" s="51">
        <v>5490.94</v>
      </c>
      <c r="C275" s="52">
        <v>4431.5200000000004</v>
      </c>
      <c r="D275" s="52">
        <v>2907.22</v>
      </c>
      <c r="E275" s="52">
        <v>2869.94</v>
      </c>
      <c r="F275" s="52">
        <v>5038.87</v>
      </c>
      <c r="G275" s="52">
        <v>4912.25</v>
      </c>
      <c r="H275" s="52">
        <v>2505.35</v>
      </c>
      <c r="I275" s="53">
        <v>23145.39</v>
      </c>
      <c r="J275" s="49"/>
    </row>
    <row r="276" spans="1:10" x14ac:dyDescent="0.2">
      <c r="A276" s="50">
        <f t="shared" si="4"/>
        <v>44105</v>
      </c>
      <c r="B276" s="51">
        <v>5166.8</v>
      </c>
      <c r="C276" s="52">
        <v>4467.3</v>
      </c>
      <c r="D276" s="52">
        <v>2983.7</v>
      </c>
      <c r="E276" s="52">
        <v>2734.5</v>
      </c>
      <c r="F276" s="52">
        <v>4736.5</v>
      </c>
      <c r="G276" s="52">
        <v>4739.8999999999996</v>
      </c>
      <c r="H276" s="52">
        <v>2529.9499999999998</v>
      </c>
      <c r="I276" s="53">
        <v>22298.749999999996</v>
      </c>
      <c r="J276" s="49"/>
    </row>
    <row r="277" spans="1:10" x14ac:dyDescent="0.2">
      <c r="A277" s="50">
        <f t="shared" si="4"/>
        <v>44106</v>
      </c>
      <c r="B277" s="51">
        <v>5238.53</v>
      </c>
      <c r="C277" s="52">
        <v>4379.68</v>
      </c>
      <c r="D277" s="52">
        <v>2954.02</v>
      </c>
      <c r="E277" s="52">
        <v>2469.29</v>
      </c>
      <c r="F277" s="52">
        <v>4985.49</v>
      </c>
      <c r="G277" s="52">
        <v>4591.2</v>
      </c>
      <c r="H277" s="52">
        <v>2338.54</v>
      </c>
      <c r="I277" s="53">
        <v>22279.670000000002</v>
      </c>
      <c r="J277" s="49"/>
    </row>
    <row r="278" spans="1:10" x14ac:dyDescent="0.2">
      <c r="A278" s="50">
        <f t="shared" si="4"/>
        <v>44107</v>
      </c>
      <c r="B278" s="51">
        <v>4426.79</v>
      </c>
      <c r="C278" s="52">
        <v>3865.9</v>
      </c>
      <c r="D278" s="52">
        <v>2515.91</v>
      </c>
      <c r="E278" s="52">
        <v>2086.7600000000002</v>
      </c>
      <c r="F278" s="52">
        <v>3635.89</v>
      </c>
      <c r="G278" s="52">
        <v>2486.2399999999998</v>
      </c>
      <c r="H278" s="52">
        <v>1462.7800000000002</v>
      </c>
      <c r="I278" s="53">
        <v>17554.71</v>
      </c>
      <c r="J278" s="49"/>
    </row>
    <row r="279" spans="1:10" x14ac:dyDescent="0.2">
      <c r="A279" s="50">
        <f t="shared" si="4"/>
        <v>44108</v>
      </c>
      <c r="B279" s="51">
        <v>1534.7</v>
      </c>
      <c r="C279" s="52">
        <v>1522.1</v>
      </c>
      <c r="D279" s="52">
        <v>1245.5</v>
      </c>
      <c r="E279" s="52">
        <v>1462.6</v>
      </c>
      <c r="F279" s="52">
        <v>634.9</v>
      </c>
      <c r="G279" s="52">
        <v>2286</v>
      </c>
      <c r="H279" s="52">
        <v>1619.8</v>
      </c>
      <c r="I279" s="53">
        <v>7065.9999999999991</v>
      </c>
      <c r="J279" s="49"/>
    </row>
    <row r="280" spans="1:10" x14ac:dyDescent="0.2">
      <c r="A280" s="50">
        <f t="shared" si="4"/>
        <v>44109</v>
      </c>
      <c r="B280" s="51">
        <v>4427.1099999999997</v>
      </c>
      <c r="C280" s="52">
        <v>3815.42</v>
      </c>
      <c r="D280" s="52">
        <v>2337.7199999999998</v>
      </c>
      <c r="E280" s="52">
        <v>2079.7199999999998</v>
      </c>
      <c r="F280" s="52">
        <v>4034.82</v>
      </c>
      <c r="G280" s="52">
        <v>4521.38</v>
      </c>
      <c r="H280" s="52">
        <v>2350.0100000000002</v>
      </c>
      <c r="I280" s="53">
        <v>18866.159999999996</v>
      </c>
      <c r="J280" s="49"/>
    </row>
    <row r="281" spans="1:10" x14ac:dyDescent="0.2">
      <c r="A281" s="50">
        <f t="shared" si="4"/>
        <v>44110</v>
      </c>
      <c r="B281" s="51">
        <v>5578.61</v>
      </c>
      <c r="C281" s="52">
        <v>4349.68</v>
      </c>
      <c r="D281" s="52">
        <v>3001.81</v>
      </c>
      <c r="E281" s="52">
        <v>2471.42</v>
      </c>
      <c r="F281" s="52">
        <v>5687.78</v>
      </c>
      <c r="G281" s="52">
        <v>5390.65</v>
      </c>
      <c r="H281" s="52">
        <v>2612.86</v>
      </c>
      <c r="I281" s="53">
        <v>23867.089999999997</v>
      </c>
      <c r="J281" s="49"/>
    </row>
    <row r="282" spans="1:10" x14ac:dyDescent="0.2">
      <c r="A282" s="50">
        <f t="shared" si="4"/>
        <v>44111</v>
      </c>
      <c r="B282" s="51">
        <v>5374</v>
      </c>
      <c r="C282" s="52">
        <v>4243</v>
      </c>
      <c r="D282" s="52">
        <v>3134</v>
      </c>
      <c r="E282" s="52">
        <v>2716</v>
      </c>
      <c r="F282" s="52">
        <v>4975</v>
      </c>
      <c r="G282" s="52">
        <v>5407</v>
      </c>
      <c r="H282" s="52">
        <v>2685</v>
      </c>
      <c r="I282" s="53">
        <v>23164</v>
      </c>
      <c r="J282" s="49"/>
    </row>
    <row r="283" spans="1:10" x14ac:dyDescent="0.2">
      <c r="A283" s="50">
        <f t="shared" si="4"/>
        <v>44112</v>
      </c>
      <c r="B283" s="51">
        <v>5349.37</v>
      </c>
      <c r="C283" s="52">
        <v>4234.59</v>
      </c>
      <c r="D283" s="52">
        <v>3124.27</v>
      </c>
      <c r="E283" s="52">
        <v>2590.42</v>
      </c>
      <c r="F283" s="52">
        <v>4645.9399999999996</v>
      </c>
      <c r="G283" s="52">
        <v>5665.93</v>
      </c>
      <c r="H283" s="52">
        <v>2701.6499999999996</v>
      </c>
      <c r="I283" s="53">
        <v>22908.870000000003</v>
      </c>
      <c r="J283" s="49"/>
    </row>
    <row r="284" spans="1:10" x14ac:dyDescent="0.2">
      <c r="A284" s="50">
        <f t="shared" si="4"/>
        <v>44113</v>
      </c>
      <c r="B284" s="51">
        <v>5323.13</v>
      </c>
      <c r="C284" s="52">
        <v>4278.5200000000004</v>
      </c>
      <c r="D284" s="52">
        <v>2961.79</v>
      </c>
      <c r="E284" s="52">
        <v>2294.15</v>
      </c>
      <c r="F284" s="52">
        <v>4817.2700000000004</v>
      </c>
      <c r="G284" s="52">
        <v>4820.58</v>
      </c>
      <c r="H284" s="52">
        <v>2596.11</v>
      </c>
      <c r="I284" s="53">
        <v>21899.33</v>
      </c>
      <c r="J284" s="49"/>
    </row>
    <row r="285" spans="1:10" x14ac:dyDescent="0.2">
      <c r="A285" s="50">
        <f t="shared" si="4"/>
        <v>44114</v>
      </c>
      <c r="B285" s="51">
        <v>4103.63</v>
      </c>
      <c r="C285" s="52">
        <v>4035.59</v>
      </c>
      <c r="D285" s="52">
        <v>2497.38</v>
      </c>
      <c r="E285" s="52">
        <v>2275.34</v>
      </c>
      <c r="F285" s="52">
        <v>3527.52</v>
      </c>
      <c r="G285" s="52">
        <v>2780.77</v>
      </c>
      <c r="H285" s="52">
        <v>1823.8500000000001</v>
      </c>
      <c r="I285" s="53">
        <v>17396.38</v>
      </c>
      <c r="J285" s="49"/>
    </row>
    <row r="286" spans="1:10" x14ac:dyDescent="0.2">
      <c r="A286" s="50">
        <f t="shared" si="4"/>
        <v>44115</v>
      </c>
      <c r="B286" s="51">
        <v>1811.6</v>
      </c>
      <c r="C286" s="52">
        <v>1644.3</v>
      </c>
      <c r="D286" s="52">
        <v>1042.2</v>
      </c>
      <c r="E286" s="52">
        <v>1376.2</v>
      </c>
      <c r="F286" s="52">
        <v>581</v>
      </c>
      <c r="G286" s="52">
        <v>2500.8000000000002</v>
      </c>
      <c r="H286" s="52">
        <v>1611.0000000000002</v>
      </c>
      <c r="I286" s="53">
        <v>7345.0999999999985</v>
      </c>
      <c r="J286" s="49"/>
    </row>
    <row r="287" spans="1:10" x14ac:dyDescent="0.2">
      <c r="A287" s="50">
        <f t="shared" si="4"/>
        <v>44116</v>
      </c>
      <c r="B287" s="51">
        <v>4326.12</v>
      </c>
      <c r="C287" s="52">
        <v>3769.08</v>
      </c>
      <c r="D287" s="52">
        <v>2308.7800000000002</v>
      </c>
      <c r="E287" s="52">
        <v>1937.33</v>
      </c>
      <c r="F287" s="52">
        <v>4299.2700000000004</v>
      </c>
      <c r="G287" s="52">
        <v>4462.59</v>
      </c>
      <c r="H287" s="52">
        <v>2695.0400000000004</v>
      </c>
      <c r="I287" s="53">
        <v>18408.13</v>
      </c>
      <c r="J287" s="49"/>
    </row>
    <row r="288" spans="1:10" x14ac:dyDescent="0.2">
      <c r="A288" s="50">
        <f t="shared" ref="A288:A351" si="5">A287+1</f>
        <v>44117</v>
      </c>
      <c r="B288" s="51">
        <v>4648.1899999999996</v>
      </c>
      <c r="C288" s="52">
        <v>4166.01</v>
      </c>
      <c r="D288" s="52">
        <v>2915.35</v>
      </c>
      <c r="E288" s="52">
        <v>2192.31</v>
      </c>
      <c r="F288" s="52">
        <v>5220.5</v>
      </c>
      <c r="G288" s="52">
        <v>4826.51</v>
      </c>
      <c r="H288" s="52">
        <v>2535.38</v>
      </c>
      <c r="I288" s="53">
        <v>21433.49</v>
      </c>
      <c r="J288" s="49"/>
    </row>
    <row r="289" spans="1:10" x14ac:dyDescent="0.2">
      <c r="A289" s="50">
        <f t="shared" si="5"/>
        <v>44118</v>
      </c>
      <c r="B289" s="51">
        <v>4819.8900000000003</v>
      </c>
      <c r="C289" s="52">
        <v>4192.53</v>
      </c>
      <c r="D289" s="52">
        <v>2892.92</v>
      </c>
      <c r="E289" s="52">
        <v>2305.79</v>
      </c>
      <c r="F289" s="52">
        <v>5907.2</v>
      </c>
      <c r="G289" s="52">
        <v>4558.6000000000004</v>
      </c>
      <c r="H289" s="52">
        <v>2435.9499999999998</v>
      </c>
      <c r="I289" s="53">
        <v>22240.98</v>
      </c>
      <c r="J289" s="49"/>
    </row>
    <row r="290" spans="1:10" x14ac:dyDescent="0.2">
      <c r="A290" s="50">
        <f t="shared" si="5"/>
        <v>44119</v>
      </c>
      <c r="B290" s="51">
        <v>4624</v>
      </c>
      <c r="C290" s="52">
        <v>4318</v>
      </c>
      <c r="D290" s="52">
        <v>2854</v>
      </c>
      <c r="E290" s="52">
        <v>1962</v>
      </c>
      <c r="F290" s="52">
        <v>5093</v>
      </c>
      <c r="G290" s="52">
        <v>4598</v>
      </c>
      <c r="H290" s="52">
        <v>2339</v>
      </c>
      <c r="I290" s="53">
        <v>21110</v>
      </c>
      <c r="J290" s="49"/>
    </row>
    <row r="291" spans="1:10" x14ac:dyDescent="0.2">
      <c r="A291" s="50">
        <f t="shared" si="5"/>
        <v>44120</v>
      </c>
      <c r="B291" s="51">
        <v>4355.55</v>
      </c>
      <c r="C291" s="52">
        <v>4292.66</v>
      </c>
      <c r="D291" s="52">
        <v>2705.43</v>
      </c>
      <c r="E291" s="52">
        <v>1751.77</v>
      </c>
      <c r="F291" s="52">
        <v>4960.04</v>
      </c>
      <c r="G291" s="52">
        <v>4206.4399999999996</v>
      </c>
      <c r="H291" s="52">
        <v>2182.1</v>
      </c>
      <c r="I291" s="53">
        <v>20089.79</v>
      </c>
      <c r="J291" s="49"/>
    </row>
    <row r="292" spans="1:10" x14ac:dyDescent="0.2">
      <c r="A292" s="50">
        <f t="shared" si="5"/>
        <v>44121</v>
      </c>
      <c r="B292" s="51">
        <v>1999.6</v>
      </c>
      <c r="C292" s="52">
        <v>1851.6</v>
      </c>
      <c r="D292" s="52">
        <v>939.4</v>
      </c>
      <c r="E292" s="52">
        <v>1372</v>
      </c>
      <c r="F292" s="52">
        <v>2454.3000000000002</v>
      </c>
      <c r="G292" s="52">
        <v>2138.3000000000002</v>
      </c>
      <c r="H292" s="52">
        <v>1322.6</v>
      </c>
      <c r="I292" s="53">
        <v>9432.6</v>
      </c>
      <c r="J292" s="49"/>
    </row>
    <row r="293" spans="1:10" x14ac:dyDescent="0.2">
      <c r="A293" s="50">
        <f t="shared" si="5"/>
        <v>44122</v>
      </c>
      <c r="B293" s="51">
        <v>1186.6199999999999</v>
      </c>
      <c r="C293" s="52">
        <v>1357.48</v>
      </c>
      <c r="D293" s="52">
        <v>631.42999999999995</v>
      </c>
      <c r="E293" s="52">
        <v>631.54999999999995</v>
      </c>
      <c r="F293" s="52">
        <v>439.26</v>
      </c>
      <c r="G293" s="52">
        <v>2209.4499999999998</v>
      </c>
      <c r="H293" s="52">
        <v>1256</v>
      </c>
      <c r="I293" s="53">
        <v>5199.79</v>
      </c>
      <c r="J293" s="49"/>
    </row>
    <row r="294" spans="1:10" x14ac:dyDescent="0.2">
      <c r="A294" s="50">
        <f t="shared" si="5"/>
        <v>44123</v>
      </c>
      <c r="B294" s="51">
        <v>4519</v>
      </c>
      <c r="C294" s="52">
        <v>4050</v>
      </c>
      <c r="D294" s="52">
        <v>2125</v>
      </c>
      <c r="E294" s="52">
        <v>1965</v>
      </c>
      <c r="F294" s="52">
        <v>4201</v>
      </c>
      <c r="G294" s="52">
        <v>4488</v>
      </c>
      <c r="H294" s="52">
        <v>2265</v>
      </c>
      <c r="I294" s="53">
        <v>19083</v>
      </c>
      <c r="J294" s="49"/>
    </row>
    <row r="295" spans="1:10" x14ac:dyDescent="0.2">
      <c r="A295" s="50">
        <f t="shared" si="5"/>
        <v>44124</v>
      </c>
      <c r="B295" s="51">
        <v>5446.63</v>
      </c>
      <c r="C295" s="52">
        <v>4604.72</v>
      </c>
      <c r="D295" s="52">
        <v>2917.33</v>
      </c>
      <c r="E295" s="52">
        <v>2241.85</v>
      </c>
      <c r="F295" s="52">
        <v>4919.05</v>
      </c>
      <c r="G295" s="52">
        <v>5267.63</v>
      </c>
      <c r="H295" s="52">
        <v>2761.19</v>
      </c>
      <c r="I295" s="53">
        <v>22636.020000000004</v>
      </c>
      <c r="J295" s="49"/>
    </row>
    <row r="296" spans="1:10" x14ac:dyDescent="0.2">
      <c r="A296" s="50">
        <f t="shared" si="5"/>
        <v>44125</v>
      </c>
      <c r="B296" s="51">
        <v>5329.18</v>
      </c>
      <c r="C296" s="52">
        <v>4637.3900000000003</v>
      </c>
      <c r="D296" s="52">
        <v>3082.71</v>
      </c>
      <c r="E296" s="52">
        <v>1895.71</v>
      </c>
      <c r="F296" s="52">
        <v>4234.1099999999997</v>
      </c>
      <c r="G296" s="52">
        <v>5188.0600000000004</v>
      </c>
      <c r="H296" s="52">
        <v>2482.96</v>
      </c>
      <c r="I296" s="53">
        <v>21884.2</v>
      </c>
      <c r="J296" s="49"/>
    </row>
    <row r="297" spans="1:10" x14ac:dyDescent="0.2">
      <c r="A297" s="50">
        <f t="shared" si="5"/>
        <v>44126</v>
      </c>
      <c r="B297" s="51">
        <v>5560.03</v>
      </c>
      <c r="C297" s="52">
        <v>4576.51</v>
      </c>
      <c r="D297" s="52">
        <v>3379.82</v>
      </c>
      <c r="E297" s="52">
        <v>2105.4299999999998</v>
      </c>
      <c r="F297" s="52">
        <v>5220.93</v>
      </c>
      <c r="G297" s="52">
        <v>5462.82</v>
      </c>
      <c r="H297" s="52">
        <v>2448.3600000000006</v>
      </c>
      <c r="I297" s="53">
        <v>23857.18</v>
      </c>
      <c r="J297" s="49"/>
    </row>
    <row r="298" spans="1:10" x14ac:dyDescent="0.2">
      <c r="A298" s="50">
        <f t="shared" si="5"/>
        <v>44127</v>
      </c>
      <c r="B298" s="51">
        <v>5797</v>
      </c>
      <c r="C298" s="52">
        <v>4571</v>
      </c>
      <c r="D298" s="52">
        <v>3302</v>
      </c>
      <c r="E298" s="52">
        <v>2544</v>
      </c>
      <c r="F298" s="52">
        <v>5560</v>
      </c>
      <c r="G298" s="52">
        <v>5285</v>
      </c>
      <c r="H298" s="52">
        <v>2541</v>
      </c>
      <c r="I298" s="53">
        <v>24518</v>
      </c>
      <c r="J298" s="49"/>
    </row>
    <row r="299" spans="1:10" x14ac:dyDescent="0.2">
      <c r="A299" s="50">
        <f t="shared" si="5"/>
        <v>44128</v>
      </c>
      <c r="B299" s="51">
        <v>2987.32</v>
      </c>
      <c r="C299" s="52">
        <v>2886.19</v>
      </c>
      <c r="D299" s="52">
        <v>1777.58</v>
      </c>
      <c r="E299" s="52">
        <v>1403.12</v>
      </c>
      <c r="F299" s="52">
        <v>2393.8000000000002</v>
      </c>
      <c r="G299" s="52">
        <v>2584.66</v>
      </c>
      <c r="H299" s="52">
        <v>1836.3899999999999</v>
      </c>
      <c r="I299" s="53">
        <v>12196.279999999999</v>
      </c>
      <c r="J299" s="49"/>
    </row>
    <row r="300" spans="1:10" x14ac:dyDescent="0.2">
      <c r="A300" s="50">
        <f t="shared" si="5"/>
        <v>44129</v>
      </c>
      <c r="B300" s="51">
        <v>1497.3</v>
      </c>
      <c r="C300" s="52">
        <v>1300.9000000000001</v>
      </c>
      <c r="D300" s="52">
        <v>620.5</v>
      </c>
      <c r="E300" s="52">
        <v>1083.5999999999999</v>
      </c>
      <c r="F300" s="52">
        <v>494.5</v>
      </c>
      <c r="G300" s="52">
        <v>2398.6999999999998</v>
      </c>
      <c r="H300" s="52">
        <v>1361.5</v>
      </c>
      <c r="I300" s="53">
        <v>6033.9999999999991</v>
      </c>
      <c r="J300" s="49"/>
    </row>
    <row r="301" spans="1:10" x14ac:dyDescent="0.2">
      <c r="A301" s="50">
        <f t="shared" si="5"/>
        <v>44130</v>
      </c>
      <c r="B301" s="51">
        <v>4571.04</v>
      </c>
      <c r="C301" s="52">
        <v>3947.67</v>
      </c>
      <c r="D301" s="52">
        <v>2242.0300000000002</v>
      </c>
      <c r="E301" s="52">
        <v>2405.1</v>
      </c>
      <c r="F301" s="52">
        <v>4443.12</v>
      </c>
      <c r="G301" s="52">
        <v>4558.96</v>
      </c>
      <c r="H301" s="52">
        <v>2416.6400000000003</v>
      </c>
      <c r="I301" s="53">
        <v>19751.28</v>
      </c>
      <c r="J301" s="49"/>
    </row>
    <row r="302" spans="1:10" x14ac:dyDescent="0.2">
      <c r="A302" s="50">
        <f t="shared" si="5"/>
        <v>44131</v>
      </c>
      <c r="B302" s="51">
        <v>5262</v>
      </c>
      <c r="C302" s="52">
        <v>4254</v>
      </c>
      <c r="D302" s="52">
        <v>2919</v>
      </c>
      <c r="E302" s="52">
        <v>2914</v>
      </c>
      <c r="F302" s="52">
        <v>5533</v>
      </c>
      <c r="G302" s="52">
        <v>4755</v>
      </c>
      <c r="H302" s="52">
        <v>2518</v>
      </c>
      <c r="I302" s="53">
        <v>23119</v>
      </c>
      <c r="J302" s="49"/>
    </row>
    <row r="303" spans="1:10" x14ac:dyDescent="0.2">
      <c r="A303" s="50">
        <f t="shared" si="5"/>
        <v>44132</v>
      </c>
      <c r="B303" s="51">
        <v>3912.18</v>
      </c>
      <c r="C303" s="52">
        <v>3570.12</v>
      </c>
      <c r="D303" s="52">
        <v>2930.99</v>
      </c>
      <c r="E303" s="52">
        <v>1943.01</v>
      </c>
      <c r="F303" s="52">
        <v>3246.5</v>
      </c>
      <c r="G303" s="52">
        <v>5053.3999999999996</v>
      </c>
      <c r="H303" s="52">
        <v>2707.1099999999997</v>
      </c>
      <c r="I303" s="53">
        <v>17949.089999999997</v>
      </c>
      <c r="J303" s="49"/>
    </row>
    <row r="304" spans="1:10" x14ac:dyDescent="0.2">
      <c r="A304" s="50">
        <f t="shared" si="5"/>
        <v>44133</v>
      </c>
      <c r="B304" s="51">
        <v>4585.16</v>
      </c>
      <c r="C304" s="52">
        <v>3829.69</v>
      </c>
      <c r="D304" s="52">
        <v>2802.25</v>
      </c>
      <c r="E304" s="52">
        <v>1925.42</v>
      </c>
      <c r="F304" s="52">
        <v>3123.78</v>
      </c>
      <c r="G304" s="52">
        <v>5229.54</v>
      </c>
      <c r="H304" s="52">
        <v>2939.6599999999994</v>
      </c>
      <c r="I304" s="53">
        <v>18556.18</v>
      </c>
      <c r="J304" s="49"/>
    </row>
    <row r="305" spans="1:10" x14ac:dyDescent="0.2">
      <c r="A305" s="50">
        <f t="shared" si="5"/>
        <v>44134</v>
      </c>
      <c r="B305" s="51">
        <v>3970.84</v>
      </c>
      <c r="C305" s="52">
        <v>3621.01</v>
      </c>
      <c r="D305" s="52">
        <v>2551.85</v>
      </c>
      <c r="E305" s="52">
        <v>1949.47</v>
      </c>
      <c r="F305" s="52">
        <v>3621.39</v>
      </c>
      <c r="G305" s="52">
        <v>4261.1499999999996</v>
      </c>
      <c r="H305" s="52">
        <v>2439.16</v>
      </c>
      <c r="I305" s="53">
        <v>17536.55</v>
      </c>
      <c r="J305" s="49"/>
    </row>
    <row r="306" spans="1:10" x14ac:dyDescent="0.2">
      <c r="A306" s="50">
        <f t="shared" si="5"/>
        <v>44135</v>
      </c>
      <c r="B306" s="51">
        <v>1420.2</v>
      </c>
      <c r="C306" s="52">
        <v>1502.4</v>
      </c>
      <c r="D306" s="52">
        <v>895.7</v>
      </c>
      <c r="E306" s="52">
        <v>1259.5999999999999</v>
      </c>
      <c r="F306" s="52">
        <v>574.5</v>
      </c>
      <c r="G306" s="52">
        <v>2410</v>
      </c>
      <c r="H306" s="52">
        <v>1580.4</v>
      </c>
      <c r="I306" s="53">
        <v>6482</v>
      </c>
      <c r="J306" s="49"/>
    </row>
    <row r="307" spans="1:10" x14ac:dyDescent="0.2">
      <c r="A307" s="50">
        <f t="shared" si="5"/>
        <v>44136</v>
      </c>
      <c r="B307" s="51">
        <v>1112.0999999999999</v>
      </c>
      <c r="C307" s="52">
        <v>1367.9</v>
      </c>
      <c r="D307" s="52">
        <v>625.9</v>
      </c>
      <c r="E307" s="52">
        <v>44</v>
      </c>
      <c r="F307" s="52">
        <v>181.3</v>
      </c>
      <c r="G307" s="52">
        <v>2271</v>
      </c>
      <c r="H307" s="52">
        <v>1598</v>
      </c>
      <c r="I307" s="53">
        <v>4004.2000000000007</v>
      </c>
      <c r="J307" s="49"/>
    </row>
    <row r="308" spans="1:10" x14ac:dyDescent="0.2">
      <c r="A308" s="50">
        <f t="shared" si="5"/>
        <v>44137</v>
      </c>
      <c r="B308" s="51">
        <v>4110.67</v>
      </c>
      <c r="C308" s="52">
        <v>3822.36</v>
      </c>
      <c r="D308" s="52">
        <v>2275.0100000000002</v>
      </c>
      <c r="E308" s="52">
        <v>1698.26</v>
      </c>
      <c r="F308" s="52">
        <v>3587.12</v>
      </c>
      <c r="G308" s="52">
        <v>4631.5</v>
      </c>
      <c r="H308" s="52">
        <v>2903.64</v>
      </c>
      <c r="I308" s="53">
        <v>17221.280000000002</v>
      </c>
      <c r="J308" s="49"/>
    </row>
    <row r="309" spans="1:10" x14ac:dyDescent="0.2">
      <c r="A309" s="50">
        <f t="shared" si="5"/>
        <v>44138</v>
      </c>
      <c r="B309" s="51">
        <v>4216.1899999999996</v>
      </c>
      <c r="C309" s="52">
        <v>3982.36</v>
      </c>
      <c r="D309" s="52">
        <v>2983.2</v>
      </c>
      <c r="E309" s="52">
        <v>2017.55</v>
      </c>
      <c r="F309" s="52">
        <v>4034.7</v>
      </c>
      <c r="G309" s="52">
        <v>4596.5600000000004</v>
      </c>
      <c r="H309" s="52">
        <v>2973.12</v>
      </c>
      <c r="I309" s="53">
        <v>18857.440000000002</v>
      </c>
      <c r="J309" s="49"/>
    </row>
    <row r="310" spans="1:10" x14ac:dyDescent="0.2">
      <c r="A310" s="50">
        <f t="shared" si="5"/>
        <v>44139</v>
      </c>
      <c r="B310" s="51">
        <v>1486.5</v>
      </c>
      <c r="C310" s="52">
        <v>1695.5</v>
      </c>
      <c r="D310" s="52">
        <v>1009.8</v>
      </c>
      <c r="E310" s="52">
        <v>608.29999999999995</v>
      </c>
      <c r="F310" s="52">
        <v>1046.4000000000001</v>
      </c>
      <c r="G310" s="52">
        <v>2391.6999999999998</v>
      </c>
      <c r="H310" s="52">
        <v>1984.6</v>
      </c>
      <c r="I310" s="53">
        <v>6253.6</v>
      </c>
      <c r="J310" s="49"/>
    </row>
    <row r="311" spans="1:10" x14ac:dyDescent="0.2">
      <c r="A311" s="50">
        <f t="shared" si="5"/>
        <v>44140</v>
      </c>
      <c r="B311" s="51">
        <v>3849.38</v>
      </c>
      <c r="C311" s="52">
        <v>3637.24</v>
      </c>
      <c r="D311" s="52">
        <v>2197.12</v>
      </c>
      <c r="E311" s="52">
        <v>1611.27</v>
      </c>
      <c r="F311" s="52">
        <v>3043.46</v>
      </c>
      <c r="G311" s="52">
        <v>4238.22</v>
      </c>
      <c r="H311" s="52">
        <v>2665.45</v>
      </c>
      <c r="I311" s="53">
        <v>15911.240000000002</v>
      </c>
      <c r="J311" s="49"/>
    </row>
    <row r="312" spans="1:10" x14ac:dyDescent="0.2">
      <c r="A312" s="50">
        <f t="shared" si="5"/>
        <v>44141</v>
      </c>
      <c r="B312" s="51">
        <v>4411.12</v>
      </c>
      <c r="C312" s="52">
        <v>4075.65</v>
      </c>
      <c r="D312" s="52">
        <v>2515.1</v>
      </c>
      <c r="E312" s="52">
        <v>3356.54</v>
      </c>
      <c r="F312" s="52">
        <v>4685.3500000000004</v>
      </c>
      <c r="G312" s="52">
        <v>4244.3500000000004</v>
      </c>
      <c r="H312" s="52">
        <v>2672.2400000000002</v>
      </c>
      <c r="I312" s="53">
        <v>20615.87</v>
      </c>
      <c r="J312" s="49"/>
    </row>
    <row r="313" spans="1:10" x14ac:dyDescent="0.2">
      <c r="A313" s="50">
        <f t="shared" si="5"/>
        <v>44142</v>
      </c>
      <c r="B313" s="51">
        <v>1364</v>
      </c>
      <c r="C313" s="52">
        <v>1613</v>
      </c>
      <c r="D313" s="52">
        <v>785</v>
      </c>
      <c r="E313" s="52">
        <v>1425</v>
      </c>
      <c r="F313" s="52">
        <v>799</v>
      </c>
      <c r="G313" s="52">
        <v>2195</v>
      </c>
      <c r="H313" s="52">
        <v>1455</v>
      </c>
      <c r="I313" s="53">
        <v>6726</v>
      </c>
      <c r="J313" s="49"/>
    </row>
    <row r="314" spans="1:10" x14ac:dyDescent="0.2">
      <c r="A314" s="50">
        <f t="shared" si="5"/>
        <v>44143</v>
      </c>
      <c r="B314" s="51">
        <v>1039</v>
      </c>
      <c r="C314" s="52">
        <v>1390</v>
      </c>
      <c r="D314" s="52">
        <v>524</v>
      </c>
      <c r="E314" s="52">
        <v>751</v>
      </c>
      <c r="F314" s="52">
        <v>200</v>
      </c>
      <c r="G314" s="52">
        <v>2303</v>
      </c>
      <c r="H314" s="52">
        <v>1518</v>
      </c>
      <c r="I314" s="53">
        <v>4689</v>
      </c>
      <c r="J314" s="49"/>
    </row>
    <row r="315" spans="1:10" x14ac:dyDescent="0.2">
      <c r="A315" s="50">
        <f t="shared" si="5"/>
        <v>44144</v>
      </c>
      <c r="B315" s="51">
        <v>4099.6899999999996</v>
      </c>
      <c r="C315" s="52">
        <v>4129.1000000000004</v>
      </c>
      <c r="D315" s="52">
        <v>2665.93</v>
      </c>
      <c r="E315" s="52">
        <v>2524.02</v>
      </c>
      <c r="F315" s="52">
        <v>3620.33</v>
      </c>
      <c r="G315" s="52">
        <v>4897.91</v>
      </c>
      <c r="H315" s="52">
        <v>2951.6800000000003</v>
      </c>
      <c r="I315" s="53">
        <v>18985.3</v>
      </c>
      <c r="J315" s="49"/>
    </row>
    <row r="316" spans="1:10" x14ac:dyDescent="0.2">
      <c r="A316" s="50">
        <f t="shared" si="5"/>
        <v>44145</v>
      </c>
      <c r="B316" s="51">
        <v>5232.93</v>
      </c>
      <c r="C316" s="52">
        <v>4214.8</v>
      </c>
      <c r="D316" s="52">
        <v>3591.94</v>
      </c>
      <c r="E316" s="52">
        <v>3935.98</v>
      </c>
      <c r="F316" s="52">
        <v>4844.8</v>
      </c>
      <c r="G316" s="52">
        <v>5468.05</v>
      </c>
      <c r="H316" s="52">
        <v>3114.29</v>
      </c>
      <c r="I316" s="53">
        <v>24174.21</v>
      </c>
      <c r="J316" s="49"/>
    </row>
    <row r="317" spans="1:10" x14ac:dyDescent="0.2">
      <c r="A317" s="50">
        <f t="shared" si="5"/>
        <v>44146</v>
      </c>
      <c r="B317" s="51">
        <v>4900.24</v>
      </c>
      <c r="C317" s="52">
        <v>4312.32</v>
      </c>
      <c r="D317" s="52">
        <v>3643.36</v>
      </c>
      <c r="E317" s="52">
        <v>2793.12</v>
      </c>
      <c r="F317" s="52">
        <v>3737.94</v>
      </c>
      <c r="G317" s="52">
        <v>5714.3</v>
      </c>
      <c r="H317" s="52">
        <v>2774.5</v>
      </c>
      <c r="I317" s="53">
        <v>22326.78</v>
      </c>
      <c r="J317" s="49"/>
    </row>
    <row r="318" spans="1:10" x14ac:dyDescent="0.2">
      <c r="A318" s="50">
        <f t="shared" si="5"/>
        <v>44147</v>
      </c>
      <c r="B318" s="51">
        <v>4971</v>
      </c>
      <c r="C318" s="52">
        <v>4105</v>
      </c>
      <c r="D318" s="52">
        <v>3632</v>
      </c>
      <c r="E318" s="52">
        <v>3007</v>
      </c>
      <c r="F318" s="52">
        <v>3925</v>
      </c>
      <c r="G318" s="52">
        <v>5940</v>
      </c>
      <c r="H318" s="52">
        <v>2745</v>
      </c>
      <c r="I318" s="53">
        <v>22835</v>
      </c>
      <c r="J318" s="49"/>
    </row>
    <row r="319" spans="1:10" x14ac:dyDescent="0.2">
      <c r="A319" s="50">
        <f t="shared" si="5"/>
        <v>44148</v>
      </c>
      <c r="B319" s="51">
        <v>4786.26</v>
      </c>
      <c r="C319" s="52">
        <v>4024.06</v>
      </c>
      <c r="D319" s="52">
        <v>3743.71</v>
      </c>
      <c r="E319" s="52">
        <v>2138.39</v>
      </c>
      <c r="F319" s="52">
        <v>3902.48</v>
      </c>
      <c r="G319" s="52">
        <v>5173.8900000000003</v>
      </c>
      <c r="H319" s="52">
        <v>2664.3900000000003</v>
      </c>
      <c r="I319" s="53">
        <v>21104.399999999998</v>
      </c>
      <c r="J319" s="49"/>
    </row>
    <row r="320" spans="1:10" x14ac:dyDescent="0.2">
      <c r="A320" s="50">
        <f t="shared" si="5"/>
        <v>44149</v>
      </c>
      <c r="B320" s="51">
        <v>2192.4699999999998</v>
      </c>
      <c r="C320" s="52">
        <v>1632.52</v>
      </c>
      <c r="D320" s="52">
        <v>1286.9000000000001</v>
      </c>
      <c r="E320" s="52">
        <v>419.97</v>
      </c>
      <c r="F320" s="52">
        <v>1990.77</v>
      </c>
      <c r="G320" s="52">
        <v>3556.73</v>
      </c>
      <c r="H320" s="52">
        <v>2461.2500000000005</v>
      </c>
      <c r="I320" s="53">
        <v>8618.1099999999988</v>
      </c>
      <c r="J320" s="49"/>
    </row>
    <row r="321" spans="1:10" x14ac:dyDescent="0.2">
      <c r="A321" s="50">
        <f t="shared" si="5"/>
        <v>44150</v>
      </c>
      <c r="B321" s="51">
        <v>2696.72</v>
      </c>
      <c r="C321" s="52">
        <v>3122.73</v>
      </c>
      <c r="D321" s="52">
        <v>2216.37</v>
      </c>
      <c r="E321" s="52">
        <v>1781.1</v>
      </c>
      <c r="F321" s="52">
        <v>2258.58</v>
      </c>
      <c r="G321" s="52">
        <v>3471.33</v>
      </c>
      <c r="H321" s="52">
        <v>2171.54</v>
      </c>
      <c r="I321" s="53">
        <v>13375.29</v>
      </c>
      <c r="J321" s="49"/>
    </row>
    <row r="322" spans="1:10" x14ac:dyDescent="0.2">
      <c r="A322" s="50">
        <f t="shared" si="5"/>
        <v>44151</v>
      </c>
      <c r="B322" s="51">
        <v>5244</v>
      </c>
      <c r="C322" s="52">
        <v>4407</v>
      </c>
      <c r="D322" s="52">
        <v>3937</v>
      </c>
      <c r="E322" s="52">
        <v>2488</v>
      </c>
      <c r="F322" s="52">
        <v>3559</v>
      </c>
      <c r="G322" s="52">
        <v>5931</v>
      </c>
      <c r="H322" s="52">
        <v>2716</v>
      </c>
      <c r="I322" s="53">
        <v>22850</v>
      </c>
      <c r="J322" s="49"/>
    </row>
    <row r="323" spans="1:10" x14ac:dyDescent="0.2">
      <c r="A323" s="50">
        <f t="shared" si="5"/>
        <v>44152</v>
      </c>
      <c r="B323" s="51">
        <v>5061.5</v>
      </c>
      <c r="C323" s="52">
        <v>4467.9399999999996</v>
      </c>
      <c r="D323" s="52">
        <v>4019.67</v>
      </c>
      <c r="E323" s="52">
        <v>2920.61</v>
      </c>
      <c r="F323" s="52">
        <v>4502.1000000000004</v>
      </c>
      <c r="G323" s="52">
        <v>5634.72</v>
      </c>
      <c r="H323" s="52">
        <v>2771.96</v>
      </c>
      <c r="I323" s="53">
        <v>23834.58</v>
      </c>
      <c r="J323" s="49"/>
    </row>
    <row r="324" spans="1:10" x14ac:dyDescent="0.2">
      <c r="A324" s="50">
        <f t="shared" si="5"/>
        <v>44153</v>
      </c>
      <c r="B324" s="51">
        <v>4410.2299999999996</v>
      </c>
      <c r="C324" s="52">
        <v>4349.6000000000004</v>
      </c>
      <c r="D324" s="52">
        <v>3973.67</v>
      </c>
      <c r="E324" s="52">
        <v>2342.9299999999998</v>
      </c>
      <c r="F324" s="52">
        <v>2598.02</v>
      </c>
      <c r="G324" s="52">
        <v>5309.35</v>
      </c>
      <c r="H324" s="52">
        <v>2859.62</v>
      </c>
      <c r="I324" s="53">
        <v>20124.180000000004</v>
      </c>
      <c r="J324" s="49"/>
    </row>
    <row r="325" spans="1:10" x14ac:dyDescent="0.2">
      <c r="A325" s="50">
        <f t="shared" si="5"/>
        <v>44154</v>
      </c>
      <c r="B325" s="51">
        <v>4643.3599999999997</v>
      </c>
      <c r="C325" s="52">
        <v>3974</v>
      </c>
      <c r="D325" s="52">
        <v>3795.22</v>
      </c>
      <c r="E325" s="52">
        <v>2615.73</v>
      </c>
      <c r="F325" s="52">
        <v>3675.35</v>
      </c>
      <c r="G325" s="52">
        <v>5304.3</v>
      </c>
      <c r="H325" s="52">
        <v>2979.13</v>
      </c>
      <c r="I325" s="53">
        <v>21028.829999999998</v>
      </c>
      <c r="J325" s="49"/>
    </row>
    <row r="326" spans="1:10" x14ac:dyDescent="0.2">
      <c r="A326" s="50">
        <f t="shared" si="5"/>
        <v>44155</v>
      </c>
      <c r="B326" s="51">
        <v>3938</v>
      </c>
      <c r="C326" s="52">
        <v>3818</v>
      </c>
      <c r="D326" s="52">
        <v>3650</v>
      </c>
      <c r="E326" s="52">
        <v>2644</v>
      </c>
      <c r="F326" s="52">
        <v>3099</v>
      </c>
      <c r="G326" s="52">
        <v>4671</v>
      </c>
      <c r="H326" s="52">
        <v>2863</v>
      </c>
      <c r="I326" s="53">
        <v>18957</v>
      </c>
      <c r="J326" s="49"/>
    </row>
    <row r="327" spans="1:10" x14ac:dyDescent="0.2">
      <c r="A327" s="50">
        <f t="shared" si="5"/>
        <v>44156</v>
      </c>
      <c r="B327" s="51">
        <v>1723.81</v>
      </c>
      <c r="C327" s="52">
        <v>1745.17</v>
      </c>
      <c r="D327" s="52">
        <v>2043.62</v>
      </c>
      <c r="E327" s="52">
        <v>766.07</v>
      </c>
      <c r="F327" s="52">
        <v>509.13</v>
      </c>
      <c r="G327" s="52">
        <v>3467.55</v>
      </c>
      <c r="H327" s="52">
        <v>2443.8399999999997</v>
      </c>
      <c r="I327" s="53">
        <v>7811.51</v>
      </c>
      <c r="J327" s="49"/>
    </row>
    <row r="328" spans="1:10" x14ac:dyDescent="0.2">
      <c r="A328" s="50">
        <f t="shared" si="5"/>
        <v>44157</v>
      </c>
      <c r="B328" s="51">
        <v>2842</v>
      </c>
      <c r="C328" s="52">
        <v>3298.3</v>
      </c>
      <c r="D328" s="52">
        <v>2433.6999999999998</v>
      </c>
      <c r="E328" s="52">
        <v>1534</v>
      </c>
      <c r="F328" s="52">
        <v>2291.1</v>
      </c>
      <c r="G328" s="52">
        <v>3494</v>
      </c>
      <c r="H328" s="52">
        <v>2279.3999999999996</v>
      </c>
      <c r="I328" s="53">
        <v>13613.7</v>
      </c>
      <c r="J328" s="49"/>
    </row>
    <row r="329" spans="1:10" x14ac:dyDescent="0.2">
      <c r="A329" s="50">
        <f t="shared" si="5"/>
        <v>44158</v>
      </c>
      <c r="B329" s="51">
        <v>5142.49</v>
      </c>
      <c r="C329" s="52">
        <v>4407.99</v>
      </c>
      <c r="D329" s="52">
        <v>3624.03</v>
      </c>
      <c r="E329" s="52">
        <v>2595.83</v>
      </c>
      <c r="F329" s="52">
        <v>3675.71</v>
      </c>
      <c r="G329" s="52">
        <v>4892.68</v>
      </c>
      <c r="H329" s="52">
        <v>2648.78</v>
      </c>
      <c r="I329" s="53">
        <v>21689.95</v>
      </c>
      <c r="J329" s="49"/>
    </row>
    <row r="330" spans="1:10" x14ac:dyDescent="0.2">
      <c r="A330" s="50">
        <f t="shared" si="5"/>
        <v>44159</v>
      </c>
      <c r="B330" s="51">
        <v>6074</v>
      </c>
      <c r="C330" s="52">
        <v>4525</v>
      </c>
      <c r="D330" s="52">
        <v>4192</v>
      </c>
      <c r="E330" s="52">
        <v>3904</v>
      </c>
      <c r="F330" s="52">
        <v>4655</v>
      </c>
      <c r="G330" s="52">
        <v>6048</v>
      </c>
      <c r="H330" s="52">
        <v>3258</v>
      </c>
      <c r="I330" s="53">
        <v>26140</v>
      </c>
      <c r="J330" s="49"/>
    </row>
    <row r="331" spans="1:10" x14ac:dyDescent="0.2">
      <c r="A331" s="50">
        <f t="shared" si="5"/>
        <v>44160</v>
      </c>
      <c r="B331" s="51">
        <v>6181.61</v>
      </c>
      <c r="C331" s="52">
        <v>4561.04</v>
      </c>
      <c r="D331" s="52">
        <v>4104.1899999999996</v>
      </c>
      <c r="E331" s="52">
        <v>3438.22</v>
      </c>
      <c r="F331" s="52">
        <v>4775.8100000000004</v>
      </c>
      <c r="G331" s="52">
        <v>5915.47</v>
      </c>
      <c r="H331" s="52">
        <v>2648.7999999999997</v>
      </c>
      <c r="I331" s="53">
        <v>26327.540000000005</v>
      </c>
      <c r="J331" s="49"/>
    </row>
    <row r="332" spans="1:10" x14ac:dyDescent="0.2">
      <c r="A332" s="50">
        <f t="shared" si="5"/>
        <v>44161</v>
      </c>
      <c r="B332" s="51">
        <v>6094.96</v>
      </c>
      <c r="C332" s="52">
        <v>4551.84</v>
      </c>
      <c r="D332" s="52">
        <v>4083.4</v>
      </c>
      <c r="E332" s="52">
        <v>3209.08</v>
      </c>
      <c r="F332" s="52">
        <v>4571.05</v>
      </c>
      <c r="G332" s="52">
        <v>5979.94</v>
      </c>
      <c r="H332" s="52">
        <v>2597.63</v>
      </c>
      <c r="I332" s="53">
        <v>25892.639999999996</v>
      </c>
      <c r="J332" s="49"/>
    </row>
    <row r="333" spans="1:10" x14ac:dyDescent="0.2">
      <c r="A333" s="50">
        <f t="shared" si="5"/>
        <v>44162</v>
      </c>
      <c r="B333" s="51">
        <v>5694.66</v>
      </c>
      <c r="C333" s="52">
        <v>4369.57</v>
      </c>
      <c r="D333" s="52">
        <v>3759.61</v>
      </c>
      <c r="E333" s="52">
        <v>3292.27</v>
      </c>
      <c r="F333" s="52">
        <v>3888.14</v>
      </c>
      <c r="G333" s="52">
        <v>5295.12</v>
      </c>
      <c r="H333" s="52">
        <v>2660.5</v>
      </c>
      <c r="I333" s="53">
        <v>23638.87</v>
      </c>
      <c r="J333" s="49"/>
    </row>
    <row r="334" spans="1:10" x14ac:dyDescent="0.2">
      <c r="A334" s="50">
        <f t="shared" si="5"/>
        <v>44163</v>
      </c>
      <c r="B334" s="51">
        <v>6221</v>
      </c>
      <c r="C334" s="52">
        <v>4801</v>
      </c>
      <c r="D334" s="52">
        <v>3968</v>
      </c>
      <c r="E334" s="52">
        <v>3540</v>
      </c>
      <c r="F334" s="52">
        <v>4197</v>
      </c>
      <c r="G334" s="52">
        <v>4422</v>
      </c>
      <c r="H334" s="52">
        <v>2028</v>
      </c>
      <c r="I334" s="53">
        <v>25121</v>
      </c>
      <c r="J334" s="49"/>
    </row>
    <row r="335" spans="1:10" x14ac:dyDescent="0.2">
      <c r="A335" s="50">
        <f t="shared" si="5"/>
        <v>44164</v>
      </c>
      <c r="B335" s="51">
        <v>6063.41</v>
      </c>
      <c r="C335" s="52">
        <v>4780.45</v>
      </c>
      <c r="D335" s="52">
        <v>4146.8999999999996</v>
      </c>
      <c r="E335" s="52">
        <v>3767.24</v>
      </c>
      <c r="F335" s="52">
        <v>4410.6499999999996</v>
      </c>
      <c r="G335" s="52">
        <v>5216.62</v>
      </c>
      <c r="H335" s="52">
        <v>2052.73</v>
      </c>
      <c r="I335" s="53">
        <v>26332.54</v>
      </c>
      <c r="J335" s="49"/>
    </row>
    <row r="336" spans="1:10" x14ac:dyDescent="0.2">
      <c r="A336" s="50">
        <f t="shared" si="5"/>
        <v>44165</v>
      </c>
      <c r="B336" s="51">
        <v>6289.43</v>
      </c>
      <c r="C336" s="52">
        <v>4857.05</v>
      </c>
      <c r="D336" s="52">
        <v>4240.1400000000003</v>
      </c>
      <c r="E336" s="52">
        <v>4090.5</v>
      </c>
      <c r="F336" s="52">
        <v>4408.45</v>
      </c>
      <c r="G336" s="52">
        <v>5872.88</v>
      </c>
      <c r="H336" s="52">
        <v>2628.19</v>
      </c>
      <c r="I336" s="53">
        <v>27130.260000000002</v>
      </c>
      <c r="J336" s="49"/>
    </row>
    <row r="337" spans="1:10" x14ac:dyDescent="0.2">
      <c r="A337" s="50">
        <f t="shared" si="5"/>
        <v>44166</v>
      </c>
      <c r="B337" s="51">
        <v>5884.32</v>
      </c>
      <c r="C337" s="52">
        <v>4663.21</v>
      </c>
      <c r="D337" s="52">
        <v>4336.82</v>
      </c>
      <c r="E337" s="52">
        <v>3907.73</v>
      </c>
      <c r="F337" s="52">
        <v>4711.78</v>
      </c>
      <c r="G337" s="52">
        <v>6200.45</v>
      </c>
      <c r="H337" s="52">
        <v>3230.1000000000004</v>
      </c>
      <c r="I337" s="53">
        <v>26474.21</v>
      </c>
      <c r="J337" s="49"/>
    </row>
    <row r="338" spans="1:10" x14ac:dyDescent="0.2">
      <c r="A338" s="50">
        <f t="shared" si="5"/>
        <v>44167</v>
      </c>
      <c r="B338" s="51">
        <v>5544</v>
      </c>
      <c r="C338" s="52">
        <v>4609</v>
      </c>
      <c r="D338" s="52">
        <v>4053</v>
      </c>
      <c r="E338" s="52">
        <v>3365</v>
      </c>
      <c r="F338" s="52">
        <v>4616</v>
      </c>
      <c r="G338" s="52">
        <v>6195</v>
      </c>
      <c r="H338" s="52">
        <v>3048</v>
      </c>
      <c r="I338" s="53">
        <v>25334</v>
      </c>
      <c r="J338" s="49"/>
    </row>
    <row r="339" spans="1:10" x14ac:dyDescent="0.2">
      <c r="A339" s="50">
        <f t="shared" si="5"/>
        <v>44168</v>
      </c>
      <c r="B339" s="51">
        <v>5303.81</v>
      </c>
      <c r="C339" s="52">
        <v>4455.75</v>
      </c>
      <c r="D339" s="52">
        <v>4064.84</v>
      </c>
      <c r="E339" s="52">
        <v>2941.94</v>
      </c>
      <c r="F339" s="52">
        <v>3919.09</v>
      </c>
      <c r="G339" s="52">
        <v>5945.22</v>
      </c>
      <c r="H339" s="52">
        <v>3230.95</v>
      </c>
      <c r="I339" s="53">
        <v>23399.7</v>
      </c>
      <c r="J339" s="49"/>
    </row>
    <row r="340" spans="1:10" x14ac:dyDescent="0.2">
      <c r="A340" s="50">
        <f t="shared" si="5"/>
        <v>44169</v>
      </c>
      <c r="B340" s="51">
        <v>5358.39</v>
      </c>
      <c r="C340" s="52">
        <v>4292.6499999999996</v>
      </c>
      <c r="D340" s="52">
        <v>3963.72</v>
      </c>
      <c r="E340" s="52">
        <v>2615.25</v>
      </c>
      <c r="F340" s="52">
        <v>3382.91</v>
      </c>
      <c r="G340" s="52">
        <v>4813.57</v>
      </c>
      <c r="H340" s="52">
        <v>2748.96</v>
      </c>
      <c r="I340" s="53">
        <v>21677.53</v>
      </c>
      <c r="J340" s="49"/>
    </row>
    <row r="341" spans="1:10" x14ac:dyDescent="0.2">
      <c r="A341" s="50">
        <f t="shared" si="5"/>
        <v>44170</v>
      </c>
      <c r="B341" s="51">
        <v>4456.62</v>
      </c>
      <c r="C341" s="52">
        <v>3590.84</v>
      </c>
      <c r="D341" s="52">
        <v>3052.6</v>
      </c>
      <c r="E341" s="52">
        <v>2811.92</v>
      </c>
      <c r="F341" s="52">
        <v>4895.99</v>
      </c>
      <c r="G341" s="52">
        <v>3699.56</v>
      </c>
      <c r="H341" s="52">
        <v>2421.8600000000006</v>
      </c>
      <c r="I341" s="53">
        <v>20085.670000000002</v>
      </c>
      <c r="J341" s="49"/>
    </row>
    <row r="342" spans="1:10" x14ac:dyDescent="0.2">
      <c r="A342" s="50">
        <f t="shared" si="5"/>
        <v>44171</v>
      </c>
      <c r="B342" s="51">
        <v>3306</v>
      </c>
      <c r="C342" s="52">
        <v>2885</v>
      </c>
      <c r="D342" s="52">
        <v>2623</v>
      </c>
      <c r="E342" s="52">
        <v>2366</v>
      </c>
      <c r="F342" s="52">
        <v>3438</v>
      </c>
      <c r="G342" s="52">
        <v>3489</v>
      </c>
      <c r="H342" s="52">
        <v>2134</v>
      </c>
      <c r="I342" s="53">
        <v>15973</v>
      </c>
      <c r="J342" s="49"/>
    </row>
    <row r="343" spans="1:10" x14ac:dyDescent="0.2">
      <c r="A343" s="50">
        <f t="shared" si="5"/>
        <v>44172</v>
      </c>
      <c r="B343" s="51">
        <v>5334.34</v>
      </c>
      <c r="C343" s="52">
        <v>4341.6899999999996</v>
      </c>
      <c r="D343" s="52">
        <v>3571.84</v>
      </c>
      <c r="E343" s="52">
        <v>2982.22</v>
      </c>
      <c r="F343" s="52">
        <v>4362.66</v>
      </c>
      <c r="G343" s="52">
        <v>5337.75</v>
      </c>
      <c r="H343" s="52">
        <v>2891.4800000000005</v>
      </c>
      <c r="I343" s="53">
        <v>23039.02</v>
      </c>
      <c r="J343" s="49"/>
    </row>
    <row r="344" spans="1:10" x14ac:dyDescent="0.2">
      <c r="A344" s="50">
        <f t="shared" si="5"/>
        <v>44173</v>
      </c>
      <c r="B344" s="51">
        <v>6330.33</v>
      </c>
      <c r="C344" s="52">
        <v>4420.97</v>
      </c>
      <c r="D344" s="52">
        <v>3939.06</v>
      </c>
      <c r="E344" s="52">
        <v>3846.39</v>
      </c>
      <c r="F344" s="52">
        <v>4020.82</v>
      </c>
      <c r="G344" s="52">
        <v>5650.37</v>
      </c>
      <c r="H344" s="52">
        <v>2867.0699999999997</v>
      </c>
      <c r="I344" s="53">
        <v>25340.87</v>
      </c>
      <c r="J344" s="49"/>
    </row>
    <row r="345" spans="1:10" x14ac:dyDescent="0.2">
      <c r="A345" s="50">
        <f t="shared" si="5"/>
        <v>44174</v>
      </c>
      <c r="B345" s="51">
        <v>5744.37</v>
      </c>
      <c r="C345" s="52">
        <v>4317.32</v>
      </c>
      <c r="D345" s="52">
        <v>3876.45</v>
      </c>
      <c r="E345" s="52">
        <v>3688.23</v>
      </c>
      <c r="F345" s="52">
        <v>3491.31</v>
      </c>
      <c r="G345" s="52">
        <v>5833.65</v>
      </c>
      <c r="H345" s="52">
        <v>2714.91</v>
      </c>
      <c r="I345" s="53">
        <v>24236.420000000002</v>
      </c>
      <c r="J345" s="49"/>
    </row>
    <row r="346" spans="1:10" x14ac:dyDescent="0.2">
      <c r="A346" s="50">
        <f t="shared" si="5"/>
        <v>44175</v>
      </c>
      <c r="B346" s="51">
        <v>6060</v>
      </c>
      <c r="C346" s="52">
        <v>4330</v>
      </c>
      <c r="D346" s="52">
        <v>4034</v>
      </c>
      <c r="E346" s="52">
        <v>3555</v>
      </c>
      <c r="F346" s="52">
        <v>3877</v>
      </c>
      <c r="G346" s="52">
        <v>6367</v>
      </c>
      <c r="H346" s="52">
        <v>2904</v>
      </c>
      <c r="I346" s="53">
        <v>25319</v>
      </c>
      <c r="J346" s="49"/>
    </row>
    <row r="347" spans="1:10" x14ac:dyDescent="0.2">
      <c r="A347" s="50">
        <f t="shared" si="5"/>
        <v>44176</v>
      </c>
      <c r="B347" s="51">
        <v>6048.41</v>
      </c>
      <c r="C347" s="52">
        <v>4524.58</v>
      </c>
      <c r="D347" s="52">
        <v>4014.33</v>
      </c>
      <c r="E347" s="52">
        <v>3682.27</v>
      </c>
      <c r="F347" s="52">
        <v>4936.7299999999996</v>
      </c>
      <c r="G347" s="52">
        <v>5753.02</v>
      </c>
      <c r="H347" s="52">
        <v>2767.17</v>
      </c>
      <c r="I347" s="53">
        <v>26192.17</v>
      </c>
      <c r="J347" s="49"/>
    </row>
    <row r="348" spans="1:10" x14ac:dyDescent="0.2">
      <c r="A348" s="50">
        <f t="shared" si="5"/>
        <v>44177</v>
      </c>
      <c r="B348" s="51">
        <v>4370.0600000000004</v>
      </c>
      <c r="C348" s="52">
        <v>4189.38</v>
      </c>
      <c r="D348" s="52">
        <v>3498.19</v>
      </c>
      <c r="E348" s="52">
        <v>2885.38</v>
      </c>
      <c r="F348" s="52">
        <v>3119.3</v>
      </c>
      <c r="G348" s="52">
        <v>5053.22</v>
      </c>
      <c r="H348" s="52">
        <v>2667.2299999999996</v>
      </c>
      <c r="I348" s="53">
        <v>20448.300000000003</v>
      </c>
      <c r="J348" s="49"/>
    </row>
    <row r="349" spans="1:10" x14ac:dyDescent="0.2">
      <c r="A349" s="50">
        <f t="shared" si="5"/>
        <v>44178</v>
      </c>
      <c r="B349" s="51">
        <v>3901.66</v>
      </c>
      <c r="C349" s="52">
        <v>3804.96</v>
      </c>
      <c r="D349" s="52">
        <v>3289.23</v>
      </c>
      <c r="E349" s="52">
        <v>2600.36</v>
      </c>
      <c r="F349" s="52">
        <v>3216.2</v>
      </c>
      <c r="G349" s="52">
        <v>4788.1099999999997</v>
      </c>
      <c r="H349" s="52">
        <v>2416.9400000000005</v>
      </c>
      <c r="I349" s="53">
        <v>19183.580000000002</v>
      </c>
      <c r="J349" s="49"/>
    </row>
    <row r="350" spans="1:10" x14ac:dyDescent="0.2">
      <c r="A350" s="50">
        <f t="shared" si="5"/>
        <v>44179</v>
      </c>
      <c r="B350" s="51">
        <v>5556</v>
      </c>
      <c r="C350" s="52">
        <v>4437</v>
      </c>
      <c r="D350" s="52">
        <v>3825</v>
      </c>
      <c r="E350" s="52">
        <v>3091</v>
      </c>
      <c r="F350" s="52">
        <v>3305</v>
      </c>
      <c r="G350" s="52">
        <v>6299</v>
      </c>
      <c r="H350" s="52">
        <v>3447</v>
      </c>
      <c r="I350" s="53">
        <v>23066</v>
      </c>
      <c r="J350" s="49"/>
    </row>
    <row r="351" spans="1:10" x14ac:dyDescent="0.2">
      <c r="A351" s="50">
        <f t="shared" si="5"/>
        <v>44180</v>
      </c>
      <c r="B351" s="51">
        <v>5818.6</v>
      </c>
      <c r="C351" s="52">
        <v>4452.38</v>
      </c>
      <c r="D351" s="52">
        <v>3841.89</v>
      </c>
      <c r="E351" s="52">
        <v>3763.47</v>
      </c>
      <c r="F351" s="52">
        <v>3458.34</v>
      </c>
      <c r="G351" s="52">
        <v>6601.5</v>
      </c>
      <c r="H351" s="52">
        <v>3630.36</v>
      </c>
      <c r="I351" s="53">
        <v>24305.82</v>
      </c>
      <c r="J351" s="49"/>
    </row>
    <row r="352" spans="1:10" x14ac:dyDescent="0.2">
      <c r="A352" s="50">
        <f t="shared" ref="A352:A367" si="6">A351+1</f>
        <v>44181</v>
      </c>
      <c r="B352" s="51">
        <v>5865.57</v>
      </c>
      <c r="C352" s="52">
        <v>4427.1000000000004</v>
      </c>
      <c r="D352" s="52">
        <v>3897.09</v>
      </c>
      <c r="E352" s="52">
        <v>4099.1000000000004</v>
      </c>
      <c r="F352" s="52">
        <v>3182.3</v>
      </c>
      <c r="G352" s="52">
        <v>6430.21</v>
      </c>
      <c r="H352" s="52">
        <v>3413.45</v>
      </c>
      <c r="I352" s="53">
        <v>24487.919999999998</v>
      </c>
      <c r="J352" s="49"/>
    </row>
    <row r="353" spans="1:10" x14ac:dyDescent="0.2">
      <c r="A353" s="50">
        <f t="shared" si="6"/>
        <v>44182</v>
      </c>
      <c r="B353" s="51">
        <v>5790.69</v>
      </c>
      <c r="C353" s="52">
        <v>4178.41</v>
      </c>
      <c r="D353" s="52">
        <v>3904.67</v>
      </c>
      <c r="E353" s="52">
        <v>4301.05</v>
      </c>
      <c r="F353" s="52">
        <v>4247.05</v>
      </c>
      <c r="G353" s="52">
        <v>6378.86</v>
      </c>
      <c r="H353" s="52">
        <v>3315.9299999999994</v>
      </c>
      <c r="I353" s="53">
        <v>25484.799999999999</v>
      </c>
      <c r="J353" s="49"/>
    </row>
    <row r="354" spans="1:10" x14ac:dyDescent="0.2">
      <c r="A354" s="50">
        <f t="shared" si="6"/>
        <v>44183</v>
      </c>
      <c r="B354" s="51">
        <v>5790</v>
      </c>
      <c r="C354" s="52">
        <v>4383</v>
      </c>
      <c r="D354" s="52">
        <v>3892</v>
      </c>
      <c r="E354" s="52">
        <v>3734</v>
      </c>
      <c r="F354" s="52">
        <v>3613</v>
      </c>
      <c r="G354" s="52">
        <v>5595</v>
      </c>
      <c r="H354" s="52">
        <v>2892</v>
      </c>
      <c r="I354" s="53">
        <v>24115</v>
      </c>
      <c r="J354" s="49"/>
    </row>
    <row r="355" spans="1:10" x14ac:dyDescent="0.2">
      <c r="A355" s="50">
        <f t="shared" si="6"/>
        <v>44184</v>
      </c>
      <c r="B355" s="51">
        <v>6275.44</v>
      </c>
      <c r="C355" s="52">
        <v>4429.63</v>
      </c>
      <c r="D355" s="52">
        <v>3779.37</v>
      </c>
      <c r="E355" s="52">
        <v>3876.04</v>
      </c>
      <c r="F355" s="52">
        <v>3612.23</v>
      </c>
      <c r="G355" s="52">
        <v>4879.3100000000004</v>
      </c>
      <c r="H355" s="52">
        <v>2449.2800000000002</v>
      </c>
      <c r="I355" s="53">
        <v>24402.74</v>
      </c>
      <c r="J355" s="49"/>
    </row>
    <row r="356" spans="1:10" x14ac:dyDescent="0.2">
      <c r="A356" s="50">
        <f t="shared" si="6"/>
        <v>44185</v>
      </c>
      <c r="B356" s="51">
        <v>4903.8</v>
      </c>
      <c r="C356" s="52">
        <v>4555.62</v>
      </c>
      <c r="D356" s="52">
        <v>3587.46</v>
      </c>
      <c r="E356" s="52">
        <v>2897.13</v>
      </c>
      <c r="F356" s="52">
        <v>2556.5</v>
      </c>
      <c r="G356" s="52">
        <v>5169.2299999999996</v>
      </c>
      <c r="H356" s="52">
        <v>2278.3200000000002</v>
      </c>
      <c r="I356" s="53">
        <v>21391.420000000002</v>
      </c>
      <c r="J356" s="49"/>
    </row>
    <row r="357" spans="1:10" x14ac:dyDescent="0.2">
      <c r="A357" s="50">
        <f t="shared" si="6"/>
        <v>44186</v>
      </c>
      <c r="B357" s="51">
        <v>5696.48</v>
      </c>
      <c r="C357" s="52">
        <v>4653.08</v>
      </c>
      <c r="D357" s="52">
        <v>4173.26</v>
      </c>
      <c r="E357" s="52">
        <v>3831.04</v>
      </c>
      <c r="F357" s="52">
        <v>3815.58</v>
      </c>
      <c r="G357" s="52">
        <v>6181.65</v>
      </c>
      <c r="H357" s="52">
        <v>3064.71</v>
      </c>
      <c r="I357" s="53">
        <v>25286.380000000005</v>
      </c>
      <c r="J357" s="49"/>
    </row>
    <row r="358" spans="1:10" x14ac:dyDescent="0.2">
      <c r="A358" s="50">
        <f t="shared" si="6"/>
        <v>44187</v>
      </c>
      <c r="B358" s="51">
        <v>6229</v>
      </c>
      <c r="C358" s="52">
        <v>4729</v>
      </c>
      <c r="D358" s="52">
        <v>4424</v>
      </c>
      <c r="E358" s="52">
        <v>3326</v>
      </c>
      <c r="F358" s="52">
        <v>3908</v>
      </c>
      <c r="G358" s="52">
        <v>6274</v>
      </c>
      <c r="H358" s="52">
        <v>3235</v>
      </c>
      <c r="I358" s="53">
        <v>25655</v>
      </c>
      <c r="J358" s="49"/>
    </row>
    <row r="359" spans="1:10" x14ac:dyDescent="0.2">
      <c r="A359" s="50">
        <f t="shared" si="6"/>
        <v>44188</v>
      </c>
      <c r="B359" s="51">
        <v>7134.28</v>
      </c>
      <c r="C359" s="52">
        <v>4883.1499999999996</v>
      </c>
      <c r="D359" s="52">
        <v>4259.45</v>
      </c>
      <c r="E359" s="52">
        <v>4572.78</v>
      </c>
      <c r="F359" s="52">
        <v>5403.94</v>
      </c>
      <c r="G359" s="52">
        <v>5898.59</v>
      </c>
      <c r="H359" s="52">
        <v>3208.7900000000004</v>
      </c>
      <c r="I359" s="53">
        <v>28943.399999999998</v>
      </c>
      <c r="J359" s="49"/>
    </row>
    <row r="360" spans="1:10" x14ac:dyDescent="0.2">
      <c r="A360" s="50">
        <f t="shared" si="6"/>
        <v>44189</v>
      </c>
      <c r="B360" s="51">
        <v>6489.55</v>
      </c>
      <c r="C360" s="52">
        <v>4721.6400000000003</v>
      </c>
      <c r="D360" s="52">
        <v>4082.1</v>
      </c>
      <c r="E360" s="52">
        <v>4220.01</v>
      </c>
      <c r="F360" s="52">
        <v>4178.2</v>
      </c>
      <c r="G360" s="52">
        <v>5934.71</v>
      </c>
      <c r="H360" s="52">
        <v>3189.6199999999994</v>
      </c>
      <c r="I360" s="53">
        <v>26436.590000000004</v>
      </c>
      <c r="J360" s="49"/>
    </row>
    <row r="361" spans="1:10" x14ac:dyDescent="0.2">
      <c r="A361" s="50">
        <f t="shared" si="6"/>
        <v>44190</v>
      </c>
      <c r="B361" s="51">
        <v>6909.26</v>
      </c>
      <c r="C361" s="52">
        <v>4614.41</v>
      </c>
      <c r="D361" s="52">
        <v>4088.24</v>
      </c>
      <c r="E361" s="52">
        <v>4380.55</v>
      </c>
      <c r="F361" s="52">
        <v>5217.93</v>
      </c>
      <c r="G361" s="52">
        <v>5791.07</v>
      </c>
      <c r="H361" s="52">
        <v>2809.6700000000005</v>
      </c>
      <c r="I361" s="53">
        <v>28191.789999999997</v>
      </c>
      <c r="J361" s="49"/>
    </row>
    <row r="362" spans="1:10" x14ac:dyDescent="0.2">
      <c r="A362" s="50">
        <f t="shared" si="6"/>
        <v>44191</v>
      </c>
      <c r="B362" s="51">
        <v>6552</v>
      </c>
      <c r="C362" s="52">
        <v>4733</v>
      </c>
      <c r="D362" s="52">
        <v>4026</v>
      </c>
      <c r="E362" s="52">
        <v>3760</v>
      </c>
      <c r="F362" s="52">
        <v>4401</v>
      </c>
      <c r="G362" s="52">
        <v>5098</v>
      </c>
      <c r="H362" s="52">
        <v>2339</v>
      </c>
      <c r="I362" s="53">
        <v>26231</v>
      </c>
      <c r="J362" s="49"/>
    </row>
    <row r="363" spans="1:10" x14ac:dyDescent="0.2">
      <c r="A363" s="50">
        <f t="shared" si="6"/>
        <v>44192</v>
      </c>
      <c r="B363" s="51">
        <v>6321.61</v>
      </c>
      <c r="C363" s="52">
        <v>4632.0600000000004</v>
      </c>
      <c r="D363" s="52">
        <v>3903.26</v>
      </c>
      <c r="E363" s="52">
        <v>3394.92</v>
      </c>
      <c r="F363" s="52">
        <v>4662.91</v>
      </c>
      <c r="G363" s="52">
        <v>5025.42</v>
      </c>
      <c r="H363" s="52">
        <v>2168.86</v>
      </c>
      <c r="I363" s="53">
        <v>25771.32</v>
      </c>
      <c r="J363" s="49"/>
    </row>
    <row r="364" spans="1:10" x14ac:dyDescent="0.2">
      <c r="A364" s="50">
        <f t="shared" si="6"/>
        <v>44193</v>
      </c>
      <c r="B364" s="51">
        <v>6445.18</v>
      </c>
      <c r="C364" s="52">
        <v>4756.8</v>
      </c>
      <c r="D364" s="52">
        <v>3843.85</v>
      </c>
      <c r="E364" s="52">
        <v>3644.03</v>
      </c>
      <c r="F364" s="52">
        <v>5006.95</v>
      </c>
      <c r="G364" s="52">
        <v>5662.96</v>
      </c>
      <c r="H364" s="52">
        <v>2642.8799999999997</v>
      </c>
      <c r="I364" s="53">
        <v>26716.89</v>
      </c>
      <c r="J364" s="49"/>
    </row>
    <row r="365" spans="1:10" x14ac:dyDescent="0.2">
      <c r="A365" s="50">
        <f t="shared" si="6"/>
        <v>44194</v>
      </c>
      <c r="B365" s="51">
        <v>6168.03</v>
      </c>
      <c r="C365" s="52">
        <v>4469.26</v>
      </c>
      <c r="D365" s="52">
        <v>4075.89</v>
      </c>
      <c r="E365" s="52">
        <v>3686.25</v>
      </c>
      <c r="F365" s="52">
        <v>4487.3900000000003</v>
      </c>
      <c r="G365" s="52">
        <v>5173.05</v>
      </c>
      <c r="H365" s="52">
        <v>2113.56</v>
      </c>
      <c r="I365" s="53">
        <v>25946.309999999998</v>
      </c>
      <c r="J365" s="49"/>
    </row>
    <row r="366" spans="1:10" x14ac:dyDescent="0.2">
      <c r="A366" s="50">
        <f t="shared" si="6"/>
        <v>44195</v>
      </c>
      <c r="B366" s="51">
        <v>3554.5</v>
      </c>
      <c r="C366" s="52">
        <v>2507.5</v>
      </c>
      <c r="D366" s="52">
        <v>2870.8</v>
      </c>
      <c r="E366" s="52">
        <v>2498</v>
      </c>
      <c r="F366" s="52">
        <v>4102</v>
      </c>
      <c r="G366" s="52">
        <v>3278.9</v>
      </c>
      <c r="H366" s="52">
        <v>1438.4</v>
      </c>
      <c r="I366" s="53">
        <v>17373.3</v>
      </c>
      <c r="J366" s="49"/>
    </row>
    <row r="367" spans="1:10" x14ac:dyDescent="0.2">
      <c r="A367" s="50">
        <f t="shared" si="6"/>
        <v>44196</v>
      </c>
      <c r="B367" s="51">
        <v>774.5</v>
      </c>
      <c r="C367" s="52">
        <v>1226.3</v>
      </c>
      <c r="D367" s="52">
        <v>462.3</v>
      </c>
      <c r="E367" s="52">
        <v>44.3</v>
      </c>
      <c r="F367" s="52">
        <v>779</v>
      </c>
      <c r="G367" s="52">
        <v>1293.5999999999999</v>
      </c>
      <c r="H367" s="52">
        <v>961.4</v>
      </c>
      <c r="I367" s="53">
        <v>3618.6</v>
      </c>
      <c r="J367" s="49"/>
    </row>
    <row r="368" spans="1:10" x14ac:dyDescent="0.2">
      <c r="A368" s="50"/>
      <c r="B368" s="51"/>
      <c r="C368" s="52"/>
      <c r="D368" s="52"/>
      <c r="E368" s="52"/>
      <c r="F368" s="52"/>
      <c r="G368" s="52"/>
      <c r="H368" s="52"/>
      <c r="I368" s="53"/>
      <c r="J368" s="49"/>
    </row>
    <row r="369" spans="1:10" ht="13.5" thickBot="1" x14ac:dyDescent="0.25">
      <c r="A369" s="54"/>
      <c r="B369" s="55"/>
      <c r="C369" s="56"/>
      <c r="D369" s="56"/>
      <c r="E369" s="56"/>
      <c r="F369" s="56"/>
      <c r="G369" s="56"/>
      <c r="H369" s="56"/>
      <c r="I369" s="57"/>
      <c r="J369" s="49"/>
    </row>
    <row r="371" spans="1:10" x14ac:dyDescent="0.2">
      <c r="I371" s="58">
        <f>MAX(I2:I367)</f>
        <v>33754.699999999997</v>
      </c>
    </row>
  </sheetData>
  <conditionalFormatting sqref="A31">
    <cfRule type="expression" dxfId="27" priority="3" stopIfTrue="1">
      <formula>WEEKDAY(A31:A51,2)&gt;5</formula>
    </cfRule>
  </conditionalFormatting>
  <conditionalFormatting sqref="A32:A369">
    <cfRule type="expression" dxfId="26" priority="2" stopIfTrue="1">
      <formula>WEEKDAY(A32:A52,2)&gt;5</formula>
    </cfRule>
  </conditionalFormatting>
  <conditionalFormatting sqref="A2:A30">
    <cfRule type="expression" dxfId="25" priority="1" stopIfTrue="1">
      <formula>WEEKDAY(A2:A22,2)&gt;5</formula>
    </cfRule>
  </conditionalFormatting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371"/>
  <sheetViews>
    <sheetView zoomScaleNormal="100" workbookViewId="0">
      <selection activeCell="T1" sqref="T1:W1048576"/>
    </sheetView>
  </sheetViews>
  <sheetFormatPr defaultRowHeight="12.75" x14ac:dyDescent="0.2"/>
  <cols>
    <col min="1" max="1" width="9.140625" style="44"/>
    <col min="2" max="2" width="10.85546875" style="44" customWidth="1"/>
    <col min="3" max="3" width="10.28515625" style="44" customWidth="1"/>
    <col min="4" max="4" width="9.85546875" style="44" customWidth="1"/>
    <col min="5" max="5" width="10.5703125" style="44" customWidth="1"/>
    <col min="6" max="6" width="10" style="44" customWidth="1"/>
    <col min="7" max="7" width="9.85546875" style="44" customWidth="1"/>
    <col min="8" max="8" width="10.140625" style="44" customWidth="1"/>
    <col min="9" max="9" width="13.85546875" style="44" customWidth="1"/>
    <col min="10" max="10" width="12.5703125" style="44" customWidth="1"/>
    <col min="11" max="253" width="9.140625" style="44"/>
    <col min="254" max="254" width="10.85546875" style="44" customWidth="1"/>
    <col min="255" max="255" width="10.28515625" style="44" customWidth="1"/>
    <col min="256" max="256" width="9.85546875" style="44" customWidth="1"/>
    <col min="257" max="257" width="10.5703125" style="44" customWidth="1"/>
    <col min="258" max="258" width="10" style="44" customWidth="1"/>
    <col min="259" max="259" width="9.85546875" style="44" customWidth="1"/>
    <col min="260" max="260" width="10.140625" style="44" customWidth="1"/>
    <col min="261" max="261" width="13.85546875" style="44" customWidth="1"/>
    <col min="262" max="262" width="12.5703125" style="44" customWidth="1"/>
    <col min="263" max="509" width="9.140625" style="44"/>
    <col min="510" max="510" width="10.85546875" style="44" customWidth="1"/>
    <col min="511" max="511" width="10.28515625" style="44" customWidth="1"/>
    <col min="512" max="512" width="9.85546875" style="44" customWidth="1"/>
    <col min="513" max="513" width="10.5703125" style="44" customWidth="1"/>
    <col min="514" max="514" width="10" style="44" customWidth="1"/>
    <col min="515" max="515" width="9.85546875" style="44" customWidth="1"/>
    <col min="516" max="516" width="10.140625" style="44" customWidth="1"/>
    <col min="517" max="517" width="13.85546875" style="44" customWidth="1"/>
    <col min="518" max="518" width="12.5703125" style="44" customWidth="1"/>
    <col min="519" max="765" width="9.140625" style="44"/>
    <col min="766" max="766" width="10.85546875" style="44" customWidth="1"/>
    <col min="767" max="767" width="10.28515625" style="44" customWidth="1"/>
    <col min="768" max="768" width="9.85546875" style="44" customWidth="1"/>
    <col min="769" max="769" width="10.5703125" style="44" customWidth="1"/>
    <col min="770" max="770" width="10" style="44" customWidth="1"/>
    <col min="771" max="771" width="9.85546875" style="44" customWidth="1"/>
    <col min="772" max="772" width="10.140625" style="44" customWidth="1"/>
    <col min="773" max="773" width="13.85546875" style="44" customWidth="1"/>
    <col min="774" max="774" width="12.5703125" style="44" customWidth="1"/>
    <col min="775" max="1021" width="9.140625" style="44"/>
    <col min="1022" max="1022" width="10.85546875" style="44" customWidth="1"/>
    <col min="1023" max="1023" width="10.28515625" style="44" customWidth="1"/>
    <col min="1024" max="1024" width="9.85546875" style="44" customWidth="1"/>
    <col min="1025" max="1025" width="10.5703125" style="44" customWidth="1"/>
    <col min="1026" max="1026" width="10" style="44" customWidth="1"/>
    <col min="1027" max="1027" width="9.85546875" style="44" customWidth="1"/>
    <col min="1028" max="1028" width="10.140625" style="44" customWidth="1"/>
    <col min="1029" max="1029" width="13.85546875" style="44" customWidth="1"/>
    <col min="1030" max="1030" width="12.5703125" style="44" customWidth="1"/>
    <col min="1031" max="1277" width="9.140625" style="44"/>
    <col min="1278" max="1278" width="10.85546875" style="44" customWidth="1"/>
    <col min="1279" max="1279" width="10.28515625" style="44" customWidth="1"/>
    <col min="1280" max="1280" width="9.85546875" style="44" customWidth="1"/>
    <col min="1281" max="1281" width="10.5703125" style="44" customWidth="1"/>
    <col min="1282" max="1282" width="10" style="44" customWidth="1"/>
    <col min="1283" max="1283" width="9.85546875" style="44" customWidth="1"/>
    <col min="1284" max="1284" width="10.140625" style="44" customWidth="1"/>
    <col min="1285" max="1285" width="13.85546875" style="44" customWidth="1"/>
    <col min="1286" max="1286" width="12.5703125" style="44" customWidth="1"/>
    <col min="1287" max="1533" width="9.140625" style="44"/>
    <col min="1534" max="1534" width="10.85546875" style="44" customWidth="1"/>
    <col min="1535" max="1535" width="10.28515625" style="44" customWidth="1"/>
    <col min="1536" max="1536" width="9.85546875" style="44" customWidth="1"/>
    <col min="1537" max="1537" width="10.5703125" style="44" customWidth="1"/>
    <col min="1538" max="1538" width="10" style="44" customWidth="1"/>
    <col min="1539" max="1539" width="9.85546875" style="44" customWidth="1"/>
    <col min="1540" max="1540" width="10.140625" style="44" customWidth="1"/>
    <col min="1541" max="1541" width="13.85546875" style="44" customWidth="1"/>
    <col min="1542" max="1542" width="12.5703125" style="44" customWidth="1"/>
    <col min="1543" max="1789" width="9.140625" style="44"/>
    <col min="1790" max="1790" width="10.85546875" style="44" customWidth="1"/>
    <col min="1791" max="1791" width="10.28515625" style="44" customWidth="1"/>
    <col min="1792" max="1792" width="9.85546875" style="44" customWidth="1"/>
    <col min="1793" max="1793" width="10.5703125" style="44" customWidth="1"/>
    <col min="1794" max="1794" width="10" style="44" customWidth="1"/>
    <col min="1795" max="1795" width="9.85546875" style="44" customWidth="1"/>
    <col min="1796" max="1796" width="10.140625" style="44" customWidth="1"/>
    <col min="1797" max="1797" width="13.85546875" style="44" customWidth="1"/>
    <col min="1798" max="1798" width="12.5703125" style="44" customWidth="1"/>
    <col min="1799" max="2045" width="9.140625" style="44"/>
    <col min="2046" max="2046" width="10.85546875" style="44" customWidth="1"/>
    <col min="2047" max="2047" width="10.28515625" style="44" customWidth="1"/>
    <col min="2048" max="2048" width="9.85546875" style="44" customWidth="1"/>
    <col min="2049" max="2049" width="10.5703125" style="44" customWidth="1"/>
    <col min="2050" max="2050" width="10" style="44" customWidth="1"/>
    <col min="2051" max="2051" width="9.85546875" style="44" customWidth="1"/>
    <col min="2052" max="2052" width="10.140625" style="44" customWidth="1"/>
    <col min="2053" max="2053" width="13.85546875" style="44" customWidth="1"/>
    <col min="2054" max="2054" width="12.5703125" style="44" customWidth="1"/>
    <col min="2055" max="2301" width="9.140625" style="44"/>
    <col min="2302" max="2302" width="10.85546875" style="44" customWidth="1"/>
    <col min="2303" max="2303" width="10.28515625" style="44" customWidth="1"/>
    <col min="2304" max="2304" width="9.85546875" style="44" customWidth="1"/>
    <col min="2305" max="2305" width="10.5703125" style="44" customWidth="1"/>
    <col min="2306" max="2306" width="10" style="44" customWidth="1"/>
    <col min="2307" max="2307" width="9.85546875" style="44" customWidth="1"/>
    <col min="2308" max="2308" width="10.140625" style="44" customWidth="1"/>
    <col min="2309" max="2309" width="13.85546875" style="44" customWidth="1"/>
    <col min="2310" max="2310" width="12.5703125" style="44" customWidth="1"/>
    <col min="2311" max="2557" width="9.140625" style="44"/>
    <col min="2558" max="2558" width="10.85546875" style="44" customWidth="1"/>
    <col min="2559" max="2559" width="10.28515625" style="44" customWidth="1"/>
    <col min="2560" max="2560" width="9.85546875" style="44" customWidth="1"/>
    <col min="2561" max="2561" width="10.5703125" style="44" customWidth="1"/>
    <col min="2562" max="2562" width="10" style="44" customWidth="1"/>
    <col min="2563" max="2563" width="9.85546875" style="44" customWidth="1"/>
    <col min="2564" max="2564" width="10.140625" style="44" customWidth="1"/>
    <col min="2565" max="2565" width="13.85546875" style="44" customWidth="1"/>
    <col min="2566" max="2566" width="12.5703125" style="44" customWidth="1"/>
    <col min="2567" max="2813" width="9.140625" style="44"/>
    <col min="2814" max="2814" width="10.85546875" style="44" customWidth="1"/>
    <col min="2815" max="2815" width="10.28515625" style="44" customWidth="1"/>
    <col min="2816" max="2816" width="9.85546875" style="44" customWidth="1"/>
    <col min="2817" max="2817" width="10.5703125" style="44" customWidth="1"/>
    <col min="2818" max="2818" width="10" style="44" customWidth="1"/>
    <col min="2819" max="2819" width="9.85546875" style="44" customWidth="1"/>
    <col min="2820" max="2820" width="10.140625" style="44" customWidth="1"/>
    <col min="2821" max="2821" width="13.85546875" style="44" customWidth="1"/>
    <col min="2822" max="2822" width="12.5703125" style="44" customWidth="1"/>
    <col min="2823" max="3069" width="9.140625" style="44"/>
    <col min="3070" max="3070" width="10.85546875" style="44" customWidth="1"/>
    <col min="3071" max="3071" width="10.28515625" style="44" customWidth="1"/>
    <col min="3072" max="3072" width="9.85546875" style="44" customWidth="1"/>
    <col min="3073" max="3073" width="10.5703125" style="44" customWidth="1"/>
    <col min="3074" max="3074" width="10" style="44" customWidth="1"/>
    <col min="3075" max="3075" width="9.85546875" style="44" customWidth="1"/>
    <col min="3076" max="3076" width="10.140625" style="44" customWidth="1"/>
    <col min="3077" max="3077" width="13.85546875" style="44" customWidth="1"/>
    <col min="3078" max="3078" width="12.5703125" style="44" customWidth="1"/>
    <col min="3079" max="3325" width="9.140625" style="44"/>
    <col min="3326" max="3326" width="10.85546875" style="44" customWidth="1"/>
    <col min="3327" max="3327" width="10.28515625" style="44" customWidth="1"/>
    <col min="3328" max="3328" width="9.85546875" style="44" customWidth="1"/>
    <col min="3329" max="3329" width="10.5703125" style="44" customWidth="1"/>
    <col min="3330" max="3330" width="10" style="44" customWidth="1"/>
    <col min="3331" max="3331" width="9.85546875" style="44" customWidth="1"/>
    <col min="3332" max="3332" width="10.140625" style="44" customWidth="1"/>
    <col min="3333" max="3333" width="13.85546875" style="44" customWidth="1"/>
    <col min="3334" max="3334" width="12.5703125" style="44" customWidth="1"/>
    <col min="3335" max="3581" width="9.140625" style="44"/>
    <col min="3582" max="3582" width="10.85546875" style="44" customWidth="1"/>
    <col min="3583" max="3583" width="10.28515625" style="44" customWidth="1"/>
    <col min="3584" max="3584" width="9.85546875" style="44" customWidth="1"/>
    <col min="3585" max="3585" width="10.5703125" style="44" customWidth="1"/>
    <col min="3586" max="3586" width="10" style="44" customWidth="1"/>
    <col min="3587" max="3587" width="9.85546875" style="44" customWidth="1"/>
    <col min="3588" max="3588" width="10.140625" style="44" customWidth="1"/>
    <col min="3589" max="3589" width="13.85546875" style="44" customWidth="1"/>
    <col min="3590" max="3590" width="12.5703125" style="44" customWidth="1"/>
    <col min="3591" max="3837" width="9.140625" style="44"/>
    <col min="3838" max="3838" width="10.85546875" style="44" customWidth="1"/>
    <col min="3839" max="3839" width="10.28515625" style="44" customWidth="1"/>
    <col min="3840" max="3840" width="9.85546875" style="44" customWidth="1"/>
    <col min="3841" max="3841" width="10.5703125" style="44" customWidth="1"/>
    <col min="3842" max="3842" width="10" style="44" customWidth="1"/>
    <col min="3843" max="3843" width="9.85546875" style="44" customWidth="1"/>
    <col min="3844" max="3844" width="10.140625" style="44" customWidth="1"/>
    <col min="3845" max="3845" width="13.85546875" style="44" customWidth="1"/>
    <col min="3846" max="3846" width="12.5703125" style="44" customWidth="1"/>
    <col min="3847" max="4093" width="9.140625" style="44"/>
    <col min="4094" max="4094" width="10.85546875" style="44" customWidth="1"/>
    <col min="4095" max="4095" width="10.28515625" style="44" customWidth="1"/>
    <col min="4096" max="4096" width="9.85546875" style="44" customWidth="1"/>
    <col min="4097" max="4097" width="10.5703125" style="44" customWidth="1"/>
    <col min="4098" max="4098" width="10" style="44" customWidth="1"/>
    <col min="4099" max="4099" width="9.85546875" style="44" customWidth="1"/>
    <col min="4100" max="4100" width="10.140625" style="44" customWidth="1"/>
    <col min="4101" max="4101" width="13.85546875" style="44" customWidth="1"/>
    <col min="4102" max="4102" width="12.5703125" style="44" customWidth="1"/>
    <col min="4103" max="4349" width="9.140625" style="44"/>
    <col min="4350" max="4350" width="10.85546875" style="44" customWidth="1"/>
    <col min="4351" max="4351" width="10.28515625" style="44" customWidth="1"/>
    <col min="4352" max="4352" width="9.85546875" style="44" customWidth="1"/>
    <col min="4353" max="4353" width="10.5703125" style="44" customWidth="1"/>
    <col min="4354" max="4354" width="10" style="44" customWidth="1"/>
    <col min="4355" max="4355" width="9.85546875" style="44" customWidth="1"/>
    <col min="4356" max="4356" width="10.140625" style="44" customWidth="1"/>
    <col min="4357" max="4357" width="13.85546875" style="44" customWidth="1"/>
    <col min="4358" max="4358" width="12.5703125" style="44" customWidth="1"/>
    <col min="4359" max="4605" width="9.140625" style="44"/>
    <col min="4606" max="4606" width="10.85546875" style="44" customWidth="1"/>
    <col min="4607" max="4607" width="10.28515625" style="44" customWidth="1"/>
    <col min="4608" max="4608" width="9.85546875" style="44" customWidth="1"/>
    <col min="4609" max="4609" width="10.5703125" style="44" customWidth="1"/>
    <col min="4610" max="4610" width="10" style="44" customWidth="1"/>
    <col min="4611" max="4611" width="9.85546875" style="44" customWidth="1"/>
    <col min="4612" max="4612" width="10.140625" style="44" customWidth="1"/>
    <col min="4613" max="4613" width="13.85546875" style="44" customWidth="1"/>
    <col min="4614" max="4614" width="12.5703125" style="44" customWidth="1"/>
    <col min="4615" max="4861" width="9.140625" style="44"/>
    <col min="4862" max="4862" width="10.85546875" style="44" customWidth="1"/>
    <col min="4863" max="4863" width="10.28515625" style="44" customWidth="1"/>
    <col min="4864" max="4864" width="9.85546875" style="44" customWidth="1"/>
    <col min="4865" max="4865" width="10.5703125" style="44" customWidth="1"/>
    <col min="4866" max="4866" width="10" style="44" customWidth="1"/>
    <col min="4867" max="4867" width="9.85546875" style="44" customWidth="1"/>
    <col min="4868" max="4868" width="10.140625" style="44" customWidth="1"/>
    <col min="4869" max="4869" width="13.85546875" style="44" customWidth="1"/>
    <col min="4870" max="4870" width="12.5703125" style="44" customWidth="1"/>
    <col min="4871" max="5117" width="9.140625" style="44"/>
    <col min="5118" max="5118" width="10.85546875" style="44" customWidth="1"/>
    <col min="5119" max="5119" width="10.28515625" style="44" customWidth="1"/>
    <col min="5120" max="5120" width="9.85546875" style="44" customWidth="1"/>
    <col min="5121" max="5121" width="10.5703125" style="44" customWidth="1"/>
    <col min="5122" max="5122" width="10" style="44" customWidth="1"/>
    <col min="5123" max="5123" width="9.85546875" style="44" customWidth="1"/>
    <col min="5124" max="5124" width="10.140625" style="44" customWidth="1"/>
    <col min="5125" max="5125" width="13.85546875" style="44" customWidth="1"/>
    <col min="5126" max="5126" width="12.5703125" style="44" customWidth="1"/>
    <col min="5127" max="5373" width="9.140625" style="44"/>
    <col min="5374" max="5374" width="10.85546875" style="44" customWidth="1"/>
    <col min="5375" max="5375" width="10.28515625" style="44" customWidth="1"/>
    <col min="5376" max="5376" width="9.85546875" style="44" customWidth="1"/>
    <col min="5377" max="5377" width="10.5703125" style="44" customWidth="1"/>
    <col min="5378" max="5378" width="10" style="44" customWidth="1"/>
    <col min="5379" max="5379" width="9.85546875" style="44" customWidth="1"/>
    <col min="5380" max="5380" width="10.140625" style="44" customWidth="1"/>
    <col min="5381" max="5381" width="13.85546875" style="44" customWidth="1"/>
    <col min="5382" max="5382" width="12.5703125" style="44" customWidth="1"/>
    <col min="5383" max="5629" width="9.140625" style="44"/>
    <col min="5630" max="5630" width="10.85546875" style="44" customWidth="1"/>
    <col min="5631" max="5631" width="10.28515625" style="44" customWidth="1"/>
    <col min="5632" max="5632" width="9.85546875" style="44" customWidth="1"/>
    <col min="5633" max="5633" width="10.5703125" style="44" customWidth="1"/>
    <col min="5634" max="5634" width="10" style="44" customWidth="1"/>
    <col min="5635" max="5635" width="9.85546875" style="44" customWidth="1"/>
    <col min="5636" max="5636" width="10.140625" style="44" customWidth="1"/>
    <col min="5637" max="5637" width="13.85546875" style="44" customWidth="1"/>
    <col min="5638" max="5638" width="12.5703125" style="44" customWidth="1"/>
    <col min="5639" max="5885" width="9.140625" style="44"/>
    <col min="5886" max="5886" width="10.85546875" style="44" customWidth="1"/>
    <col min="5887" max="5887" width="10.28515625" style="44" customWidth="1"/>
    <col min="5888" max="5888" width="9.85546875" style="44" customWidth="1"/>
    <col min="5889" max="5889" width="10.5703125" style="44" customWidth="1"/>
    <col min="5890" max="5890" width="10" style="44" customWidth="1"/>
    <col min="5891" max="5891" width="9.85546875" style="44" customWidth="1"/>
    <col min="5892" max="5892" width="10.140625" style="44" customWidth="1"/>
    <col min="5893" max="5893" width="13.85546875" style="44" customWidth="1"/>
    <col min="5894" max="5894" width="12.5703125" style="44" customWidth="1"/>
    <col min="5895" max="6141" width="9.140625" style="44"/>
    <col min="6142" max="6142" width="10.85546875" style="44" customWidth="1"/>
    <col min="6143" max="6143" width="10.28515625" style="44" customWidth="1"/>
    <col min="6144" max="6144" width="9.85546875" style="44" customWidth="1"/>
    <col min="6145" max="6145" width="10.5703125" style="44" customWidth="1"/>
    <col min="6146" max="6146" width="10" style="44" customWidth="1"/>
    <col min="6147" max="6147" width="9.85546875" style="44" customWidth="1"/>
    <col min="6148" max="6148" width="10.140625" style="44" customWidth="1"/>
    <col min="6149" max="6149" width="13.85546875" style="44" customWidth="1"/>
    <col min="6150" max="6150" width="12.5703125" style="44" customWidth="1"/>
    <col min="6151" max="6397" width="9.140625" style="44"/>
    <col min="6398" max="6398" width="10.85546875" style="44" customWidth="1"/>
    <col min="6399" max="6399" width="10.28515625" style="44" customWidth="1"/>
    <col min="6400" max="6400" width="9.85546875" style="44" customWidth="1"/>
    <col min="6401" max="6401" width="10.5703125" style="44" customWidth="1"/>
    <col min="6402" max="6402" width="10" style="44" customWidth="1"/>
    <col min="6403" max="6403" width="9.85546875" style="44" customWidth="1"/>
    <col min="6404" max="6404" width="10.140625" style="44" customWidth="1"/>
    <col min="6405" max="6405" width="13.85546875" style="44" customWidth="1"/>
    <col min="6406" max="6406" width="12.5703125" style="44" customWidth="1"/>
    <col min="6407" max="6653" width="9.140625" style="44"/>
    <col min="6654" max="6654" width="10.85546875" style="44" customWidth="1"/>
    <col min="6655" max="6655" width="10.28515625" style="44" customWidth="1"/>
    <col min="6656" max="6656" width="9.85546875" style="44" customWidth="1"/>
    <col min="6657" max="6657" width="10.5703125" style="44" customWidth="1"/>
    <col min="6658" max="6658" width="10" style="44" customWidth="1"/>
    <col min="6659" max="6659" width="9.85546875" style="44" customWidth="1"/>
    <col min="6660" max="6660" width="10.140625" style="44" customWidth="1"/>
    <col min="6661" max="6661" width="13.85546875" style="44" customWidth="1"/>
    <col min="6662" max="6662" width="12.5703125" style="44" customWidth="1"/>
    <col min="6663" max="6909" width="9.140625" style="44"/>
    <col min="6910" max="6910" width="10.85546875" style="44" customWidth="1"/>
    <col min="6911" max="6911" width="10.28515625" style="44" customWidth="1"/>
    <col min="6912" max="6912" width="9.85546875" style="44" customWidth="1"/>
    <col min="6913" max="6913" width="10.5703125" style="44" customWidth="1"/>
    <col min="6914" max="6914" width="10" style="44" customWidth="1"/>
    <col min="6915" max="6915" width="9.85546875" style="44" customWidth="1"/>
    <col min="6916" max="6916" width="10.140625" style="44" customWidth="1"/>
    <col min="6917" max="6917" width="13.85546875" style="44" customWidth="1"/>
    <col min="6918" max="6918" width="12.5703125" style="44" customWidth="1"/>
    <col min="6919" max="7165" width="9.140625" style="44"/>
    <col min="7166" max="7166" width="10.85546875" style="44" customWidth="1"/>
    <col min="7167" max="7167" width="10.28515625" style="44" customWidth="1"/>
    <col min="7168" max="7168" width="9.85546875" style="44" customWidth="1"/>
    <col min="7169" max="7169" width="10.5703125" style="44" customWidth="1"/>
    <col min="7170" max="7170" width="10" style="44" customWidth="1"/>
    <col min="7171" max="7171" width="9.85546875" style="44" customWidth="1"/>
    <col min="7172" max="7172" width="10.140625" style="44" customWidth="1"/>
    <col min="7173" max="7173" width="13.85546875" style="44" customWidth="1"/>
    <col min="7174" max="7174" width="12.5703125" style="44" customWidth="1"/>
    <col min="7175" max="7421" width="9.140625" style="44"/>
    <col min="7422" max="7422" width="10.85546875" style="44" customWidth="1"/>
    <col min="7423" max="7423" width="10.28515625" style="44" customWidth="1"/>
    <col min="7424" max="7424" width="9.85546875" style="44" customWidth="1"/>
    <col min="7425" max="7425" width="10.5703125" style="44" customWidth="1"/>
    <col min="7426" max="7426" width="10" style="44" customWidth="1"/>
    <col min="7427" max="7427" width="9.85546875" style="44" customWidth="1"/>
    <col min="7428" max="7428" width="10.140625" style="44" customWidth="1"/>
    <col min="7429" max="7429" width="13.85546875" style="44" customWidth="1"/>
    <col min="7430" max="7430" width="12.5703125" style="44" customWidth="1"/>
    <col min="7431" max="7677" width="9.140625" style="44"/>
    <col min="7678" max="7678" width="10.85546875" style="44" customWidth="1"/>
    <col min="7679" max="7679" width="10.28515625" style="44" customWidth="1"/>
    <col min="7680" max="7680" width="9.85546875" style="44" customWidth="1"/>
    <col min="7681" max="7681" width="10.5703125" style="44" customWidth="1"/>
    <col min="7682" max="7682" width="10" style="44" customWidth="1"/>
    <col min="7683" max="7683" width="9.85546875" style="44" customWidth="1"/>
    <col min="7684" max="7684" width="10.140625" style="44" customWidth="1"/>
    <col min="7685" max="7685" width="13.85546875" style="44" customWidth="1"/>
    <col min="7686" max="7686" width="12.5703125" style="44" customWidth="1"/>
    <col min="7687" max="7933" width="9.140625" style="44"/>
    <col min="7934" max="7934" width="10.85546875" style="44" customWidth="1"/>
    <col min="7935" max="7935" width="10.28515625" style="44" customWidth="1"/>
    <col min="7936" max="7936" width="9.85546875" style="44" customWidth="1"/>
    <col min="7937" max="7937" width="10.5703125" style="44" customWidth="1"/>
    <col min="7938" max="7938" width="10" style="44" customWidth="1"/>
    <col min="7939" max="7939" width="9.85546875" style="44" customWidth="1"/>
    <col min="7940" max="7940" width="10.140625" style="44" customWidth="1"/>
    <col min="7941" max="7941" width="13.85546875" style="44" customWidth="1"/>
    <col min="7942" max="7942" width="12.5703125" style="44" customWidth="1"/>
    <col min="7943" max="8189" width="9.140625" style="44"/>
    <col min="8190" max="8190" width="10.85546875" style="44" customWidth="1"/>
    <col min="8191" max="8191" width="10.28515625" style="44" customWidth="1"/>
    <col min="8192" max="8192" width="9.85546875" style="44" customWidth="1"/>
    <col min="8193" max="8193" width="10.5703125" style="44" customWidth="1"/>
    <col min="8194" max="8194" width="10" style="44" customWidth="1"/>
    <col min="8195" max="8195" width="9.85546875" style="44" customWidth="1"/>
    <col min="8196" max="8196" width="10.140625" style="44" customWidth="1"/>
    <col min="8197" max="8197" width="13.85546875" style="44" customWidth="1"/>
    <col min="8198" max="8198" width="12.5703125" style="44" customWidth="1"/>
    <col min="8199" max="8445" width="9.140625" style="44"/>
    <col min="8446" max="8446" width="10.85546875" style="44" customWidth="1"/>
    <col min="8447" max="8447" width="10.28515625" style="44" customWidth="1"/>
    <col min="8448" max="8448" width="9.85546875" style="44" customWidth="1"/>
    <col min="8449" max="8449" width="10.5703125" style="44" customWidth="1"/>
    <col min="8450" max="8450" width="10" style="44" customWidth="1"/>
    <col min="8451" max="8451" width="9.85546875" style="44" customWidth="1"/>
    <col min="8452" max="8452" width="10.140625" style="44" customWidth="1"/>
    <col min="8453" max="8453" width="13.85546875" style="44" customWidth="1"/>
    <col min="8454" max="8454" width="12.5703125" style="44" customWidth="1"/>
    <col min="8455" max="8701" width="9.140625" style="44"/>
    <col min="8702" max="8702" width="10.85546875" style="44" customWidth="1"/>
    <col min="8703" max="8703" width="10.28515625" style="44" customWidth="1"/>
    <col min="8704" max="8704" width="9.85546875" style="44" customWidth="1"/>
    <col min="8705" max="8705" width="10.5703125" style="44" customWidth="1"/>
    <col min="8706" max="8706" width="10" style="44" customWidth="1"/>
    <col min="8707" max="8707" width="9.85546875" style="44" customWidth="1"/>
    <col min="8708" max="8708" width="10.140625" style="44" customWidth="1"/>
    <col min="8709" max="8709" width="13.85546875" style="44" customWidth="1"/>
    <col min="8710" max="8710" width="12.5703125" style="44" customWidth="1"/>
    <col min="8711" max="8957" width="9.140625" style="44"/>
    <col min="8958" max="8958" width="10.85546875" style="44" customWidth="1"/>
    <col min="8959" max="8959" width="10.28515625" style="44" customWidth="1"/>
    <col min="8960" max="8960" width="9.85546875" style="44" customWidth="1"/>
    <col min="8961" max="8961" width="10.5703125" style="44" customWidth="1"/>
    <col min="8962" max="8962" width="10" style="44" customWidth="1"/>
    <col min="8963" max="8963" width="9.85546875" style="44" customWidth="1"/>
    <col min="8964" max="8964" width="10.140625" style="44" customWidth="1"/>
    <col min="8965" max="8965" width="13.85546875" style="44" customWidth="1"/>
    <col min="8966" max="8966" width="12.5703125" style="44" customWidth="1"/>
    <col min="8967" max="9213" width="9.140625" style="44"/>
    <col min="9214" max="9214" width="10.85546875" style="44" customWidth="1"/>
    <col min="9215" max="9215" width="10.28515625" style="44" customWidth="1"/>
    <col min="9216" max="9216" width="9.85546875" style="44" customWidth="1"/>
    <col min="9217" max="9217" width="10.5703125" style="44" customWidth="1"/>
    <col min="9218" max="9218" width="10" style="44" customWidth="1"/>
    <col min="9219" max="9219" width="9.85546875" style="44" customWidth="1"/>
    <col min="9220" max="9220" width="10.140625" style="44" customWidth="1"/>
    <col min="9221" max="9221" width="13.85546875" style="44" customWidth="1"/>
    <col min="9222" max="9222" width="12.5703125" style="44" customWidth="1"/>
    <col min="9223" max="9469" width="9.140625" style="44"/>
    <col min="9470" max="9470" width="10.85546875" style="44" customWidth="1"/>
    <col min="9471" max="9471" width="10.28515625" style="44" customWidth="1"/>
    <col min="9472" max="9472" width="9.85546875" style="44" customWidth="1"/>
    <col min="9473" max="9473" width="10.5703125" style="44" customWidth="1"/>
    <col min="9474" max="9474" width="10" style="44" customWidth="1"/>
    <col min="9475" max="9475" width="9.85546875" style="44" customWidth="1"/>
    <col min="9476" max="9476" width="10.140625" style="44" customWidth="1"/>
    <col min="9477" max="9477" width="13.85546875" style="44" customWidth="1"/>
    <col min="9478" max="9478" width="12.5703125" style="44" customWidth="1"/>
    <col min="9479" max="9725" width="9.140625" style="44"/>
    <col min="9726" max="9726" width="10.85546875" style="44" customWidth="1"/>
    <col min="9727" max="9727" width="10.28515625" style="44" customWidth="1"/>
    <col min="9728" max="9728" width="9.85546875" style="44" customWidth="1"/>
    <col min="9729" max="9729" width="10.5703125" style="44" customWidth="1"/>
    <col min="9730" max="9730" width="10" style="44" customWidth="1"/>
    <col min="9731" max="9731" width="9.85546875" style="44" customWidth="1"/>
    <col min="9732" max="9732" width="10.140625" style="44" customWidth="1"/>
    <col min="9733" max="9733" width="13.85546875" style="44" customWidth="1"/>
    <col min="9734" max="9734" width="12.5703125" style="44" customWidth="1"/>
    <col min="9735" max="9981" width="9.140625" style="44"/>
    <col min="9982" max="9982" width="10.85546875" style="44" customWidth="1"/>
    <col min="9983" max="9983" width="10.28515625" style="44" customWidth="1"/>
    <col min="9984" max="9984" width="9.85546875" style="44" customWidth="1"/>
    <col min="9985" max="9985" width="10.5703125" style="44" customWidth="1"/>
    <col min="9986" max="9986" width="10" style="44" customWidth="1"/>
    <col min="9987" max="9987" width="9.85546875" style="44" customWidth="1"/>
    <col min="9988" max="9988" width="10.140625" style="44" customWidth="1"/>
    <col min="9989" max="9989" width="13.85546875" style="44" customWidth="1"/>
    <col min="9990" max="9990" width="12.5703125" style="44" customWidth="1"/>
    <col min="9991" max="10237" width="9.140625" style="44"/>
    <col min="10238" max="10238" width="10.85546875" style="44" customWidth="1"/>
    <col min="10239" max="10239" width="10.28515625" style="44" customWidth="1"/>
    <col min="10240" max="10240" width="9.85546875" style="44" customWidth="1"/>
    <col min="10241" max="10241" width="10.5703125" style="44" customWidth="1"/>
    <col min="10242" max="10242" width="10" style="44" customWidth="1"/>
    <col min="10243" max="10243" width="9.85546875" style="44" customWidth="1"/>
    <col min="10244" max="10244" width="10.140625" style="44" customWidth="1"/>
    <col min="10245" max="10245" width="13.85546875" style="44" customWidth="1"/>
    <col min="10246" max="10246" width="12.5703125" style="44" customWidth="1"/>
    <col min="10247" max="10493" width="9.140625" style="44"/>
    <col min="10494" max="10494" width="10.85546875" style="44" customWidth="1"/>
    <col min="10495" max="10495" width="10.28515625" style="44" customWidth="1"/>
    <col min="10496" max="10496" width="9.85546875" style="44" customWidth="1"/>
    <col min="10497" max="10497" width="10.5703125" style="44" customWidth="1"/>
    <col min="10498" max="10498" width="10" style="44" customWidth="1"/>
    <col min="10499" max="10499" width="9.85546875" style="44" customWidth="1"/>
    <col min="10500" max="10500" width="10.140625" style="44" customWidth="1"/>
    <col min="10501" max="10501" width="13.85546875" style="44" customWidth="1"/>
    <col min="10502" max="10502" width="12.5703125" style="44" customWidth="1"/>
    <col min="10503" max="10749" width="9.140625" style="44"/>
    <col min="10750" max="10750" width="10.85546875" style="44" customWidth="1"/>
    <col min="10751" max="10751" width="10.28515625" style="44" customWidth="1"/>
    <col min="10752" max="10752" width="9.85546875" style="44" customWidth="1"/>
    <col min="10753" max="10753" width="10.5703125" style="44" customWidth="1"/>
    <col min="10754" max="10754" width="10" style="44" customWidth="1"/>
    <col min="10755" max="10755" width="9.85546875" style="44" customWidth="1"/>
    <col min="10756" max="10756" width="10.140625" style="44" customWidth="1"/>
    <col min="10757" max="10757" width="13.85546875" style="44" customWidth="1"/>
    <col min="10758" max="10758" width="12.5703125" style="44" customWidth="1"/>
    <col min="10759" max="11005" width="9.140625" style="44"/>
    <col min="11006" max="11006" width="10.85546875" style="44" customWidth="1"/>
    <col min="11007" max="11007" width="10.28515625" style="44" customWidth="1"/>
    <col min="11008" max="11008" width="9.85546875" style="44" customWidth="1"/>
    <col min="11009" max="11009" width="10.5703125" style="44" customWidth="1"/>
    <col min="11010" max="11010" width="10" style="44" customWidth="1"/>
    <col min="11011" max="11011" width="9.85546875" style="44" customWidth="1"/>
    <col min="11012" max="11012" width="10.140625" style="44" customWidth="1"/>
    <col min="11013" max="11013" width="13.85546875" style="44" customWidth="1"/>
    <col min="11014" max="11014" width="12.5703125" style="44" customWidth="1"/>
    <col min="11015" max="11261" width="9.140625" style="44"/>
    <col min="11262" max="11262" width="10.85546875" style="44" customWidth="1"/>
    <col min="11263" max="11263" width="10.28515625" style="44" customWidth="1"/>
    <col min="11264" max="11264" width="9.85546875" style="44" customWidth="1"/>
    <col min="11265" max="11265" width="10.5703125" style="44" customWidth="1"/>
    <col min="11266" max="11266" width="10" style="44" customWidth="1"/>
    <col min="11267" max="11267" width="9.85546875" style="44" customWidth="1"/>
    <col min="11268" max="11268" width="10.140625" style="44" customWidth="1"/>
    <col min="11269" max="11269" width="13.85546875" style="44" customWidth="1"/>
    <col min="11270" max="11270" width="12.5703125" style="44" customWidth="1"/>
    <col min="11271" max="11517" width="9.140625" style="44"/>
    <col min="11518" max="11518" width="10.85546875" style="44" customWidth="1"/>
    <col min="11519" max="11519" width="10.28515625" style="44" customWidth="1"/>
    <col min="11520" max="11520" width="9.85546875" style="44" customWidth="1"/>
    <col min="11521" max="11521" width="10.5703125" style="44" customWidth="1"/>
    <col min="11522" max="11522" width="10" style="44" customWidth="1"/>
    <col min="11523" max="11523" width="9.85546875" style="44" customWidth="1"/>
    <col min="11524" max="11524" width="10.140625" style="44" customWidth="1"/>
    <col min="11525" max="11525" width="13.85546875" style="44" customWidth="1"/>
    <col min="11526" max="11526" width="12.5703125" style="44" customWidth="1"/>
    <col min="11527" max="11773" width="9.140625" style="44"/>
    <col min="11774" max="11774" width="10.85546875" style="44" customWidth="1"/>
    <col min="11775" max="11775" width="10.28515625" style="44" customWidth="1"/>
    <col min="11776" max="11776" width="9.85546875" style="44" customWidth="1"/>
    <col min="11777" max="11777" width="10.5703125" style="44" customWidth="1"/>
    <col min="11778" max="11778" width="10" style="44" customWidth="1"/>
    <col min="11779" max="11779" width="9.85546875" style="44" customWidth="1"/>
    <col min="11780" max="11780" width="10.140625" style="44" customWidth="1"/>
    <col min="11781" max="11781" width="13.85546875" style="44" customWidth="1"/>
    <col min="11782" max="11782" width="12.5703125" style="44" customWidth="1"/>
    <col min="11783" max="12029" width="9.140625" style="44"/>
    <col min="12030" max="12030" width="10.85546875" style="44" customWidth="1"/>
    <col min="12031" max="12031" width="10.28515625" style="44" customWidth="1"/>
    <col min="12032" max="12032" width="9.85546875" style="44" customWidth="1"/>
    <col min="12033" max="12033" width="10.5703125" style="44" customWidth="1"/>
    <col min="12034" max="12034" width="10" style="44" customWidth="1"/>
    <col min="12035" max="12035" width="9.85546875" style="44" customWidth="1"/>
    <col min="12036" max="12036" width="10.140625" style="44" customWidth="1"/>
    <col min="12037" max="12037" width="13.85546875" style="44" customWidth="1"/>
    <col min="12038" max="12038" width="12.5703125" style="44" customWidth="1"/>
    <col min="12039" max="12285" width="9.140625" style="44"/>
    <col min="12286" max="12286" width="10.85546875" style="44" customWidth="1"/>
    <col min="12287" max="12287" width="10.28515625" style="44" customWidth="1"/>
    <col min="12288" max="12288" width="9.85546875" style="44" customWidth="1"/>
    <col min="12289" max="12289" width="10.5703125" style="44" customWidth="1"/>
    <col min="12290" max="12290" width="10" style="44" customWidth="1"/>
    <col min="12291" max="12291" width="9.85546875" style="44" customWidth="1"/>
    <col min="12292" max="12292" width="10.140625" style="44" customWidth="1"/>
    <col min="12293" max="12293" width="13.85546875" style="44" customWidth="1"/>
    <col min="12294" max="12294" width="12.5703125" style="44" customWidth="1"/>
    <col min="12295" max="12541" width="9.140625" style="44"/>
    <col min="12542" max="12542" width="10.85546875" style="44" customWidth="1"/>
    <col min="12543" max="12543" width="10.28515625" style="44" customWidth="1"/>
    <col min="12544" max="12544" width="9.85546875" style="44" customWidth="1"/>
    <col min="12545" max="12545" width="10.5703125" style="44" customWidth="1"/>
    <col min="12546" max="12546" width="10" style="44" customWidth="1"/>
    <col min="12547" max="12547" width="9.85546875" style="44" customWidth="1"/>
    <col min="12548" max="12548" width="10.140625" style="44" customWidth="1"/>
    <col min="12549" max="12549" width="13.85546875" style="44" customWidth="1"/>
    <col min="12550" max="12550" width="12.5703125" style="44" customWidth="1"/>
    <col min="12551" max="12797" width="9.140625" style="44"/>
    <col min="12798" max="12798" width="10.85546875" style="44" customWidth="1"/>
    <col min="12799" max="12799" width="10.28515625" style="44" customWidth="1"/>
    <col min="12800" max="12800" width="9.85546875" style="44" customWidth="1"/>
    <col min="12801" max="12801" width="10.5703125" style="44" customWidth="1"/>
    <col min="12802" max="12802" width="10" style="44" customWidth="1"/>
    <col min="12803" max="12803" width="9.85546875" style="44" customWidth="1"/>
    <col min="12804" max="12804" width="10.140625" style="44" customWidth="1"/>
    <col min="12805" max="12805" width="13.85546875" style="44" customWidth="1"/>
    <col min="12806" max="12806" width="12.5703125" style="44" customWidth="1"/>
    <col min="12807" max="13053" width="9.140625" style="44"/>
    <col min="13054" max="13054" width="10.85546875" style="44" customWidth="1"/>
    <col min="13055" max="13055" width="10.28515625" style="44" customWidth="1"/>
    <col min="13056" max="13056" width="9.85546875" style="44" customWidth="1"/>
    <col min="13057" max="13057" width="10.5703125" style="44" customWidth="1"/>
    <col min="13058" max="13058" width="10" style="44" customWidth="1"/>
    <col min="13059" max="13059" width="9.85546875" style="44" customWidth="1"/>
    <col min="13060" max="13060" width="10.140625" style="44" customWidth="1"/>
    <col min="13061" max="13061" width="13.85546875" style="44" customWidth="1"/>
    <col min="13062" max="13062" width="12.5703125" style="44" customWidth="1"/>
    <col min="13063" max="13309" width="9.140625" style="44"/>
    <col min="13310" max="13310" width="10.85546875" style="44" customWidth="1"/>
    <col min="13311" max="13311" width="10.28515625" style="44" customWidth="1"/>
    <col min="13312" max="13312" width="9.85546875" style="44" customWidth="1"/>
    <col min="13313" max="13313" width="10.5703125" style="44" customWidth="1"/>
    <col min="13314" max="13314" width="10" style="44" customWidth="1"/>
    <col min="13315" max="13315" width="9.85546875" style="44" customWidth="1"/>
    <col min="13316" max="13316" width="10.140625" style="44" customWidth="1"/>
    <col min="13317" max="13317" width="13.85546875" style="44" customWidth="1"/>
    <col min="13318" max="13318" width="12.5703125" style="44" customWidth="1"/>
    <col min="13319" max="13565" width="9.140625" style="44"/>
    <col min="13566" max="13566" width="10.85546875" style="44" customWidth="1"/>
    <col min="13567" max="13567" width="10.28515625" style="44" customWidth="1"/>
    <col min="13568" max="13568" width="9.85546875" style="44" customWidth="1"/>
    <col min="13569" max="13569" width="10.5703125" style="44" customWidth="1"/>
    <col min="13570" max="13570" width="10" style="44" customWidth="1"/>
    <col min="13571" max="13571" width="9.85546875" style="44" customWidth="1"/>
    <col min="13572" max="13572" width="10.140625" style="44" customWidth="1"/>
    <col min="13573" max="13573" width="13.85546875" style="44" customWidth="1"/>
    <col min="13574" max="13574" width="12.5703125" style="44" customWidth="1"/>
    <col min="13575" max="13821" width="9.140625" style="44"/>
    <col min="13822" max="13822" width="10.85546875" style="44" customWidth="1"/>
    <col min="13823" max="13823" width="10.28515625" style="44" customWidth="1"/>
    <col min="13824" max="13824" width="9.85546875" style="44" customWidth="1"/>
    <col min="13825" max="13825" width="10.5703125" style="44" customWidth="1"/>
    <col min="13826" max="13826" width="10" style="44" customWidth="1"/>
    <col min="13827" max="13827" width="9.85546875" style="44" customWidth="1"/>
    <col min="13828" max="13828" width="10.140625" style="44" customWidth="1"/>
    <col min="13829" max="13829" width="13.85546875" style="44" customWidth="1"/>
    <col min="13830" max="13830" width="12.5703125" style="44" customWidth="1"/>
    <col min="13831" max="14077" width="9.140625" style="44"/>
    <col min="14078" max="14078" width="10.85546875" style="44" customWidth="1"/>
    <col min="14079" max="14079" width="10.28515625" style="44" customWidth="1"/>
    <col min="14080" max="14080" width="9.85546875" style="44" customWidth="1"/>
    <col min="14081" max="14081" width="10.5703125" style="44" customWidth="1"/>
    <col min="14082" max="14082" width="10" style="44" customWidth="1"/>
    <col min="14083" max="14083" width="9.85546875" style="44" customWidth="1"/>
    <col min="14084" max="14084" width="10.140625" style="44" customWidth="1"/>
    <col min="14085" max="14085" width="13.85546875" style="44" customWidth="1"/>
    <col min="14086" max="14086" width="12.5703125" style="44" customWidth="1"/>
    <col min="14087" max="14333" width="9.140625" style="44"/>
    <col min="14334" max="14334" width="10.85546875" style="44" customWidth="1"/>
    <col min="14335" max="14335" width="10.28515625" style="44" customWidth="1"/>
    <col min="14336" max="14336" width="9.85546875" style="44" customWidth="1"/>
    <col min="14337" max="14337" width="10.5703125" style="44" customWidth="1"/>
    <col min="14338" max="14338" width="10" style="44" customWidth="1"/>
    <col min="14339" max="14339" width="9.85546875" style="44" customWidth="1"/>
    <col min="14340" max="14340" width="10.140625" style="44" customWidth="1"/>
    <col min="14341" max="14341" width="13.85546875" style="44" customWidth="1"/>
    <col min="14342" max="14342" width="12.5703125" style="44" customWidth="1"/>
    <col min="14343" max="14589" width="9.140625" style="44"/>
    <col min="14590" max="14590" width="10.85546875" style="44" customWidth="1"/>
    <col min="14591" max="14591" width="10.28515625" style="44" customWidth="1"/>
    <col min="14592" max="14592" width="9.85546875" style="44" customWidth="1"/>
    <col min="14593" max="14593" width="10.5703125" style="44" customWidth="1"/>
    <col min="14594" max="14594" width="10" style="44" customWidth="1"/>
    <col min="14595" max="14595" width="9.85546875" style="44" customWidth="1"/>
    <col min="14596" max="14596" width="10.140625" style="44" customWidth="1"/>
    <col min="14597" max="14597" width="13.85546875" style="44" customWidth="1"/>
    <col min="14598" max="14598" width="12.5703125" style="44" customWidth="1"/>
    <col min="14599" max="14845" width="9.140625" style="44"/>
    <col min="14846" max="14846" width="10.85546875" style="44" customWidth="1"/>
    <col min="14847" max="14847" width="10.28515625" style="44" customWidth="1"/>
    <col min="14848" max="14848" width="9.85546875" style="44" customWidth="1"/>
    <col min="14849" max="14849" width="10.5703125" style="44" customWidth="1"/>
    <col min="14850" max="14850" width="10" style="44" customWidth="1"/>
    <col min="14851" max="14851" width="9.85546875" style="44" customWidth="1"/>
    <col min="14852" max="14852" width="10.140625" style="44" customWidth="1"/>
    <col min="14853" max="14853" width="13.85546875" style="44" customWidth="1"/>
    <col min="14854" max="14854" width="12.5703125" style="44" customWidth="1"/>
    <col min="14855" max="15101" width="9.140625" style="44"/>
    <col min="15102" max="15102" width="10.85546875" style="44" customWidth="1"/>
    <col min="15103" max="15103" width="10.28515625" style="44" customWidth="1"/>
    <col min="15104" max="15104" width="9.85546875" style="44" customWidth="1"/>
    <col min="15105" max="15105" width="10.5703125" style="44" customWidth="1"/>
    <col min="15106" max="15106" width="10" style="44" customWidth="1"/>
    <col min="15107" max="15107" width="9.85546875" style="44" customWidth="1"/>
    <col min="15108" max="15108" width="10.140625" style="44" customWidth="1"/>
    <col min="15109" max="15109" width="13.85546875" style="44" customWidth="1"/>
    <col min="15110" max="15110" width="12.5703125" style="44" customWidth="1"/>
    <col min="15111" max="15357" width="9.140625" style="44"/>
    <col min="15358" max="15358" width="10.85546875" style="44" customWidth="1"/>
    <col min="15359" max="15359" width="10.28515625" style="44" customWidth="1"/>
    <col min="15360" max="15360" width="9.85546875" style="44" customWidth="1"/>
    <col min="15361" max="15361" width="10.5703125" style="44" customWidth="1"/>
    <col min="15362" max="15362" width="10" style="44" customWidth="1"/>
    <col min="15363" max="15363" width="9.85546875" style="44" customWidth="1"/>
    <col min="15364" max="15364" width="10.140625" style="44" customWidth="1"/>
    <col min="15365" max="15365" width="13.85546875" style="44" customWidth="1"/>
    <col min="15366" max="15366" width="12.5703125" style="44" customWidth="1"/>
    <col min="15367" max="15613" width="9.140625" style="44"/>
    <col min="15614" max="15614" width="10.85546875" style="44" customWidth="1"/>
    <col min="15615" max="15615" width="10.28515625" style="44" customWidth="1"/>
    <col min="15616" max="15616" width="9.85546875" style="44" customWidth="1"/>
    <col min="15617" max="15617" width="10.5703125" style="44" customWidth="1"/>
    <col min="15618" max="15618" width="10" style="44" customWidth="1"/>
    <col min="15619" max="15619" width="9.85546875" style="44" customWidth="1"/>
    <col min="15620" max="15620" width="10.140625" style="44" customWidth="1"/>
    <col min="15621" max="15621" width="13.85546875" style="44" customWidth="1"/>
    <col min="15622" max="15622" width="12.5703125" style="44" customWidth="1"/>
    <col min="15623" max="15869" width="9.140625" style="44"/>
    <col min="15870" max="15870" width="10.85546875" style="44" customWidth="1"/>
    <col min="15871" max="15871" width="10.28515625" style="44" customWidth="1"/>
    <col min="15872" max="15872" width="9.85546875" style="44" customWidth="1"/>
    <col min="15873" max="15873" width="10.5703125" style="44" customWidth="1"/>
    <col min="15874" max="15874" width="10" style="44" customWidth="1"/>
    <col min="15875" max="15875" width="9.85546875" style="44" customWidth="1"/>
    <col min="15876" max="15876" width="10.140625" style="44" customWidth="1"/>
    <col min="15877" max="15877" width="13.85546875" style="44" customWidth="1"/>
    <col min="15878" max="15878" width="12.5703125" style="44" customWidth="1"/>
    <col min="15879" max="16125" width="9.140625" style="44"/>
    <col min="16126" max="16126" width="10.85546875" style="44" customWidth="1"/>
    <col min="16127" max="16127" width="10.28515625" style="44" customWidth="1"/>
    <col min="16128" max="16128" width="9.85546875" style="44" customWidth="1"/>
    <col min="16129" max="16129" width="10.5703125" style="44" customWidth="1"/>
    <col min="16130" max="16130" width="10" style="44" customWidth="1"/>
    <col min="16131" max="16131" width="9.85546875" style="44" customWidth="1"/>
    <col min="16132" max="16132" width="10.140625" style="44" customWidth="1"/>
    <col min="16133" max="16133" width="13.85546875" style="44" customWidth="1"/>
    <col min="16134" max="16134" width="12.5703125" style="44" customWidth="1"/>
    <col min="16135" max="16384" width="9.140625" style="44"/>
  </cols>
  <sheetData>
    <row r="1" spans="1:23" ht="90" thickBot="1" x14ac:dyDescent="0.25">
      <c r="A1" s="40" t="s">
        <v>42</v>
      </c>
      <c r="B1" s="41" t="s">
        <v>28</v>
      </c>
      <c r="C1" s="42" t="s">
        <v>29</v>
      </c>
      <c r="D1" s="42" t="s">
        <v>30</v>
      </c>
      <c r="E1" s="42" t="s">
        <v>31</v>
      </c>
      <c r="F1" s="42" t="s">
        <v>32</v>
      </c>
      <c r="G1" s="42" t="s">
        <v>33</v>
      </c>
      <c r="H1" s="42" t="s">
        <v>34</v>
      </c>
      <c r="I1" s="43" t="s">
        <v>43</v>
      </c>
      <c r="J1" s="72" t="s">
        <v>44</v>
      </c>
      <c r="K1" s="72" t="s">
        <v>45</v>
      </c>
      <c r="L1" s="72" t="s">
        <v>46</v>
      </c>
      <c r="M1" s="73" t="s">
        <v>47</v>
      </c>
      <c r="N1" s="73" t="s">
        <v>48</v>
      </c>
      <c r="O1" s="73" t="s">
        <v>49</v>
      </c>
      <c r="P1" s="71" t="s">
        <v>50</v>
      </c>
      <c r="Q1" s="71" t="s">
        <v>51</v>
      </c>
      <c r="R1" s="71" t="s">
        <v>52</v>
      </c>
      <c r="S1" s="71" t="s">
        <v>53</v>
      </c>
      <c r="T1" s="74" t="s">
        <v>55</v>
      </c>
      <c r="U1" s="75" t="s">
        <v>56</v>
      </c>
      <c r="V1" s="75" t="s">
        <v>57</v>
      </c>
      <c r="W1" s="75" t="s">
        <v>54</v>
      </c>
    </row>
    <row r="2" spans="1:23" x14ac:dyDescent="0.2">
      <c r="A2" s="45">
        <v>44197</v>
      </c>
      <c r="B2" s="46">
        <v>750.86</v>
      </c>
      <c r="C2" s="47">
        <v>1223.6400000000001</v>
      </c>
      <c r="D2" s="47">
        <v>468.08</v>
      </c>
      <c r="E2" s="47">
        <v>44.82</v>
      </c>
      <c r="F2" s="47">
        <v>321.95999999999998</v>
      </c>
      <c r="G2" s="47">
        <v>1018.36</v>
      </c>
      <c r="H2" s="47">
        <v>674.11</v>
      </c>
      <c r="I2" s="48">
        <v>3153.61</v>
      </c>
      <c r="J2" s="49"/>
    </row>
    <row r="3" spans="1:23" x14ac:dyDescent="0.2">
      <c r="A3" s="50">
        <f t="shared" ref="A3:A30" si="0">A2+1</f>
        <v>44198</v>
      </c>
      <c r="B3" s="51">
        <v>639.12</v>
      </c>
      <c r="C3" s="52">
        <v>1259.02</v>
      </c>
      <c r="D3" s="52">
        <v>469.95</v>
      </c>
      <c r="E3" s="52">
        <v>46.46</v>
      </c>
      <c r="F3" s="52">
        <v>325.31</v>
      </c>
      <c r="G3" s="52">
        <v>1136.0899999999999</v>
      </c>
      <c r="H3" s="52">
        <v>781.94000000000017</v>
      </c>
      <c r="I3" s="53">
        <v>3094.0099999999998</v>
      </c>
      <c r="J3" s="49"/>
    </row>
    <row r="4" spans="1:23" x14ac:dyDescent="0.2">
      <c r="A4" s="50">
        <f t="shared" si="0"/>
        <v>44199</v>
      </c>
      <c r="B4" s="51">
        <v>990.81</v>
      </c>
      <c r="C4" s="52">
        <v>1161.6300000000001</v>
      </c>
      <c r="D4" s="52">
        <v>788.88</v>
      </c>
      <c r="E4" s="52">
        <v>183.28</v>
      </c>
      <c r="F4" s="52">
        <v>1003</v>
      </c>
      <c r="G4" s="52">
        <v>1591.16</v>
      </c>
      <c r="H4" s="52">
        <v>778.18999999999994</v>
      </c>
      <c r="I4" s="53">
        <v>4940.5700000000006</v>
      </c>
      <c r="J4" s="49"/>
    </row>
    <row r="5" spans="1:23" x14ac:dyDescent="0.2">
      <c r="A5" s="50">
        <f t="shared" si="0"/>
        <v>44200</v>
      </c>
      <c r="B5" s="51">
        <v>1421.26</v>
      </c>
      <c r="C5" s="52">
        <v>668.42</v>
      </c>
      <c r="D5" s="52">
        <v>1092.0999999999999</v>
      </c>
      <c r="E5" s="52">
        <v>773.18</v>
      </c>
      <c r="F5" s="52">
        <v>1363.82</v>
      </c>
      <c r="G5" s="52">
        <v>2107.7399999999998</v>
      </c>
      <c r="H5" s="52">
        <v>1225.3599999999999</v>
      </c>
      <c r="I5" s="53">
        <v>6201.16</v>
      </c>
      <c r="J5" s="49"/>
    </row>
    <row r="6" spans="1:23" x14ac:dyDescent="0.2">
      <c r="A6" s="50">
        <f t="shared" si="0"/>
        <v>44201</v>
      </c>
      <c r="B6" s="51">
        <v>1488.24</v>
      </c>
      <c r="C6" s="52">
        <v>621.80999999999995</v>
      </c>
      <c r="D6" s="52">
        <v>1283.94</v>
      </c>
      <c r="E6" s="52">
        <v>194.96</v>
      </c>
      <c r="F6" s="52">
        <v>1618.05</v>
      </c>
      <c r="G6" s="52">
        <v>2656.4</v>
      </c>
      <c r="H6" s="52">
        <v>1488.94</v>
      </c>
      <c r="I6" s="53">
        <v>6374.4599999999991</v>
      </c>
      <c r="J6" s="49"/>
    </row>
    <row r="7" spans="1:23" x14ac:dyDescent="0.2">
      <c r="A7" s="50">
        <f t="shared" si="0"/>
        <v>44202</v>
      </c>
      <c r="B7" s="51">
        <v>1299.28</v>
      </c>
      <c r="C7" s="52">
        <v>568.19000000000005</v>
      </c>
      <c r="D7" s="52">
        <v>1142.1199999999999</v>
      </c>
      <c r="E7" s="52">
        <v>72.87</v>
      </c>
      <c r="F7" s="52">
        <v>1064.6600000000001</v>
      </c>
      <c r="G7" s="52">
        <v>2192.67</v>
      </c>
      <c r="H7" s="52">
        <v>1484.76</v>
      </c>
      <c r="I7" s="53">
        <v>4855.03</v>
      </c>
      <c r="J7" s="49"/>
    </row>
    <row r="8" spans="1:23" x14ac:dyDescent="0.2">
      <c r="A8" s="50">
        <f t="shared" si="0"/>
        <v>44203</v>
      </c>
      <c r="B8" s="51">
        <v>1120.4100000000001</v>
      </c>
      <c r="C8" s="52">
        <v>569.99</v>
      </c>
      <c r="D8" s="52">
        <v>952.96</v>
      </c>
      <c r="E8" s="52">
        <v>56.95</v>
      </c>
      <c r="F8" s="52">
        <v>1124.26</v>
      </c>
      <c r="G8" s="52">
        <v>1940.4</v>
      </c>
      <c r="H8" s="52">
        <v>1228.92</v>
      </c>
      <c r="I8" s="53">
        <v>4536.0499999999993</v>
      </c>
      <c r="J8" s="49"/>
    </row>
    <row r="9" spans="1:23" x14ac:dyDescent="0.2">
      <c r="A9" s="50">
        <f t="shared" si="0"/>
        <v>44204</v>
      </c>
      <c r="B9" s="51">
        <v>1230.8699999999999</v>
      </c>
      <c r="C9" s="52">
        <v>528.79999999999995</v>
      </c>
      <c r="D9" s="52">
        <v>1039.67</v>
      </c>
      <c r="E9" s="52">
        <v>55.01</v>
      </c>
      <c r="F9" s="52">
        <v>1105.48</v>
      </c>
      <c r="G9" s="52">
        <v>2050.63</v>
      </c>
      <c r="H9" s="52">
        <v>1354.3500000000001</v>
      </c>
      <c r="I9" s="53">
        <v>4656.1100000000006</v>
      </c>
      <c r="J9" s="49"/>
    </row>
    <row r="10" spans="1:23" x14ac:dyDescent="0.2">
      <c r="A10" s="50">
        <f t="shared" si="0"/>
        <v>44205</v>
      </c>
      <c r="B10" s="51">
        <v>6775.8</v>
      </c>
      <c r="C10" s="52">
        <v>3792</v>
      </c>
      <c r="D10" s="52">
        <v>4612.3</v>
      </c>
      <c r="E10" s="52">
        <v>2476.2399999999998</v>
      </c>
      <c r="F10" s="52">
        <v>2812.19</v>
      </c>
      <c r="G10" s="52">
        <v>2851.91</v>
      </c>
      <c r="H10" s="52">
        <v>1326.96</v>
      </c>
      <c r="I10" s="53">
        <v>21993.479999999996</v>
      </c>
      <c r="J10" s="49"/>
    </row>
    <row r="11" spans="1:23" x14ac:dyDescent="0.2">
      <c r="A11" s="50">
        <f t="shared" si="0"/>
        <v>44206</v>
      </c>
      <c r="B11" s="51">
        <v>8644.75</v>
      </c>
      <c r="C11" s="52">
        <v>4238.72</v>
      </c>
      <c r="D11" s="52">
        <v>6304.89</v>
      </c>
      <c r="E11" s="52">
        <v>3564.36</v>
      </c>
      <c r="F11" s="52">
        <v>3504.7</v>
      </c>
      <c r="G11" s="52">
        <v>3176.78</v>
      </c>
      <c r="H11" s="52">
        <v>1233.79</v>
      </c>
      <c r="I11" s="53">
        <v>28200.41</v>
      </c>
      <c r="J11" s="49"/>
    </row>
    <row r="12" spans="1:23" x14ac:dyDescent="0.2">
      <c r="A12" s="50">
        <f t="shared" si="0"/>
        <v>44207</v>
      </c>
      <c r="B12" s="51">
        <v>8691.17</v>
      </c>
      <c r="C12" s="52">
        <v>4482.95</v>
      </c>
      <c r="D12" s="52">
        <v>6771.72</v>
      </c>
      <c r="E12" s="52">
        <v>3792.64</v>
      </c>
      <c r="F12" s="52">
        <v>3602.28</v>
      </c>
      <c r="G12" s="52">
        <v>6116.13</v>
      </c>
      <c r="H12" s="52">
        <v>2747.2299999999996</v>
      </c>
      <c r="I12" s="53">
        <v>30709.66</v>
      </c>
      <c r="J12" s="49"/>
    </row>
    <row r="13" spans="1:23" x14ac:dyDescent="0.2">
      <c r="A13" s="50">
        <f t="shared" si="0"/>
        <v>44208</v>
      </c>
      <c r="B13" s="51">
        <v>9267.4</v>
      </c>
      <c r="C13" s="52">
        <v>4328.43</v>
      </c>
      <c r="D13" s="52">
        <v>6774.68</v>
      </c>
      <c r="E13" s="52">
        <v>3493.43</v>
      </c>
      <c r="F13" s="52">
        <v>3689.9</v>
      </c>
      <c r="G13" s="52">
        <v>6683.85</v>
      </c>
      <c r="H13" s="52">
        <v>3191.96</v>
      </c>
      <c r="I13" s="53">
        <v>31045.730000000003</v>
      </c>
      <c r="J13" s="49"/>
    </row>
    <row r="14" spans="1:23" x14ac:dyDescent="0.2">
      <c r="A14" s="50">
        <f t="shared" si="0"/>
        <v>44209</v>
      </c>
      <c r="B14" s="51">
        <v>9658.4599999999991</v>
      </c>
      <c r="C14" s="52">
        <v>4393.47</v>
      </c>
      <c r="D14" s="52">
        <v>7202.9</v>
      </c>
      <c r="E14" s="52">
        <v>3312.82</v>
      </c>
      <c r="F14" s="52">
        <v>4338.18</v>
      </c>
      <c r="G14" s="52">
        <v>6729.11</v>
      </c>
      <c r="H14" s="52">
        <v>3099.8100000000004</v>
      </c>
      <c r="I14" s="53">
        <v>32535.13</v>
      </c>
      <c r="J14" s="49"/>
    </row>
    <row r="15" spans="1:23" x14ac:dyDescent="0.2">
      <c r="A15" s="50">
        <f t="shared" si="0"/>
        <v>44210</v>
      </c>
      <c r="B15" s="51">
        <v>9805.59</v>
      </c>
      <c r="C15" s="52">
        <v>4440.12</v>
      </c>
      <c r="D15" s="52">
        <v>7599.53</v>
      </c>
      <c r="E15" s="52">
        <v>3867.47</v>
      </c>
      <c r="F15" s="52">
        <v>4827.1400000000003</v>
      </c>
      <c r="G15" s="52">
        <v>6840.34</v>
      </c>
      <c r="H15" s="52">
        <v>3350.150000000001</v>
      </c>
      <c r="I15" s="53">
        <v>34030.04</v>
      </c>
      <c r="J15" s="49"/>
    </row>
    <row r="16" spans="1:23" x14ac:dyDescent="0.2">
      <c r="A16" s="50">
        <f t="shared" si="0"/>
        <v>44211</v>
      </c>
      <c r="B16" s="51">
        <v>9615.27</v>
      </c>
      <c r="C16" s="52">
        <v>4211.55</v>
      </c>
      <c r="D16" s="52">
        <v>6981.01</v>
      </c>
      <c r="E16" s="52">
        <v>3875.11</v>
      </c>
      <c r="F16" s="52">
        <v>5493</v>
      </c>
      <c r="G16" s="52">
        <v>6525.7</v>
      </c>
      <c r="H16" s="52">
        <v>3160.76</v>
      </c>
      <c r="I16" s="53">
        <v>33540.879999999997</v>
      </c>
      <c r="J16" s="49"/>
    </row>
    <row r="17" spans="1:10" x14ac:dyDescent="0.2">
      <c r="A17" s="50">
        <f t="shared" si="0"/>
        <v>44212</v>
      </c>
      <c r="B17" s="51">
        <v>9306.5</v>
      </c>
      <c r="C17" s="52">
        <v>3916.07</v>
      </c>
      <c r="D17" s="52">
        <v>6566.92</v>
      </c>
      <c r="E17" s="52">
        <v>3783.5</v>
      </c>
      <c r="F17" s="52">
        <v>5389.22</v>
      </c>
      <c r="G17" s="52">
        <v>5291.4</v>
      </c>
      <c r="H17" s="52">
        <v>2216.88</v>
      </c>
      <c r="I17" s="53">
        <v>32036.73</v>
      </c>
      <c r="J17" s="49"/>
    </row>
    <row r="18" spans="1:10" x14ac:dyDescent="0.2">
      <c r="A18" s="50">
        <f t="shared" si="0"/>
        <v>44213</v>
      </c>
      <c r="B18" s="51">
        <v>9275.3799999999992</v>
      </c>
      <c r="C18" s="52">
        <v>3881.95</v>
      </c>
      <c r="D18" s="52">
        <v>6261.14</v>
      </c>
      <c r="E18" s="52">
        <v>3358.73</v>
      </c>
      <c r="F18" s="52">
        <v>4644.4799999999996</v>
      </c>
      <c r="G18" s="52">
        <v>5546.93</v>
      </c>
      <c r="H18" s="52">
        <v>2350.75</v>
      </c>
      <c r="I18" s="53">
        <v>30617.86</v>
      </c>
      <c r="J18" s="49"/>
    </row>
    <row r="19" spans="1:10" x14ac:dyDescent="0.2">
      <c r="A19" s="50">
        <f t="shared" si="0"/>
        <v>44214</v>
      </c>
      <c r="B19" s="51">
        <v>9490.17</v>
      </c>
      <c r="C19" s="52">
        <v>4084.62</v>
      </c>
      <c r="D19" s="52">
        <v>6914.03</v>
      </c>
      <c r="E19" s="52">
        <v>3952.32</v>
      </c>
      <c r="F19" s="52">
        <v>4229.79</v>
      </c>
      <c r="G19" s="52">
        <v>6510.19</v>
      </c>
      <c r="H19" s="52">
        <v>2928.09</v>
      </c>
      <c r="I19" s="53">
        <v>32253.030000000002</v>
      </c>
      <c r="J19" s="49"/>
    </row>
    <row r="20" spans="1:10" x14ac:dyDescent="0.2">
      <c r="A20" s="50">
        <f t="shared" si="0"/>
        <v>44215</v>
      </c>
      <c r="B20" s="51">
        <v>9870.9699999999993</v>
      </c>
      <c r="C20" s="52">
        <v>4492.5600000000004</v>
      </c>
      <c r="D20" s="52">
        <v>6905.63</v>
      </c>
      <c r="E20" s="52">
        <v>4513.76</v>
      </c>
      <c r="F20" s="52">
        <v>4889.28</v>
      </c>
      <c r="G20" s="52">
        <v>6884.12</v>
      </c>
      <c r="H20" s="52">
        <v>3174.52</v>
      </c>
      <c r="I20" s="53">
        <v>34381.800000000003</v>
      </c>
      <c r="J20" s="49"/>
    </row>
    <row r="21" spans="1:10" x14ac:dyDescent="0.2">
      <c r="A21" s="50">
        <f t="shared" si="0"/>
        <v>44216</v>
      </c>
      <c r="B21" s="51">
        <v>9731.6</v>
      </c>
      <c r="C21" s="52">
        <v>4486.3500000000004</v>
      </c>
      <c r="D21" s="52">
        <v>6710.8</v>
      </c>
      <c r="E21" s="52">
        <v>3633.44</v>
      </c>
      <c r="F21" s="52">
        <v>4768.18</v>
      </c>
      <c r="G21" s="52">
        <v>6698.77</v>
      </c>
      <c r="H21" s="52">
        <v>3398.3200000000006</v>
      </c>
      <c r="I21" s="53">
        <v>32630.82</v>
      </c>
      <c r="J21" s="49"/>
    </row>
    <row r="22" spans="1:10" x14ac:dyDescent="0.2">
      <c r="A22" s="50">
        <f t="shared" si="0"/>
        <v>44217</v>
      </c>
      <c r="B22" s="51">
        <v>9842.2199999999993</v>
      </c>
      <c r="C22" s="52">
        <v>4524.0200000000004</v>
      </c>
      <c r="D22" s="52">
        <v>6672.22</v>
      </c>
      <c r="E22" s="52">
        <v>4031.64</v>
      </c>
      <c r="F22" s="52">
        <v>5047.49</v>
      </c>
      <c r="G22" s="52">
        <v>6775.64</v>
      </c>
      <c r="H22" s="52">
        <v>3215.9900000000002</v>
      </c>
      <c r="I22" s="53">
        <v>33677.24</v>
      </c>
      <c r="J22" s="49"/>
    </row>
    <row r="23" spans="1:10" x14ac:dyDescent="0.2">
      <c r="A23" s="50">
        <f t="shared" si="0"/>
        <v>44218</v>
      </c>
      <c r="B23" s="51">
        <v>9819.69</v>
      </c>
      <c r="C23" s="52">
        <v>4430.41</v>
      </c>
      <c r="D23" s="52">
        <v>6705.87</v>
      </c>
      <c r="E23" s="52">
        <v>3979.2</v>
      </c>
      <c r="F23" s="52">
        <v>5193.18</v>
      </c>
      <c r="G23" s="52">
        <v>6647.17</v>
      </c>
      <c r="H23" s="52">
        <v>3152.5</v>
      </c>
      <c r="I23" s="53">
        <v>33623.020000000004</v>
      </c>
      <c r="J23" s="49"/>
    </row>
    <row r="24" spans="1:10" x14ac:dyDescent="0.2">
      <c r="A24" s="50">
        <f t="shared" si="0"/>
        <v>44219</v>
      </c>
      <c r="B24" s="51">
        <v>9914.24</v>
      </c>
      <c r="C24" s="52">
        <v>4176.28</v>
      </c>
      <c r="D24" s="52">
        <v>7082.39</v>
      </c>
      <c r="E24" s="52">
        <v>5037.2</v>
      </c>
      <c r="F24" s="52">
        <v>4962.74</v>
      </c>
      <c r="G24" s="52">
        <v>6265.74</v>
      </c>
      <c r="H24" s="52">
        <v>2839.6100000000006</v>
      </c>
      <c r="I24" s="53">
        <v>34598.979999999996</v>
      </c>
      <c r="J24" s="49"/>
    </row>
    <row r="25" spans="1:10" x14ac:dyDescent="0.2">
      <c r="A25" s="50">
        <f t="shared" si="0"/>
        <v>44220</v>
      </c>
      <c r="B25" s="51">
        <v>9313.19</v>
      </c>
      <c r="C25" s="52">
        <v>4127.46</v>
      </c>
      <c r="D25" s="52">
        <v>6825.81</v>
      </c>
      <c r="E25" s="52">
        <v>3553.9</v>
      </c>
      <c r="F25" s="52">
        <v>4553.08</v>
      </c>
      <c r="G25" s="52">
        <v>5711.46</v>
      </c>
      <c r="H25" s="52">
        <v>2408.6299999999997</v>
      </c>
      <c r="I25" s="53">
        <v>31676.27</v>
      </c>
      <c r="J25" s="49"/>
    </row>
    <row r="26" spans="1:10" x14ac:dyDescent="0.2">
      <c r="A26" s="50">
        <f t="shared" si="0"/>
        <v>44221</v>
      </c>
      <c r="B26" s="51">
        <v>9833.58</v>
      </c>
      <c r="C26" s="52">
        <v>4274.75</v>
      </c>
      <c r="D26" s="52">
        <v>6561.76</v>
      </c>
      <c r="E26" s="52">
        <v>3829.45</v>
      </c>
      <c r="F26" s="52">
        <v>5222.2299999999996</v>
      </c>
      <c r="G26" s="52">
        <v>6147.34</v>
      </c>
      <c r="H26" s="52">
        <v>3123.1200000000003</v>
      </c>
      <c r="I26" s="53">
        <v>32745.99</v>
      </c>
      <c r="J26" s="49"/>
    </row>
    <row r="27" spans="1:10" x14ac:dyDescent="0.2">
      <c r="A27" s="50">
        <f t="shared" si="0"/>
        <v>44222</v>
      </c>
      <c r="B27" s="51">
        <v>9233.09</v>
      </c>
      <c r="C27" s="52">
        <v>4195.76</v>
      </c>
      <c r="D27" s="52">
        <v>6345.6</v>
      </c>
      <c r="E27" s="52">
        <v>4241.8100000000004</v>
      </c>
      <c r="F27" s="52">
        <v>5779.86</v>
      </c>
      <c r="G27" s="52">
        <v>6438.18</v>
      </c>
      <c r="H27" s="52">
        <v>3479.9199999999996</v>
      </c>
      <c r="I27" s="53">
        <v>32754.380000000005</v>
      </c>
      <c r="J27" s="49"/>
    </row>
    <row r="28" spans="1:10" x14ac:dyDescent="0.2">
      <c r="A28" s="50">
        <f t="shared" si="0"/>
        <v>44223</v>
      </c>
      <c r="B28" s="51">
        <v>9246.4599999999991</v>
      </c>
      <c r="C28" s="52">
        <v>4229.0600000000004</v>
      </c>
      <c r="D28" s="52">
        <v>6283.96</v>
      </c>
      <c r="E28" s="52">
        <v>4488.41</v>
      </c>
      <c r="F28" s="52">
        <v>5323.96</v>
      </c>
      <c r="G28" s="52">
        <v>6069.31</v>
      </c>
      <c r="H28" s="52">
        <v>2923.21</v>
      </c>
      <c r="I28" s="53">
        <v>32717.949999999997</v>
      </c>
      <c r="J28" s="49"/>
    </row>
    <row r="29" spans="1:10" x14ac:dyDescent="0.2">
      <c r="A29" s="50">
        <f t="shared" si="0"/>
        <v>44224</v>
      </c>
      <c r="B29" s="51">
        <v>8876.51</v>
      </c>
      <c r="C29" s="52">
        <v>4096.42</v>
      </c>
      <c r="D29" s="52">
        <v>6299.14</v>
      </c>
      <c r="E29" s="52">
        <v>3589.21</v>
      </c>
      <c r="F29" s="52">
        <v>4633.28</v>
      </c>
      <c r="G29" s="52">
        <v>6338.68</v>
      </c>
      <c r="H29" s="52">
        <v>3251.3</v>
      </c>
      <c r="I29" s="53">
        <v>30581.94</v>
      </c>
      <c r="J29" s="49"/>
    </row>
    <row r="30" spans="1:10" x14ac:dyDescent="0.2">
      <c r="A30" s="50">
        <f t="shared" si="0"/>
        <v>44225</v>
      </c>
      <c r="B30" s="51">
        <v>9106.66</v>
      </c>
      <c r="C30" s="52">
        <v>4215.96</v>
      </c>
      <c r="D30" s="52">
        <v>6475.09</v>
      </c>
      <c r="E30" s="52">
        <v>3210.26</v>
      </c>
      <c r="F30" s="52">
        <v>3722.49</v>
      </c>
      <c r="G30" s="52">
        <v>6383.6</v>
      </c>
      <c r="H30" s="52">
        <v>3293.56</v>
      </c>
      <c r="I30" s="53">
        <v>29820.499999999996</v>
      </c>
      <c r="J30" s="49"/>
    </row>
    <row r="31" spans="1:10" x14ac:dyDescent="0.2">
      <c r="A31" s="50">
        <f>A30+1</f>
        <v>44226</v>
      </c>
      <c r="B31" s="51">
        <v>9437.74</v>
      </c>
      <c r="C31" s="52">
        <v>4199.6499999999996</v>
      </c>
      <c r="D31" s="52">
        <v>6280.39</v>
      </c>
      <c r="E31" s="52">
        <v>4255.3900000000003</v>
      </c>
      <c r="F31" s="52">
        <v>5064.26</v>
      </c>
      <c r="G31" s="52">
        <v>5586.59</v>
      </c>
      <c r="H31" s="52">
        <v>2758.72</v>
      </c>
      <c r="I31" s="53">
        <v>32065.300000000003</v>
      </c>
      <c r="J31" s="49"/>
    </row>
    <row r="32" spans="1:10" x14ac:dyDescent="0.2">
      <c r="A32" s="50">
        <f t="shared" ref="A32:A95" si="1">A31+1</f>
        <v>44227</v>
      </c>
      <c r="B32" s="51">
        <v>9426.94</v>
      </c>
      <c r="C32" s="52">
        <v>4152.96</v>
      </c>
      <c r="D32" s="52">
        <v>6155.74</v>
      </c>
      <c r="E32" s="52">
        <v>3683.43</v>
      </c>
      <c r="F32" s="52">
        <v>5286.59</v>
      </c>
      <c r="G32" s="52">
        <v>5666.82</v>
      </c>
      <c r="H32" s="52">
        <v>2817.1199999999994</v>
      </c>
      <c r="I32" s="53">
        <v>31555.359999999997</v>
      </c>
      <c r="J32" s="49"/>
    </row>
    <row r="33" spans="1:10" x14ac:dyDescent="0.2">
      <c r="A33" s="50">
        <f t="shared" si="1"/>
        <v>44228</v>
      </c>
      <c r="B33" s="51">
        <v>9006.52</v>
      </c>
      <c r="C33" s="52">
        <v>4415.6099999999997</v>
      </c>
      <c r="D33" s="52">
        <v>6448.59</v>
      </c>
      <c r="E33" s="52">
        <v>3821.66</v>
      </c>
      <c r="F33" s="52">
        <v>4747.3</v>
      </c>
      <c r="G33" s="52">
        <v>6396.23</v>
      </c>
      <c r="H33" s="52">
        <v>3181.4700000000003</v>
      </c>
      <c r="I33" s="53">
        <v>31654.440000000002</v>
      </c>
      <c r="J33" s="49"/>
    </row>
    <row r="34" spans="1:10" x14ac:dyDescent="0.2">
      <c r="A34" s="50">
        <f t="shared" si="1"/>
        <v>44229</v>
      </c>
      <c r="B34" s="51">
        <v>9435.1299999999992</v>
      </c>
      <c r="C34" s="52">
        <v>4245.6000000000004</v>
      </c>
      <c r="D34" s="52">
        <v>6419.59</v>
      </c>
      <c r="E34" s="52">
        <v>3591.15</v>
      </c>
      <c r="F34" s="52">
        <v>5719.07</v>
      </c>
      <c r="G34" s="52">
        <v>6190.41</v>
      </c>
      <c r="H34" s="52">
        <v>3073.8499999999995</v>
      </c>
      <c r="I34" s="53">
        <v>32527.1</v>
      </c>
      <c r="J34" s="49"/>
    </row>
    <row r="35" spans="1:10" x14ac:dyDescent="0.2">
      <c r="A35" s="50">
        <f t="shared" si="1"/>
        <v>44230</v>
      </c>
      <c r="B35" s="51">
        <v>9243.51</v>
      </c>
      <c r="C35" s="52">
        <v>4257.97</v>
      </c>
      <c r="D35" s="52">
        <v>6397.67</v>
      </c>
      <c r="E35" s="52">
        <v>3799.38</v>
      </c>
      <c r="F35" s="52">
        <v>5378.33</v>
      </c>
      <c r="G35" s="52">
        <v>6272.48</v>
      </c>
      <c r="H35" s="52">
        <v>3123.74</v>
      </c>
      <c r="I35" s="53">
        <v>32225.599999999999</v>
      </c>
      <c r="J35" s="49"/>
    </row>
    <row r="36" spans="1:10" x14ac:dyDescent="0.2">
      <c r="A36" s="50">
        <f t="shared" si="1"/>
        <v>44231</v>
      </c>
      <c r="B36" s="51">
        <v>8986</v>
      </c>
      <c r="C36" s="52">
        <v>4381</v>
      </c>
      <c r="D36" s="52">
        <v>6468</v>
      </c>
      <c r="E36" s="52">
        <v>4259</v>
      </c>
      <c r="F36" s="52">
        <v>5052</v>
      </c>
      <c r="G36" s="52">
        <v>6571</v>
      </c>
      <c r="H36" s="52">
        <v>3112</v>
      </c>
      <c r="I36" s="53">
        <v>32605</v>
      </c>
      <c r="J36" s="49"/>
    </row>
    <row r="37" spans="1:10" x14ac:dyDescent="0.2">
      <c r="A37" s="50">
        <f t="shared" si="1"/>
        <v>44232</v>
      </c>
      <c r="B37" s="51">
        <v>8725.57</v>
      </c>
      <c r="C37" s="52">
        <v>4122.7700000000004</v>
      </c>
      <c r="D37" s="52">
        <v>6315.1</v>
      </c>
      <c r="E37" s="52">
        <v>3538.27</v>
      </c>
      <c r="F37" s="52">
        <v>4757.37</v>
      </c>
      <c r="G37" s="52">
        <v>6056.14</v>
      </c>
      <c r="H37" s="52">
        <v>2929.47</v>
      </c>
      <c r="I37" s="53">
        <v>30585.75</v>
      </c>
      <c r="J37" s="49"/>
    </row>
    <row r="38" spans="1:10" x14ac:dyDescent="0.2">
      <c r="A38" s="50">
        <f t="shared" si="1"/>
        <v>44233</v>
      </c>
      <c r="B38" s="51">
        <v>8569.0499999999993</v>
      </c>
      <c r="C38" s="52">
        <v>3847.93</v>
      </c>
      <c r="D38" s="52">
        <v>6082.73</v>
      </c>
      <c r="E38" s="52">
        <v>3220.32</v>
      </c>
      <c r="F38" s="52">
        <v>4482.1000000000004</v>
      </c>
      <c r="G38" s="52">
        <v>4920.6000000000004</v>
      </c>
      <c r="H38" s="52">
        <v>2172.0699999999997</v>
      </c>
      <c r="I38" s="53">
        <v>28950.659999999996</v>
      </c>
      <c r="J38" s="49"/>
    </row>
    <row r="39" spans="1:10" x14ac:dyDescent="0.2">
      <c r="A39" s="50">
        <f t="shared" si="1"/>
        <v>44234</v>
      </c>
      <c r="B39" s="51">
        <v>8715.11</v>
      </c>
      <c r="C39" s="52">
        <v>3986.16</v>
      </c>
      <c r="D39" s="52">
        <v>6475.56</v>
      </c>
      <c r="E39" s="52">
        <v>3837.8</v>
      </c>
      <c r="F39" s="52">
        <v>4354.5200000000004</v>
      </c>
      <c r="G39" s="52">
        <v>5170.5600000000004</v>
      </c>
      <c r="H39" s="52">
        <v>2099.0100000000002</v>
      </c>
      <c r="I39" s="53">
        <v>30440.700000000004</v>
      </c>
      <c r="J39" s="49"/>
    </row>
    <row r="40" spans="1:10" x14ac:dyDescent="0.2">
      <c r="A40" s="50">
        <f t="shared" si="1"/>
        <v>44235</v>
      </c>
      <c r="B40" s="51">
        <v>9273</v>
      </c>
      <c r="C40" s="52">
        <v>4334</v>
      </c>
      <c r="D40" s="52">
        <v>7250</v>
      </c>
      <c r="E40" s="52">
        <v>4464</v>
      </c>
      <c r="F40" s="52">
        <v>4737</v>
      </c>
      <c r="G40" s="52">
        <v>6220</v>
      </c>
      <c r="H40" s="52">
        <v>2984</v>
      </c>
      <c r="I40" s="53">
        <v>33294</v>
      </c>
      <c r="J40" s="49"/>
    </row>
    <row r="41" spans="1:10" x14ac:dyDescent="0.2">
      <c r="A41" s="50">
        <f t="shared" si="1"/>
        <v>44236</v>
      </c>
      <c r="B41" s="51">
        <v>9427.49</v>
      </c>
      <c r="C41" s="52">
        <v>4333.16</v>
      </c>
      <c r="D41" s="52">
        <v>7295.47</v>
      </c>
      <c r="E41" s="52">
        <v>4093.56</v>
      </c>
      <c r="F41" s="52">
        <v>4342.54</v>
      </c>
      <c r="G41" s="52">
        <v>6671.55</v>
      </c>
      <c r="H41" s="52">
        <v>3267.8900000000003</v>
      </c>
      <c r="I41" s="53">
        <v>32895.880000000005</v>
      </c>
      <c r="J41" s="49"/>
    </row>
    <row r="42" spans="1:10" x14ac:dyDescent="0.2">
      <c r="A42" s="50">
        <f t="shared" si="1"/>
        <v>44237</v>
      </c>
      <c r="B42" s="51">
        <v>9621.48</v>
      </c>
      <c r="C42" s="52">
        <v>4380.3599999999997</v>
      </c>
      <c r="D42" s="52">
        <v>7095.3</v>
      </c>
      <c r="E42" s="52">
        <v>3792.45</v>
      </c>
      <c r="F42" s="52">
        <v>4455.79</v>
      </c>
      <c r="G42" s="52">
        <v>6739.3</v>
      </c>
      <c r="H42" s="52">
        <v>3225.23</v>
      </c>
      <c r="I42" s="53">
        <v>32859.449999999997</v>
      </c>
      <c r="J42" s="49"/>
    </row>
    <row r="43" spans="1:10" x14ac:dyDescent="0.2">
      <c r="A43" s="50">
        <f t="shared" si="1"/>
        <v>44238</v>
      </c>
      <c r="B43" s="51">
        <v>9512.98</v>
      </c>
      <c r="C43" s="52">
        <v>4468.34</v>
      </c>
      <c r="D43" s="52">
        <v>7158.86</v>
      </c>
      <c r="E43" s="52">
        <v>3486.93</v>
      </c>
      <c r="F43" s="52">
        <v>4553.37</v>
      </c>
      <c r="G43" s="52">
        <v>7056.29</v>
      </c>
      <c r="H43" s="52">
        <v>3228.06</v>
      </c>
      <c r="I43" s="53">
        <v>33008.71</v>
      </c>
      <c r="J43" s="49"/>
    </row>
    <row r="44" spans="1:10" x14ac:dyDescent="0.2">
      <c r="A44" s="50">
        <f t="shared" si="1"/>
        <v>44239</v>
      </c>
      <c r="B44" s="51">
        <v>9109</v>
      </c>
      <c r="C44" s="52">
        <v>4439</v>
      </c>
      <c r="D44" s="52">
        <v>6609</v>
      </c>
      <c r="E44" s="52">
        <v>3389</v>
      </c>
      <c r="F44" s="52">
        <v>5649</v>
      </c>
      <c r="G44" s="52">
        <v>6601</v>
      </c>
      <c r="H44" s="52">
        <v>3018</v>
      </c>
      <c r="I44" s="53">
        <v>32778</v>
      </c>
      <c r="J44" s="49"/>
    </row>
    <row r="45" spans="1:10" x14ac:dyDescent="0.2">
      <c r="A45" s="50">
        <f t="shared" si="1"/>
        <v>44240</v>
      </c>
      <c r="B45" s="51">
        <v>8736.89</v>
      </c>
      <c r="C45" s="52">
        <v>4224.99</v>
      </c>
      <c r="D45" s="52">
        <v>5992.44</v>
      </c>
      <c r="E45" s="52">
        <v>3721.82</v>
      </c>
      <c r="F45" s="52">
        <v>4832.8599999999997</v>
      </c>
      <c r="G45" s="52">
        <v>4975.8599999999997</v>
      </c>
      <c r="H45" s="52">
        <v>2241.9800000000005</v>
      </c>
      <c r="I45" s="53">
        <v>30242.880000000001</v>
      </c>
      <c r="J45" s="49"/>
    </row>
    <row r="46" spans="1:10" x14ac:dyDescent="0.2">
      <c r="A46" s="50">
        <f t="shared" si="1"/>
        <v>44241</v>
      </c>
      <c r="B46" s="51">
        <v>8622.77</v>
      </c>
      <c r="C46" s="52">
        <v>3988.58</v>
      </c>
      <c r="D46" s="52">
        <v>5904.55</v>
      </c>
      <c r="E46" s="52">
        <v>3584.6</v>
      </c>
      <c r="F46" s="52">
        <v>4446.22</v>
      </c>
      <c r="G46" s="52">
        <v>4844.62</v>
      </c>
      <c r="H46" s="52">
        <v>1898.57</v>
      </c>
      <c r="I46" s="53">
        <v>29492.77</v>
      </c>
      <c r="J46" s="49"/>
    </row>
    <row r="47" spans="1:10" x14ac:dyDescent="0.2">
      <c r="A47" s="50">
        <f t="shared" si="1"/>
        <v>44242</v>
      </c>
      <c r="B47" s="51">
        <v>9224.8799999999992</v>
      </c>
      <c r="C47" s="52">
        <v>4212.26</v>
      </c>
      <c r="D47" s="52">
        <v>6453.87</v>
      </c>
      <c r="E47" s="52">
        <v>3343.85</v>
      </c>
      <c r="F47" s="52">
        <v>4925.4399999999996</v>
      </c>
      <c r="G47" s="52">
        <v>6497.92</v>
      </c>
      <c r="H47" s="52">
        <v>2885.84</v>
      </c>
      <c r="I47" s="53">
        <v>31772.379999999994</v>
      </c>
      <c r="J47" s="49"/>
    </row>
    <row r="48" spans="1:10" x14ac:dyDescent="0.2">
      <c r="A48" s="50">
        <f t="shared" si="1"/>
        <v>44243</v>
      </c>
      <c r="B48" s="51">
        <v>9551</v>
      </c>
      <c r="C48" s="52">
        <v>4479</v>
      </c>
      <c r="D48" s="52">
        <v>6883</v>
      </c>
      <c r="E48" s="52">
        <v>3408</v>
      </c>
      <c r="F48" s="52">
        <v>5504</v>
      </c>
      <c r="G48" s="52">
        <v>6537</v>
      </c>
      <c r="H48" s="52">
        <v>3151</v>
      </c>
      <c r="I48" s="53">
        <v>33211</v>
      </c>
      <c r="J48" s="49"/>
    </row>
    <row r="49" spans="1:10" x14ac:dyDescent="0.2">
      <c r="A49" s="50">
        <f t="shared" si="1"/>
        <v>44244</v>
      </c>
      <c r="B49" s="51">
        <v>9757.91</v>
      </c>
      <c r="C49" s="52">
        <v>4458.34</v>
      </c>
      <c r="D49" s="52">
        <v>6753.81</v>
      </c>
      <c r="E49" s="52">
        <v>3242.99</v>
      </c>
      <c r="F49" s="52">
        <v>6691.02</v>
      </c>
      <c r="G49" s="52">
        <v>7008.19</v>
      </c>
      <c r="H49" s="52">
        <v>3214.3199999999997</v>
      </c>
      <c r="I49" s="53">
        <v>34697.94</v>
      </c>
      <c r="J49" s="49"/>
    </row>
    <row r="50" spans="1:10" x14ac:dyDescent="0.2">
      <c r="A50" s="50">
        <f t="shared" si="1"/>
        <v>44245</v>
      </c>
      <c r="B50" s="51">
        <v>8955.7000000000007</v>
      </c>
      <c r="C50" s="52">
        <v>4428.2299999999996</v>
      </c>
      <c r="D50" s="52">
        <v>6426.29</v>
      </c>
      <c r="E50" s="52">
        <v>2939.65</v>
      </c>
      <c r="F50" s="52">
        <v>4976.54</v>
      </c>
      <c r="G50" s="52">
        <v>6789.69</v>
      </c>
      <c r="H50" s="52">
        <v>3069.2999999999997</v>
      </c>
      <c r="I50" s="53">
        <v>31446.800000000007</v>
      </c>
      <c r="J50" s="49"/>
    </row>
    <row r="51" spans="1:10" x14ac:dyDescent="0.2">
      <c r="A51" s="50">
        <f t="shared" si="1"/>
        <v>44246</v>
      </c>
      <c r="B51" s="51">
        <v>9432.73</v>
      </c>
      <c r="C51" s="52">
        <v>3693.66</v>
      </c>
      <c r="D51" s="52">
        <v>6435.33</v>
      </c>
      <c r="E51" s="52">
        <v>4914.3500000000004</v>
      </c>
      <c r="F51" s="52">
        <v>5356.62</v>
      </c>
      <c r="G51" s="52">
        <v>6460.71</v>
      </c>
      <c r="H51" s="52">
        <v>2940.9500000000007</v>
      </c>
      <c r="I51" s="53">
        <v>33352.449999999997</v>
      </c>
      <c r="J51" s="49"/>
    </row>
    <row r="52" spans="1:10" x14ac:dyDescent="0.2">
      <c r="A52" s="50">
        <f t="shared" si="1"/>
        <v>44247</v>
      </c>
      <c r="B52" s="51">
        <v>9423</v>
      </c>
      <c r="C52" s="52">
        <v>3403</v>
      </c>
      <c r="D52" s="52">
        <v>6192</v>
      </c>
      <c r="E52" s="52">
        <v>3929</v>
      </c>
      <c r="F52" s="52">
        <v>4735</v>
      </c>
      <c r="G52" s="52">
        <v>6324</v>
      </c>
      <c r="H52" s="52">
        <v>2616.3000000000002</v>
      </c>
      <c r="I52" s="53">
        <v>31389.7</v>
      </c>
      <c r="J52" s="49"/>
    </row>
    <row r="53" spans="1:10" x14ac:dyDescent="0.2">
      <c r="A53" s="50">
        <f t="shared" si="1"/>
        <v>44248</v>
      </c>
      <c r="B53" s="51">
        <v>8689.44</v>
      </c>
      <c r="C53" s="52">
        <v>3064.91</v>
      </c>
      <c r="D53" s="52">
        <v>5850.32</v>
      </c>
      <c r="E53" s="52">
        <v>2836.67</v>
      </c>
      <c r="F53" s="52">
        <v>4985.0600000000004</v>
      </c>
      <c r="G53" s="52">
        <v>5986.69</v>
      </c>
      <c r="H53" s="52">
        <v>2373.42</v>
      </c>
      <c r="I53" s="53">
        <v>29039.67</v>
      </c>
      <c r="J53" s="49"/>
    </row>
    <row r="54" spans="1:10" x14ac:dyDescent="0.2">
      <c r="A54" s="50">
        <f t="shared" si="1"/>
        <v>44249</v>
      </c>
      <c r="B54" s="51">
        <v>9194.2999999999993</v>
      </c>
      <c r="C54" s="52">
        <v>3297.76</v>
      </c>
      <c r="D54" s="52">
        <v>6130.88</v>
      </c>
      <c r="E54" s="52">
        <v>2574.9</v>
      </c>
      <c r="F54" s="52">
        <v>6348.59</v>
      </c>
      <c r="G54" s="52">
        <v>5252.12</v>
      </c>
      <c r="H54" s="52">
        <v>2034.1899999999998</v>
      </c>
      <c r="I54" s="53">
        <v>30764.360000000004</v>
      </c>
      <c r="J54" s="49"/>
    </row>
    <row r="55" spans="1:10" x14ac:dyDescent="0.2">
      <c r="A55" s="50">
        <f t="shared" si="1"/>
        <v>44250</v>
      </c>
      <c r="B55" s="51">
        <v>9115.8799999999992</v>
      </c>
      <c r="C55" s="52">
        <v>3265.3</v>
      </c>
      <c r="D55" s="52">
        <v>6776.64</v>
      </c>
      <c r="E55" s="52">
        <v>3114.09</v>
      </c>
      <c r="F55" s="52">
        <v>5379.6</v>
      </c>
      <c r="G55" s="52">
        <v>4996.38</v>
      </c>
      <c r="H55" s="52">
        <v>1882.5700000000002</v>
      </c>
      <c r="I55" s="53">
        <v>30765.320000000003</v>
      </c>
      <c r="J55" s="49"/>
    </row>
    <row r="56" spans="1:10" x14ac:dyDescent="0.2">
      <c r="A56" s="50">
        <f t="shared" si="1"/>
        <v>44251</v>
      </c>
      <c r="B56" s="51">
        <v>9069</v>
      </c>
      <c r="C56" s="52">
        <v>3218</v>
      </c>
      <c r="D56" s="52">
        <v>6661</v>
      </c>
      <c r="E56" s="52">
        <v>2794</v>
      </c>
      <c r="F56" s="52">
        <v>4739</v>
      </c>
      <c r="G56" s="52">
        <v>6457</v>
      </c>
      <c r="H56" s="52">
        <v>2946</v>
      </c>
      <c r="I56" s="53">
        <v>29992</v>
      </c>
      <c r="J56" s="49"/>
    </row>
    <row r="57" spans="1:10" x14ac:dyDescent="0.2">
      <c r="A57" s="50">
        <f t="shared" si="1"/>
        <v>44252</v>
      </c>
      <c r="B57" s="51">
        <v>8502.9699999999993</v>
      </c>
      <c r="C57" s="52">
        <v>3122.75</v>
      </c>
      <c r="D57" s="52">
        <v>5694.4</v>
      </c>
      <c r="E57" s="52">
        <v>3293.96</v>
      </c>
      <c r="F57" s="52">
        <v>5063.25</v>
      </c>
      <c r="G57" s="52">
        <v>6362.38</v>
      </c>
      <c r="H57" s="52">
        <v>3124.03</v>
      </c>
      <c r="I57" s="53">
        <v>28915.68</v>
      </c>
      <c r="J57" s="49"/>
    </row>
    <row r="58" spans="1:10" x14ac:dyDescent="0.2">
      <c r="A58" s="50">
        <f t="shared" si="1"/>
        <v>44253</v>
      </c>
      <c r="B58" s="51">
        <v>7792.8</v>
      </c>
      <c r="C58" s="52">
        <v>3411.55</v>
      </c>
      <c r="D58" s="52">
        <v>6412.38</v>
      </c>
      <c r="E58" s="52">
        <v>3872.48</v>
      </c>
      <c r="F58" s="52">
        <v>5102.32</v>
      </c>
      <c r="G58" s="52">
        <v>5699.35</v>
      </c>
      <c r="H58" s="52">
        <v>2637.83</v>
      </c>
      <c r="I58" s="53">
        <v>29653.049999999996</v>
      </c>
      <c r="J58" s="49"/>
    </row>
    <row r="59" spans="1:10" x14ac:dyDescent="0.2">
      <c r="A59" s="50">
        <f t="shared" si="1"/>
        <v>44254</v>
      </c>
      <c r="B59" s="51">
        <v>6939.32</v>
      </c>
      <c r="C59" s="52">
        <v>3277.13</v>
      </c>
      <c r="D59" s="52">
        <v>6402</v>
      </c>
      <c r="E59" s="52">
        <v>3083.64</v>
      </c>
      <c r="F59" s="52">
        <v>3825.19</v>
      </c>
      <c r="G59" s="52">
        <v>5156.3999999999996</v>
      </c>
      <c r="H59" s="52">
        <v>2062.2400000000007</v>
      </c>
      <c r="I59" s="53">
        <v>26621.439999999999</v>
      </c>
      <c r="J59" s="49"/>
    </row>
    <row r="60" spans="1:10" x14ac:dyDescent="0.2">
      <c r="A60" s="50">
        <f t="shared" si="1"/>
        <v>44255</v>
      </c>
      <c r="B60" s="51">
        <v>4308</v>
      </c>
      <c r="C60" s="52">
        <v>2984</v>
      </c>
      <c r="D60" s="52">
        <v>4355</v>
      </c>
      <c r="E60" s="52">
        <v>2439</v>
      </c>
      <c r="F60" s="52">
        <v>3418</v>
      </c>
      <c r="G60" s="52">
        <v>4477</v>
      </c>
      <c r="H60" s="52">
        <v>1702</v>
      </c>
      <c r="I60" s="53">
        <v>20279</v>
      </c>
      <c r="J60" s="49"/>
    </row>
    <row r="61" spans="1:10" x14ac:dyDescent="0.2">
      <c r="A61" s="50">
        <f t="shared" si="1"/>
        <v>44256</v>
      </c>
      <c r="B61" s="51">
        <v>5653.54</v>
      </c>
      <c r="C61" s="52">
        <v>3522.91</v>
      </c>
      <c r="D61" s="52">
        <v>4801.38</v>
      </c>
      <c r="E61" s="52">
        <v>3167.21</v>
      </c>
      <c r="F61" s="52">
        <v>4549.55</v>
      </c>
      <c r="G61" s="52">
        <v>6241.26</v>
      </c>
      <c r="H61" s="52">
        <v>2943.5500000000006</v>
      </c>
      <c r="I61" s="53">
        <v>24992.3</v>
      </c>
      <c r="J61" s="49"/>
    </row>
    <row r="62" spans="1:10" x14ac:dyDescent="0.2">
      <c r="A62" s="50">
        <f t="shared" si="1"/>
        <v>44257</v>
      </c>
      <c r="B62" s="51">
        <v>6169.55</v>
      </c>
      <c r="C62" s="52">
        <v>3818.64</v>
      </c>
      <c r="D62" s="52">
        <v>5022.1499999999996</v>
      </c>
      <c r="E62" s="52">
        <v>2940.56</v>
      </c>
      <c r="F62" s="52">
        <v>3952.45</v>
      </c>
      <c r="G62" s="52">
        <v>6352.94</v>
      </c>
      <c r="H62" s="52">
        <v>3309.7200000000003</v>
      </c>
      <c r="I62" s="53">
        <v>24946.57</v>
      </c>
      <c r="J62" s="49"/>
    </row>
    <row r="63" spans="1:10" x14ac:dyDescent="0.2">
      <c r="A63" s="50">
        <f t="shared" si="1"/>
        <v>44258</v>
      </c>
      <c r="B63" s="51">
        <v>6263.41</v>
      </c>
      <c r="C63" s="52">
        <v>3768.11</v>
      </c>
      <c r="D63" s="52">
        <v>4693.42</v>
      </c>
      <c r="E63" s="52">
        <v>3431.12</v>
      </c>
      <c r="F63" s="52">
        <v>4403.22</v>
      </c>
      <c r="G63" s="52">
        <v>6102.46</v>
      </c>
      <c r="H63" s="52">
        <v>3290.13</v>
      </c>
      <c r="I63" s="53">
        <v>25371.61</v>
      </c>
      <c r="J63" s="49"/>
    </row>
    <row r="64" spans="1:10" x14ac:dyDescent="0.2">
      <c r="A64" s="50">
        <f t="shared" si="1"/>
        <v>44259</v>
      </c>
      <c r="B64" s="51">
        <v>6401</v>
      </c>
      <c r="C64" s="52">
        <v>3900</v>
      </c>
      <c r="D64" s="52">
        <v>4761</v>
      </c>
      <c r="E64" s="52">
        <v>4022</v>
      </c>
      <c r="F64" s="52">
        <v>4646</v>
      </c>
      <c r="G64" s="52">
        <v>6310</v>
      </c>
      <c r="H64" s="52">
        <v>2955</v>
      </c>
      <c r="I64" s="53">
        <v>27085</v>
      </c>
      <c r="J64" s="49"/>
    </row>
    <row r="65" spans="1:10" x14ac:dyDescent="0.2">
      <c r="A65" s="50">
        <f t="shared" si="1"/>
        <v>44260</v>
      </c>
      <c r="B65" s="51">
        <v>5894.96</v>
      </c>
      <c r="C65" s="52">
        <v>3804.63</v>
      </c>
      <c r="D65" s="52">
        <v>4742.79</v>
      </c>
      <c r="E65" s="52">
        <v>3058.38</v>
      </c>
      <c r="F65" s="52">
        <v>4348.24</v>
      </c>
      <c r="G65" s="52">
        <v>5763.96</v>
      </c>
      <c r="H65" s="52">
        <v>2768.26</v>
      </c>
      <c r="I65" s="53">
        <v>24844.699999999997</v>
      </c>
      <c r="J65" s="49"/>
    </row>
    <row r="66" spans="1:10" x14ac:dyDescent="0.2">
      <c r="A66" s="50">
        <f t="shared" si="1"/>
        <v>44261</v>
      </c>
      <c r="B66" s="51">
        <v>5311.68</v>
      </c>
      <c r="C66" s="52">
        <v>3500.69</v>
      </c>
      <c r="D66" s="52">
        <v>4614.0200000000004</v>
      </c>
      <c r="E66" s="52">
        <v>2971.7</v>
      </c>
      <c r="F66" s="52">
        <v>4063.6</v>
      </c>
      <c r="G66" s="52">
        <v>5085.5600000000004</v>
      </c>
      <c r="H66" s="52">
        <v>2181.7400000000002</v>
      </c>
      <c r="I66" s="53">
        <v>23365.51</v>
      </c>
      <c r="J66" s="49"/>
    </row>
    <row r="67" spans="1:10" x14ac:dyDescent="0.2">
      <c r="A67" s="50">
        <f t="shared" si="1"/>
        <v>44262</v>
      </c>
      <c r="B67" s="51">
        <v>5361.22</v>
      </c>
      <c r="C67" s="52">
        <v>3312.81</v>
      </c>
      <c r="D67" s="52">
        <v>4418.7299999999996</v>
      </c>
      <c r="E67" s="52">
        <v>3463.23</v>
      </c>
      <c r="F67" s="52">
        <v>4444.38</v>
      </c>
      <c r="G67" s="52">
        <v>4585.78</v>
      </c>
      <c r="H67" s="52">
        <v>1626.8399999999997</v>
      </c>
      <c r="I67" s="53">
        <v>23959.31</v>
      </c>
      <c r="J67" s="49"/>
    </row>
    <row r="68" spans="1:10" x14ac:dyDescent="0.2">
      <c r="A68" s="50">
        <f t="shared" si="1"/>
        <v>44263</v>
      </c>
      <c r="B68" s="51">
        <v>5463</v>
      </c>
      <c r="C68" s="52">
        <v>3398</v>
      </c>
      <c r="D68" s="52">
        <v>4708</v>
      </c>
      <c r="E68" s="52">
        <v>3284</v>
      </c>
      <c r="F68" s="52">
        <v>4517</v>
      </c>
      <c r="G68" s="52">
        <v>4223</v>
      </c>
      <c r="H68" s="52">
        <v>1686</v>
      </c>
      <c r="I68" s="53">
        <v>23907</v>
      </c>
      <c r="J68" s="49"/>
    </row>
    <row r="69" spans="1:10" x14ac:dyDescent="0.2">
      <c r="A69" s="50">
        <f t="shared" si="1"/>
        <v>44264</v>
      </c>
      <c r="B69" s="51">
        <v>6319.55</v>
      </c>
      <c r="C69" s="52">
        <v>3796.16</v>
      </c>
      <c r="D69" s="52">
        <v>4753.78</v>
      </c>
      <c r="E69" s="52">
        <v>4167.75</v>
      </c>
      <c r="F69" s="52">
        <v>4153.54</v>
      </c>
      <c r="G69" s="52">
        <v>5493.29</v>
      </c>
      <c r="H69" s="52">
        <v>2789.87</v>
      </c>
      <c r="I69" s="53">
        <v>25894.2</v>
      </c>
      <c r="J69" s="49"/>
    </row>
    <row r="70" spans="1:10" x14ac:dyDescent="0.2">
      <c r="A70" s="50">
        <f t="shared" si="1"/>
        <v>44265</v>
      </c>
      <c r="B70" s="51">
        <v>6155.49</v>
      </c>
      <c r="C70" s="52">
        <v>3772.28</v>
      </c>
      <c r="D70" s="52">
        <v>4855.13</v>
      </c>
      <c r="E70" s="52">
        <v>4793.8100000000004</v>
      </c>
      <c r="F70" s="52">
        <v>4293.8999999999996</v>
      </c>
      <c r="G70" s="52">
        <v>5993.67</v>
      </c>
      <c r="H70" s="52">
        <v>3026.4800000000005</v>
      </c>
      <c r="I70" s="53">
        <v>26837.8</v>
      </c>
      <c r="J70" s="49"/>
    </row>
    <row r="71" spans="1:10" x14ac:dyDescent="0.2">
      <c r="A71" s="50">
        <f t="shared" si="1"/>
        <v>44266</v>
      </c>
      <c r="B71" s="51">
        <v>6181.92</v>
      </c>
      <c r="C71" s="52">
        <v>3725.3</v>
      </c>
      <c r="D71" s="52">
        <v>5042.57</v>
      </c>
      <c r="E71" s="52">
        <v>5075.72</v>
      </c>
      <c r="F71" s="52">
        <v>3547.63</v>
      </c>
      <c r="G71" s="52">
        <v>6505.29</v>
      </c>
      <c r="H71" s="52">
        <v>3218.01</v>
      </c>
      <c r="I71" s="53">
        <v>26860.420000000006</v>
      </c>
      <c r="J71" s="49"/>
    </row>
    <row r="72" spans="1:10" x14ac:dyDescent="0.2">
      <c r="A72" s="50">
        <f t="shared" si="1"/>
        <v>44267</v>
      </c>
      <c r="B72" s="51">
        <v>6257</v>
      </c>
      <c r="C72" s="52">
        <v>3825</v>
      </c>
      <c r="D72" s="52">
        <v>5115</v>
      </c>
      <c r="E72" s="52">
        <v>4453</v>
      </c>
      <c r="F72" s="52">
        <v>4270</v>
      </c>
      <c r="G72" s="52">
        <v>6547</v>
      </c>
      <c r="H72" s="52">
        <v>3175</v>
      </c>
      <c r="I72" s="53">
        <v>27292</v>
      </c>
      <c r="J72" s="49"/>
    </row>
    <row r="73" spans="1:10" x14ac:dyDescent="0.2">
      <c r="A73" s="50">
        <f t="shared" si="1"/>
        <v>44268</v>
      </c>
      <c r="B73" s="51">
        <v>5727.42</v>
      </c>
      <c r="C73" s="52">
        <v>3477.56</v>
      </c>
      <c r="D73" s="52">
        <v>4668.37</v>
      </c>
      <c r="E73" s="52">
        <v>4172.78</v>
      </c>
      <c r="F73" s="52">
        <v>2788.96</v>
      </c>
      <c r="G73" s="52">
        <v>4857.16</v>
      </c>
      <c r="H73" s="52">
        <v>2156.67</v>
      </c>
      <c r="I73" s="53">
        <v>23535.579999999994</v>
      </c>
      <c r="J73" s="49"/>
    </row>
    <row r="74" spans="1:10" x14ac:dyDescent="0.2">
      <c r="A74" s="50">
        <f t="shared" si="1"/>
        <v>44269</v>
      </c>
      <c r="B74" s="51">
        <v>5743.17</v>
      </c>
      <c r="C74" s="52">
        <v>3415.46</v>
      </c>
      <c r="D74" s="52">
        <v>4464.33</v>
      </c>
      <c r="E74" s="52">
        <v>4578.25</v>
      </c>
      <c r="F74" s="52">
        <v>3272.87</v>
      </c>
      <c r="G74" s="52">
        <v>4295.1499999999996</v>
      </c>
      <c r="H74" s="52">
        <v>1737.3500000000001</v>
      </c>
      <c r="I74" s="53">
        <v>24031.879999999997</v>
      </c>
      <c r="J74" s="49"/>
    </row>
    <row r="75" spans="1:10" x14ac:dyDescent="0.2">
      <c r="A75" s="50">
        <f t="shared" si="1"/>
        <v>44270</v>
      </c>
      <c r="B75" s="51">
        <v>6131.57</v>
      </c>
      <c r="C75" s="52">
        <v>3869.35</v>
      </c>
      <c r="D75" s="52">
        <v>4640.7</v>
      </c>
      <c r="E75" s="52">
        <v>4489.58</v>
      </c>
      <c r="F75" s="52">
        <v>4027.92</v>
      </c>
      <c r="G75" s="52">
        <v>5723.5</v>
      </c>
      <c r="H75" s="52">
        <v>2838.8999999999996</v>
      </c>
      <c r="I75" s="53">
        <v>26043.719999999994</v>
      </c>
      <c r="J75" s="49"/>
    </row>
    <row r="76" spans="1:10" x14ac:dyDescent="0.2">
      <c r="A76" s="50">
        <f t="shared" si="1"/>
        <v>44271</v>
      </c>
      <c r="B76" s="51">
        <v>6223</v>
      </c>
      <c r="C76" s="52">
        <v>3982</v>
      </c>
      <c r="D76" s="52">
        <v>4611</v>
      </c>
      <c r="E76" s="52">
        <v>3757</v>
      </c>
      <c r="F76" s="52">
        <v>5015</v>
      </c>
      <c r="G76" s="52">
        <v>5971</v>
      </c>
      <c r="H76" s="52">
        <v>3039</v>
      </c>
      <c r="I76" s="53">
        <v>26520</v>
      </c>
      <c r="J76" s="49"/>
    </row>
    <row r="77" spans="1:10" x14ac:dyDescent="0.2">
      <c r="A77" s="50">
        <f t="shared" si="1"/>
        <v>44272</v>
      </c>
      <c r="B77" s="51">
        <v>6157.1</v>
      </c>
      <c r="C77" s="52">
        <v>4008.63</v>
      </c>
      <c r="D77" s="52">
        <v>4620.74</v>
      </c>
      <c r="E77" s="52">
        <v>2817.99</v>
      </c>
      <c r="F77" s="52">
        <v>5374.64</v>
      </c>
      <c r="G77" s="52">
        <v>5641.04</v>
      </c>
      <c r="H77" s="52">
        <v>2614.3399999999992</v>
      </c>
      <c r="I77" s="53">
        <v>26005.8</v>
      </c>
      <c r="J77" s="49"/>
    </row>
    <row r="78" spans="1:10" x14ac:dyDescent="0.2">
      <c r="A78" s="50">
        <f t="shared" si="1"/>
        <v>44273</v>
      </c>
      <c r="B78" s="51">
        <v>6329.73</v>
      </c>
      <c r="C78" s="52">
        <v>4016.05</v>
      </c>
      <c r="D78" s="52">
        <v>4311.12</v>
      </c>
      <c r="E78" s="52">
        <v>2862.78</v>
      </c>
      <c r="F78" s="52">
        <v>5418.52</v>
      </c>
      <c r="G78" s="52">
        <v>6204.53</v>
      </c>
      <c r="H78" s="52">
        <v>2936.9700000000003</v>
      </c>
      <c r="I78" s="53">
        <v>26205.759999999995</v>
      </c>
      <c r="J78" s="49"/>
    </row>
    <row r="79" spans="1:10" x14ac:dyDescent="0.2">
      <c r="A79" s="50">
        <f t="shared" si="1"/>
        <v>44274</v>
      </c>
      <c r="B79" s="51">
        <v>6232.11</v>
      </c>
      <c r="C79" s="52">
        <v>4048.93</v>
      </c>
      <c r="D79" s="52">
        <v>4454.49</v>
      </c>
      <c r="E79" s="52">
        <v>2987.57</v>
      </c>
      <c r="F79" s="52">
        <v>5683.7</v>
      </c>
      <c r="G79" s="52">
        <v>6546.62</v>
      </c>
      <c r="H79" s="52">
        <v>2936.28</v>
      </c>
      <c r="I79" s="53">
        <v>27017.14</v>
      </c>
      <c r="J79" s="49"/>
    </row>
    <row r="80" spans="1:10" x14ac:dyDescent="0.2">
      <c r="A80" s="50">
        <f t="shared" si="1"/>
        <v>44275</v>
      </c>
      <c r="B80" s="51">
        <v>6324</v>
      </c>
      <c r="C80" s="52">
        <v>3975</v>
      </c>
      <c r="D80" s="52">
        <v>4214</v>
      </c>
      <c r="E80" s="52">
        <v>2775</v>
      </c>
      <c r="F80" s="52">
        <v>5639</v>
      </c>
      <c r="G80" s="52">
        <v>5455</v>
      </c>
      <c r="H80" s="52">
        <v>2398</v>
      </c>
      <c r="I80" s="53">
        <v>25984</v>
      </c>
      <c r="J80" s="49"/>
    </row>
    <row r="81" spans="1:10" x14ac:dyDescent="0.2">
      <c r="A81" s="50">
        <f t="shared" si="1"/>
        <v>44276</v>
      </c>
      <c r="B81" s="51">
        <v>5931.78</v>
      </c>
      <c r="C81" s="52">
        <v>3824.11</v>
      </c>
      <c r="D81" s="52">
        <v>4072.49</v>
      </c>
      <c r="E81" s="52">
        <v>2548.6799999999998</v>
      </c>
      <c r="F81" s="52">
        <v>4506.1400000000003</v>
      </c>
      <c r="G81" s="52">
        <v>4977.8900000000003</v>
      </c>
      <c r="H81" s="52">
        <v>2057.0499999999997</v>
      </c>
      <c r="I81" s="53">
        <v>23804.04</v>
      </c>
      <c r="J81" s="49"/>
    </row>
    <row r="82" spans="1:10" x14ac:dyDescent="0.2">
      <c r="A82" s="50">
        <f t="shared" si="1"/>
        <v>44277</v>
      </c>
      <c r="B82" s="51">
        <v>6427.56</v>
      </c>
      <c r="C82" s="52">
        <v>3906.92</v>
      </c>
      <c r="D82" s="52">
        <v>4296.93</v>
      </c>
      <c r="E82" s="52">
        <v>2756.96</v>
      </c>
      <c r="F82" s="52">
        <v>5587.27</v>
      </c>
      <c r="G82" s="52">
        <v>5818.36</v>
      </c>
      <c r="H82" s="52">
        <v>2972.5000000000005</v>
      </c>
      <c r="I82" s="53">
        <v>25821.5</v>
      </c>
      <c r="J82" s="49"/>
    </row>
    <row r="83" spans="1:10" x14ac:dyDescent="0.2">
      <c r="A83" s="50">
        <f t="shared" si="1"/>
        <v>44278</v>
      </c>
      <c r="B83" s="51">
        <v>6729.19</v>
      </c>
      <c r="C83" s="52">
        <v>4018.56</v>
      </c>
      <c r="D83" s="52">
        <v>4515.95</v>
      </c>
      <c r="E83" s="52">
        <v>3173.09</v>
      </c>
      <c r="F83" s="52">
        <v>6295.18</v>
      </c>
      <c r="G83" s="52">
        <v>5791.24</v>
      </c>
      <c r="H83" s="52">
        <v>3240.59</v>
      </c>
      <c r="I83" s="53">
        <v>27282.62</v>
      </c>
      <c r="J83" s="49"/>
    </row>
    <row r="84" spans="1:10" x14ac:dyDescent="0.2">
      <c r="A84" s="50">
        <f t="shared" si="1"/>
        <v>44279</v>
      </c>
      <c r="B84" s="51">
        <v>7095</v>
      </c>
      <c r="C84" s="52">
        <v>4309</v>
      </c>
      <c r="D84" s="52">
        <v>4352</v>
      </c>
      <c r="E84" s="52">
        <v>3194</v>
      </c>
      <c r="F84" s="52">
        <v>7347</v>
      </c>
      <c r="G84" s="52">
        <v>5759</v>
      </c>
      <c r="H84" s="52">
        <v>2925</v>
      </c>
      <c r="I84" s="53">
        <v>29131</v>
      </c>
      <c r="J84" s="49"/>
    </row>
    <row r="85" spans="1:10" x14ac:dyDescent="0.2">
      <c r="A85" s="50">
        <f t="shared" si="1"/>
        <v>44280</v>
      </c>
      <c r="B85" s="51">
        <v>6576.32</v>
      </c>
      <c r="C85" s="52">
        <v>4269.95</v>
      </c>
      <c r="D85" s="52">
        <v>4306.3999999999996</v>
      </c>
      <c r="E85" s="52">
        <v>3735.16</v>
      </c>
      <c r="F85" s="52">
        <v>7003.84</v>
      </c>
      <c r="G85" s="52">
        <v>5628.6</v>
      </c>
      <c r="H85" s="52">
        <v>2823.5099999999998</v>
      </c>
      <c r="I85" s="53">
        <v>28696.760000000006</v>
      </c>
      <c r="J85" s="49"/>
    </row>
    <row r="86" spans="1:10" x14ac:dyDescent="0.2">
      <c r="A86" s="50">
        <f t="shared" si="1"/>
        <v>44281</v>
      </c>
      <c r="B86" s="51">
        <v>6404.62</v>
      </c>
      <c r="C86" s="52">
        <v>4212.45</v>
      </c>
      <c r="D86" s="52">
        <v>4291.07</v>
      </c>
      <c r="E86" s="52">
        <v>3066.28</v>
      </c>
      <c r="F86" s="52">
        <v>5870.19</v>
      </c>
      <c r="G86" s="52">
        <v>5679.64</v>
      </c>
      <c r="H86" s="52">
        <v>2503.54</v>
      </c>
      <c r="I86" s="53">
        <v>27020.709999999995</v>
      </c>
      <c r="J86" s="49"/>
    </row>
    <row r="87" spans="1:10" x14ac:dyDescent="0.2">
      <c r="A87" s="50">
        <f t="shared" si="1"/>
        <v>44282</v>
      </c>
      <c r="B87" s="51">
        <v>6201.58</v>
      </c>
      <c r="C87" s="52">
        <v>4006.91</v>
      </c>
      <c r="D87" s="52">
        <v>4109.33</v>
      </c>
      <c r="E87" s="52">
        <v>3180.93</v>
      </c>
      <c r="F87" s="52">
        <v>6071.02</v>
      </c>
      <c r="G87" s="52">
        <v>4675.53</v>
      </c>
      <c r="H87" s="52">
        <v>2065.54</v>
      </c>
      <c r="I87" s="53">
        <v>26179.759999999998</v>
      </c>
      <c r="J87" s="49"/>
    </row>
    <row r="88" spans="1:10" x14ac:dyDescent="0.2">
      <c r="A88" s="50">
        <f t="shared" si="1"/>
        <v>44283</v>
      </c>
      <c r="B88" s="51">
        <v>6254</v>
      </c>
      <c r="C88" s="52">
        <v>3919</v>
      </c>
      <c r="D88" s="52">
        <v>3954</v>
      </c>
      <c r="E88" s="52">
        <v>3061</v>
      </c>
      <c r="F88" s="52">
        <v>5862</v>
      </c>
      <c r="G88" s="52">
        <v>4962</v>
      </c>
      <c r="H88" s="52">
        <v>2166</v>
      </c>
      <c r="I88" s="53">
        <v>25846</v>
      </c>
      <c r="J88" s="49"/>
    </row>
    <row r="89" spans="1:10" x14ac:dyDescent="0.2">
      <c r="A89" s="50">
        <f t="shared" si="1"/>
        <v>44284</v>
      </c>
      <c r="B89" s="51">
        <v>6184.69</v>
      </c>
      <c r="C89" s="52">
        <v>3984.26</v>
      </c>
      <c r="D89" s="52">
        <v>4301.6000000000004</v>
      </c>
      <c r="E89" s="52">
        <v>2882.05</v>
      </c>
      <c r="F89" s="52">
        <v>4828.3100000000004</v>
      </c>
      <c r="G89" s="52">
        <v>5929.61</v>
      </c>
      <c r="H89" s="52">
        <v>2880.8099999999995</v>
      </c>
      <c r="I89" s="53">
        <v>25229.710000000006</v>
      </c>
      <c r="J89" s="49"/>
    </row>
    <row r="90" spans="1:10" x14ac:dyDescent="0.2">
      <c r="A90" s="50">
        <f t="shared" si="1"/>
        <v>44285</v>
      </c>
      <c r="B90" s="51">
        <v>6171.89</v>
      </c>
      <c r="C90" s="52">
        <v>4119.4399999999996</v>
      </c>
      <c r="D90" s="52">
        <v>3771.2</v>
      </c>
      <c r="E90" s="52">
        <v>2539.39</v>
      </c>
      <c r="F90" s="52">
        <v>6364.85</v>
      </c>
      <c r="G90" s="52">
        <v>5371.32</v>
      </c>
      <c r="H90" s="52">
        <v>2691.72</v>
      </c>
      <c r="I90" s="53">
        <v>25646.369999999995</v>
      </c>
      <c r="J90" s="49"/>
    </row>
    <row r="91" spans="1:10" x14ac:dyDescent="0.2">
      <c r="A91" s="50">
        <f t="shared" si="1"/>
        <v>44286</v>
      </c>
      <c r="B91" s="51">
        <v>6161.76</v>
      </c>
      <c r="C91" s="52">
        <v>4029.97</v>
      </c>
      <c r="D91" s="52">
        <v>3708.04</v>
      </c>
      <c r="E91" s="52">
        <v>2422.54</v>
      </c>
      <c r="F91" s="52">
        <v>6345.05</v>
      </c>
      <c r="G91" s="52">
        <v>5426</v>
      </c>
      <c r="H91" s="52">
        <v>2720.43</v>
      </c>
      <c r="I91" s="53">
        <v>25372.93</v>
      </c>
      <c r="J91" s="49"/>
    </row>
    <row r="92" spans="1:10" x14ac:dyDescent="0.2">
      <c r="A92" s="50">
        <f t="shared" si="1"/>
        <v>44287</v>
      </c>
      <c r="B92" s="51">
        <v>6265</v>
      </c>
      <c r="C92" s="52">
        <v>4296</v>
      </c>
      <c r="D92" s="52">
        <v>3587</v>
      </c>
      <c r="E92" s="52">
        <v>2341</v>
      </c>
      <c r="F92" s="52">
        <v>6492</v>
      </c>
      <c r="G92" s="52">
        <v>5372</v>
      </c>
      <c r="H92" s="52">
        <v>1652</v>
      </c>
      <c r="I92" s="53">
        <v>26701</v>
      </c>
      <c r="J92" s="49"/>
    </row>
    <row r="93" spans="1:10" x14ac:dyDescent="0.2">
      <c r="A93" s="50">
        <f t="shared" si="1"/>
        <v>44288</v>
      </c>
      <c r="B93" s="51">
        <v>5622.34</v>
      </c>
      <c r="C93" s="52">
        <v>3989.59</v>
      </c>
      <c r="D93" s="52">
        <v>3540.53</v>
      </c>
      <c r="E93" s="52">
        <v>1266.31</v>
      </c>
      <c r="F93" s="52">
        <v>6263.1</v>
      </c>
      <c r="G93" s="52">
        <v>5398.89</v>
      </c>
      <c r="H93" s="52">
        <v>2582.3499999999995</v>
      </c>
      <c r="I93" s="53">
        <v>23498.410000000003</v>
      </c>
      <c r="J93" s="49"/>
    </row>
    <row r="94" spans="1:10" x14ac:dyDescent="0.2">
      <c r="A94" s="50">
        <f t="shared" si="1"/>
        <v>44289</v>
      </c>
      <c r="B94" s="51">
        <v>5723.1</v>
      </c>
      <c r="C94" s="52">
        <v>3869.32</v>
      </c>
      <c r="D94" s="52">
        <v>3204.82</v>
      </c>
      <c r="E94" s="52">
        <v>1525.28</v>
      </c>
      <c r="F94" s="52">
        <v>6136.36</v>
      </c>
      <c r="G94" s="52">
        <v>4964.38</v>
      </c>
      <c r="H94" s="52">
        <v>2214.39</v>
      </c>
      <c r="I94" s="53">
        <v>23208.870000000003</v>
      </c>
      <c r="J94" s="49"/>
    </row>
    <row r="95" spans="1:10" x14ac:dyDescent="0.2">
      <c r="A95" s="50">
        <f t="shared" si="1"/>
        <v>44290</v>
      </c>
      <c r="B95" s="51">
        <v>5884.19</v>
      </c>
      <c r="C95" s="52">
        <v>3846.52</v>
      </c>
      <c r="D95" s="52">
        <v>3331.1</v>
      </c>
      <c r="E95" s="52">
        <v>1973.13</v>
      </c>
      <c r="F95" s="52">
        <v>6518.27</v>
      </c>
      <c r="G95" s="52">
        <v>4782.12</v>
      </c>
      <c r="H95" s="52">
        <v>2102.3200000000002</v>
      </c>
      <c r="I95" s="53">
        <v>24233.01</v>
      </c>
      <c r="J95" s="49"/>
    </row>
    <row r="96" spans="1:10" x14ac:dyDescent="0.2">
      <c r="A96" s="50">
        <f t="shared" ref="A96:A159" si="2">A95+1</f>
        <v>44291</v>
      </c>
      <c r="B96" s="51">
        <v>5719</v>
      </c>
      <c r="C96" s="52">
        <v>4064</v>
      </c>
      <c r="D96" s="52">
        <v>3367</v>
      </c>
      <c r="E96" s="52">
        <v>1477</v>
      </c>
      <c r="F96" s="52">
        <v>6791</v>
      </c>
      <c r="G96" s="52">
        <v>5745</v>
      </c>
      <c r="H96" s="52">
        <v>2871</v>
      </c>
      <c r="I96" s="53">
        <v>24292</v>
      </c>
      <c r="J96" s="49"/>
    </row>
    <row r="97" spans="1:10" x14ac:dyDescent="0.2">
      <c r="A97" s="50">
        <f t="shared" si="2"/>
        <v>44292</v>
      </c>
      <c r="B97" s="51">
        <v>6210.76</v>
      </c>
      <c r="C97" s="52">
        <v>4023.99</v>
      </c>
      <c r="D97" s="52">
        <v>3441.51</v>
      </c>
      <c r="E97" s="52">
        <v>1457.14</v>
      </c>
      <c r="F97" s="52">
        <v>7433.38</v>
      </c>
      <c r="G97" s="52">
        <v>5592.34</v>
      </c>
      <c r="H97" s="52">
        <v>2919.1099999999997</v>
      </c>
      <c r="I97" s="53">
        <v>25240.01</v>
      </c>
      <c r="J97" s="49"/>
    </row>
    <row r="98" spans="1:10" x14ac:dyDescent="0.2">
      <c r="A98" s="50">
        <f t="shared" si="2"/>
        <v>44293</v>
      </c>
      <c r="B98" s="51">
        <v>6051.1</v>
      </c>
      <c r="C98" s="52">
        <v>4108.9799999999996</v>
      </c>
      <c r="D98" s="52">
        <v>3786.64</v>
      </c>
      <c r="E98" s="52">
        <v>2847.53</v>
      </c>
      <c r="F98" s="52">
        <v>5893.94</v>
      </c>
      <c r="G98" s="52">
        <v>6054.84</v>
      </c>
      <c r="H98" s="52">
        <v>2920.12</v>
      </c>
      <c r="I98" s="53">
        <v>25822.91</v>
      </c>
      <c r="J98" s="49"/>
    </row>
    <row r="99" spans="1:10" x14ac:dyDescent="0.2">
      <c r="A99" s="50">
        <f t="shared" si="2"/>
        <v>44294</v>
      </c>
      <c r="B99" s="51">
        <v>6074.78</v>
      </c>
      <c r="C99" s="52">
        <v>4132.3900000000003</v>
      </c>
      <c r="D99" s="52">
        <v>3897.28</v>
      </c>
      <c r="E99" s="52">
        <v>2371.5</v>
      </c>
      <c r="F99" s="52">
        <v>5965.86</v>
      </c>
      <c r="G99" s="52">
        <v>6217.08</v>
      </c>
      <c r="H99" s="52">
        <v>3211.3399999999997</v>
      </c>
      <c r="I99" s="53">
        <v>25447.55</v>
      </c>
      <c r="J99" s="49"/>
    </row>
    <row r="100" spans="1:10" x14ac:dyDescent="0.2">
      <c r="A100" s="50">
        <f t="shared" si="2"/>
        <v>44295</v>
      </c>
      <c r="B100" s="51">
        <v>5899</v>
      </c>
      <c r="C100" s="52">
        <v>4057</v>
      </c>
      <c r="D100" s="52">
        <v>3825</v>
      </c>
      <c r="E100" s="52">
        <v>1793</v>
      </c>
      <c r="F100" s="52">
        <v>6815</v>
      </c>
      <c r="G100" s="52">
        <v>5945</v>
      </c>
      <c r="H100" s="52">
        <v>2876</v>
      </c>
      <c r="I100" s="53">
        <v>25458</v>
      </c>
      <c r="J100" s="49"/>
    </row>
    <row r="101" spans="1:10" x14ac:dyDescent="0.2">
      <c r="A101" s="50">
        <f t="shared" si="2"/>
        <v>44296</v>
      </c>
      <c r="B101" s="51">
        <v>5343.65</v>
      </c>
      <c r="C101" s="52">
        <v>3851.41</v>
      </c>
      <c r="D101" s="52">
        <v>3566.05</v>
      </c>
      <c r="E101" s="52">
        <v>1973.51</v>
      </c>
      <c r="F101" s="52">
        <v>6409.64</v>
      </c>
      <c r="G101" s="52">
        <v>5210.1499999999996</v>
      </c>
      <c r="H101" s="52">
        <v>2586.64</v>
      </c>
      <c r="I101" s="53">
        <v>23767.770000000004</v>
      </c>
      <c r="J101" s="49"/>
    </row>
    <row r="102" spans="1:10" x14ac:dyDescent="0.2">
      <c r="A102" s="50">
        <f t="shared" si="2"/>
        <v>44297</v>
      </c>
      <c r="B102" s="51">
        <v>5589.05</v>
      </c>
      <c r="C102" s="52">
        <v>3943.86</v>
      </c>
      <c r="D102" s="52">
        <v>3394.27</v>
      </c>
      <c r="E102" s="52">
        <v>1493.97</v>
      </c>
      <c r="F102" s="52">
        <v>6683.61</v>
      </c>
      <c r="G102" s="52">
        <v>4628.07</v>
      </c>
      <c r="H102" s="52">
        <v>2156.35</v>
      </c>
      <c r="I102" s="53">
        <v>23576.48</v>
      </c>
      <c r="J102" s="49"/>
    </row>
    <row r="103" spans="1:10" x14ac:dyDescent="0.2">
      <c r="A103" s="50">
        <f t="shared" si="2"/>
        <v>44298</v>
      </c>
      <c r="B103" s="51">
        <v>5654.64</v>
      </c>
      <c r="C103" s="52">
        <v>4028.06</v>
      </c>
      <c r="D103" s="52">
        <v>3712.74</v>
      </c>
      <c r="E103" s="52">
        <v>2514.5300000000002</v>
      </c>
      <c r="F103" s="52">
        <v>6376.23</v>
      </c>
      <c r="G103" s="52">
        <v>5460.45</v>
      </c>
      <c r="H103" s="52">
        <v>3005.4400000000005</v>
      </c>
      <c r="I103" s="53">
        <v>24741.21</v>
      </c>
      <c r="J103" s="49"/>
    </row>
    <row r="104" spans="1:10" x14ac:dyDescent="0.2">
      <c r="A104" s="50">
        <f t="shared" si="2"/>
        <v>44299</v>
      </c>
      <c r="B104" s="51">
        <v>6005</v>
      </c>
      <c r="C104" s="52">
        <v>4170</v>
      </c>
      <c r="D104" s="52">
        <v>3647</v>
      </c>
      <c r="E104" s="52">
        <v>3257</v>
      </c>
      <c r="F104" s="52">
        <v>6048</v>
      </c>
      <c r="G104" s="52">
        <v>5601</v>
      </c>
      <c r="H104" s="52">
        <v>3013</v>
      </c>
      <c r="I104" s="53">
        <v>25715</v>
      </c>
      <c r="J104" s="49"/>
    </row>
    <row r="105" spans="1:10" x14ac:dyDescent="0.2">
      <c r="A105" s="50">
        <f t="shared" si="2"/>
        <v>44300</v>
      </c>
      <c r="B105" s="51">
        <v>5494.87</v>
      </c>
      <c r="C105" s="52">
        <v>4193.97</v>
      </c>
      <c r="D105" s="52">
        <v>3599.96</v>
      </c>
      <c r="E105" s="52">
        <v>1970.62</v>
      </c>
      <c r="F105" s="52">
        <v>5443.56</v>
      </c>
      <c r="G105" s="52">
        <v>5498.53</v>
      </c>
      <c r="H105" s="52">
        <v>2913.9900000000002</v>
      </c>
      <c r="I105" s="53">
        <v>23287.519999999997</v>
      </c>
      <c r="J105" s="49"/>
    </row>
    <row r="106" spans="1:10" x14ac:dyDescent="0.2">
      <c r="A106" s="50">
        <f t="shared" si="2"/>
        <v>44301</v>
      </c>
      <c r="B106" s="51">
        <v>5721.28</v>
      </c>
      <c r="C106" s="52">
        <v>4179.5</v>
      </c>
      <c r="D106" s="52">
        <v>3648.9</v>
      </c>
      <c r="E106" s="52">
        <v>1574.38</v>
      </c>
      <c r="F106" s="52">
        <v>6140.32</v>
      </c>
      <c r="G106" s="52">
        <v>5557.58</v>
      </c>
      <c r="H106" s="52">
        <v>2900.82</v>
      </c>
      <c r="I106" s="53">
        <v>23921.14</v>
      </c>
      <c r="J106" s="49"/>
    </row>
    <row r="107" spans="1:10" x14ac:dyDescent="0.2">
      <c r="A107" s="50">
        <f t="shared" si="2"/>
        <v>44302</v>
      </c>
      <c r="B107" s="51">
        <v>5598.22</v>
      </c>
      <c r="C107" s="52">
        <v>4185.7299999999996</v>
      </c>
      <c r="D107" s="52">
        <v>3545.14</v>
      </c>
      <c r="E107" s="52">
        <v>1770.58</v>
      </c>
      <c r="F107" s="52">
        <v>6826.21</v>
      </c>
      <c r="G107" s="52">
        <v>5748.91</v>
      </c>
      <c r="H107" s="52">
        <v>2834.54</v>
      </c>
      <c r="I107" s="53">
        <v>24840.25</v>
      </c>
      <c r="J107" s="49"/>
    </row>
    <row r="108" spans="1:10" x14ac:dyDescent="0.2">
      <c r="A108" s="50">
        <f t="shared" si="2"/>
        <v>44303</v>
      </c>
      <c r="B108" s="51">
        <v>5704</v>
      </c>
      <c r="C108" s="52">
        <v>4053</v>
      </c>
      <c r="D108" s="52">
        <v>3382</v>
      </c>
      <c r="E108" s="52">
        <v>2019</v>
      </c>
      <c r="F108" s="52">
        <v>6526</v>
      </c>
      <c r="G108" s="52">
        <v>4963</v>
      </c>
      <c r="H108" s="52">
        <v>2266</v>
      </c>
      <c r="I108" s="53">
        <v>24381</v>
      </c>
      <c r="J108" s="49"/>
    </row>
    <row r="109" spans="1:10" x14ac:dyDescent="0.2">
      <c r="A109" s="50">
        <f t="shared" si="2"/>
        <v>44304</v>
      </c>
      <c r="B109" s="51">
        <v>5574.93</v>
      </c>
      <c r="C109" s="52">
        <v>4053.14</v>
      </c>
      <c r="D109" s="52">
        <v>3462.59</v>
      </c>
      <c r="E109" s="52">
        <v>2084.73</v>
      </c>
      <c r="F109" s="52">
        <v>4893.38</v>
      </c>
      <c r="G109" s="52">
        <v>4903.74</v>
      </c>
      <c r="H109" s="52">
        <v>2250.3800000000006</v>
      </c>
      <c r="I109" s="53">
        <v>22722.13</v>
      </c>
      <c r="J109" s="49"/>
    </row>
    <row r="110" spans="1:10" x14ac:dyDescent="0.2">
      <c r="A110" s="50">
        <f t="shared" si="2"/>
        <v>44305</v>
      </c>
      <c r="B110" s="51">
        <v>5839.1</v>
      </c>
      <c r="C110" s="52">
        <v>4286.7</v>
      </c>
      <c r="D110" s="52">
        <v>3818.28</v>
      </c>
      <c r="E110" s="52">
        <v>2092.39</v>
      </c>
      <c r="F110" s="52">
        <v>6229.72</v>
      </c>
      <c r="G110" s="52">
        <v>6068.31</v>
      </c>
      <c r="H110" s="52">
        <v>3069.7</v>
      </c>
      <c r="I110" s="53">
        <v>25264.799999999999</v>
      </c>
      <c r="J110" s="49"/>
    </row>
    <row r="111" spans="1:10" x14ac:dyDescent="0.2">
      <c r="A111" s="50">
        <f t="shared" si="2"/>
        <v>44306</v>
      </c>
      <c r="B111" s="51">
        <v>5931.33</v>
      </c>
      <c r="C111" s="52">
        <v>4132.32</v>
      </c>
      <c r="D111" s="52">
        <v>3821.95</v>
      </c>
      <c r="E111" s="52">
        <v>2189.71</v>
      </c>
      <c r="F111" s="52">
        <v>6154.26</v>
      </c>
      <c r="G111" s="52">
        <v>6006.87</v>
      </c>
      <c r="H111" s="52">
        <v>2840.9300000000003</v>
      </c>
      <c r="I111" s="53">
        <v>25395.51</v>
      </c>
      <c r="J111" s="49"/>
    </row>
    <row r="112" spans="1:10" x14ac:dyDescent="0.2">
      <c r="A112" s="50">
        <f t="shared" si="2"/>
        <v>44307</v>
      </c>
      <c r="B112" s="51">
        <v>5963</v>
      </c>
      <c r="C112" s="52">
        <v>4205</v>
      </c>
      <c r="D112" s="52">
        <v>3733</v>
      </c>
      <c r="E112" s="52">
        <v>1918</v>
      </c>
      <c r="F112" s="52">
        <v>5991</v>
      </c>
      <c r="G112" s="52">
        <v>5740</v>
      </c>
      <c r="H112" s="52">
        <v>2811</v>
      </c>
      <c r="I112" s="53">
        <v>24739</v>
      </c>
      <c r="J112" s="49"/>
    </row>
    <row r="113" spans="1:10" x14ac:dyDescent="0.2">
      <c r="A113" s="50">
        <f t="shared" si="2"/>
        <v>44308</v>
      </c>
      <c r="B113" s="51">
        <v>5981.11</v>
      </c>
      <c r="C113" s="52">
        <v>4226.9399999999996</v>
      </c>
      <c r="D113" s="52">
        <v>3797.99</v>
      </c>
      <c r="E113" s="52">
        <v>1849.28</v>
      </c>
      <c r="F113" s="52">
        <v>6198.81</v>
      </c>
      <c r="G113" s="52">
        <v>5960.66</v>
      </c>
      <c r="H113" s="52">
        <v>2856.9900000000002</v>
      </c>
      <c r="I113" s="53">
        <v>25157.8</v>
      </c>
      <c r="J113" s="49"/>
    </row>
    <row r="114" spans="1:10" x14ac:dyDescent="0.2">
      <c r="A114" s="50">
        <f t="shared" si="2"/>
        <v>44309</v>
      </c>
      <c r="B114" s="51">
        <v>6162.27</v>
      </c>
      <c r="C114" s="52">
        <v>4074.72</v>
      </c>
      <c r="D114" s="52">
        <v>3733.34</v>
      </c>
      <c r="E114" s="52">
        <v>1648.31</v>
      </c>
      <c r="F114" s="52">
        <v>6008.15</v>
      </c>
      <c r="G114" s="52">
        <v>5682.46</v>
      </c>
      <c r="H114" s="52">
        <v>2417.8999999999996</v>
      </c>
      <c r="I114" s="53">
        <v>24891.35</v>
      </c>
      <c r="J114" s="49"/>
    </row>
    <row r="115" spans="1:10" x14ac:dyDescent="0.2">
      <c r="A115" s="50">
        <f t="shared" si="2"/>
        <v>44310</v>
      </c>
      <c r="B115" s="51">
        <v>5682.79</v>
      </c>
      <c r="C115" s="52">
        <v>3970.24</v>
      </c>
      <c r="D115" s="52">
        <v>3573.18</v>
      </c>
      <c r="E115" s="52">
        <v>1952.86</v>
      </c>
      <c r="F115" s="52">
        <v>4891.49</v>
      </c>
      <c r="G115" s="52">
        <v>5286.4</v>
      </c>
      <c r="H115" s="52">
        <v>2063.63</v>
      </c>
      <c r="I115" s="53">
        <v>23293.329999999998</v>
      </c>
      <c r="J115" s="49"/>
    </row>
    <row r="116" spans="1:10" x14ac:dyDescent="0.2">
      <c r="A116" s="50">
        <f t="shared" si="2"/>
        <v>44311</v>
      </c>
      <c r="B116" s="51">
        <v>5886</v>
      </c>
      <c r="C116" s="52">
        <v>4165</v>
      </c>
      <c r="D116" s="52">
        <v>3540</v>
      </c>
      <c r="E116" s="52">
        <v>1942</v>
      </c>
      <c r="F116" s="52">
        <v>5344</v>
      </c>
      <c r="G116" s="52">
        <v>5034</v>
      </c>
      <c r="H116" s="52">
        <v>1859</v>
      </c>
      <c r="I116" s="53">
        <v>24052</v>
      </c>
      <c r="J116" s="49"/>
    </row>
    <row r="117" spans="1:10" x14ac:dyDescent="0.2">
      <c r="A117" s="50">
        <f t="shared" si="2"/>
        <v>44312</v>
      </c>
      <c r="B117" s="51">
        <v>6034.04</v>
      </c>
      <c r="C117" s="52">
        <v>4322.05</v>
      </c>
      <c r="D117" s="52">
        <v>3729.93</v>
      </c>
      <c r="E117" s="52">
        <v>1972.95</v>
      </c>
      <c r="F117" s="52">
        <v>5154.3900000000003</v>
      </c>
      <c r="G117" s="52">
        <v>5779.6</v>
      </c>
      <c r="H117" s="52">
        <v>2672.55</v>
      </c>
      <c r="I117" s="53">
        <v>24320.41</v>
      </c>
      <c r="J117" s="49"/>
    </row>
    <row r="118" spans="1:10" x14ac:dyDescent="0.2">
      <c r="A118" s="50">
        <f t="shared" si="2"/>
        <v>44313</v>
      </c>
      <c r="B118" s="51">
        <v>6311.57</v>
      </c>
      <c r="C118" s="52">
        <v>4404.8900000000003</v>
      </c>
      <c r="D118" s="52">
        <v>3742.63</v>
      </c>
      <c r="E118" s="52">
        <v>2094.19</v>
      </c>
      <c r="F118" s="52">
        <v>6386.73</v>
      </c>
      <c r="G118" s="52">
        <v>6234.69</v>
      </c>
      <c r="H118" s="52">
        <v>2699.8199999999997</v>
      </c>
      <c r="I118" s="53">
        <v>26474.879999999997</v>
      </c>
      <c r="J118" s="49"/>
    </row>
    <row r="119" spans="1:10" x14ac:dyDescent="0.2">
      <c r="A119" s="50">
        <f t="shared" si="2"/>
        <v>44314</v>
      </c>
      <c r="B119" s="51">
        <v>6143.78</v>
      </c>
      <c r="C119" s="52">
        <v>4338.42</v>
      </c>
      <c r="D119" s="52">
        <v>3801.51</v>
      </c>
      <c r="E119" s="52">
        <v>1967.26</v>
      </c>
      <c r="F119" s="52">
        <v>5898.41</v>
      </c>
      <c r="G119" s="52">
        <v>6019.88</v>
      </c>
      <c r="H119" s="52">
        <v>2753.7599999999998</v>
      </c>
      <c r="I119" s="53">
        <v>25415.500000000004</v>
      </c>
      <c r="J119" s="49"/>
    </row>
    <row r="120" spans="1:10" x14ac:dyDescent="0.2">
      <c r="A120" s="50">
        <f t="shared" si="2"/>
        <v>44315</v>
      </c>
      <c r="B120" s="51">
        <v>6168</v>
      </c>
      <c r="C120" s="52">
        <v>4376</v>
      </c>
      <c r="D120" s="52">
        <v>3734</v>
      </c>
      <c r="E120" s="52">
        <v>1924</v>
      </c>
      <c r="F120" s="52">
        <v>5451</v>
      </c>
      <c r="G120" s="52">
        <v>5941</v>
      </c>
      <c r="H120" s="52">
        <v>2481</v>
      </c>
      <c r="I120" s="53">
        <v>25113</v>
      </c>
      <c r="J120" s="49"/>
    </row>
    <row r="121" spans="1:10" x14ac:dyDescent="0.2">
      <c r="A121" s="50">
        <f t="shared" si="2"/>
        <v>44316</v>
      </c>
      <c r="B121" s="51">
        <v>6240.19</v>
      </c>
      <c r="C121" s="52">
        <v>4233.83</v>
      </c>
      <c r="D121" s="52">
        <v>3842.18</v>
      </c>
      <c r="E121" s="52">
        <v>2085.42</v>
      </c>
      <c r="F121" s="52">
        <v>5416.68</v>
      </c>
      <c r="G121" s="52">
        <v>6342.71</v>
      </c>
      <c r="H121" s="52">
        <v>2557.2399999999998</v>
      </c>
      <c r="I121" s="53">
        <v>25603.770000000004</v>
      </c>
      <c r="J121" s="49"/>
    </row>
    <row r="122" spans="1:10" x14ac:dyDescent="0.2">
      <c r="A122" s="50">
        <f t="shared" si="2"/>
        <v>44317</v>
      </c>
      <c r="B122" s="51">
        <v>5423.01</v>
      </c>
      <c r="C122" s="52">
        <v>4082.88</v>
      </c>
      <c r="D122" s="52">
        <v>3421.61</v>
      </c>
      <c r="E122" s="52">
        <v>1910.9</v>
      </c>
      <c r="F122" s="52">
        <v>4862.16</v>
      </c>
      <c r="G122" s="52">
        <v>4526.6099999999997</v>
      </c>
      <c r="H122" s="52">
        <v>1291.5700000000002</v>
      </c>
      <c r="I122" s="53">
        <v>22935.599999999999</v>
      </c>
      <c r="J122" s="49"/>
    </row>
    <row r="123" spans="1:10" x14ac:dyDescent="0.2">
      <c r="A123" s="50">
        <f t="shared" si="2"/>
        <v>44318</v>
      </c>
      <c r="B123" s="51">
        <v>5671.65</v>
      </c>
      <c r="C123" s="52">
        <v>3897.87</v>
      </c>
      <c r="D123" s="52">
        <v>3341.33</v>
      </c>
      <c r="E123" s="52">
        <v>1948.05</v>
      </c>
      <c r="F123" s="52">
        <v>6130.86</v>
      </c>
      <c r="G123" s="52">
        <v>4364.08</v>
      </c>
      <c r="H123" s="52">
        <v>1281.1799999999998</v>
      </c>
      <c r="I123" s="53">
        <v>24072.659999999996</v>
      </c>
      <c r="J123" s="49"/>
    </row>
    <row r="124" spans="1:10" x14ac:dyDescent="0.2">
      <c r="A124" s="50">
        <f t="shared" si="2"/>
        <v>44319</v>
      </c>
      <c r="B124" s="51">
        <v>5906</v>
      </c>
      <c r="C124" s="52">
        <v>3990</v>
      </c>
      <c r="D124" s="52">
        <v>3527</v>
      </c>
      <c r="E124" s="52">
        <v>1958</v>
      </c>
      <c r="F124" s="52">
        <v>6098</v>
      </c>
      <c r="G124" s="52">
        <v>5166</v>
      </c>
      <c r="H124" s="52">
        <v>1934</v>
      </c>
      <c r="I124" s="53">
        <v>24711</v>
      </c>
      <c r="J124" s="49"/>
    </row>
    <row r="125" spans="1:10" x14ac:dyDescent="0.2">
      <c r="A125" s="50">
        <f t="shared" si="2"/>
        <v>44320</v>
      </c>
      <c r="B125" s="51">
        <v>5746.34</v>
      </c>
      <c r="C125" s="52">
        <v>4044.47</v>
      </c>
      <c r="D125" s="52">
        <v>3442.24</v>
      </c>
      <c r="E125" s="52">
        <v>1919.5</v>
      </c>
      <c r="F125" s="52">
        <v>5265.24</v>
      </c>
      <c r="G125" s="52">
        <v>5840.76</v>
      </c>
      <c r="H125" s="52">
        <v>2559.8900000000003</v>
      </c>
      <c r="I125" s="53">
        <v>23698.660000000003</v>
      </c>
      <c r="J125" s="49"/>
    </row>
    <row r="126" spans="1:10" x14ac:dyDescent="0.2">
      <c r="A126" s="50">
        <f t="shared" si="2"/>
        <v>44321</v>
      </c>
      <c r="B126" s="51">
        <v>6190.05</v>
      </c>
      <c r="C126" s="52">
        <v>4117.58</v>
      </c>
      <c r="D126" s="52">
        <v>3665.83</v>
      </c>
      <c r="E126" s="52">
        <v>2063.36</v>
      </c>
      <c r="F126" s="52">
        <v>5551.96</v>
      </c>
      <c r="G126" s="52">
        <v>5624.15</v>
      </c>
      <c r="H126" s="52">
        <v>2275.5400000000004</v>
      </c>
      <c r="I126" s="53">
        <v>24937.39</v>
      </c>
      <c r="J126" s="49"/>
    </row>
    <row r="127" spans="1:10" x14ac:dyDescent="0.2">
      <c r="A127" s="50">
        <f t="shared" si="2"/>
        <v>44322</v>
      </c>
      <c r="B127" s="51">
        <v>6244.28</v>
      </c>
      <c r="C127" s="52">
        <v>4187.2700000000004</v>
      </c>
      <c r="D127" s="52">
        <v>3676.32</v>
      </c>
      <c r="E127" s="52">
        <v>2212.9</v>
      </c>
      <c r="F127" s="52">
        <v>6101.06</v>
      </c>
      <c r="G127" s="52">
        <v>6091.11</v>
      </c>
      <c r="H127" s="52">
        <v>2375.4500000000003</v>
      </c>
      <c r="I127" s="53">
        <v>26137.489999999998</v>
      </c>
      <c r="J127" s="49"/>
    </row>
    <row r="128" spans="1:10" x14ac:dyDescent="0.2">
      <c r="A128" s="50">
        <f t="shared" si="2"/>
        <v>44323</v>
      </c>
      <c r="B128" s="51">
        <v>5928</v>
      </c>
      <c r="C128" s="52">
        <v>4107</v>
      </c>
      <c r="D128" s="52">
        <v>3576</v>
      </c>
      <c r="E128" s="52">
        <v>2065</v>
      </c>
      <c r="F128" s="52">
        <v>5450</v>
      </c>
      <c r="G128" s="52">
        <v>5800</v>
      </c>
      <c r="H128" s="52">
        <v>2342</v>
      </c>
      <c r="I128" s="53">
        <v>24584</v>
      </c>
      <c r="J128" s="49"/>
    </row>
    <row r="129" spans="1:10" x14ac:dyDescent="0.2">
      <c r="A129" s="50">
        <f t="shared" si="2"/>
        <v>44324</v>
      </c>
      <c r="B129" s="51">
        <v>5783.52</v>
      </c>
      <c r="C129" s="52">
        <v>3978.47</v>
      </c>
      <c r="D129" s="52">
        <v>3344.56</v>
      </c>
      <c r="E129" s="52">
        <v>2222.08</v>
      </c>
      <c r="F129" s="52">
        <v>5589.02</v>
      </c>
      <c r="G129" s="52">
        <v>4505.41</v>
      </c>
      <c r="H129" s="52">
        <v>1382.1000000000001</v>
      </c>
      <c r="I129" s="53">
        <v>24040.960000000003</v>
      </c>
      <c r="J129" s="49"/>
    </row>
    <row r="130" spans="1:10" x14ac:dyDescent="0.2">
      <c r="A130" s="50">
        <f t="shared" si="2"/>
        <v>44325</v>
      </c>
      <c r="B130" s="51">
        <v>6161.02</v>
      </c>
      <c r="C130" s="52">
        <v>3873.57</v>
      </c>
      <c r="D130" s="52">
        <v>3311.46</v>
      </c>
      <c r="E130" s="52">
        <v>2426.3000000000002</v>
      </c>
      <c r="F130" s="52">
        <v>6490.49</v>
      </c>
      <c r="G130" s="52">
        <v>4102.47</v>
      </c>
      <c r="H130" s="52">
        <v>1047.7000000000003</v>
      </c>
      <c r="I130" s="53">
        <v>25317.609999999997</v>
      </c>
      <c r="J130" s="49"/>
    </row>
    <row r="131" spans="1:10" x14ac:dyDescent="0.2">
      <c r="A131" s="50">
        <f t="shared" si="2"/>
        <v>44326</v>
      </c>
      <c r="B131" s="51">
        <v>6036.17</v>
      </c>
      <c r="C131" s="52">
        <v>4085.31</v>
      </c>
      <c r="D131" s="52">
        <v>3561.56</v>
      </c>
      <c r="E131" s="52">
        <v>2297.04</v>
      </c>
      <c r="F131" s="52">
        <v>5272.22</v>
      </c>
      <c r="G131" s="52">
        <v>4534.4399999999996</v>
      </c>
      <c r="H131" s="52">
        <v>1372.6699999999998</v>
      </c>
      <c r="I131" s="53">
        <v>24414.07</v>
      </c>
      <c r="J131" s="49"/>
    </row>
    <row r="132" spans="1:10" x14ac:dyDescent="0.2">
      <c r="A132" s="50">
        <f t="shared" si="2"/>
        <v>44327</v>
      </c>
      <c r="B132" s="51">
        <v>5971</v>
      </c>
      <c r="C132" s="52">
        <v>4323</v>
      </c>
      <c r="D132" s="52">
        <v>3625</v>
      </c>
      <c r="E132" s="52">
        <v>1916</v>
      </c>
      <c r="F132" s="52">
        <v>4744</v>
      </c>
      <c r="G132" s="52">
        <v>5489</v>
      </c>
      <c r="H132" s="52">
        <v>2205</v>
      </c>
      <c r="I132" s="53">
        <v>23863</v>
      </c>
      <c r="J132" s="49"/>
    </row>
    <row r="133" spans="1:10" x14ac:dyDescent="0.2">
      <c r="A133" s="50">
        <f t="shared" si="2"/>
        <v>44328</v>
      </c>
      <c r="B133" s="51">
        <v>6011.97</v>
      </c>
      <c r="C133" s="52">
        <v>4199.1499999999996</v>
      </c>
      <c r="D133" s="52">
        <v>3629.55</v>
      </c>
      <c r="E133" s="52">
        <v>2472.09</v>
      </c>
      <c r="F133" s="52">
        <v>5383.59</v>
      </c>
      <c r="G133" s="52">
        <v>5712.64</v>
      </c>
      <c r="H133" s="52">
        <v>2192.5199999999995</v>
      </c>
      <c r="I133" s="53">
        <v>25216.469999999998</v>
      </c>
      <c r="J133" s="49"/>
    </row>
    <row r="134" spans="1:10" x14ac:dyDescent="0.2">
      <c r="A134" s="50">
        <f t="shared" si="2"/>
        <v>44329</v>
      </c>
      <c r="B134" s="51">
        <v>5881.45</v>
      </c>
      <c r="C134" s="52">
        <v>4213.38</v>
      </c>
      <c r="D134" s="52">
        <v>3541.51</v>
      </c>
      <c r="E134" s="52">
        <v>4283.5200000000004</v>
      </c>
      <c r="F134" s="52">
        <v>3870.08</v>
      </c>
      <c r="G134" s="52">
        <v>5496.5</v>
      </c>
      <c r="H134" s="52">
        <v>2187.14</v>
      </c>
      <c r="I134" s="53">
        <v>25099.300000000003</v>
      </c>
      <c r="J134" s="49"/>
    </row>
    <row r="135" spans="1:10" x14ac:dyDescent="0.2">
      <c r="A135" s="50">
        <f t="shared" si="2"/>
        <v>44330</v>
      </c>
      <c r="B135" s="51">
        <v>5825.43</v>
      </c>
      <c r="C135" s="52">
        <v>4149.5200000000004</v>
      </c>
      <c r="D135" s="52">
        <v>3503.2</v>
      </c>
      <c r="E135" s="52">
        <v>4175.1400000000003</v>
      </c>
      <c r="F135" s="52">
        <v>5146.82</v>
      </c>
      <c r="G135" s="52">
        <v>5475.15</v>
      </c>
      <c r="H135" s="52">
        <v>2392.0499999999997</v>
      </c>
      <c r="I135" s="53">
        <v>25883.210000000003</v>
      </c>
      <c r="J135" s="49"/>
    </row>
    <row r="136" spans="1:10" x14ac:dyDescent="0.2">
      <c r="A136" s="50">
        <f t="shared" si="2"/>
        <v>44331</v>
      </c>
      <c r="B136" s="51">
        <v>5736</v>
      </c>
      <c r="C136" s="52">
        <v>3947</v>
      </c>
      <c r="D136" s="52">
        <v>3120</v>
      </c>
      <c r="E136" s="52">
        <v>2205</v>
      </c>
      <c r="F136" s="52">
        <v>6144</v>
      </c>
      <c r="G136" s="52">
        <v>4494</v>
      </c>
      <c r="H136" s="52">
        <v>1791</v>
      </c>
      <c r="I136" s="53">
        <v>23855</v>
      </c>
      <c r="J136" s="49"/>
    </row>
    <row r="137" spans="1:10" x14ac:dyDescent="0.2">
      <c r="A137" s="50">
        <f t="shared" si="2"/>
        <v>44332</v>
      </c>
      <c r="B137" s="51">
        <v>5625.69</v>
      </c>
      <c r="C137" s="52">
        <v>4028.8</v>
      </c>
      <c r="D137" s="52">
        <v>3178.58</v>
      </c>
      <c r="E137" s="52">
        <v>2318.44</v>
      </c>
      <c r="F137" s="52">
        <v>6200.53</v>
      </c>
      <c r="G137" s="52">
        <v>4108.7</v>
      </c>
      <c r="H137" s="52">
        <v>1562.2700000000002</v>
      </c>
      <c r="I137" s="53">
        <v>23898.47</v>
      </c>
      <c r="J137" s="49"/>
    </row>
    <row r="138" spans="1:10" x14ac:dyDescent="0.2">
      <c r="A138" s="50">
        <f t="shared" si="2"/>
        <v>44333</v>
      </c>
      <c r="B138" s="51">
        <v>5701.79</v>
      </c>
      <c r="C138" s="52">
        <v>4382.07</v>
      </c>
      <c r="D138" s="52">
        <v>3544.84</v>
      </c>
      <c r="E138" s="52">
        <v>2883.04</v>
      </c>
      <c r="F138" s="52">
        <v>6198.75</v>
      </c>
      <c r="G138" s="52">
        <v>4845.37</v>
      </c>
      <c r="H138" s="52">
        <v>2493.5600000000004</v>
      </c>
      <c r="I138" s="53">
        <v>25062.3</v>
      </c>
      <c r="J138" s="49"/>
    </row>
    <row r="139" spans="1:10" x14ac:dyDescent="0.2">
      <c r="A139" s="50">
        <f t="shared" si="2"/>
        <v>44334</v>
      </c>
      <c r="B139" s="51">
        <v>5802.47</v>
      </c>
      <c r="C139" s="52">
        <v>4697.41</v>
      </c>
      <c r="D139" s="52">
        <v>3539.59</v>
      </c>
      <c r="E139" s="52">
        <v>2408.56</v>
      </c>
      <c r="F139" s="52">
        <v>6502.31</v>
      </c>
      <c r="G139" s="52">
        <v>5051.3500000000004</v>
      </c>
      <c r="H139" s="52">
        <v>2388.8938000000003</v>
      </c>
      <c r="I139" s="53">
        <v>25612.796200000001</v>
      </c>
      <c r="J139" s="49"/>
    </row>
    <row r="140" spans="1:10" x14ac:dyDescent="0.2">
      <c r="A140" s="50">
        <f t="shared" si="2"/>
        <v>44335</v>
      </c>
      <c r="B140" s="51">
        <v>5462</v>
      </c>
      <c r="C140" s="52">
        <v>4731</v>
      </c>
      <c r="D140" s="52">
        <v>3607</v>
      </c>
      <c r="E140" s="52">
        <v>1327</v>
      </c>
      <c r="F140" s="52">
        <v>6414</v>
      </c>
      <c r="G140" s="52">
        <v>5053</v>
      </c>
      <c r="H140" s="52">
        <v>2501</v>
      </c>
      <c r="I140" s="53">
        <v>24093</v>
      </c>
      <c r="J140" s="49"/>
    </row>
    <row r="141" spans="1:10" x14ac:dyDescent="0.2">
      <c r="A141" s="50">
        <f t="shared" si="2"/>
        <v>44336</v>
      </c>
      <c r="B141" s="51">
        <v>5669.85</v>
      </c>
      <c r="C141" s="52">
        <v>4364.4399999999996</v>
      </c>
      <c r="D141" s="52">
        <v>3569.26</v>
      </c>
      <c r="E141" s="52">
        <v>2058.46</v>
      </c>
      <c r="F141" s="52">
        <v>6522.81</v>
      </c>
      <c r="G141" s="52">
        <v>4921.97</v>
      </c>
      <c r="H141" s="52">
        <v>2125.13</v>
      </c>
      <c r="I141" s="53">
        <v>24981.660000000003</v>
      </c>
      <c r="J141" s="49"/>
    </row>
    <row r="142" spans="1:10" x14ac:dyDescent="0.2">
      <c r="A142" s="50">
        <f t="shared" si="2"/>
        <v>44337</v>
      </c>
      <c r="B142" s="51">
        <v>5913.94</v>
      </c>
      <c r="C142" s="52">
        <v>4417.03</v>
      </c>
      <c r="D142" s="52">
        <v>3540.59</v>
      </c>
      <c r="E142" s="52">
        <v>2554.7600000000002</v>
      </c>
      <c r="F142" s="52">
        <v>6089.11</v>
      </c>
      <c r="G142" s="52">
        <v>5121.8599999999997</v>
      </c>
      <c r="H142" s="52">
        <v>2502.9099999999994</v>
      </c>
      <c r="I142" s="53">
        <v>25134.38</v>
      </c>
      <c r="J142" s="49"/>
    </row>
    <row r="143" spans="1:10" x14ac:dyDescent="0.2">
      <c r="A143" s="50">
        <f t="shared" si="2"/>
        <v>44338</v>
      </c>
      <c r="B143" s="51">
        <v>5495.61</v>
      </c>
      <c r="C143" s="52">
        <v>4264.47</v>
      </c>
      <c r="D143" s="52">
        <v>3294.21</v>
      </c>
      <c r="E143" s="52">
        <v>3163.82</v>
      </c>
      <c r="F143" s="52">
        <v>6344.4</v>
      </c>
      <c r="G143" s="52">
        <v>4269.3100000000004</v>
      </c>
      <c r="H143" s="52">
        <v>2082.8149000000003</v>
      </c>
      <c r="I143" s="53">
        <v>24749.005100000002</v>
      </c>
      <c r="J143" s="49"/>
    </row>
    <row r="144" spans="1:10" x14ac:dyDescent="0.2">
      <c r="A144" s="50">
        <f t="shared" si="2"/>
        <v>44339</v>
      </c>
      <c r="B144" s="51">
        <v>5445</v>
      </c>
      <c r="C144" s="52">
        <v>4622</v>
      </c>
      <c r="D144" s="52">
        <v>3157</v>
      </c>
      <c r="E144" s="52">
        <v>2586</v>
      </c>
      <c r="F144" s="52">
        <v>6205</v>
      </c>
      <c r="G144" s="52">
        <v>4388</v>
      </c>
      <c r="H144" s="52">
        <v>1852</v>
      </c>
      <c r="I144" s="53">
        <v>24551</v>
      </c>
      <c r="J144" s="49"/>
    </row>
    <row r="145" spans="1:10" x14ac:dyDescent="0.2">
      <c r="A145" s="50">
        <f t="shared" si="2"/>
        <v>44340</v>
      </c>
      <c r="B145" s="51">
        <v>5599.42</v>
      </c>
      <c r="C145" s="52">
        <v>4844.59</v>
      </c>
      <c r="D145" s="52">
        <v>3455.3</v>
      </c>
      <c r="E145" s="52">
        <v>1877.77</v>
      </c>
      <c r="F145" s="52">
        <v>5990.22</v>
      </c>
      <c r="G145" s="52">
        <v>5259.55</v>
      </c>
      <c r="H145" s="52">
        <v>2611</v>
      </c>
      <c r="I145" s="53">
        <v>24415.850000000002</v>
      </c>
      <c r="J145" s="49"/>
    </row>
    <row r="146" spans="1:10" x14ac:dyDescent="0.2">
      <c r="A146" s="50">
        <f t="shared" si="2"/>
        <v>44341</v>
      </c>
      <c r="B146" s="51">
        <v>5601.65</v>
      </c>
      <c r="C146" s="52">
        <v>4883.51</v>
      </c>
      <c r="D146" s="52">
        <v>3392.84</v>
      </c>
      <c r="E146" s="52">
        <v>2287.6799999999998</v>
      </c>
      <c r="F146" s="52">
        <v>6305.8</v>
      </c>
      <c r="G146" s="52">
        <v>4866.3500000000004</v>
      </c>
      <c r="H146" s="52">
        <v>2476.5500000000002</v>
      </c>
      <c r="I146" s="53">
        <v>24861.280000000002</v>
      </c>
      <c r="J146" s="49"/>
    </row>
    <row r="147" spans="1:10" x14ac:dyDescent="0.2">
      <c r="A147" s="50">
        <f t="shared" si="2"/>
        <v>44342</v>
      </c>
      <c r="B147" s="51">
        <v>5706.44</v>
      </c>
      <c r="C147" s="52">
        <v>4756.28</v>
      </c>
      <c r="D147" s="52">
        <v>3505.72</v>
      </c>
      <c r="E147" s="52">
        <v>2328.4499999999998</v>
      </c>
      <c r="F147" s="52">
        <v>6756</v>
      </c>
      <c r="G147" s="52">
        <v>5164.8999999999996</v>
      </c>
      <c r="H147" s="52">
        <v>2614.7965999999997</v>
      </c>
      <c r="I147" s="53">
        <v>25602.993399999999</v>
      </c>
      <c r="J147" s="49"/>
    </row>
    <row r="148" spans="1:10" x14ac:dyDescent="0.2">
      <c r="A148" s="50">
        <f t="shared" si="2"/>
        <v>44343</v>
      </c>
      <c r="B148" s="51">
        <v>6327</v>
      </c>
      <c r="C148" s="52">
        <v>4878</v>
      </c>
      <c r="D148" s="52">
        <v>3669</v>
      </c>
      <c r="E148" s="52">
        <v>2866</v>
      </c>
      <c r="F148" s="52">
        <v>7192</v>
      </c>
      <c r="G148" s="52">
        <v>5073</v>
      </c>
      <c r="H148" s="52">
        <v>2435</v>
      </c>
      <c r="I148" s="53">
        <v>27570</v>
      </c>
      <c r="J148" s="49"/>
    </row>
    <row r="149" spans="1:10" x14ac:dyDescent="0.2">
      <c r="A149" s="50">
        <f t="shared" si="2"/>
        <v>44344</v>
      </c>
      <c r="B149" s="51">
        <v>6094.29</v>
      </c>
      <c r="C149" s="52">
        <v>4795.63</v>
      </c>
      <c r="D149" s="52">
        <v>3571.46</v>
      </c>
      <c r="E149" s="52">
        <v>2823.37</v>
      </c>
      <c r="F149" s="52">
        <v>7198.3</v>
      </c>
      <c r="G149" s="52">
        <v>4612.6000000000004</v>
      </c>
      <c r="H149" s="52">
        <v>2342.9</v>
      </c>
      <c r="I149" s="53">
        <v>26752.75</v>
      </c>
      <c r="J149" s="49"/>
    </row>
    <row r="150" spans="1:10" x14ac:dyDescent="0.2">
      <c r="A150" s="50">
        <f t="shared" si="2"/>
        <v>44345</v>
      </c>
      <c r="B150" s="51">
        <v>5763.09</v>
      </c>
      <c r="C150" s="52">
        <v>4507.47</v>
      </c>
      <c r="D150" s="52">
        <v>3250.1</v>
      </c>
      <c r="E150" s="52">
        <v>3046.2</v>
      </c>
      <c r="F150" s="52">
        <v>6051.78</v>
      </c>
      <c r="G150" s="52">
        <v>4467.34</v>
      </c>
      <c r="H150" s="52">
        <v>1955.5900000000001</v>
      </c>
      <c r="I150" s="53">
        <v>25130.39</v>
      </c>
      <c r="J150" s="49"/>
    </row>
    <row r="151" spans="1:10" x14ac:dyDescent="0.2">
      <c r="A151" s="50">
        <f t="shared" si="2"/>
        <v>44346</v>
      </c>
      <c r="B151" s="51">
        <v>5838.67</v>
      </c>
      <c r="C151" s="52">
        <v>4512.21</v>
      </c>
      <c r="D151" s="52">
        <v>3157.66</v>
      </c>
      <c r="E151" s="52">
        <v>2751.21</v>
      </c>
      <c r="F151" s="52">
        <v>6250.94</v>
      </c>
      <c r="G151" s="52">
        <v>4716.51</v>
      </c>
      <c r="H151" s="52">
        <v>2298.1087999999995</v>
      </c>
      <c r="I151" s="53">
        <v>24929.091199999999</v>
      </c>
      <c r="J151" s="49"/>
    </row>
    <row r="152" spans="1:10" x14ac:dyDescent="0.2">
      <c r="A152" s="50">
        <f t="shared" si="2"/>
        <v>44347</v>
      </c>
      <c r="B152" s="51">
        <v>5865</v>
      </c>
      <c r="C152" s="52">
        <v>4559</v>
      </c>
      <c r="D152" s="52">
        <v>3260</v>
      </c>
      <c r="E152" s="52">
        <v>2339</v>
      </c>
      <c r="F152" s="52">
        <v>6011</v>
      </c>
      <c r="G152" s="52">
        <v>4961</v>
      </c>
      <c r="H152" s="52">
        <v>2405</v>
      </c>
      <c r="I152" s="53">
        <v>24590</v>
      </c>
      <c r="J152" s="49"/>
    </row>
    <row r="153" spans="1:10" x14ac:dyDescent="0.2">
      <c r="A153" s="50">
        <f t="shared" si="2"/>
        <v>44348</v>
      </c>
      <c r="B153" s="51">
        <v>5876.37</v>
      </c>
      <c r="C153" s="52">
        <v>4221.7700000000004</v>
      </c>
      <c r="D153" s="52">
        <v>3627.21</v>
      </c>
      <c r="E153" s="52">
        <v>2546.9499999999998</v>
      </c>
      <c r="F153" s="52">
        <v>6014.43</v>
      </c>
      <c r="G153" s="52">
        <v>4840.21</v>
      </c>
      <c r="H153" s="52">
        <v>2303.2300000000005</v>
      </c>
      <c r="I153" s="53">
        <v>24823.71</v>
      </c>
      <c r="J153" s="49"/>
    </row>
    <row r="154" spans="1:10" x14ac:dyDescent="0.2">
      <c r="A154" s="50">
        <f t="shared" si="2"/>
        <v>44349</v>
      </c>
      <c r="B154" s="51">
        <v>5807.48</v>
      </c>
      <c r="C154" s="52">
        <v>4283.01</v>
      </c>
      <c r="D154" s="52">
        <v>3734.45</v>
      </c>
      <c r="E154" s="52">
        <v>2179.41</v>
      </c>
      <c r="F154" s="52">
        <v>5347.68</v>
      </c>
      <c r="G154" s="52">
        <v>4480</v>
      </c>
      <c r="H154" s="52">
        <v>2408.48</v>
      </c>
      <c r="I154" s="53">
        <v>23423.55</v>
      </c>
      <c r="J154" s="49"/>
    </row>
    <row r="155" spans="1:10" x14ac:dyDescent="0.2">
      <c r="A155" s="50">
        <f t="shared" si="2"/>
        <v>44350</v>
      </c>
      <c r="B155" s="51">
        <v>6084.72</v>
      </c>
      <c r="C155" s="52">
        <v>4108.76</v>
      </c>
      <c r="D155" s="52">
        <v>3753.69</v>
      </c>
      <c r="E155" s="52">
        <v>2343.0700000000002</v>
      </c>
      <c r="F155" s="52">
        <v>6452.65</v>
      </c>
      <c r="G155" s="52">
        <v>4828.2299999999996</v>
      </c>
      <c r="H155" s="52">
        <v>2561.7255999999998</v>
      </c>
      <c r="I155" s="53">
        <v>25009.394399999997</v>
      </c>
      <c r="J155" s="49"/>
    </row>
    <row r="156" spans="1:10" x14ac:dyDescent="0.2">
      <c r="A156" s="50">
        <f t="shared" si="2"/>
        <v>44351</v>
      </c>
      <c r="B156" s="51">
        <v>5850</v>
      </c>
      <c r="C156" s="52">
        <v>4125</v>
      </c>
      <c r="D156" s="52">
        <v>3513</v>
      </c>
      <c r="E156" s="52">
        <v>1513</v>
      </c>
      <c r="F156" s="52">
        <v>6834</v>
      </c>
      <c r="G156" s="52">
        <v>4790</v>
      </c>
      <c r="H156" s="52">
        <v>2362</v>
      </c>
      <c r="I156" s="53">
        <v>24263</v>
      </c>
      <c r="J156" s="49"/>
    </row>
    <row r="157" spans="1:10" x14ac:dyDescent="0.2">
      <c r="A157" s="50">
        <f t="shared" si="2"/>
        <v>44352</v>
      </c>
      <c r="B157" s="51">
        <v>5775.5</v>
      </c>
      <c r="C157" s="52">
        <v>3771.71</v>
      </c>
      <c r="D157" s="52">
        <v>3427.51</v>
      </c>
      <c r="E157" s="52">
        <v>1018.23</v>
      </c>
      <c r="F157" s="52">
        <v>7138.01</v>
      </c>
      <c r="G157" s="52">
        <v>4090.14</v>
      </c>
      <c r="H157" s="52">
        <v>1613.0200000000002</v>
      </c>
      <c r="I157" s="53">
        <v>23608.079999999998</v>
      </c>
      <c r="J157" s="49"/>
    </row>
    <row r="158" spans="1:10" x14ac:dyDescent="0.2">
      <c r="A158" s="50">
        <f t="shared" si="2"/>
        <v>44353</v>
      </c>
      <c r="B158" s="51">
        <v>5861.65</v>
      </c>
      <c r="C158" s="52">
        <v>3976.29</v>
      </c>
      <c r="D158" s="52">
        <v>3224.04</v>
      </c>
      <c r="E158" s="52">
        <v>1946.54</v>
      </c>
      <c r="F158" s="52">
        <v>7649.86</v>
      </c>
      <c r="G158" s="52">
        <v>3846.73</v>
      </c>
      <c r="H158" s="52">
        <v>1853.42</v>
      </c>
      <c r="I158" s="53">
        <v>24651.690000000002</v>
      </c>
      <c r="J158" s="49"/>
    </row>
    <row r="159" spans="1:10" x14ac:dyDescent="0.2">
      <c r="A159" s="50">
        <f t="shared" si="2"/>
        <v>44354</v>
      </c>
      <c r="B159" s="51">
        <v>5607.46</v>
      </c>
      <c r="C159" s="52">
        <v>4317.76</v>
      </c>
      <c r="D159" s="52">
        <v>3505.16</v>
      </c>
      <c r="E159" s="52">
        <v>2013.02</v>
      </c>
      <c r="F159" s="52">
        <v>6603.27</v>
      </c>
      <c r="G159" s="52">
        <v>4766.7</v>
      </c>
      <c r="H159" s="52">
        <v>2351.3210000000004</v>
      </c>
      <c r="I159" s="53">
        <v>24462.049000000003</v>
      </c>
      <c r="J159" s="49"/>
    </row>
    <row r="160" spans="1:10" x14ac:dyDescent="0.2">
      <c r="A160" s="50">
        <f t="shared" ref="A160:A223" si="3">A159+1</f>
        <v>44355</v>
      </c>
      <c r="B160" s="51">
        <v>5751</v>
      </c>
      <c r="C160" s="52">
        <v>4241</v>
      </c>
      <c r="D160" s="52">
        <v>3457</v>
      </c>
      <c r="E160" s="52">
        <v>1921</v>
      </c>
      <c r="F160" s="52">
        <v>6217</v>
      </c>
      <c r="G160" s="52">
        <v>4809</v>
      </c>
      <c r="H160" s="52">
        <v>2386</v>
      </c>
      <c r="I160" s="53">
        <v>24010</v>
      </c>
      <c r="J160" s="49"/>
    </row>
    <row r="161" spans="1:10" x14ac:dyDescent="0.2">
      <c r="A161" s="50">
        <f t="shared" si="3"/>
        <v>44356</v>
      </c>
      <c r="B161" s="51">
        <v>5689.98</v>
      </c>
      <c r="C161" s="52">
        <v>4073.64</v>
      </c>
      <c r="D161" s="52">
        <v>3662.1</v>
      </c>
      <c r="E161" s="52">
        <v>1022.15</v>
      </c>
      <c r="F161" s="52">
        <v>7245.77</v>
      </c>
      <c r="G161" s="52">
        <v>4817.5</v>
      </c>
      <c r="H161" s="52">
        <v>2525.64</v>
      </c>
      <c r="I161" s="53">
        <v>23985.5</v>
      </c>
      <c r="J161" s="49"/>
    </row>
    <row r="162" spans="1:10" x14ac:dyDescent="0.2">
      <c r="A162" s="50">
        <f t="shared" si="3"/>
        <v>44357</v>
      </c>
      <c r="B162" s="51">
        <v>6197.82</v>
      </c>
      <c r="C162" s="52">
        <v>4264.01</v>
      </c>
      <c r="D162" s="52">
        <v>3622.75</v>
      </c>
      <c r="E162" s="52">
        <v>2454.59</v>
      </c>
      <c r="F162" s="52">
        <v>7199.23</v>
      </c>
      <c r="G162" s="52">
        <v>4705.5600000000004</v>
      </c>
      <c r="H162" s="52">
        <v>2525.56</v>
      </c>
      <c r="I162" s="53">
        <v>25918.399999999998</v>
      </c>
      <c r="J162" s="49"/>
    </row>
    <row r="163" spans="1:10" x14ac:dyDescent="0.2">
      <c r="A163" s="50">
        <f t="shared" si="3"/>
        <v>44358</v>
      </c>
      <c r="B163" s="51">
        <v>6088.62</v>
      </c>
      <c r="C163" s="52">
        <v>4060.51</v>
      </c>
      <c r="D163" s="52">
        <v>3497.86</v>
      </c>
      <c r="E163" s="52">
        <v>2863.44</v>
      </c>
      <c r="F163" s="52">
        <v>6746.26</v>
      </c>
      <c r="G163" s="52">
        <v>4586.71</v>
      </c>
      <c r="H163" s="52">
        <v>2295.9541999999997</v>
      </c>
      <c r="I163" s="53">
        <v>25547.445800000001</v>
      </c>
      <c r="J163" s="49"/>
    </row>
    <row r="164" spans="1:10" x14ac:dyDescent="0.2">
      <c r="A164" s="50">
        <f t="shared" si="3"/>
        <v>44359</v>
      </c>
      <c r="B164" s="51">
        <v>5650</v>
      </c>
      <c r="C164" s="52">
        <v>4019</v>
      </c>
      <c r="D164" s="52">
        <v>3175</v>
      </c>
      <c r="E164" s="52">
        <v>2160</v>
      </c>
      <c r="F164" s="52">
        <v>6856</v>
      </c>
      <c r="G164" s="52">
        <v>3381</v>
      </c>
      <c r="H164" s="52">
        <v>1436</v>
      </c>
      <c r="I164" s="53">
        <v>23805</v>
      </c>
      <c r="J164" s="49"/>
    </row>
    <row r="165" spans="1:10" x14ac:dyDescent="0.2">
      <c r="A165" s="50">
        <f t="shared" si="3"/>
        <v>44360</v>
      </c>
      <c r="B165" s="51">
        <v>5261.24</v>
      </c>
      <c r="C165" s="52">
        <v>3974.97</v>
      </c>
      <c r="D165" s="52">
        <v>3234.28</v>
      </c>
      <c r="E165" s="52">
        <v>1485.04</v>
      </c>
      <c r="F165" s="52">
        <v>6274.81</v>
      </c>
      <c r="G165" s="52">
        <v>3070.16</v>
      </c>
      <c r="H165" s="52">
        <v>1259.4399999999998</v>
      </c>
      <c r="I165" s="53">
        <v>22041.06</v>
      </c>
      <c r="J165" s="49"/>
    </row>
    <row r="166" spans="1:10" x14ac:dyDescent="0.2">
      <c r="A166" s="50">
        <f t="shared" si="3"/>
        <v>44361</v>
      </c>
      <c r="B166" s="51">
        <v>5736.51</v>
      </c>
      <c r="C166" s="52">
        <v>3982.33</v>
      </c>
      <c r="D166" s="52">
        <v>3472.01</v>
      </c>
      <c r="E166" s="52">
        <v>1791.67</v>
      </c>
      <c r="F166" s="52">
        <v>6134.71</v>
      </c>
      <c r="G166" s="52">
        <v>4022.32</v>
      </c>
      <c r="H166" s="52">
        <v>1918.37</v>
      </c>
      <c r="I166" s="53">
        <v>23221.18</v>
      </c>
      <c r="J166" s="49"/>
    </row>
    <row r="167" spans="1:10" x14ac:dyDescent="0.2">
      <c r="A167" s="50">
        <f t="shared" si="3"/>
        <v>44362</v>
      </c>
      <c r="B167" s="51">
        <v>5612.52</v>
      </c>
      <c r="C167" s="52">
        <v>4155.1099999999997</v>
      </c>
      <c r="D167" s="52">
        <v>3423.61</v>
      </c>
      <c r="E167" s="52">
        <v>2280.6</v>
      </c>
      <c r="F167" s="52">
        <v>6904.69</v>
      </c>
      <c r="G167" s="52">
        <v>4341.2299999999996</v>
      </c>
      <c r="H167" s="52">
        <v>2075.1740000000004</v>
      </c>
      <c r="I167" s="53">
        <v>24642.586000000003</v>
      </c>
      <c r="J167" s="49"/>
    </row>
    <row r="168" spans="1:10" x14ac:dyDescent="0.2">
      <c r="A168" s="50">
        <f t="shared" si="3"/>
        <v>44363</v>
      </c>
      <c r="B168" s="51">
        <v>5529</v>
      </c>
      <c r="C168" s="52">
        <v>4746</v>
      </c>
      <c r="D168" s="52">
        <v>3463</v>
      </c>
      <c r="E168" s="52">
        <v>2393</v>
      </c>
      <c r="F168" s="52">
        <v>6046</v>
      </c>
      <c r="G168" s="52">
        <v>4688</v>
      </c>
      <c r="H168" s="52">
        <v>2263</v>
      </c>
      <c r="I168" s="53">
        <v>24602</v>
      </c>
      <c r="J168" s="49"/>
    </row>
    <row r="169" spans="1:10" x14ac:dyDescent="0.2">
      <c r="A169" s="50">
        <f t="shared" si="3"/>
        <v>44364</v>
      </c>
      <c r="B169" s="51">
        <v>5400.85</v>
      </c>
      <c r="C169" s="52">
        <v>4619.8900000000003</v>
      </c>
      <c r="D169" s="52">
        <v>3653.9</v>
      </c>
      <c r="E169" s="52">
        <v>2214.58</v>
      </c>
      <c r="F169" s="52">
        <v>6516.12</v>
      </c>
      <c r="G169" s="52">
        <v>4906.8500000000004</v>
      </c>
      <c r="H169" s="52">
        <v>2272.8299999999995</v>
      </c>
      <c r="I169" s="53">
        <v>25039.360000000004</v>
      </c>
      <c r="J169" s="49"/>
    </row>
    <row r="170" spans="1:10" x14ac:dyDescent="0.2">
      <c r="A170" s="50">
        <f t="shared" si="3"/>
        <v>44365</v>
      </c>
      <c r="B170" s="51">
        <v>6116.6</v>
      </c>
      <c r="C170" s="52">
        <v>4538.2700000000004</v>
      </c>
      <c r="D170" s="52">
        <v>3474.81</v>
      </c>
      <c r="E170" s="52">
        <v>2347.12</v>
      </c>
      <c r="F170" s="52">
        <v>7128.85</v>
      </c>
      <c r="G170" s="52">
        <v>4822.6899999999996</v>
      </c>
      <c r="H170" s="52">
        <v>2116.7600000000002</v>
      </c>
      <c r="I170" s="53">
        <v>26311.58</v>
      </c>
      <c r="J170" s="49"/>
    </row>
    <row r="171" spans="1:10" x14ac:dyDescent="0.2">
      <c r="A171" s="50">
        <f t="shared" si="3"/>
        <v>44366</v>
      </c>
      <c r="B171" s="51">
        <v>6030.3</v>
      </c>
      <c r="C171" s="52">
        <v>3929.35</v>
      </c>
      <c r="D171" s="52">
        <v>3355.34</v>
      </c>
      <c r="E171" s="52">
        <v>2467.77</v>
      </c>
      <c r="F171" s="52">
        <v>6917.98</v>
      </c>
      <c r="G171" s="52">
        <v>4235.87</v>
      </c>
      <c r="H171" s="52">
        <v>1813.6283999999998</v>
      </c>
      <c r="I171" s="53">
        <v>25122.981599999996</v>
      </c>
      <c r="J171" s="49"/>
    </row>
    <row r="172" spans="1:10" x14ac:dyDescent="0.2">
      <c r="A172" s="50">
        <f t="shared" si="3"/>
        <v>44367</v>
      </c>
      <c r="B172" s="51">
        <v>5716</v>
      </c>
      <c r="C172" s="52">
        <v>3942</v>
      </c>
      <c r="D172" s="52">
        <v>3226</v>
      </c>
      <c r="E172" s="52">
        <v>2221</v>
      </c>
      <c r="F172" s="52">
        <v>6716</v>
      </c>
      <c r="G172" s="52">
        <v>3944</v>
      </c>
      <c r="H172" s="52">
        <v>1551</v>
      </c>
      <c r="I172" s="53">
        <v>24214</v>
      </c>
      <c r="J172" s="49"/>
    </row>
    <row r="173" spans="1:10" x14ac:dyDescent="0.2">
      <c r="A173" s="50">
        <f t="shared" si="3"/>
        <v>44368</v>
      </c>
      <c r="B173" s="51">
        <v>5652.65</v>
      </c>
      <c r="C173" s="52">
        <v>4350.1400000000003</v>
      </c>
      <c r="D173" s="52">
        <v>3416.03</v>
      </c>
      <c r="E173" s="52">
        <v>2073.79</v>
      </c>
      <c r="F173" s="52">
        <v>6679.44</v>
      </c>
      <c r="G173" s="52">
        <v>4624.45</v>
      </c>
      <c r="H173" s="52">
        <v>2244.2800000000002</v>
      </c>
      <c r="I173" s="53">
        <v>24552.22</v>
      </c>
      <c r="J173" s="49"/>
    </row>
    <row r="174" spans="1:10" x14ac:dyDescent="0.2">
      <c r="A174" s="50">
        <f t="shared" si="3"/>
        <v>44369</v>
      </c>
      <c r="B174" s="51">
        <v>5990.84</v>
      </c>
      <c r="C174" s="52">
        <v>4540.62</v>
      </c>
      <c r="D174" s="52">
        <v>3506.83</v>
      </c>
      <c r="E174" s="52">
        <v>1427.16</v>
      </c>
      <c r="F174" s="52">
        <v>7734.97</v>
      </c>
      <c r="G174" s="52">
        <v>4405.79</v>
      </c>
      <c r="H174" s="52">
        <v>2365.87</v>
      </c>
      <c r="I174" s="53">
        <v>25240.34</v>
      </c>
      <c r="J174" s="49"/>
    </row>
    <row r="175" spans="1:10" x14ac:dyDescent="0.2">
      <c r="A175" s="50">
        <f t="shared" si="3"/>
        <v>44370</v>
      </c>
      <c r="B175" s="51">
        <v>5712.72</v>
      </c>
      <c r="C175" s="52">
        <v>4368.7700000000004</v>
      </c>
      <c r="D175" s="52">
        <v>3411.26</v>
      </c>
      <c r="E175" s="52">
        <v>1446.58</v>
      </c>
      <c r="F175" s="52">
        <v>7405.74</v>
      </c>
      <c r="G175" s="52">
        <v>4841.97</v>
      </c>
      <c r="H175" s="52">
        <v>2345.3399999999997</v>
      </c>
      <c r="I175" s="53">
        <v>24841.7</v>
      </c>
      <c r="J175" s="49"/>
    </row>
    <row r="176" spans="1:10" x14ac:dyDescent="0.2">
      <c r="A176" s="50">
        <f t="shared" si="3"/>
        <v>44371</v>
      </c>
      <c r="B176" s="51">
        <v>5941</v>
      </c>
      <c r="C176" s="52">
        <v>4455</v>
      </c>
      <c r="D176" s="52">
        <v>3434</v>
      </c>
      <c r="E176" s="52">
        <v>1813</v>
      </c>
      <c r="F176" s="52">
        <v>6890</v>
      </c>
      <c r="G176" s="52">
        <v>5101</v>
      </c>
      <c r="H176" s="52">
        <v>2356</v>
      </c>
      <c r="I176" s="53">
        <v>25278</v>
      </c>
      <c r="J176" s="49"/>
    </row>
    <row r="177" spans="1:10" x14ac:dyDescent="0.2">
      <c r="A177" s="50">
        <f t="shared" si="3"/>
        <v>44372</v>
      </c>
      <c r="B177" s="51">
        <v>5726.6</v>
      </c>
      <c r="C177" s="52">
        <v>4341.8500000000004</v>
      </c>
      <c r="D177" s="52">
        <v>3456.29</v>
      </c>
      <c r="E177" s="52">
        <v>2190.0500000000002</v>
      </c>
      <c r="F177" s="52">
        <v>6751.17</v>
      </c>
      <c r="G177" s="52">
        <v>5086.05</v>
      </c>
      <c r="H177" s="52">
        <v>2272.1099999999997</v>
      </c>
      <c r="I177" s="53">
        <v>25279.899999999998</v>
      </c>
      <c r="J177" s="49"/>
    </row>
    <row r="178" spans="1:10" x14ac:dyDescent="0.2">
      <c r="A178" s="50">
        <f t="shared" si="3"/>
        <v>44373</v>
      </c>
      <c r="B178" s="51">
        <v>5645.47</v>
      </c>
      <c r="C178" s="52">
        <v>4522.4399999999996</v>
      </c>
      <c r="D178" s="52">
        <v>3256.72</v>
      </c>
      <c r="E178" s="52">
        <v>2394.75</v>
      </c>
      <c r="F178" s="52">
        <v>6080.71</v>
      </c>
      <c r="G178" s="52">
        <v>4250.57</v>
      </c>
      <c r="H178" s="52">
        <v>1969.5199999999998</v>
      </c>
      <c r="I178" s="53">
        <v>24181.14</v>
      </c>
      <c r="J178" s="49"/>
    </row>
    <row r="179" spans="1:10" x14ac:dyDescent="0.2">
      <c r="A179" s="50">
        <f t="shared" si="3"/>
        <v>44374</v>
      </c>
      <c r="B179" s="51">
        <v>5281.9</v>
      </c>
      <c r="C179" s="52">
        <v>4254.21</v>
      </c>
      <c r="D179" s="52">
        <v>3210.81</v>
      </c>
      <c r="E179" s="52">
        <v>2550.25</v>
      </c>
      <c r="F179" s="52">
        <v>5815.91</v>
      </c>
      <c r="G179" s="52">
        <v>4332.7700000000004</v>
      </c>
      <c r="H179" s="52">
        <v>1967.6500000000003</v>
      </c>
      <c r="I179" s="53">
        <v>23478.2</v>
      </c>
      <c r="J179" s="49"/>
    </row>
    <row r="180" spans="1:10" x14ac:dyDescent="0.2">
      <c r="A180" s="50">
        <f t="shared" si="3"/>
        <v>44375</v>
      </c>
      <c r="B180" s="51">
        <v>5588.23</v>
      </c>
      <c r="C180" s="52">
        <v>4547.1099999999997</v>
      </c>
      <c r="D180" s="52">
        <v>3385.65</v>
      </c>
      <c r="E180" s="52">
        <v>2431.09</v>
      </c>
      <c r="F180" s="52">
        <v>6090.43</v>
      </c>
      <c r="G180" s="52">
        <v>5021.7</v>
      </c>
      <c r="H180" s="52">
        <v>2485.5286000000001</v>
      </c>
      <c r="I180" s="53">
        <v>24578.681400000001</v>
      </c>
      <c r="J180" s="49"/>
    </row>
    <row r="181" spans="1:10" x14ac:dyDescent="0.2">
      <c r="A181" s="50">
        <f t="shared" si="3"/>
        <v>44376</v>
      </c>
      <c r="B181" s="51">
        <v>5828.79</v>
      </c>
      <c r="C181" s="52">
        <v>4612.08</v>
      </c>
      <c r="D181" s="52">
        <v>3411.25</v>
      </c>
      <c r="E181" s="52">
        <v>3955.74</v>
      </c>
      <c r="F181" s="52">
        <v>5533.58</v>
      </c>
      <c r="G181" s="52">
        <v>4850.2299999999996</v>
      </c>
      <c r="H181" s="52">
        <v>2451.0699999999997</v>
      </c>
      <c r="I181" s="53">
        <v>25740.600000000002</v>
      </c>
      <c r="J181" s="49"/>
    </row>
    <row r="182" spans="1:10" x14ac:dyDescent="0.2">
      <c r="A182" s="50">
        <f t="shared" si="3"/>
        <v>44377</v>
      </c>
      <c r="B182" s="51">
        <v>5768.75</v>
      </c>
      <c r="C182" s="52">
        <v>4808.32</v>
      </c>
      <c r="D182" s="52">
        <v>3487.08</v>
      </c>
      <c r="E182" s="52">
        <v>4559.58</v>
      </c>
      <c r="F182" s="52">
        <v>5148.92</v>
      </c>
      <c r="G182" s="52">
        <v>5264.24</v>
      </c>
      <c r="H182" s="52">
        <v>2447.08</v>
      </c>
      <c r="I182" s="53">
        <v>26589.809999999998</v>
      </c>
      <c r="J182" s="49"/>
    </row>
    <row r="183" spans="1:10" x14ac:dyDescent="0.2">
      <c r="A183" s="50">
        <f t="shared" si="3"/>
        <v>44378</v>
      </c>
      <c r="B183" s="51">
        <v>5793.29</v>
      </c>
      <c r="C183" s="52">
        <v>4772.08</v>
      </c>
      <c r="D183" s="52">
        <v>3390.57</v>
      </c>
      <c r="E183" s="52">
        <v>5763.85</v>
      </c>
      <c r="F183" s="52">
        <v>4470.21</v>
      </c>
      <c r="G183" s="52">
        <v>5072.5200000000004</v>
      </c>
      <c r="H183" s="52">
        <v>2296.6099999999997</v>
      </c>
      <c r="I183" s="53">
        <v>26965.91</v>
      </c>
      <c r="J183" s="49"/>
    </row>
    <row r="184" spans="1:10" x14ac:dyDescent="0.2">
      <c r="A184" s="50">
        <f t="shared" si="3"/>
        <v>44379</v>
      </c>
      <c r="B184" s="51">
        <v>5804.7</v>
      </c>
      <c r="C184" s="52">
        <v>4741.41</v>
      </c>
      <c r="D184" s="52">
        <v>3541.49</v>
      </c>
      <c r="E184" s="52">
        <v>5201.2700000000004</v>
      </c>
      <c r="F184" s="52">
        <v>3882.39</v>
      </c>
      <c r="G184" s="52">
        <v>5418.06</v>
      </c>
      <c r="H184" s="52">
        <v>2456.1075000000001</v>
      </c>
      <c r="I184" s="53">
        <v>26133.212500000001</v>
      </c>
      <c r="J184" s="49"/>
    </row>
    <row r="185" spans="1:10" x14ac:dyDescent="0.2">
      <c r="A185" s="50">
        <f t="shared" si="3"/>
        <v>44380</v>
      </c>
      <c r="B185" s="51">
        <v>5379.04</v>
      </c>
      <c r="C185" s="52">
        <v>4389.45</v>
      </c>
      <c r="D185" s="52">
        <v>3285.2</v>
      </c>
      <c r="E185" s="52">
        <v>5730.51</v>
      </c>
      <c r="F185" s="52">
        <v>2413.23</v>
      </c>
      <c r="G185" s="52">
        <v>4648.74</v>
      </c>
      <c r="H185" s="52">
        <v>1816.98</v>
      </c>
      <c r="I185" s="53">
        <v>24029.19</v>
      </c>
      <c r="J185" s="49"/>
    </row>
    <row r="186" spans="1:10" x14ac:dyDescent="0.2">
      <c r="A186" s="50">
        <f t="shared" si="3"/>
        <v>44381</v>
      </c>
      <c r="B186" s="51">
        <v>5444.33</v>
      </c>
      <c r="C186" s="52">
        <v>4184.25</v>
      </c>
      <c r="D186" s="52">
        <v>3250.79</v>
      </c>
      <c r="E186" s="52">
        <v>5185.29</v>
      </c>
      <c r="F186" s="52">
        <v>2997.25</v>
      </c>
      <c r="G186" s="52">
        <v>3388.84</v>
      </c>
      <c r="H186" s="52">
        <v>1261.9100000000001</v>
      </c>
      <c r="I186" s="53">
        <v>23188.84</v>
      </c>
      <c r="J186" s="49"/>
    </row>
    <row r="187" spans="1:10" x14ac:dyDescent="0.2">
      <c r="A187" s="50">
        <f t="shared" si="3"/>
        <v>44382</v>
      </c>
      <c r="B187" s="51">
        <v>5861.95</v>
      </c>
      <c r="C187" s="52">
        <v>4250.87</v>
      </c>
      <c r="D187" s="52">
        <v>3462.92</v>
      </c>
      <c r="E187" s="52">
        <v>4805.74</v>
      </c>
      <c r="F187" s="52">
        <v>4072.7</v>
      </c>
      <c r="G187" s="52">
        <v>4758.32</v>
      </c>
      <c r="H187" s="52">
        <v>2260.2370000000001</v>
      </c>
      <c r="I187" s="53">
        <v>24952.262999999999</v>
      </c>
      <c r="J187" s="49"/>
    </row>
    <row r="188" spans="1:10" x14ac:dyDescent="0.2">
      <c r="A188" s="50">
        <f t="shared" si="3"/>
        <v>44383</v>
      </c>
      <c r="B188" s="51">
        <v>5647.08</v>
      </c>
      <c r="C188" s="52">
        <v>4231.1099999999997</v>
      </c>
      <c r="D188" s="52">
        <v>3299</v>
      </c>
      <c r="E188" s="52">
        <v>4697.8999999999996</v>
      </c>
      <c r="F188" s="52">
        <v>4272.87</v>
      </c>
      <c r="G188" s="52">
        <v>4259.4799999999996</v>
      </c>
      <c r="H188" s="52">
        <v>1944.5292999999999</v>
      </c>
      <c r="I188" s="53">
        <v>24462.910699999997</v>
      </c>
      <c r="J188" s="49"/>
    </row>
    <row r="189" spans="1:10" x14ac:dyDescent="0.2">
      <c r="A189" s="50">
        <f t="shared" si="3"/>
        <v>44384</v>
      </c>
      <c r="B189" s="51">
        <v>5431.44</v>
      </c>
      <c r="C189" s="52">
        <v>4256.28</v>
      </c>
      <c r="D189" s="52">
        <v>3240.32</v>
      </c>
      <c r="E189" s="52">
        <v>4705.72</v>
      </c>
      <c r="F189" s="52">
        <v>2797.19</v>
      </c>
      <c r="G189" s="52">
        <v>4477.6400000000003</v>
      </c>
      <c r="H189" s="52">
        <v>2199.5200000000004</v>
      </c>
      <c r="I189" s="53">
        <v>22709.069999999996</v>
      </c>
      <c r="J189" s="49"/>
    </row>
    <row r="190" spans="1:10" x14ac:dyDescent="0.2">
      <c r="A190" s="50">
        <f t="shared" si="3"/>
        <v>44385</v>
      </c>
      <c r="B190" s="51">
        <v>5792.89</v>
      </c>
      <c r="C190" s="52">
        <v>4427.97</v>
      </c>
      <c r="D190" s="52">
        <v>3252.87</v>
      </c>
      <c r="E190" s="52">
        <v>4543.2299999999996</v>
      </c>
      <c r="F190" s="52">
        <v>4158.1400000000003</v>
      </c>
      <c r="G190" s="52">
        <v>4735.42</v>
      </c>
      <c r="H190" s="52">
        <v>2249.44</v>
      </c>
      <c r="I190" s="53">
        <v>24661.079999999998</v>
      </c>
      <c r="J190" s="49"/>
    </row>
    <row r="191" spans="1:10" x14ac:dyDescent="0.2">
      <c r="A191" s="50">
        <f t="shared" si="3"/>
        <v>44386</v>
      </c>
      <c r="B191" s="51">
        <v>5507.72</v>
      </c>
      <c r="C191" s="52">
        <v>4285.57</v>
      </c>
      <c r="D191" s="52">
        <v>3111.84</v>
      </c>
      <c r="E191" s="52">
        <v>3675.51</v>
      </c>
      <c r="F191" s="52">
        <v>4659.58</v>
      </c>
      <c r="G191" s="52">
        <v>4760.0600000000004</v>
      </c>
      <c r="H191" s="52">
        <v>2418.88</v>
      </c>
      <c r="I191" s="53">
        <v>23581.4</v>
      </c>
      <c r="J191" s="49"/>
    </row>
    <row r="192" spans="1:10" x14ac:dyDescent="0.2">
      <c r="A192" s="50">
        <f t="shared" si="3"/>
        <v>44387</v>
      </c>
      <c r="B192" s="51">
        <v>5733.01</v>
      </c>
      <c r="C192" s="52">
        <v>4276.16</v>
      </c>
      <c r="D192" s="52">
        <v>2904.51</v>
      </c>
      <c r="E192" s="52">
        <v>3513.59</v>
      </c>
      <c r="F192" s="52">
        <v>4994.63</v>
      </c>
      <c r="G192" s="52">
        <v>3877.72</v>
      </c>
      <c r="H192" s="52">
        <v>1746.3123999999998</v>
      </c>
      <c r="I192" s="53">
        <v>23553.307600000004</v>
      </c>
      <c r="J192" s="49"/>
    </row>
    <row r="193" spans="1:10" x14ac:dyDescent="0.2">
      <c r="A193" s="50">
        <f t="shared" si="3"/>
        <v>44388</v>
      </c>
      <c r="B193" s="51">
        <v>5306.75</v>
      </c>
      <c r="C193" s="52">
        <v>3742.32</v>
      </c>
      <c r="D193" s="52">
        <v>2893.26</v>
      </c>
      <c r="E193" s="52">
        <v>3171.97</v>
      </c>
      <c r="F193" s="52">
        <v>5199.9799999999996</v>
      </c>
      <c r="G193" s="52">
        <v>3075.15</v>
      </c>
      <c r="H193" s="52">
        <v>1160.2</v>
      </c>
      <c r="I193" s="53">
        <v>22229.23</v>
      </c>
      <c r="J193" s="49"/>
    </row>
    <row r="194" spans="1:10" x14ac:dyDescent="0.2">
      <c r="A194" s="50">
        <f t="shared" si="3"/>
        <v>44389</v>
      </c>
      <c r="B194" s="51">
        <v>5382.23</v>
      </c>
      <c r="C194" s="52">
        <v>4245.4799999999996</v>
      </c>
      <c r="D194" s="52">
        <v>3273.89</v>
      </c>
      <c r="E194" s="52">
        <v>3309.08</v>
      </c>
      <c r="F194" s="52">
        <v>4817.54</v>
      </c>
      <c r="G194" s="52">
        <v>4727.3599999999997</v>
      </c>
      <c r="H194" s="52">
        <v>2068.9699999999993</v>
      </c>
      <c r="I194" s="53">
        <v>23686.61</v>
      </c>
      <c r="J194" s="49"/>
    </row>
    <row r="195" spans="1:10" x14ac:dyDescent="0.2">
      <c r="A195" s="50">
        <f t="shared" si="3"/>
        <v>44390</v>
      </c>
      <c r="B195" s="51">
        <v>5358.49</v>
      </c>
      <c r="C195" s="52">
        <v>4168.0600000000004</v>
      </c>
      <c r="D195" s="52">
        <v>3218.61</v>
      </c>
      <c r="E195" s="52">
        <v>3879.26</v>
      </c>
      <c r="F195" s="52">
        <v>4988.1000000000004</v>
      </c>
      <c r="G195" s="52">
        <v>4810.16</v>
      </c>
      <c r="H195" s="52">
        <v>2221.8700000000003</v>
      </c>
      <c r="I195" s="53">
        <v>24200.809999999998</v>
      </c>
      <c r="J195" s="49"/>
    </row>
    <row r="196" spans="1:10" x14ac:dyDescent="0.2">
      <c r="A196" s="50">
        <f t="shared" si="3"/>
        <v>44391</v>
      </c>
      <c r="B196" s="51">
        <v>5494</v>
      </c>
      <c r="C196" s="52">
        <v>4442</v>
      </c>
      <c r="D196" s="52">
        <v>3285</v>
      </c>
      <c r="E196" s="52">
        <v>3196</v>
      </c>
      <c r="F196" s="52">
        <v>5416</v>
      </c>
      <c r="G196" s="52">
        <v>4969</v>
      </c>
      <c r="H196" s="52">
        <v>2432</v>
      </c>
      <c r="I196" s="53">
        <v>24370</v>
      </c>
      <c r="J196" s="49"/>
    </row>
    <row r="197" spans="1:10" x14ac:dyDescent="0.2">
      <c r="A197" s="50">
        <f t="shared" si="3"/>
        <v>44392</v>
      </c>
      <c r="B197" s="51">
        <v>5200.49</v>
      </c>
      <c r="C197" s="52">
        <v>4017.21</v>
      </c>
      <c r="D197" s="52">
        <v>3316.57</v>
      </c>
      <c r="E197" s="52">
        <v>3382.03</v>
      </c>
      <c r="F197" s="52">
        <v>4583.87</v>
      </c>
      <c r="G197" s="52">
        <v>5198.58</v>
      </c>
      <c r="H197" s="52">
        <v>2525.58</v>
      </c>
      <c r="I197" s="53">
        <v>23173.17</v>
      </c>
      <c r="J197" s="49"/>
    </row>
    <row r="198" spans="1:10" x14ac:dyDescent="0.2">
      <c r="A198" s="50">
        <f t="shared" si="3"/>
        <v>44393</v>
      </c>
      <c r="B198" s="51">
        <v>5151.3500000000004</v>
      </c>
      <c r="C198" s="52">
        <v>4030.86</v>
      </c>
      <c r="D198" s="52">
        <v>3254.06</v>
      </c>
      <c r="E198" s="52">
        <v>3898.01</v>
      </c>
      <c r="F198" s="52">
        <v>4078.74</v>
      </c>
      <c r="G198" s="52">
        <v>4801.25</v>
      </c>
      <c r="H198" s="52">
        <v>2425.3800000000006</v>
      </c>
      <c r="I198" s="53">
        <v>22788.89</v>
      </c>
      <c r="J198" s="49"/>
    </row>
    <row r="199" spans="1:10" x14ac:dyDescent="0.2">
      <c r="A199" s="50">
        <f t="shared" si="3"/>
        <v>44394</v>
      </c>
      <c r="B199" s="51">
        <v>5172.42</v>
      </c>
      <c r="C199" s="52">
        <v>3776.26</v>
      </c>
      <c r="D199" s="52">
        <v>3066.11</v>
      </c>
      <c r="E199" s="52">
        <v>4382.3</v>
      </c>
      <c r="F199" s="52">
        <v>4209.05</v>
      </c>
      <c r="G199" s="52">
        <v>4292.1000000000004</v>
      </c>
      <c r="H199" s="52">
        <v>2167.96</v>
      </c>
      <c r="I199" s="53">
        <v>22730.28</v>
      </c>
      <c r="J199" s="49"/>
    </row>
    <row r="200" spans="1:10" x14ac:dyDescent="0.2">
      <c r="A200" s="50">
        <f t="shared" si="3"/>
        <v>44395</v>
      </c>
      <c r="B200" s="51">
        <v>5197</v>
      </c>
      <c r="C200" s="52">
        <v>3789</v>
      </c>
      <c r="D200" s="52">
        <v>2851</v>
      </c>
      <c r="E200" s="52">
        <v>4576</v>
      </c>
      <c r="F200" s="52">
        <v>3846</v>
      </c>
      <c r="G200" s="52">
        <v>3274</v>
      </c>
      <c r="H200" s="52">
        <v>1506</v>
      </c>
      <c r="I200" s="53">
        <v>22027</v>
      </c>
      <c r="J200" s="49"/>
    </row>
    <row r="201" spans="1:10" x14ac:dyDescent="0.2">
      <c r="A201" s="50">
        <f t="shared" si="3"/>
        <v>44396</v>
      </c>
      <c r="B201" s="51">
        <v>5298.95</v>
      </c>
      <c r="C201" s="52">
        <v>4127.03</v>
      </c>
      <c r="D201" s="52">
        <v>3276.58</v>
      </c>
      <c r="E201" s="52">
        <v>4811.4799999999996</v>
      </c>
      <c r="F201" s="52">
        <v>3756.74</v>
      </c>
      <c r="G201" s="52">
        <v>4382.2</v>
      </c>
      <c r="H201" s="52">
        <v>2394.4999999999995</v>
      </c>
      <c r="I201" s="53">
        <v>23258.48</v>
      </c>
      <c r="J201" s="49"/>
    </row>
    <row r="202" spans="1:10" x14ac:dyDescent="0.2">
      <c r="A202" s="50">
        <f t="shared" si="3"/>
        <v>44397</v>
      </c>
      <c r="B202" s="51">
        <v>5458.8</v>
      </c>
      <c r="C202" s="52">
        <v>4360.08</v>
      </c>
      <c r="D202" s="52">
        <v>3207.28</v>
      </c>
      <c r="E202" s="52">
        <v>4367.95</v>
      </c>
      <c r="F202" s="52">
        <v>4652.38</v>
      </c>
      <c r="G202" s="52">
        <v>4202.55</v>
      </c>
      <c r="H202" s="52">
        <v>2205.35</v>
      </c>
      <c r="I202" s="53">
        <v>24043.690000000002</v>
      </c>
      <c r="J202" s="49"/>
    </row>
    <row r="203" spans="1:10" x14ac:dyDescent="0.2">
      <c r="A203" s="50">
        <f t="shared" si="3"/>
        <v>44398</v>
      </c>
      <c r="B203" s="51">
        <v>5492.75</v>
      </c>
      <c r="C203" s="52">
        <v>4300.93</v>
      </c>
      <c r="D203" s="52">
        <v>3167.61</v>
      </c>
      <c r="E203" s="52">
        <v>5027.97</v>
      </c>
      <c r="F203" s="52">
        <v>4978.37</v>
      </c>
      <c r="G203" s="52">
        <v>4645.8</v>
      </c>
      <c r="H203" s="52">
        <v>2546.1399999999994</v>
      </c>
      <c r="I203" s="53">
        <v>25067.29</v>
      </c>
      <c r="J203" s="49"/>
    </row>
    <row r="204" spans="1:10" x14ac:dyDescent="0.2">
      <c r="A204" s="50">
        <f t="shared" si="3"/>
        <v>44399</v>
      </c>
      <c r="B204" s="51">
        <v>5824</v>
      </c>
      <c r="C204" s="52">
        <v>4520</v>
      </c>
      <c r="D204" s="52">
        <v>3198</v>
      </c>
      <c r="E204" s="52">
        <v>5597</v>
      </c>
      <c r="F204" s="52">
        <v>4135</v>
      </c>
      <c r="G204" s="52">
        <v>4564</v>
      </c>
      <c r="H204" s="52">
        <v>2272</v>
      </c>
      <c r="I204" s="53">
        <v>25566</v>
      </c>
      <c r="J204" s="49"/>
    </row>
    <row r="205" spans="1:10" x14ac:dyDescent="0.2">
      <c r="A205" s="50">
        <f t="shared" si="3"/>
        <v>44400</v>
      </c>
      <c r="B205" s="51">
        <v>5311.17</v>
      </c>
      <c r="C205" s="52">
        <v>4191.3100000000004</v>
      </c>
      <c r="D205" s="52">
        <v>3381.08</v>
      </c>
      <c r="E205" s="52">
        <v>4858.63</v>
      </c>
      <c r="F205" s="52">
        <v>4203.6499999999996</v>
      </c>
      <c r="G205" s="52">
        <v>4471.8900000000003</v>
      </c>
      <c r="H205" s="52">
        <v>1996.33</v>
      </c>
      <c r="I205" s="53">
        <v>24421.399999999994</v>
      </c>
      <c r="J205" s="49"/>
    </row>
    <row r="206" spans="1:10" x14ac:dyDescent="0.2">
      <c r="A206" s="50">
        <f t="shared" si="3"/>
        <v>44401</v>
      </c>
      <c r="B206" s="51">
        <v>5347.23</v>
      </c>
      <c r="C206" s="52">
        <v>3858.88</v>
      </c>
      <c r="D206" s="52">
        <v>3166.99</v>
      </c>
      <c r="E206" s="52">
        <v>3708.2</v>
      </c>
      <c r="F206" s="52">
        <v>3929.27</v>
      </c>
      <c r="G206" s="52">
        <v>3993.28</v>
      </c>
      <c r="H206" s="52">
        <v>1796.8100000000002</v>
      </c>
      <c r="I206" s="53">
        <v>22207.039999999997</v>
      </c>
      <c r="J206" s="49"/>
    </row>
    <row r="207" spans="1:10" x14ac:dyDescent="0.2">
      <c r="A207" s="50">
        <f t="shared" si="3"/>
        <v>44402</v>
      </c>
      <c r="B207" s="51">
        <v>4919.3900000000003</v>
      </c>
      <c r="C207" s="52">
        <v>3781.53</v>
      </c>
      <c r="D207" s="52">
        <v>2981.18</v>
      </c>
      <c r="E207" s="52">
        <v>4291.6000000000004</v>
      </c>
      <c r="F207" s="52">
        <v>3300.25</v>
      </c>
      <c r="G207" s="52">
        <v>3451.77</v>
      </c>
      <c r="H207" s="52">
        <v>1547.04</v>
      </c>
      <c r="I207" s="53">
        <v>21178.68</v>
      </c>
      <c r="J207" s="49"/>
    </row>
    <row r="208" spans="1:10" x14ac:dyDescent="0.2">
      <c r="A208" s="50">
        <f t="shared" si="3"/>
        <v>44403</v>
      </c>
      <c r="B208" s="51">
        <v>5364</v>
      </c>
      <c r="C208" s="52">
        <v>3922</v>
      </c>
      <c r="D208" s="52">
        <v>3196</v>
      </c>
      <c r="E208" s="52">
        <v>4330</v>
      </c>
      <c r="F208" s="52">
        <v>3951</v>
      </c>
      <c r="G208" s="52">
        <v>4596</v>
      </c>
      <c r="H208" s="52">
        <v>2137</v>
      </c>
      <c r="I208" s="53">
        <v>23222</v>
      </c>
      <c r="J208" s="49"/>
    </row>
    <row r="209" spans="1:10" x14ac:dyDescent="0.2">
      <c r="A209" s="50">
        <f t="shared" si="3"/>
        <v>44404</v>
      </c>
      <c r="B209" s="51">
        <v>5443.48</v>
      </c>
      <c r="C209" s="52">
        <v>3932.08</v>
      </c>
      <c r="D209" s="52">
        <v>3324.3</v>
      </c>
      <c r="E209" s="52">
        <v>4094.97</v>
      </c>
      <c r="F209" s="52">
        <v>4512.79</v>
      </c>
      <c r="G209" s="52">
        <v>4856.05</v>
      </c>
      <c r="H209" s="52">
        <v>2294.96</v>
      </c>
      <c r="I209" s="53">
        <v>23868.710000000003</v>
      </c>
      <c r="J209" s="49"/>
    </row>
    <row r="210" spans="1:10" x14ac:dyDescent="0.2">
      <c r="A210" s="50">
        <f t="shared" si="3"/>
        <v>44405</v>
      </c>
      <c r="B210" s="51">
        <v>5677.61</v>
      </c>
      <c r="C210" s="52">
        <v>3863.74</v>
      </c>
      <c r="D210" s="52">
        <v>3408.59</v>
      </c>
      <c r="E210" s="52">
        <v>4004.63</v>
      </c>
      <c r="F210" s="52">
        <v>4473.08</v>
      </c>
      <c r="G210" s="52">
        <v>5422.37</v>
      </c>
      <c r="H210" s="52">
        <v>2536.77</v>
      </c>
      <c r="I210" s="53">
        <v>24313.25</v>
      </c>
      <c r="J210" s="49"/>
    </row>
    <row r="211" spans="1:10" x14ac:dyDescent="0.2">
      <c r="A211" s="50">
        <f t="shared" si="3"/>
        <v>44406</v>
      </c>
      <c r="B211" s="51">
        <v>5747.54</v>
      </c>
      <c r="C211" s="52">
        <v>3932.72</v>
      </c>
      <c r="D211" s="52">
        <v>3354.11</v>
      </c>
      <c r="E211" s="52">
        <v>5018.8100000000004</v>
      </c>
      <c r="F211" s="52">
        <v>5233.47</v>
      </c>
      <c r="G211" s="52">
        <v>5231.79</v>
      </c>
      <c r="H211" s="52">
        <v>2727.4500000000003</v>
      </c>
      <c r="I211" s="53">
        <v>25790.99</v>
      </c>
      <c r="J211" s="49"/>
    </row>
    <row r="212" spans="1:10" x14ac:dyDescent="0.2">
      <c r="A212" s="50">
        <f t="shared" si="3"/>
        <v>44407</v>
      </c>
      <c r="B212" s="51">
        <v>5533</v>
      </c>
      <c r="C212" s="52">
        <v>3864</v>
      </c>
      <c r="D212" s="52">
        <v>3149</v>
      </c>
      <c r="E212" s="52">
        <v>4277</v>
      </c>
      <c r="F212" s="52">
        <v>4560</v>
      </c>
      <c r="G212" s="52">
        <v>5202</v>
      </c>
      <c r="H212" s="52">
        <v>2573</v>
      </c>
      <c r="I212" s="53">
        <v>24012</v>
      </c>
      <c r="J212" s="49"/>
    </row>
    <row r="213" spans="1:10" x14ac:dyDescent="0.2">
      <c r="A213" s="50">
        <f t="shared" si="3"/>
        <v>44408</v>
      </c>
      <c r="B213" s="51">
        <v>5468.69</v>
      </c>
      <c r="C213" s="52">
        <v>3897.72</v>
      </c>
      <c r="D213" s="52">
        <v>3015.01</v>
      </c>
      <c r="E213" s="52">
        <v>4333.6499999999996</v>
      </c>
      <c r="F213" s="52">
        <v>4770.76</v>
      </c>
      <c r="G213" s="52">
        <v>4965.18</v>
      </c>
      <c r="H213" s="52">
        <v>2423.4799999999996</v>
      </c>
      <c r="I213" s="53">
        <v>24027.530000000002</v>
      </c>
      <c r="J213" s="49"/>
    </row>
    <row r="214" spans="1:10" x14ac:dyDescent="0.2">
      <c r="A214" s="50">
        <f t="shared" si="3"/>
        <v>44409</v>
      </c>
      <c r="B214" s="51">
        <v>5384.21</v>
      </c>
      <c r="C214" s="52">
        <v>4209.17</v>
      </c>
      <c r="D214" s="52">
        <v>2999.9</v>
      </c>
      <c r="E214" s="52">
        <v>3893.66</v>
      </c>
      <c r="F214" s="52">
        <v>4490.29</v>
      </c>
      <c r="G214" s="52">
        <v>3653.91</v>
      </c>
      <c r="H214" s="52">
        <v>1583.35</v>
      </c>
      <c r="I214" s="53">
        <v>23047.790000000005</v>
      </c>
      <c r="J214" s="49"/>
    </row>
    <row r="215" spans="1:10" x14ac:dyDescent="0.2">
      <c r="A215" s="50">
        <f t="shared" si="3"/>
        <v>44410</v>
      </c>
      <c r="B215" s="51">
        <v>5342.79</v>
      </c>
      <c r="C215" s="52">
        <v>4509.7700000000004</v>
      </c>
      <c r="D215" s="52">
        <v>3213.19</v>
      </c>
      <c r="E215" s="52">
        <v>4087.96</v>
      </c>
      <c r="F215" s="52">
        <v>4606.55</v>
      </c>
      <c r="G215" s="52">
        <v>4847.49</v>
      </c>
      <c r="H215" s="52">
        <v>2566.6899999999996</v>
      </c>
      <c r="I215" s="53">
        <v>24041.06</v>
      </c>
      <c r="J215" s="49"/>
    </row>
    <row r="216" spans="1:10" x14ac:dyDescent="0.2">
      <c r="A216" s="50">
        <f t="shared" si="3"/>
        <v>44411</v>
      </c>
      <c r="B216" s="51">
        <v>5513</v>
      </c>
      <c r="C216" s="52">
        <v>4497</v>
      </c>
      <c r="D216" s="52">
        <v>3252</v>
      </c>
      <c r="E216" s="52">
        <v>4045</v>
      </c>
      <c r="F216" s="52">
        <v>4417</v>
      </c>
      <c r="G216" s="52">
        <v>4347</v>
      </c>
      <c r="H216" s="52">
        <v>2235</v>
      </c>
      <c r="I216" s="53">
        <v>23836</v>
      </c>
      <c r="J216" s="49"/>
    </row>
    <row r="217" spans="1:10" x14ac:dyDescent="0.2">
      <c r="A217" s="50">
        <f t="shared" si="3"/>
        <v>44412</v>
      </c>
      <c r="B217" s="51">
        <v>5387.78</v>
      </c>
      <c r="C217" s="52">
        <v>4506.22</v>
      </c>
      <c r="D217" s="52">
        <v>3198.52</v>
      </c>
      <c r="E217" s="52">
        <v>3841.23</v>
      </c>
      <c r="F217" s="52">
        <v>4867.49</v>
      </c>
      <c r="G217" s="52">
        <v>4714.49</v>
      </c>
      <c r="H217" s="52">
        <v>2186.4900000000002</v>
      </c>
      <c r="I217" s="53">
        <v>24329.239999999994</v>
      </c>
      <c r="J217" s="49"/>
    </row>
    <row r="218" spans="1:10" x14ac:dyDescent="0.2">
      <c r="A218" s="50">
        <f t="shared" si="3"/>
        <v>44413</v>
      </c>
      <c r="B218" s="51">
        <v>5488.08</v>
      </c>
      <c r="C218" s="52">
        <v>4594.5200000000004</v>
      </c>
      <c r="D218" s="52">
        <v>3204.26</v>
      </c>
      <c r="E218" s="52">
        <v>3842.33</v>
      </c>
      <c r="F218" s="52">
        <v>4649.95</v>
      </c>
      <c r="G218" s="52">
        <v>5345.96</v>
      </c>
      <c r="H218" s="52">
        <v>2558.35</v>
      </c>
      <c r="I218" s="53">
        <v>24566.750000000004</v>
      </c>
      <c r="J218" s="49"/>
    </row>
    <row r="219" spans="1:10" x14ac:dyDescent="0.2">
      <c r="A219" s="50">
        <f t="shared" si="3"/>
        <v>44414</v>
      </c>
      <c r="B219" s="51">
        <v>5353.08</v>
      </c>
      <c r="C219" s="52">
        <v>4120.8900000000003</v>
      </c>
      <c r="D219" s="52">
        <v>3242.36</v>
      </c>
      <c r="E219" s="52">
        <v>3938.33</v>
      </c>
      <c r="F219" s="52">
        <v>4714.68</v>
      </c>
      <c r="G219" s="52">
        <v>5245.51</v>
      </c>
      <c r="H219" s="52">
        <v>2620.9600000000005</v>
      </c>
      <c r="I219" s="53">
        <v>23993.890000000007</v>
      </c>
      <c r="J219" s="49"/>
    </row>
    <row r="220" spans="1:10" x14ac:dyDescent="0.2">
      <c r="A220" s="50">
        <f t="shared" si="3"/>
        <v>44415</v>
      </c>
      <c r="B220" s="51">
        <v>5511</v>
      </c>
      <c r="C220" s="52">
        <v>3792</v>
      </c>
      <c r="D220" s="52">
        <v>3087</v>
      </c>
      <c r="E220" s="52">
        <v>4610</v>
      </c>
      <c r="F220" s="52">
        <v>4915</v>
      </c>
      <c r="G220" s="52">
        <v>3796</v>
      </c>
      <c r="H220" s="52">
        <v>1748</v>
      </c>
      <c r="I220" s="53">
        <v>23963</v>
      </c>
      <c r="J220" s="49"/>
    </row>
    <row r="221" spans="1:10" x14ac:dyDescent="0.2">
      <c r="A221" s="50">
        <f t="shared" si="3"/>
        <v>44416</v>
      </c>
      <c r="B221" s="51">
        <v>5452.38</v>
      </c>
      <c r="C221" s="52">
        <v>3674.64</v>
      </c>
      <c r="D221" s="52">
        <v>2994.96</v>
      </c>
      <c r="E221" s="52">
        <v>4593.47</v>
      </c>
      <c r="F221" s="52">
        <v>4972.3999999999996</v>
      </c>
      <c r="G221" s="52">
        <v>3462.09</v>
      </c>
      <c r="H221" s="52">
        <v>1529.7800000000002</v>
      </c>
      <c r="I221" s="53">
        <v>23620.16</v>
      </c>
      <c r="J221" s="49"/>
    </row>
    <row r="222" spans="1:10" x14ac:dyDescent="0.2">
      <c r="A222" s="50">
        <f t="shared" si="3"/>
        <v>44417</v>
      </c>
      <c r="B222" s="51">
        <v>5499.91</v>
      </c>
      <c r="C222" s="52">
        <v>3991.88</v>
      </c>
      <c r="D222" s="52">
        <v>3214.17</v>
      </c>
      <c r="E222" s="52">
        <v>3795.18</v>
      </c>
      <c r="F222" s="52">
        <v>4369.83</v>
      </c>
      <c r="G222" s="52">
        <v>4997.2</v>
      </c>
      <c r="H222" s="52">
        <v>2613.63</v>
      </c>
      <c r="I222" s="53">
        <v>23254.54</v>
      </c>
      <c r="J222" s="49"/>
    </row>
    <row r="223" spans="1:10" x14ac:dyDescent="0.2">
      <c r="A223" s="50">
        <f t="shared" si="3"/>
        <v>44418</v>
      </c>
      <c r="B223" s="51">
        <v>5502.4</v>
      </c>
      <c r="C223" s="52">
        <v>3857.83</v>
      </c>
      <c r="D223" s="52">
        <v>3106.7</v>
      </c>
      <c r="E223" s="52">
        <v>4257.5600000000004</v>
      </c>
      <c r="F223" s="52">
        <v>4747.78</v>
      </c>
      <c r="G223" s="52">
        <v>5064.8599999999997</v>
      </c>
      <c r="H223" s="52">
        <v>2564.4299999999998</v>
      </c>
      <c r="I223" s="53">
        <v>23972.7</v>
      </c>
      <c r="J223" s="49"/>
    </row>
    <row r="224" spans="1:10" x14ac:dyDescent="0.2">
      <c r="A224" s="50">
        <f t="shared" ref="A224:A287" si="4">A223+1</f>
        <v>44419</v>
      </c>
      <c r="B224" s="51">
        <v>5782</v>
      </c>
      <c r="C224" s="52">
        <v>4100</v>
      </c>
      <c r="D224" s="52">
        <v>3214</v>
      </c>
      <c r="E224" s="52">
        <v>5078</v>
      </c>
      <c r="F224" s="52">
        <v>4084</v>
      </c>
      <c r="G224" s="52">
        <v>5079</v>
      </c>
      <c r="H224" s="52">
        <v>2461</v>
      </c>
      <c r="I224" s="53">
        <v>24876</v>
      </c>
      <c r="J224" s="49"/>
    </row>
    <row r="225" spans="1:10" x14ac:dyDescent="0.2">
      <c r="A225" s="50">
        <f t="shared" si="4"/>
        <v>44420</v>
      </c>
      <c r="B225" s="51">
        <v>5451.95</v>
      </c>
      <c r="C225" s="52">
        <v>3888.55</v>
      </c>
      <c r="D225" s="52">
        <v>3179.8</v>
      </c>
      <c r="E225" s="52">
        <v>5007.6499999999996</v>
      </c>
      <c r="F225" s="52">
        <v>3153.02</v>
      </c>
      <c r="G225" s="52">
        <v>5502.86</v>
      </c>
      <c r="H225" s="52">
        <v>2838.37</v>
      </c>
      <c r="I225" s="53">
        <v>23345.46</v>
      </c>
      <c r="J225" s="49"/>
    </row>
    <row r="226" spans="1:10" x14ac:dyDescent="0.2">
      <c r="A226" s="50">
        <f t="shared" si="4"/>
        <v>44421</v>
      </c>
      <c r="B226" s="51">
        <v>5509.64</v>
      </c>
      <c r="C226" s="52">
        <v>3955.29</v>
      </c>
      <c r="D226" s="52">
        <v>3136.47</v>
      </c>
      <c r="E226" s="52">
        <v>4603.91</v>
      </c>
      <c r="F226" s="52">
        <v>3268.48</v>
      </c>
      <c r="G226" s="52">
        <v>5272.7</v>
      </c>
      <c r="H226" s="52">
        <v>2629.47</v>
      </c>
      <c r="I226" s="53">
        <v>23117.019999999997</v>
      </c>
      <c r="J226" s="49"/>
    </row>
    <row r="227" spans="1:10" x14ac:dyDescent="0.2">
      <c r="A227" s="50">
        <f t="shared" si="4"/>
        <v>44422</v>
      </c>
      <c r="B227" s="51">
        <v>5468.66</v>
      </c>
      <c r="C227" s="52">
        <v>3472.97</v>
      </c>
      <c r="D227" s="52">
        <v>2948.51</v>
      </c>
      <c r="E227" s="52">
        <v>5021.4799999999996</v>
      </c>
      <c r="F227" s="52">
        <v>3823.94</v>
      </c>
      <c r="G227" s="52">
        <v>4283.75</v>
      </c>
      <c r="H227" s="52">
        <v>2078.7200000000003</v>
      </c>
      <c r="I227" s="53">
        <v>22940.589999999997</v>
      </c>
      <c r="J227" s="49"/>
    </row>
    <row r="228" spans="1:10" x14ac:dyDescent="0.2">
      <c r="A228" s="50">
        <f t="shared" si="4"/>
        <v>44423</v>
      </c>
      <c r="B228" s="51">
        <v>5262</v>
      </c>
      <c r="C228" s="52">
        <v>3551</v>
      </c>
      <c r="D228" s="52">
        <v>2841</v>
      </c>
      <c r="E228" s="52">
        <v>4760</v>
      </c>
      <c r="F228" s="52">
        <v>3501</v>
      </c>
      <c r="G228" s="52">
        <v>3974</v>
      </c>
      <c r="H228" s="52">
        <v>1894</v>
      </c>
      <c r="I228" s="53">
        <v>21995</v>
      </c>
      <c r="J228" s="49"/>
    </row>
    <row r="229" spans="1:10" x14ac:dyDescent="0.2">
      <c r="A229" s="50">
        <f t="shared" si="4"/>
        <v>44424</v>
      </c>
      <c r="B229" s="51">
        <v>5588.76</v>
      </c>
      <c r="C229" s="52">
        <v>3936.21</v>
      </c>
      <c r="D229" s="52">
        <v>2989.9</v>
      </c>
      <c r="E229" s="52">
        <v>5092.3900000000003</v>
      </c>
      <c r="F229" s="52">
        <v>3090.59</v>
      </c>
      <c r="G229" s="52">
        <v>4639.29</v>
      </c>
      <c r="H229" s="52">
        <v>2675.3300000000004</v>
      </c>
      <c r="I229" s="53">
        <v>22661.81</v>
      </c>
      <c r="J229" s="49"/>
    </row>
    <row r="230" spans="1:10" x14ac:dyDescent="0.2">
      <c r="A230" s="50">
        <f t="shared" si="4"/>
        <v>44425</v>
      </c>
      <c r="B230" s="51">
        <v>5579.45</v>
      </c>
      <c r="C230" s="52">
        <v>4222.51</v>
      </c>
      <c r="D230" s="52">
        <v>3097.19</v>
      </c>
      <c r="E230" s="52">
        <v>5960.95</v>
      </c>
      <c r="F230" s="52">
        <v>3789.07</v>
      </c>
      <c r="G230" s="52">
        <v>5129.9399999999996</v>
      </c>
      <c r="H230" s="52">
        <v>3043.4951000000001</v>
      </c>
      <c r="I230" s="53">
        <v>24735.614899999997</v>
      </c>
      <c r="J230" s="49"/>
    </row>
    <row r="231" spans="1:10" x14ac:dyDescent="0.2">
      <c r="A231" s="50">
        <f t="shared" si="4"/>
        <v>44426</v>
      </c>
      <c r="B231" s="51">
        <v>5327.79</v>
      </c>
      <c r="C231" s="52">
        <v>4089.51</v>
      </c>
      <c r="D231" s="52">
        <v>3147.59</v>
      </c>
      <c r="E231" s="52">
        <v>5908.39</v>
      </c>
      <c r="F231" s="52">
        <v>4112.99</v>
      </c>
      <c r="G231" s="52">
        <v>5251.08</v>
      </c>
      <c r="H231" s="52">
        <v>2946.01</v>
      </c>
      <c r="I231" s="53">
        <v>24891.339999999997</v>
      </c>
      <c r="J231" s="49"/>
    </row>
    <row r="232" spans="1:10" x14ac:dyDescent="0.2">
      <c r="A232" s="50">
        <f t="shared" si="4"/>
        <v>44427</v>
      </c>
      <c r="B232" s="51">
        <v>5914</v>
      </c>
      <c r="C232" s="52">
        <v>4073</v>
      </c>
      <c r="D232" s="52">
        <v>3079</v>
      </c>
      <c r="E232" s="52">
        <v>7035</v>
      </c>
      <c r="F232" s="52">
        <v>4076</v>
      </c>
      <c r="G232" s="52">
        <v>5543</v>
      </c>
      <c r="H232" s="52">
        <v>3227</v>
      </c>
      <c r="I232" s="53">
        <v>26493</v>
      </c>
      <c r="J232" s="49"/>
    </row>
    <row r="233" spans="1:10" x14ac:dyDescent="0.2">
      <c r="A233" s="50">
        <f t="shared" si="4"/>
        <v>44428</v>
      </c>
      <c r="B233" s="51">
        <v>5552.37</v>
      </c>
      <c r="C233" s="52">
        <v>4190.82</v>
      </c>
      <c r="D233" s="52">
        <v>3058.04</v>
      </c>
      <c r="E233" s="52">
        <v>5401.17</v>
      </c>
      <c r="F233" s="52">
        <v>4855.63</v>
      </c>
      <c r="G233" s="52">
        <v>5420.6</v>
      </c>
      <c r="H233" s="52">
        <v>2900.7200000000003</v>
      </c>
      <c r="I233" s="53">
        <v>25577.910000000003</v>
      </c>
      <c r="J233" s="49"/>
    </row>
    <row r="234" spans="1:10" x14ac:dyDescent="0.2">
      <c r="A234" s="50">
        <f t="shared" si="4"/>
        <v>44429</v>
      </c>
      <c r="B234" s="51">
        <v>5467.61</v>
      </c>
      <c r="C234" s="52">
        <v>4043.7</v>
      </c>
      <c r="D234" s="52">
        <v>2890.65</v>
      </c>
      <c r="E234" s="52">
        <v>4099.92</v>
      </c>
      <c r="F234" s="52">
        <v>4877.08</v>
      </c>
      <c r="G234" s="52">
        <v>4365.3100000000004</v>
      </c>
      <c r="H234" s="52">
        <v>2137.5099999999998</v>
      </c>
      <c r="I234" s="53">
        <v>23606.760000000002</v>
      </c>
      <c r="J234" s="49"/>
    </row>
    <row r="235" spans="1:10" x14ac:dyDescent="0.2">
      <c r="A235" s="50">
        <f t="shared" si="4"/>
        <v>44430</v>
      </c>
      <c r="B235" s="51">
        <v>4888.1400000000003</v>
      </c>
      <c r="C235" s="52">
        <v>3913.59</v>
      </c>
      <c r="D235" s="52">
        <v>2751.55</v>
      </c>
      <c r="E235" s="52">
        <v>3796.84</v>
      </c>
      <c r="F235" s="52">
        <v>4403.8500000000004</v>
      </c>
      <c r="G235" s="52">
        <v>4516.5</v>
      </c>
      <c r="H235" s="52">
        <v>2368.3899999999994</v>
      </c>
      <c r="I235" s="53">
        <v>21902.080000000002</v>
      </c>
      <c r="J235" s="49"/>
    </row>
    <row r="236" spans="1:10" x14ac:dyDescent="0.2">
      <c r="A236" s="50">
        <f t="shared" si="4"/>
        <v>44431</v>
      </c>
      <c r="B236" s="51">
        <v>5187</v>
      </c>
      <c r="C236" s="52">
        <v>4392</v>
      </c>
      <c r="D236" s="52">
        <v>2957</v>
      </c>
      <c r="E236" s="52">
        <v>5249</v>
      </c>
      <c r="F236" s="52">
        <v>3546</v>
      </c>
      <c r="G236" s="52">
        <v>5197</v>
      </c>
      <c r="H236" s="52">
        <v>2949</v>
      </c>
      <c r="I236" s="53">
        <v>23579</v>
      </c>
      <c r="J236" s="49"/>
    </row>
    <row r="237" spans="1:10" x14ac:dyDescent="0.2">
      <c r="A237" s="50">
        <f t="shared" si="4"/>
        <v>44432</v>
      </c>
      <c r="B237" s="51">
        <v>5083.5</v>
      </c>
      <c r="C237" s="52">
        <v>4023.15</v>
      </c>
      <c r="D237" s="52">
        <v>3044.57</v>
      </c>
      <c r="E237" s="52">
        <v>5697.34</v>
      </c>
      <c r="F237" s="52">
        <v>3218.29</v>
      </c>
      <c r="G237" s="52">
        <v>5003.76</v>
      </c>
      <c r="H237" s="52">
        <v>2821.6194999999998</v>
      </c>
      <c r="I237" s="53">
        <v>23248.9905</v>
      </c>
      <c r="J237" s="49"/>
    </row>
    <row r="238" spans="1:10" x14ac:dyDescent="0.2">
      <c r="A238" s="50">
        <f t="shared" si="4"/>
        <v>44433</v>
      </c>
      <c r="B238" s="51">
        <v>5071.78</v>
      </c>
      <c r="C238" s="52">
        <v>4322.29</v>
      </c>
      <c r="D238" s="52">
        <v>3131.97</v>
      </c>
      <c r="E238" s="52">
        <v>5267.36</v>
      </c>
      <c r="F238" s="52">
        <v>3141.24</v>
      </c>
      <c r="G238" s="52">
        <v>4775.3500000000004</v>
      </c>
      <c r="H238" s="52">
        <v>2697.1400000000003</v>
      </c>
      <c r="I238" s="53">
        <v>23012.85</v>
      </c>
      <c r="J238" s="49"/>
    </row>
    <row r="239" spans="1:10" x14ac:dyDescent="0.2">
      <c r="A239" s="50">
        <f t="shared" si="4"/>
        <v>44434</v>
      </c>
      <c r="B239" s="51">
        <v>4734.49</v>
      </c>
      <c r="C239" s="52">
        <v>4135.66</v>
      </c>
      <c r="D239" s="52">
        <v>3031.18</v>
      </c>
      <c r="E239" s="52">
        <v>5251.87</v>
      </c>
      <c r="F239" s="52">
        <v>3427.14</v>
      </c>
      <c r="G239" s="52">
        <v>4872.3500000000004</v>
      </c>
      <c r="H239" s="52">
        <v>2540.9900000000007</v>
      </c>
      <c r="I239" s="53">
        <v>22911.7</v>
      </c>
      <c r="J239" s="49"/>
    </row>
    <row r="240" spans="1:10" x14ac:dyDescent="0.2">
      <c r="A240" s="50">
        <f t="shared" si="4"/>
        <v>44435</v>
      </c>
      <c r="B240" s="51">
        <v>4778</v>
      </c>
      <c r="C240" s="52">
        <v>3955</v>
      </c>
      <c r="D240" s="52">
        <v>3045</v>
      </c>
      <c r="E240" s="52">
        <v>4121</v>
      </c>
      <c r="F240" s="52">
        <v>4808</v>
      </c>
      <c r="G240" s="52">
        <v>4566</v>
      </c>
      <c r="H240" s="52">
        <v>2328</v>
      </c>
      <c r="I240" s="53">
        <v>22945</v>
      </c>
      <c r="J240" s="49"/>
    </row>
    <row r="241" spans="1:10" x14ac:dyDescent="0.2">
      <c r="A241" s="50">
        <f t="shared" si="4"/>
        <v>44436</v>
      </c>
      <c r="B241" s="51">
        <v>4756.0600000000004</v>
      </c>
      <c r="C241" s="52">
        <v>3198.13</v>
      </c>
      <c r="D241" s="52">
        <v>2822</v>
      </c>
      <c r="E241" s="52">
        <v>2804.93</v>
      </c>
      <c r="F241" s="52">
        <v>5261.82</v>
      </c>
      <c r="G241" s="52">
        <v>3944.5</v>
      </c>
      <c r="H241" s="52">
        <v>1852.5349999999996</v>
      </c>
      <c r="I241" s="53">
        <v>20934.905000000002</v>
      </c>
      <c r="J241" s="49"/>
    </row>
    <row r="242" spans="1:10" x14ac:dyDescent="0.2">
      <c r="A242" s="50">
        <f t="shared" si="4"/>
        <v>44437</v>
      </c>
      <c r="B242" s="51">
        <v>5184.96</v>
      </c>
      <c r="C242" s="52">
        <v>3248.3</v>
      </c>
      <c r="D242" s="52">
        <v>3060.85</v>
      </c>
      <c r="E242" s="52">
        <v>2666.57</v>
      </c>
      <c r="F242" s="52">
        <v>5365.36</v>
      </c>
      <c r="G242" s="52">
        <v>3907.45</v>
      </c>
      <c r="H242" s="52">
        <v>1823.2399999999998</v>
      </c>
      <c r="I242" s="53">
        <v>21610.25</v>
      </c>
      <c r="J242" s="49"/>
    </row>
    <row r="243" spans="1:10" x14ac:dyDescent="0.2">
      <c r="A243" s="50">
        <f t="shared" si="4"/>
        <v>44438</v>
      </c>
      <c r="B243" s="51">
        <v>5001.46</v>
      </c>
      <c r="C243" s="52">
        <v>3574.36</v>
      </c>
      <c r="D243" s="52">
        <v>3348.71</v>
      </c>
      <c r="E243" s="52">
        <v>3108.28</v>
      </c>
      <c r="F243" s="52">
        <v>4968.24</v>
      </c>
      <c r="G243" s="52">
        <v>4595.87</v>
      </c>
      <c r="H243" s="52">
        <v>2312.2400000000002</v>
      </c>
      <c r="I243" s="53">
        <v>22284.679999999997</v>
      </c>
      <c r="J243" s="49"/>
    </row>
    <row r="244" spans="1:10" x14ac:dyDescent="0.2">
      <c r="A244" s="50">
        <f t="shared" si="4"/>
        <v>44439</v>
      </c>
      <c r="B244" s="51">
        <v>5615</v>
      </c>
      <c r="C244" s="52">
        <v>3765</v>
      </c>
      <c r="D244" s="52">
        <v>3384</v>
      </c>
      <c r="E244" s="52">
        <v>5115</v>
      </c>
      <c r="F244" s="52">
        <v>3806</v>
      </c>
      <c r="G244" s="52">
        <v>5156</v>
      </c>
      <c r="H244" s="52">
        <v>2488</v>
      </c>
      <c r="I244" s="53">
        <v>24353</v>
      </c>
      <c r="J244" s="49"/>
    </row>
    <row r="245" spans="1:10" x14ac:dyDescent="0.2">
      <c r="A245" s="50">
        <f t="shared" si="4"/>
        <v>44440</v>
      </c>
      <c r="B245" s="51">
        <v>5302.58</v>
      </c>
      <c r="C245" s="52">
        <v>3816.82</v>
      </c>
      <c r="D245" s="52">
        <v>3269.38</v>
      </c>
      <c r="E245" s="52">
        <v>6134.2</v>
      </c>
      <c r="F245" s="52">
        <v>3701.09</v>
      </c>
      <c r="G245" s="52">
        <v>5340.41</v>
      </c>
      <c r="H245" s="52">
        <v>2732.1300000000006</v>
      </c>
      <c r="I245" s="53">
        <v>24832.35</v>
      </c>
      <c r="J245" s="49"/>
    </row>
    <row r="246" spans="1:10" x14ac:dyDescent="0.2">
      <c r="A246" s="50">
        <f t="shared" si="4"/>
        <v>44441</v>
      </c>
      <c r="B246" s="51">
        <v>5375.97</v>
      </c>
      <c r="C246" s="52">
        <v>3963.85</v>
      </c>
      <c r="D246" s="52">
        <v>3258.42</v>
      </c>
      <c r="E246" s="52">
        <v>6111.45</v>
      </c>
      <c r="F246" s="52">
        <v>3242.08</v>
      </c>
      <c r="G246" s="52">
        <v>5208.63</v>
      </c>
      <c r="H246" s="52">
        <v>2838.8599999999997</v>
      </c>
      <c r="I246" s="53">
        <v>24321.539999999997</v>
      </c>
      <c r="J246" s="49"/>
    </row>
    <row r="247" spans="1:10" x14ac:dyDescent="0.2">
      <c r="A247" s="50">
        <f t="shared" si="4"/>
        <v>44442</v>
      </c>
      <c r="B247" s="51">
        <v>5462.28</v>
      </c>
      <c r="C247" s="52">
        <v>3871.63</v>
      </c>
      <c r="D247" s="52">
        <v>3202.02</v>
      </c>
      <c r="E247" s="52">
        <v>6617</v>
      </c>
      <c r="F247" s="52">
        <v>3586.47</v>
      </c>
      <c r="G247" s="52">
        <v>4827.71</v>
      </c>
      <c r="H247" s="52">
        <v>2462.8200000000002</v>
      </c>
      <c r="I247" s="53">
        <v>25104.29</v>
      </c>
      <c r="J247" s="49"/>
    </row>
    <row r="248" spans="1:10" x14ac:dyDescent="0.2">
      <c r="A248" s="50">
        <f t="shared" si="4"/>
        <v>44443</v>
      </c>
      <c r="B248" s="51">
        <v>5327</v>
      </c>
      <c r="C248" s="52">
        <v>3576</v>
      </c>
      <c r="D248" s="52">
        <v>3006</v>
      </c>
      <c r="E248" s="52">
        <v>6383</v>
      </c>
      <c r="F248" s="52">
        <v>3010</v>
      </c>
      <c r="G248" s="52">
        <v>4193</v>
      </c>
      <c r="H248" s="52">
        <v>1840</v>
      </c>
      <c r="I248" s="53">
        <v>23655</v>
      </c>
      <c r="J248" s="49"/>
    </row>
    <row r="249" spans="1:10" x14ac:dyDescent="0.2">
      <c r="A249" s="50">
        <f t="shared" si="4"/>
        <v>44444</v>
      </c>
      <c r="B249" s="51">
        <v>5085.8900000000003</v>
      </c>
      <c r="C249" s="52">
        <v>3631.38</v>
      </c>
      <c r="D249" s="52">
        <v>3036.38</v>
      </c>
      <c r="E249" s="52">
        <v>6114.58</v>
      </c>
      <c r="F249" s="52">
        <v>2788.52</v>
      </c>
      <c r="G249" s="52">
        <v>4122.96</v>
      </c>
      <c r="H249" s="52">
        <v>1727.1480000000001</v>
      </c>
      <c r="I249" s="53">
        <v>23052.562000000002</v>
      </c>
      <c r="J249" s="49"/>
    </row>
    <row r="250" spans="1:10" x14ac:dyDescent="0.2">
      <c r="A250" s="50">
        <f t="shared" si="4"/>
        <v>44445</v>
      </c>
      <c r="B250" s="51">
        <v>6043.07</v>
      </c>
      <c r="C250" s="52">
        <v>4012.95</v>
      </c>
      <c r="D250" s="52">
        <v>3422.42</v>
      </c>
      <c r="E250" s="52">
        <v>6616.65</v>
      </c>
      <c r="F250" s="52">
        <v>3177.84</v>
      </c>
      <c r="G250" s="52">
        <v>5020.3599999999997</v>
      </c>
      <c r="H250" s="52">
        <v>2352.3500000000004</v>
      </c>
      <c r="I250" s="53">
        <v>25940.940000000002</v>
      </c>
      <c r="J250" s="49"/>
    </row>
    <row r="251" spans="1:10" x14ac:dyDescent="0.2">
      <c r="A251" s="50">
        <f t="shared" si="4"/>
        <v>44446</v>
      </c>
      <c r="B251" s="51">
        <v>6194.92</v>
      </c>
      <c r="C251" s="52">
        <v>3806.74</v>
      </c>
      <c r="D251" s="52">
        <v>3320.27</v>
      </c>
      <c r="E251" s="52">
        <v>6437.86</v>
      </c>
      <c r="F251" s="52">
        <v>3183.25</v>
      </c>
      <c r="G251" s="52">
        <v>5388</v>
      </c>
      <c r="H251" s="52">
        <v>2661.51</v>
      </c>
      <c r="I251" s="53">
        <v>25669.53</v>
      </c>
      <c r="J251" s="49"/>
    </row>
    <row r="252" spans="1:10" x14ac:dyDescent="0.2">
      <c r="A252" s="50">
        <f t="shared" si="4"/>
        <v>44447</v>
      </c>
      <c r="B252" s="51">
        <v>6187</v>
      </c>
      <c r="C252" s="52">
        <v>3821</v>
      </c>
      <c r="D252" s="52">
        <v>3335</v>
      </c>
      <c r="E252" s="52">
        <v>6710</v>
      </c>
      <c r="F252" s="52">
        <v>3300</v>
      </c>
      <c r="G252" s="52">
        <v>5675</v>
      </c>
      <c r="H252" s="52">
        <v>2655</v>
      </c>
      <c r="I252" s="53">
        <v>26373</v>
      </c>
      <c r="J252" s="49"/>
    </row>
    <row r="253" spans="1:10" x14ac:dyDescent="0.2">
      <c r="A253" s="50">
        <f t="shared" si="4"/>
        <v>44448</v>
      </c>
      <c r="B253" s="51">
        <v>5753.87</v>
      </c>
      <c r="C253" s="52">
        <v>3833</v>
      </c>
      <c r="D253" s="52">
        <v>3309.09</v>
      </c>
      <c r="E253" s="52">
        <v>6168.52</v>
      </c>
      <c r="F253" s="52">
        <v>3011.44</v>
      </c>
      <c r="G253" s="52">
        <v>5525.06</v>
      </c>
      <c r="H253" s="52">
        <v>2546.42</v>
      </c>
      <c r="I253" s="53">
        <v>25054.559999999998</v>
      </c>
      <c r="J253" s="49"/>
    </row>
    <row r="254" spans="1:10" x14ac:dyDescent="0.2">
      <c r="A254" s="50">
        <f t="shared" si="4"/>
        <v>44449</v>
      </c>
      <c r="B254" s="51">
        <v>5799.03</v>
      </c>
      <c r="C254" s="52">
        <v>4061.86</v>
      </c>
      <c r="D254" s="52">
        <v>3343.24</v>
      </c>
      <c r="E254" s="52">
        <v>6354.12</v>
      </c>
      <c r="F254" s="52">
        <v>3052.39</v>
      </c>
      <c r="G254" s="52">
        <v>5634.32</v>
      </c>
      <c r="H254" s="52">
        <v>2557.84</v>
      </c>
      <c r="I254" s="53">
        <v>25687.119999999999</v>
      </c>
      <c r="J254" s="49"/>
    </row>
    <row r="255" spans="1:10" x14ac:dyDescent="0.2">
      <c r="A255" s="50">
        <f t="shared" si="4"/>
        <v>44450</v>
      </c>
      <c r="B255" s="51">
        <v>5578.56</v>
      </c>
      <c r="C255" s="52">
        <v>3566.08</v>
      </c>
      <c r="D255" s="52">
        <v>3159.19</v>
      </c>
      <c r="E255" s="52">
        <v>5963.3</v>
      </c>
      <c r="F255" s="52">
        <v>2763.4</v>
      </c>
      <c r="G255" s="52">
        <v>4716.7</v>
      </c>
      <c r="H255" s="52">
        <v>1990.04</v>
      </c>
      <c r="I255" s="53">
        <v>23757.190000000002</v>
      </c>
      <c r="J255" s="49"/>
    </row>
    <row r="256" spans="1:10" x14ac:dyDescent="0.2">
      <c r="A256" s="50">
        <f t="shared" si="4"/>
        <v>44451</v>
      </c>
      <c r="B256" s="51">
        <v>5948</v>
      </c>
      <c r="C256" s="52">
        <v>3754</v>
      </c>
      <c r="D256" s="52">
        <v>3172</v>
      </c>
      <c r="E256" s="52">
        <v>6383</v>
      </c>
      <c r="F256" s="52">
        <v>2977</v>
      </c>
      <c r="G256" s="52">
        <v>4717</v>
      </c>
      <c r="H256" s="52">
        <v>2176</v>
      </c>
      <c r="I256" s="53">
        <v>24775</v>
      </c>
      <c r="J256" s="49"/>
    </row>
    <row r="257" spans="1:10" x14ac:dyDescent="0.2">
      <c r="A257" s="50">
        <f t="shared" si="4"/>
        <v>44452</v>
      </c>
      <c r="B257" s="51">
        <v>6180.4</v>
      </c>
      <c r="C257" s="52">
        <v>3945.7</v>
      </c>
      <c r="D257" s="52">
        <v>3331.04</v>
      </c>
      <c r="E257" s="52">
        <v>6759.67</v>
      </c>
      <c r="F257" s="52">
        <v>3341.8</v>
      </c>
      <c r="G257" s="52">
        <v>5287.26</v>
      </c>
      <c r="H257" s="52">
        <v>2374.4700000000003</v>
      </c>
      <c r="I257" s="53">
        <v>26471.399999999994</v>
      </c>
      <c r="J257" s="49"/>
    </row>
    <row r="258" spans="1:10" x14ac:dyDescent="0.2">
      <c r="A258" s="50">
        <f t="shared" si="4"/>
        <v>44453</v>
      </c>
      <c r="B258" s="51">
        <v>5917.41</v>
      </c>
      <c r="C258" s="52">
        <v>3971.34</v>
      </c>
      <c r="D258" s="52">
        <v>3236.05</v>
      </c>
      <c r="E258" s="52">
        <v>6956.92</v>
      </c>
      <c r="F258" s="52">
        <v>3503.86</v>
      </c>
      <c r="G258" s="52">
        <v>5184.4799999999996</v>
      </c>
      <c r="H258" s="52">
        <v>2378.83</v>
      </c>
      <c r="I258" s="53">
        <v>26391.230000000003</v>
      </c>
      <c r="J258" s="49"/>
    </row>
    <row r="259" spans="1:10" x14ac:dyDescent="0.2">
      <c r="A259" s="50">
        <f t="shared" si="4"/>
        <v>44454</v>
      </c>
      <c r="B259" s="51">
        <v>5528.95</v>
      </c>
      <c r="C259" s="52">
        <v>3865.74</v>
      </c>
      <c r="D259" s="52">
        <v>3238.83</v>
      </c>
      <c r="E259" s="52">
        <v>6435.72</v>
      </c>
      <c r="F259" s="52">
        <v>3104.82</v>
      </c>
      <c r="G259" s="52">
        <v>5332.28</v>
      </c>
      <c r="H259" s="52">
        <v>2680.4500000000003</v>
      </c>
      <c r="I259" s="53">
        <v>24825.889999999996</v>
      </c>
      <c r="J259" s="49"/>
    </row>
    <row r="260" spans="1:10" x14ac:dyDescent="0.2">
      <c r="A260" s="50">
        <f t="shared" si="4"/>
        <v>44455</v>
      </c>
      <c r="B260" s="51">
        <v>5602</v>
      </c>
      <c r="C260" s="52">
        <v>3918</v>
      </c>
      <c r="D260" s="52">
        <v>3385</v>
      </c>
      <c r="E260" s="52">
        <v>5150</v>
      </c>
      <c r="F260" s="52">
        <v>4165</v>
      </c>
      <c r="G260" s="52">
        <v>5735</v>
      </c>
      <c r="H260" s="52">
        <v>2783</v>
      </c>
      <c r="I260" s="53">
        <v>25172</v>
      </c>
      <c r="J260" s="49"/>
    </row>
    <row r="261" spans="1:10" x14ac:dyDescent="0.2">
      <c r="A261" s="50">
        <f t="shared" si="4"/>
        <v>44456</v>
      </c>
      <c r="B261" s="51">
        <v>5817.04</v>
      </c>
      <c r="C261" s="52">
        <v>3863.67</v>
      </c>
      <c r="D261" s="52">
        <v>3434.84</v>
      </c>
      <c r="E261" s="52">
        <v>3959.69</v>
      </c>
      <c r="F261" s="52">
        <v>5358.29</v>
      </c>
      <c r="G261" s="52">
        <v>5738.27</v>
      </c>
      <c r="H261" s="52">
        <v>2595.4</v>
      </c>
      <c r="I261" s="53">
        <v>25576.399999999998</v>
      </c>
      <c r="J261" s="49"/>
    </row>
    <row r="262" spans="1:10" x14ac:dyDescent="0.2">
      <c r="A262" s="50">
        <f t="shared" si="4"/>
        <v>44457</v>
      </c>
      <c r="B262" s="51">
        <v>5696.61</v>
      </c>
      <c r="C262" s="52">
        <v>3511.67</v>
      </c>
      <c r="D262" s="52">
        <v>2892</v>
      </c>
      <c r="E262" s="52">
        <v>3836.48</v>
      </c>
      <c r="F262" s="52">
        <v>4747.83</v>
      </c>
      <c r="G262" s="52">
        <v>4493.0200000000004</v>
      </c>
      <c r="H262" s="52">
        <v>1873.9</v>
      </c>
      <c r="I262" s="53">
        <v>23303.709999999995</v>
      </c>
      <c r="J262" s="49"/>
    </row>
    <row r="263" spans="1:10" x14ac:dyDescent="0.2">
      <c r="A263" s="50">
        <f t="shared" si="4"/>
        <v>44458</v>
      </c>
      <c r="B263" s="51">
        <v>5724.08</v>
      </c>
      <c r="C263" s="52">
        <v>3493.3</v>
      </c>
      <c r="D263" s="52">
        <v>2787.33</v>
      </c>
      <c r="E263" s="52">
        <v>3583.91</v>
      </c>
      <c r="F263" s="52">
        <v>4761.76</v>
      </c>
      <c r="G263" s="52">
        <v>3482.89</v>
      </c>
      <c r="H263" s="52">
        <v>1143.26</v>
      </c>
      <c r="I263" s="53">
        <v>22690.010000000002</v>
      </c>
      <c r="J263" s="49"/>
    </row>
    <row r="264" spans="1:10" x14ac:dyDescent="0.2">
      <c r="A264" s="50">
        <f t="shared" si="4"/>
        <v>44459</v>
      </c>
      <c r="B264" s="51">
        <v>5881</v>
      </c>
      <c r="C264" s="52">
        <v>3891</v>
      </c>
      <c r="D264" s="52">
        <v>3354</v>
      </c>
      <c r="E264" s="52">
        <v>3583</v>
      </c>
      <c r="F264" s="52">
        <v>4282</v>
      </c>
      <c r="G264" s="52">
        <v>5412</v>
      </c>
      <c r="H264" s="52">
        <v>2126</v>
      </c>
      <c r="I264" s="53">
        <v>24277</v>
      </c>
      <c r="J264" s="49"/>
    </row>
    <row r="265" spans="1:10" x14ac:dyDescent="0.2">
      <c r="A265" s="50">
        <f t="shared" si="4"/>
        <v>44460</v>
      </c>
      <c r="B265" s="51">
        <v>6211.33</v>
      </c>
      <c r="C265" s="52">
        <v>3874.61</v>
      </c>
      <c r="D265" s="52">
        <v>3821.62</v>
      </c>
      <c r="E265" s="52">
        <v>3081.58</v>
      </c>
      <c r="F265" s="52">
        <v>5048.47</v>
      </c>
      <c r="G265" s="52">
        <v>5231.92</v>
      </c>
      <c r="H265" s="52">
        <v>2307.7700000000004</v>
      </c>
      <c r="I265" s="53">
        <v>24961.759999999998</v>
      </c>
      <c r="J265" s="49"/>
    </row>
    <row r="266" spans="1:10" x14ac:dyDescent="0.2">
      <c r="A266" s="50">
        <f t="shared" si="4"/>
        <v>44461</v>
      </c>
      <c r="B266" s="51">
        <v>6614.18</v>
      </c>
      <c r="C266" s="52">
        <v>3812.58</v>
      </c>
      <c r="D266" s="52">
        <v>3803.17</v>
      </c>
      <c r="E266" s="52">
        <v>3996.33</v>
      </c>
      <c r="F266" s="52">
        <v>5338.06</v>
      </c>
      <c r="G266" s="52">
        <v>5059.01</v>
      </c>
      <c r="H266" s="52">
        <v>2290.0999999999995</v>
      </c>
      <c r="I266" s="53">
        <v>26333.230000000003</v>
      </c>
      <c r="J266" s="49"/>
    </row>
    <row r="267" spans="1:10" x14ac:dyDescent="0.2">
      <c r="A267" s="50">
        <f t="shared" si="4"/>
        <v>44462</v>
      </c>
      <c r="B267" s="51">
        <v>6350.6</v>
      </c>
      <c r="C267" s="52">
        <v>3662.56</v>
      </c>
      <c r="D267" s="52">
        <v>4122.2700000000004</v>
      </c>
      <c r="E267" s="52">
        <v>2957.6</v>
      </c>
      <c r="F267" s="52">
        <v>5768.4</v>
      </c>
      <c r="G267" s="52">
        <v>4861.26</v>
      </c>
      <c r="H267" s="52">
        <v>2443.6995999999999</v>
      </c>
      <c r="I267" s="53">
        <v>25278.990400000002</v>
      </c>
      <c r="J267" s="49"/>
    </row>
    <row r="268" spans="1:10" x14ac:dyDescent="0.2">
      <c r="A268" s="50">
        <f t="shared" si="4"/>
        <v>44463</v>
      </c>
      <c r="B268" s="51">
        <v>6527</v>
      </c>
      <c r="C268" s="52">
        <v>3893</v>
      </c>
      <c r="D268" s="52">
        <v>4207</v>
      </c>
      <c r="E268" s="52">
        <v>3510</v>
      </c>
      <c r="F268" s="52">
        <v>5415</v>
      </c>
      <c r="G268" s="52">
        <v>4625</v>
      </c>
      <c r="H268" s="52">
        <v>2235</v>
      </c>
      <c r="I268" s="53">
        <v>25942</v>
      </c>
      <c r="J268" s="49"/>
    </row>
    <row r="269" spans="1:10" x14ac:dyDescent="0.2">
      <c r="A269" s="50">
        <f t="shared" si="4"/>
        <v>44464</v>
      </c>
      <c r="B269" s="51">
        <v>6259.74</v>
      </c>
      <c r="C269" s="52">
        <v>3483.44</v>
      </c>
      <c r="D269" s="52">
        <v>3834.22</v>
      </c>
      <c r="E269" s="52">
        <v>3508.76</v>
      </c>
      <c r="F269" s="52">
        <v>5195.99</v>
      </c>
      <c r="G269" s="52">
        <v>4336.5</v>
      </c>
      <c r="H269" s="52">
        <v>1950.9399999999998</v>
      </c>
      <c r="I269" s="53">
        <v>24667.710000000003</v>
      </c>
      <c r="J269" s="49"/>
    </row>
    <row r="270" spans="1:10" x14ac:dyDescent="0.2">
      <c r="A270" s="50">
        <f t="shared" si="4"/>
        <v>44465</v>
      </c>
      <c r="B270" s="51">
        <v>5910.16</v>
      </c>
      <c r="C270" s="52">
        <v>3445.4</v>
      </c>
      <c r="D270" s="52">
        <v>3661.24</v>
      </c>
      <c r="E270" s="52">
        <v>3387.86</v>
      </c>
      <c r="F270" s="52">
        <v>5084.47</v>
      </c>
      <c r="G270" s="52">
        <v>3821.48</v>
      </c>
      <c r="H270" s="52">
        <v>1779.71</v>
      </c>
      <c r="I270" s="53">
        <v>23530.9</v>
      </c>
      <c r="J270" s="49"/>
    </row>
    <row r="271" spans="1:10" x14ac:dyDescent="0.2">
      <c r="A271" s="50">
        <f t="shared" si="4"/>
        <v>44466</v>
      </c>
      <c r="B271" s="51">
        <v>5793.28</v>
      </c>
      <c r="C271" s="52">
        <v>3880.75</v>
      </c>
      <c r="D271" s="52">
        <v>3996.98</v>
      </c>
      <c r="E271" s="52">
        <v>3298.06</v>
      </c>
      <c r="F271" s="52">
        <v>4720.59</v>
      </c>
      <c r="G271" s="52">
        <v>5153.4399999999996</v>
      </c>
      <c r="H271" s="52">
        <v>2618.1741999999999</v>
      </c>
      <c r="I271" s="53">
        <v>24224.925799999997</v>
      </c>
      <c r="J271" s="49"/>
    </row>
    <row r="272" spans="1:10" x14ac:dyDescent="0.2">
      <c r="A272" s="50">
        <f t="shared" si="4"/>
        <v>44467</v>
      </c>
      <c r="B272" s="51">
        <v>6176.89</v>
      </c>
      <c r="C272" s="52">
        <v>3978.31</v>
      </c>
      <c r="D272" s="52">
        <v>4030.25</v>
      </c>
      <c r="E272" s="52">
        <v>3242.55</v>
      </c>
      <c r="F272" s="52">
        <v>4537.17</v>
      </c>
      <c r="G272" s="52">
        <v>4986.58</v>
      </c>
      <c r="H272" s="52">
        <v>2509.2075</v>
      </c>
      <c r="I272" s="53">
        <v>24442.5425</v>
      </c>
      <c r="J272" s="49"/>
    </row>
    <row r="273" spans="1:10" x14ac:dyDescent="0.2">
      <c r="A273" s="50">
        <f t="shared" si="4"/>
        <v>44468</v>
      </c>
      <c r="B273" s="51">
        <v>6249.8</v>
      </c>
      <c r="C273" s="52">
        <v>3920.75</v>
      </c>
      <c r="D273" s="52">
        <v>3938.43</v>
      </c>
      <c r="E273" s="52">
        <v>3421.48</v>
      </c>
      <c r="F273" s="52">
        <v>5325.39</v>
      </c>
      <c r="G273" s="52">
        <v>5007.01</v>
      </c>
      <c r="H273" s="52">
        <v>2452.5699999999997</v>
      </c>
      <c r="I273" s="53">
        <v>25410.29</v>
      </c>
      <c r="J273" s="49"/>
    </row>
    <row r="274" spans="1:10" x14ac:dyDescent="0.2">
      <c r="A274" s="50">
        <f t="shared" si="4"/>
        <v>44469</v>
      </c>
      <c r="B274" s="51">
        <v>6320.94</v>
      </c>
      <c r="C274" s="52">
        <v>3991.86</v>
      </c>
      <c r="D274" s="52">
        <v>3948.48</v>
      </c>
      <c r="E274" s="52">
        <v>3459.56</v>
      </c>
      <c r="F274" s="52">
        <v>5404.17</v>
      </c>
      <c r="G274" s="52">
        <v>5306.35</v>
      </c>
      <c r="H274" s="52">
        <v>2670.81</v>
      </c>
      <c r="I274" s="53">
        <v>25760.55</v>
      </c>
      <c r="J274" s="49"/>
    </row>
    <row r="275" spans="1:10" x14ac:dyDescent="0.2">
      <c r="A275" s="50">
        <f t="shared" si="4"/>
        <v>44470</v>
      </c>
      <c r="B275" s="51">
        <v>6463</v>
      </c>
      <c r="C275" s="52">
        <v>3865.71</v>
      </c>
      <c r="D275" s="52">
        <v>3997.43</v>
      </c>
      <c r="E275" s="52">
        <v>3554.99</v>
      </c>
      <c r="F275" s="52">
        <v>5103.63</v>
      </c>
      <c r="G275" s="52">
        <v>5350.78</v>
      </c>
      <c r="H275" s="52">
        <v>2621.3058000000001</v>
      </c>
      <c r="I275" s="53">
        <v>25714.234199999999</v>
      </c>
      <c r="J275" s="49"/>
    </row>
    <row r="276" spans="1:10" x14ac:dyDescent="0.2">
      <c r="A276" s="50">
        <f t="shared" si="4"/>
        <v>44471</v>
      </c>
      <c r="B276" s="51">
        <v>6442.5</v>
      </c>
      <c r="C276" s="52">
        <v>3558.42</v>
      </c>
      <c r="D276" s="52">
        <v>3845.96</v>
      </c>
      <c r="E276" s="52">
        <v>2792.04</v>
      </c>
      <c r="F276" s="52">
        <v>6615.55</v>
      </c>
      <c r="G276" s="52">
        <v>4095.9</v>
      </c>
      <c r="H276" s="52">
        <v>1735.4299999999998</v>
      </c>
      <c r="I276" s="53">
        <v>25614.940000000002</v>
      </c>
      <c r="J276" s="49"/>
    </row>
    <row r="277" spans="1:10" x14ac:dyDescent="0.2">
      <c r="A277" s="50">
        <f t="shared" si="4"/>
        <v>44472</v>
      </c>
      <c r="B277" s="51">
        <v>6145.16</v>
      </c>
      <c r="C277" s="52">
        <v>3503.57</v>
      </c>
      <c r="D277" s="52">
        <v>3805.5</v>
      </c>
      <c r="E277" s="52">
        <v>2827.85</v>
      </c>
      <c r="F277" s="52">
        <v>5839.31</v>
      </c>
      <c r="G277" s="52">
        <v>4301.96</v>
      </c>
      <c r="H277" s="52">
        <v>1825.79</v>
      </c>
      <c r="I277" s="53">
        <v>24597.559999999998</v>
      </c>
      <c r="J277" s="49"/>
    </row>
    <row r="278" spans="1:10" x14ac:dyDescent="0.2">
      <c r="A278" s="50">
        <f t="shared" si="4"/>
        <v>44473</v>
      </c>
      <c r="B278" s="51">
        <v>6185.44</v>
      </c>
      <c r="C278" s="52">
        <v>3924.66</v>
      </c>
      <c r="D278" s="52">
        <v>4121.21</v>
      </c>
      <c r="E278" s="52">
        <v>2617.1799999999998</v>
      </c>
      <c r="F278" s="52">
        <v>5111.16</v>
      </c>
      <c r="G278" s="52">
        <v>5621.87</v>
      </c>
      <c r="H278" s="52">
        <v>2553.5399999999995</v>
      </c>
      <c r="I278" s="53">
        <v>25027.979999999996</v>
      </c>
      <c r="J278" s="49"/>
    </row>
    <row r="279" spans="1:10" x14ac:dyDescent="0.2">
      <c r="A279" s="50">
        <f t="shared" si="4"/>
        <v>44474</v>
      </c>
      <c r="B279" s="51">
        <v>6400.15</v>
      </c>
      <c r="C279" s="52">
        <v>4033.17</v>
      </c>
      <c r="D279" s="52">
        <v>4308.9799999999996</v>
      </c>
      <c r="E279" s="52">
        <v>3081.98</v>
      </c>
      <c r="F279" s="52">
        <v>5677.29</v>
      </c>
      <c r="G279" s="52">
        <v>5266.06</v>
      </c>
      <c r="H279" s="52">
        <v>2579.46</v>
      </c>
      <c r="I279" s="53">
        <v>26188.170000000002</v>
      </c>
      <c r="J279" s="49"/>
    </row>
    <row r="280" spans="1:10" x14ac:dyDescent="0.2">
      <c r="A280" s="50">
        <f t="shared" si="4"/>
        <v>44475</v>
      </c>
      <c r="B280" s="51">
        <v>6593.57</v>
      </c>
      <c r="C280" s="52">
        <v>4097.78</v>
      </c>
      <c r="D280" s="52">
        <v>4383.29</v>
      </c>
      <c r="E280" s="52">
        <v>3587.42</v>
      </c>
      <c r="F280" s="52">
        <v>5229.6499999999996</v>
      </c>
      <c r="G280" s="52">
        <v>5170.8900000000003</v>
      </c>
      <c r="H280" s="52">
        <v>2541.29</v>
      </c>
      <c r="I280" s="53">
        <v>26521.309999999998</v>
      </c>
      <c r="J280" s="49"/>
    </row>
    <row r="281" spans="1:10" x14ac:dyDescent="0.2">
      <c r="A281" s="50">
        <f t="shared" si="4"/>
        <v>44476</v>
      </c>
      <c r="B281" s="51">
        <v>6436.67</v>
      </c>
      <c r="C281" s="52">
        <v>4132.03</v>
      </c>
      <c r="D281" s="52">
        <v>4384.75</v>
      </c>
      <c r="E281" s="52">
        <v>3175.02</v>
      </c>
      <c r="F281" s="52">
        <v>4997.82</v>
      </c>
      <c r="G281" s="52">
        <v>5264.3</v>
      </c>
      <c r="H281" s="52">
        <v>2531.8200000000002</v>
      </c>
      <c r="I281" s="53">
        <v>25858.77</v>
      </c>
      <c r="J281" s="49"/>
    </row>
    <row r="282" spans="1:10" x14ac:dyDescent="0.2">
      <c r="A282" s="50">
        <f t="shared" si="4"/>
        <v>44477</v>
      </c>
      <c r="B282" s="51">
        <v>6570.35</v>
      </c>
      <c r="C282" s="52">
        <v>4010.3</v>
      </c>
      <c r="D282" s="52">
        <v>4360.1099999999997</v>
      </c>
      <c r="E282" s="52">
        <v>3273.38</v>
      </c>
      <c r="F282" s="52">
        <v>5106.6400000000003</v>
      </c>
      <c r="G282" s="52">
        <v>4983.3500000000004</v>
      </c>
      <c r="H282" s="52">
        <v>2363.13</v>
      </c>
      <c r="I282" s="53">
        <v>25941.000000000004</v>
      </c>
      <c r="J282" s="49"/>
    </row>
    <row r="283" spans="1:10" x14ac:dyDescent="0.2">
      <c r="A283" s="50">
        <f t="shared" si="4"/>
        <v>44478</v>
      </c>
      <c r="B283" s="51">
        <v>6515.72</v>
      </c>
      <c r="C283" s="52">
        <v>3549.39</v>
      </c>
      <c r="D283" s="52">
        <v>4084.94</v>
      </c>
      <c r="E283" s="52">
        <v>3605.13</v>
      </c>
      <c r="F283" s="52">
        <v>5249.05</v>
      </c>
      <c r="G283" s="52">
        <v>4080.36</v>
      </c>
      <c r="H283" s="52">
        <v>1804.556</v>
      </c>
      <c r="I283" s="53">
        <v>25280.034</v>
      </c>
      <c r="J283" s="49"/>
    </row>
    <row r="284" spans="1:10" x14ac:dyDescent="0.2">
      <c r="A284" s="50">
        <f t="shared" si="4"/>
        <v>44479</v>
      </c>
      <c r="B284" s="51">
        <v>6659.28</v>
      </c>
      <c r="C284" s="52">
        <v>3518.17</v>
      </c>
      <c r="D284" s="52">
        <v>4010.14</v>
      </c>
      <c r="E284" s="52">
        <v>4078.11</v>
      </c>
      <c r="F284" s="52">
        <v>5671.63</v>
      </c>
      <c r="G284" s="52">
        <v>4144.93</v>
      </c>
      <c r="H284" s="52">
        <v>1867.0500000000002</v>
      </c>
      <c r="I284" s="53">
        <v>26215.210000000003</v>
      </c>
      <c r="J284" s="49"/>
    </row>
    <row r="285" spans="1:10" x14ac:dyDescent="0.2">
      <c r="A285" s="50">
        <f t="shared" si="4"/>
        <v>44480</v>
      </c>
      <c r="B285" s="51">
        <v>6408.06</v>
      </c>
      <c r="C285" s="52">
        <v>4005.81</v>
      </c>
      <c r="D285" s="52">
        <v>4267.6499999999996</v>
      </c>
      <c r="E285" s="52">
        <v>2913.72</v>
      </c>
      <c r="F285" s="52">
        <v>5293.37</v>
      </c>
      <c r="G285" s="52">
        <v>5092.26</v>
      </c>
      <c r="H285" s="52">
        <v>2493.16</v>
      </c>
      <c r="I285" s="53">
        <v>25487.710000000003</v>
      </c>
      <c r="J285" s="49"/>
    </row>
    <row r="286" spans="1:10" x14ac:dyDescent="0.2">
      <c r="A286" s="50">
        <f t="shared" si="4"/>
        <v>44481</v>
      </c>
      <c r="B286" s="51">
        <v>6933.69</v>
      </c>
      <c r="C286" s="52">
        <v>4006.1</v>
      </c>
      <c r="D286" s="52">
        <v>4269.8500000000004</v>
      </c>
      <c r="E286" s="52">
        <v>3939.26</v>
      </c>
      <c r="F286" s="52">
        <v>5676.56</v>
      </c>
      <c r="G286" s="52">
        <v>5096.97</v>
      </c>
      <c r="H286" s="52">
        <v>2542.4199999999996</v>
      </c>
      <c r="I286" s="53">
        <v>27380.010000000006</v>
      </c>
      <c r="J286" s="49"/>
    </row>
    <row r="287" spans="1:10" x14ac:dyDescent="0.2">
      <c r="A287" s="50">
        <f t="shared" si="4"/>
        <v>44482</v>
      </c>
      <c r="B287" s="51">
        <v>6700.42</v>
      </c>
      <c r="C287" s="52">
        <v>3843.53</v>
      </c>
      <c r="D287" s="52">
        <v>4242.63</v>
      </c>
      <c r="E287" s="52">
        <v>4059.18</v>
      </c>
      <c r="F287" s="52">
        <v>5092.6499999999996</v>
      </c>
      <c r="G287" s="52">
        <v>4757.2</v>
      </c>
      <c r="H287" s="52">
        <v>2198.7399999999998</v>
      </c>
      <c r="I287" s="53">
        <v>26496.870000000003</v>
      </c>
      <c r="J287" s="49"/>
    </row>
    <row r="288" spans="1:10" x14ac:dyDescent="0.2">
      <c r="A288" s="50">
        <f t="shared" ref="A288:A351" si="5">A287+1</f>
        <v>44483</v>
      </c>
      <c r="B288" s="51">
        <v>6846</v>
      </c>
      <c r="C288" s="52">
        <v>4010</v>
      </c>
      <c r="D288" s="52">
        <v>4373</v>
      </c>
      <c r="E288" s="52">
        <v>4182</v>
      </c>
      <c r="F288" s="52">
        <v>5107</v>
      </c>
      <c r="G288" s="52">
        <v>5043</v>
      </c>
      <c r="H288" s="52">
        <v>2407</v>
      </c>
      <c r="I288" s="53">
        <v>27154</v>
      </c>
      <c r="J288" s="49"/>
    </row>
    <row r="289" spans="1:10" x14ac:dyDescent="0.2">
      <c r="A289" s="50">
        <f t="shared" si="5"/>
        <v>44484</v>
      </c>
      <c r="B289" s="51">
        <v>6484.55</v>
      </c>
      <c r="C289" s="52">
        <v>3921.54</v>
      </c>
      <c r="D289" s="52">
        <v>4300.29</v>
      </c>
      <c r="E289" s="52">
        <v>3219.9</v>
      </c>
      <c r="F289" s="52">
        <v>4315.3599999999997</v>
      </c>
      <c r="G289" s="52">
        <v>4807.9399999999996</v>
      </c>
      <c r="H289" s="52">
        <v>2247.59</v>
      </c>
      <c r="I289" s="53">
        <v>24801.99</v>
      </c>
      <c r="J289" s="49"/>
    </row>
    <row r="290" spans="1:10" x14ac:dyDescent="0.2">
      <c r="A290" s="50">
        <f t="shared" si="5"/>
        <v>44485</v>
      </c>
      <c r="B290" s="51">
        <v>6234.54</v>
      </c>
      <c r="C290" s="52">
        <v>3767.73</v>
      </c>
      <c r="D290" s="52">
        <v>4036.6</v>
      </c>
      <c r="E290" s="52">
        <v>3516.81</v>
      </c>
      <c r="F290" s="52">
        <v>4722.8999999999996</v>
      </c>
      <c r="G290" s="52">
        <v>3666.29</v>
      </c>
      <c r="H290" s="52">
        <v>1549.7</v>
      </c>
      <c r="I290" s="53">
        <v>24395.170000000002</v>
      </c>
      <c r="J290" s="49"/>
    </row>
    <row r="291" spans="1:10" x14ac:dyDescent="0.2">
      <c r="A291" s="50">
        <f t="shared" si="5"/>
        <v>44486</v>
      </c>
      <c r="B291" s="51">
        <v>6164.49</v>
      </c>
      <c r="C291" s="52">
        <v>3663.34</v>
      </c>
      <c r="D291" s="52">
        <v>4010.45</v>
      </c>
      <c r="E291" s="52">
        <v>3673.97</v>
      </c>
      <c r="F291" s="52">
        <v>4885.92</v>
      </c>
      <c r="G291" s="52">
        <v>3547.12</v>
      </c>
      <c r="H291" s="52">
        <v>1407.6500000000003</v>
      </c>
      <c r="I291" s="53">
        <v>24537.639999999996</v>
      </c>
      <c r="J291" s="49"/>
    </row>
    <row r="292" spans="1:10" x14ac:dyDescent="0.2">
      <c r="A292" s="50">
        <f t="shared" si="5"/>
        <v>44487</v>
      </c>
      <c r="B292" s="51">
        <v>6394</v>
      </c>
      <c r="C292" s="52">
        <v>4026</v>
      </c>
      <c r="D292" s="52">
        <v>4247</v>
      </c>
      <c r="E292" s="52">
        <v>3595</v>
      </c>
      <c r="F292" s="52">
        <v>4642</v>
      </c>
      <c r="G292" s="52">
        <v>4535</v>
      </c>
      <c r="H292" s="52">
        <v>1994</v>
      </c>
      <c r="I292" s="53">
        <v>25445</v>
      </c>
      <c r="J292" s="49"/>
    </row>
    <row r="293" spans="1:10" x14ac:dyDescent="0.2">
      <c r="A293" s="50">
        <f t="shared" si="5"/>
        <v>44488</v>
      </c>
      <c r="B293" s="51">
        <v>6721.55</v>
      </c>
      <c r="C293" s="52">
        <v>4019.52</v>
      </c>
      <c r="D293" s="52">
        <v>4266.5</v>
      </c>
      <c r="E293" s="52">
        <v>4237.45</v>
      </c>
      <c r="F293" s="52">
        <v>5444.75</v>
      </c>
      <c r="G293" s="52">
        <v>5066.1400000000003</v>
      </c>
      <c r="H293" s="52">
        <v>2471.77</v>
      </c>
      <c r="I293" s="53">
        <v>27284.14</v>
      </c>
      <c r="J293" s="49"/>
    </row>
    <row r="294" spans="1:10" x14ac:dyDescent="0.2">
      <c r="A294" s="50">
        <f t="shared" si="5"/>
        <v>44489</v>
      </c>
      <c r="B294" s="51">
        <v>6332.55</v>
      </c>
      <c r="C294" s="52">
        <v>3931.83</v>
      </c>
      <c r="D294" s="52">
        <v>4400.8100000000004</v>
      </c>
      <c r="E294" s="52">
        <v>3748.85</v>
      </c>
      <c r="F294" s="52">
        <v>4700.8900000000003</v>
      </c>
      <c r="G294" s="52">
        <v>5201.45</v>
      </c>
      <c r="H294" s="52">
        <v>2620.8599999999997</v>
      </c>
      <c r="I294" s="53">
        <v>25695.52</v>
      </c>
      <c r="J294" s="49"/>
    </row>
    <row r="295" spans="1:10" x14ac:dyDescent="0.2">
      <c r="A295" s="50">
        <f t="shared" si="5"/>
        <v>44490</v>
      </c>
      <c r="B295" s="51">
        <v>6523</v>
      </c>
      <c r="C295" s="52">
        <v>3871.46</v>
      </c>
      <c r="D295" s="52">
        <v>4538.12</v>
      </c>
      <c r="E295" s="52">
        <v>4289.96</v>
      </c>
      <c r="F295" s="52">
        <v>4846.3500000000004</v>
      </c>
      <c r="G295" s="52">
        <v>5118.95</v>
      </c>
      <c r="H295" s="52">
        <v>2482.8499999999995</v>
      </c>
      <c r="I295" s="53">
        <v>26704.99</v>
      </c>
      <c r="J295" s="49"/>
    </row>
    <row r="296" spans="1:10" x14ac:dyDescent="0.2">
      <c r="A296" s="50">
        <f t="shared" si="5"/>
        <v>44491</v>
      </c>
      <c r="B296" s="51">
        <v>6219</v>
      </c>
      <c r="C296" s="52">
        <v>3770</v>
      </c>
      <c r="D296" s="52">
        <v>4445</v>
      </c>
      <c r="E296" s="52">
        <v>4247</v>
      </c>
      <c r="F296" s="52">
        <v>4954</v>
      </c>
      <c r="G296" s="52">
        <v>5489</v>
      </c>
      <c r="H296" s="52">
        <v>2682</v>
      </c>
      <c r="I296" s="53">
        <v>26442</v>
      </c>
      <c r="J296" s="49"/>
    </row>
    <row r="297" spans="1:10" x14ac:dyDescent="0.2">
      <c r="A297" s="50">
        <f t="shared" si="5"/>
        <v>44492</v>
      </c>
      <c r="B297" s="51">
        <v>5872.53</v>
      </c>
      <c r="C297" s="52">
        <v>3648.72</v>
      </c>
      <c r="D297" s="52">
        <v>4178.8100000000004</v>
      </c>
      <c r="E297" s="52">
        <v>3682.25</v>
      </c>
      <c r="F297" s="52">
        <v>5017.47</v>
      </c>
      <c r="G297" s="52">
        <v>4218.3599999999997</v>
      </c>
      <c r="H297" s="52">
        <v>1926.19</v>
      </c>
      <c r="I297" s="53">
        <v>24691.950000000004</v>
      </c>
      <c r="J297" s="49"/>
    </row>
    <row r="298" spans="1:10" x14ac:dyDescent="0.2">
      <c r="A298" s="50">
        <f t="shared" si="5"/>
        <v>44493</v>
      </c>
      <c r="B298" s="51">
        <v>5542.91</v>
      </c>
      <c r="C298" s="52">
        <v>3619.35</v>
      </c>
      <c r="D298" s="52">
        <v>4098.6099999999997</v>
      </c>
      <c r="E298" s="52">
        <v>2847.96</v>
      </c>
      <c r="F298" s="52">
        <v>3906.17</v>
      </c>
      <c r="G298" s="52">
        <v>4310.59</v>
      </c>
      <c r="H298" s="52">
        <v>2091.1600000000003</v>
      </c>
      <c r="I298" s="53">
        <v>22234.43</v>
      </c>
      <c r="J298" s="49"/>
    </row>
    <row r="299" spans="1:10" x14ac:dyDescent="0.2">
      <c r="A299" s="50">
        <f t="shared" si="5"/>
        <v>44494</v>
      </c>
      <c r="B299" s="51">
        <v>5752.88</v>
      </c>
      <c r="C299" s="52">
        <v>3737.39</v>
      </c>
      <c r="D299" s="52">
        <v>4366.21</v>
      </c>
      <c r="E299" s="52">
        <v>3566.34</v>
      </c>
      <c r="F299" s="52">
        <v>4262.96</v>
      </c>
      <c r="G299" s="52">
        <v>5319.75</v>
      </c>
      <c r="H299" s="52">
        <v>2782.83</v>
      </c>
      <c r="I299" s="53">
        <v>24222.699999999997</v>
      </c>
      <c r="J299" s="49"/>
    </row>
    <row r="300" spans="1:10" x14ac:dyDescent="0.2">
      <c r="A300" s="50">
        <f t="shared" si="5"/>
        <v>44495</v>
      </c>
      <c r="B300" s="51">
        <v>6395</v>
      </c>
      <c r="C300" s="52">
        <v>3931</v>
      </c>
      <c r="D300" s="52">
        <v>4707</v>
      </c>
      <c r="E300" s="52">
        <v>4388</v>
      </c>
      <c r="F300" s="52">
        <v>4801</v>
      </c>
      <c r="G300" s="52">
        <v>5750</v>
      </c>
      <c r="H300" s="52">
        <v>3253</v>
      </c>
      <c r="I300" s="53">
        <v>26719</v>
      </c>
      <c r="J300" s="49"/>
    </row>
    <row r="301" spans="1:10" x14ac:dyDescent="0.2">
      <c r="A301" s="50">
        <f t="shared" si="5"/>
        <v>44496</v>
      </c>
      <c r="B301" s="51">
        <v>6387.02</v>
      </c>
      <c r="C301" s="52">
        <v>3892</v>
      </c>
      <c r="D301" s="52">
        <v>3858</v>
      </c>
      <c r="E301" s="52">
        <v>4132.0600000000004</v>
      </c>
      <c r="F301" s="52">
        <v>4895</v>
      </c>
      <c r="G301" s="52">
        <v>5753.29</v>
      </c>
      <c r="H301" s="52">
        <v>2898.32</v>
      </c>
      <c r="I301" s="53">
        <v>26019.050000000003</v>
      </c>
      <c r="J301" s="49"/>
    </row>
    <row r="302" spans="1:10" x14ac:dyDescent="0.2">
      <c r="A302" s="50">
        <f t="shared" si="5"/>
        <v>44497</v>
      </c>
      <c r="B302" s="51">
        <v>6435.1</v>
      </c>
      <c r="C302" s="52">
        <v>3749.92</v>
      </c>
      <c r="D302" s="52">
        <v>3691.81</v>
      </c>
      <c r="E302" s="52">
        <v>4326.09</v>
      </c>
      <c r="F302" s="52">
        <v>4868.79</v>
      </c>
      <c r="G302" s="52">
        <v>6077.03</v>
      </c>
      <c r="H302" s="52">
        <v>3079.64</v>
      </c>
      <c r="I302" s="53">
        <v>26069.1</v>
      </c>
      <c r="J302" s="49"/>
    </row>
    <row r="303" spans="1:10" x14ac:dyDescent="0.2">
      <c r="A303" s="50">
        <f t="shared" si="5"/>
        <v>44498</v>
      </c>
      <c r="B303" s="51">
        <v>6299.02</v>
      </c>
      <c r="C303" s="52">
        <v>3744.31</v>
      </c>
      <c r="D303" s="52">
        <v>3660.09</v>
      </c>
      <c r="E303" s="52">
        <v>4232.72</v>
      </c>
      <c r="F303" s="52">
        <v>4716.57</v>
      </c>
      <c r="G303" s="52">
        <v>5376.56</v>
      </c>
      <c r="H303" s="52">
        <v>2885.17</v>
      </c>
      <c r="I303" s="53">
        <v>25144.1</v>
      </c>
      <c r="J303" s="49"/>
    </row>
    <row r="304" spans="1:10" x14ac:dyDescent="0.2">
      <c r="A304" s="50">
        <f t="shared" si="5"/>
        <v>44499</v>
      </c>
      <c r="B304" s="51">
        <v>6091</v>
      </c>
      <c r="C304" s="52">
        <v>3632</v>
      </c>
      <c r="D304" s="52">
        <v>3419</v>
      </c>
      <c r="E304" s="52">
        <v>4135</v>
      </c>
      <c r="F304" s="52">
        <v>4394</v>
      </c>
      <c r="G304" s="52">
        <v>4358</v>
      </c>
      <c r="H304" s="52">
        <v>1964</v>
      </c>
      <c r="I304" s="53">
        <v>24065</v>
      </c>
      <c r="J304" s="49"/>
    </row>
    <row r="305" spans="1:10" x14ac:dyDescent="0.2">
      <c r="A305" s="50">
        <f t="shared" si="5"/>
        <v>44500</v>
      </c>
      <c r="B305" s="51">
        <v>5639.87</v>
      </c>
      <c r="C305" s="52">
        <v>3565.72</v>
      </c>
      <c r="D305" s="52">
        <v>3028.22</v>
      </c>
      <c r="E305" s="52">
        <v>3908.8</v>
      </c>
      <c r="F305" s="52">
        <v>4421.2700000000004</v>
      </c>
      <c r="G305" s="52">
        <v>4004.68</v>
      </c>
      <c r="H305" s="52">
        <v>1938.3200000000002</v>
      </c>
      <c r="I305" s="53">
        <v>22630.240000000002</v>
      </c>
      <c r="J305" s="49"/>
    </row>
    <row r="306" spans="1:10" x14ac:dyDescent="0.2">
      <c r="A306" s="50">
        <f t="shared" si="5"/>
        <v>44501</v>
      </c>
      <c r="B306" s="51">
        <v>5881.85</v>
      </c>
      <c r="C306" s="52">
        <v>3761.41</v>
      </c>
      <c r="D306" s="52">
        <v>3464.45</v>
      </c>
      <c r="E306" s="52">
        <v>3882.71</v>
      </c>
      <c r="F306" s="52">
        <v>4238.3100000000004</v>
      </c>
      <c r="G306" s="52">
        <v>5268.77</v>
      </c>
      <c r="H306" s="52">
        <v>2959.13</v>
      </c>
      <c r="I306" s="53">
        <v>23538.37</v>
      </c>
      <c r="J306" s="49"/>
    </row>
    <row r="307" spans="1:10" x14ac:dyDescent="0.2">
      <c r="A307" s="50">
        <f t="shared" si="5"/>
        <v>44502</v>
      </c>
      <c r="B307" s="51">
        <v>6189.34</v>
      </c>
      <c r="C307" s="52">
        <v>3772.5</v>
      </c>
      <c r="D307" s="52">
        <v>3901.48</v>
      </c>
      <c r="E307" s="52">
        <v>3916.4</v>
      </c>
      <c r="F307" s="52">
        <v>4325.7700000000004</v>
      </c>
      <c r="G307" s="52">
        <v>5831.68</v>
      </c>
      <c r="H307" s="52">
        <v>3270.66</v>
      </c>
      <c r="I307" s="53">
        <v>24666.510000000002</v>
      </c>
      <c r="J307" s="49"/>
    </row>
    <row r="308" spans="1:10" x14ac:dyDescent="0.2">
      <c r="A308" s="50">
        <f t="shared" si="5"/>
        <v>44503</v>
      </c>
      <c r="B308" s="51">
        <v>6853</v>
      </c>
      <c r="C308" s="52">
        <v>3821</v>
      </c>
      <c r="D308" s="52">
        <v>3990</v>
      </c>
      <c r="E308" s="52">
        <v>4648</v>
      </c>
      <c r="F308" s="52">
        <v>4742</v>
      </c>
      <c r="G308" s="52">
        <v>5857</v>
      </c>
      <c r="H308" s="52">
        <v>3179</v>
      </c>
      <c r="I308" s="53">
        <v>26732</v>
      </c>
      <c r="J308" s="49"/>
    </row>
    <row r="309" spans="1:10" x14ac:dyDescent="0.2">
      <c r="A309" s="50">
        <f t="shared" si="5"/>
        <v>44504</v>
      </c>
      <c r="B309" s="51">
        <v>6528.9</v>
      </c>
      <c r="C309" s="52">
        <v>3797.54</v>
      </c>
      <c r="D309" s="52">
        <v>4498.68</v>
      </c>
      <c r="E309" s="52">
        <v>4575.09</v>
      </c>
      <c r="F309" s="52">
        <v>4563.92</v>
      </c>
      <c r="G309" s="52">
        <v>5646.8</v>
      </c>
      <c r="H309" s="52">
        <v>2684.37</v>
      </c>
      <c r="I309" s="53">
        <v>26926.559999999998</v>
      </c>
      <c r="J309" s="49"/>
    </row>
    <row r="310" spans="1:10" x14ac:dyDescent="0.2">
      <c r="A310" s="50">
        <f t="shared" si="5"/>
        <v>44505</v>
      </c>
      <c r="B310" s="51">
        <v>6512.65</v>
      </c>
      <c r="C310" s="52">
        <v>3689.86</v>
      </c>
      <c r="D310" s="52">
        <v>4770.88</v>
      </c>
      <c r="E310" s="52">
        <v>4758.2299999999996</v>
      </c>
      <c r="F310" s="52">
        <v>4222.51</v>
      </c>
      <c r="G310" s="52">
        <v>4748.71</v>
      </c>
      <c r="H310" s="52">
        <v>1950.46</v>
      </c>
      <c r="I310" s="53">
        <v>26752.379999999997</v>
      </c>
      <c r="J310" s="49"/>
    </row>
    <row r="311" spans="1:10" x14ac:dyDescent="0.2">
      <c r="A311" s="50">
        <f t="shared" si="5"/>
        <v>44506</v>
      </c>
      <c r="B311" s="51">
        <v>6126.21</v>
      </c>
      <c r="C311" s="52">
        <v>3604.94</v>
      </c>
      <c r="D311" s="52">
        <v>4370.6400000000003</v>
      </c>
      <c r="E311" s="52">
        <v>4038.35</v>
      </c>
      <c r="F311" s="52">
        <v>4179.97</v>
      </c>
      <c r="G311" s="52">
        <v>3912.85</v>
      </c>
      <c r="H311" s="52">
        <v>1571.8600000000001</v>
      </c>
      <c r="I311" s="53">
        <v>24661.1</v>
      </c>
      <c r="J311" s="49"/>
    </row>
    <row r="312" spans="1:10" x14ac:dyDescent="0.2">
      <c r="A312" s="50">
        <f t="shared" si="5"/>
        <v>44507</v>
      </c>
      <c r="B312" s="51">
        <v>6262</v>
      </c>
      <c r="C312" s="52">
        <v>3619</v>
      </c>
      <c r="D312" s="52">
        <v>4370</v>
      </c>
      <c r="E312" s="52">
        <v>4353</v>
      </c>
      <c r="F312" s="52">
        <v>4402</v>
      </c>
      <c r="G312" s="52">
        <v>3708</v>
      </c>
      <c r="H312" s="52">
        <v>1309</v>
      </c>
      <c r="I312" s="53">
        <v>25405</v>
      </c>
      <c r="J312" s="49"/>
    </row>
    <row r="313" spans="1:10" x14ac:dyDescent="0.2">
      <c r="A313" s="50">
        <f t="shared" si="5"/>
        <v>44508</v>
      </c>
      <c r="B313" s="51">
        <v>6275.61</v>
      </c>
      <c r="C313" s="52">
        <v>3705.65</v>
      </c>
      <c r="D313" s="52">
        <v>4639.34</v>
      </c>
      <c r="E313" s="52">
        <v>4000.13</v>
      </c>
      <c r="F313" s="52">
        <v>4375.45</v>
      </c>
      <c r="G313" s="52">
        <v>5287.18</v>
      </c>
      <c r="H313" s="52">
        <v>2610.4899999999998</v>
      </c>
      <c r="I313" s="53">
        <v>25672.870000000003</v>
      </c>
      <c r="J313" s="49"/>
    </row>
    <row r="314" spans="1:10" x14ac:dyDescent="0.2">
      <c r="A314" s="50">
        <f t="shared" si="5"/>
        <v>44509</v>
      </c>
      <c r="B314" s="51">
        <v>6576.23</v>
      </c>
      <c r="C314" s="52">
        <v>3837.31</v>
      </c>
      <c r="D314" s="52">
        <v>4684.97</v>
      </c>
      <c r="E314" s="52">
        <v>4533.5</v>
      </c>
      <c r="F314" s="52">
        <v>4876.37</v>
      </c>
      <c r="G314" s="52">
        <v>5525.06</v>
      </c>
      <c r="H314" s="52">
        <v>2642.2799999999997</v>
      </c>
      <c r="I314" s="53">
        <v>27391.16</v>
      </c>
      <c r="J314" s="49"/>
    </row>
    <row r="315" spans="1:10" x14ac:dyDescent="0.2">
      <c r="A315" s="50">
        <f t="shared" si="5"/>
        <v>44510</v>
      </c>
      <c r="B315" s="51">
        <v>6915.02</v>
      </c>
      <c r="C315" s="52">
        <v>3717.16</v>
      </c>
      <c r="D315" s="52">
        <v>4811.68</v>
      </c>
      <c r="E315" s="52">
        <v>5228.41</v>
      </c>
      <c r="F315" s="52">
        <v>5212.3900000000003</v>
      </c>
      <c r="G315" s="52">
        <v>5258.9</v>
      </c>
      <c r="H315" s="52">
        <v>2616.81</v>
      </c>
      <c r="I315" s="53">
        <v>28526.749999999996</v>
      </c>
      <c r="J315" s="49"/>
    </row>
    <row r="316" spans="1:10" x14ac:dyDescent="0.2">
      <c r="A316" s="50">
        <f t="shared" si="5"/>
        <v>44511</v>
      </c>
      <c r="B316" s="51">
        <v>6783</v>
      </c>
      <c r="C316" s="52">
        <v>3816</v>
      </c>
      <c r="D316" s="52">
        <v>4993</v>
      </c>
      <c r="E316" s="52">
        <v>4774</v>
      </c>
      <c r="F316" s="52">
        <v>4884</v>
      </c>
      <c r="G316" s="52">
        <v>5294</v>
      </c>
      <c r="H316" s="52">
        <v>2659</v>
      </c>
      <c r="I316" s="53">
        <v>27885</v>
      </c>
      <c r="J316" s="49"/>
    </row>
    <row r="317" spans="1:10" x14ac:dyDescent="0.2">
      <c r="A317" s="50">
        <f t="shared" si="5"/>
        <v>44512</v>
      </c>
      <c r="B317" s="51">
        <v>6681.81</v>
      </c>
      <c r="C317" s="52">
        <v>3865.23</v>
      </c>
      <c r="D317" s="52">
        <v>4883.12</v>
      </c>
      <c r="E317" s="52">
        <v>4171.95</v>
      </c>
      <c r="F317" s="52">
        <v>4615.96</v>
      </c>
      <c r="G317" s="52">
        <v>5525.65</v>
      </c>
      <c r="H317" s="52">
        <v>2722.4900000000002</v>
      </c>
      <c r="I317" s="53">
        <v>27021.23</v>
      </c>
      <c r="J317" s="49"/>
    </row>
    <row r="318" spans="1:10" x14ac:dyDescent="0.2">
      <c r="A318" s="50">
        <f t="shared" si="5"/>
        <v>44513</v>
      </c>
      <c r="B318" s="51">
        <v>6532</v>
      </c>
      <c r="C318" s="52">
        <v>3725.29</v>
      </c>
      <c r="D318" s="52">
        <v>4548.79</v>
      </c>
      <c r="E318" s="52">
        <v>4433.78</v>
      </c>
      <c r="F318" s="52">
        <v>4638.84</v>
      </c>
      <c r="G318" s="52">
        <v>4993.91</v>
      </c>
      <c r="H318" s="52">
        <v>1997.26</v>
      </c>
      <c r="I318" s="53">
        <v>26875.350000000002</v>
      </c>
      <c r="J318" s="49"/>
    </row>
    <row r="319" spans="1:10" x14ac:dyDescent="0.2">
      <c r="A319" s="50">
        <f t="shared" si="5"/>
        <v>44514</v>
      </c>
      <c r="B319" s="51">
        <v>6482.28</v>
      </c>
      <c r="C319" s="52">
        <v>3711.41</v>
      </c>
      <c r="D319" s="52">
        <v>4660.08</v>
      </c>
      <c r="E319" s="52">
        <v>4811.1000000000004</v>
      </c>
      <c r="F319" s="52">
        <v>4873.26</v>
      </c>
      <c r="G319" s="52">
        <v>4379.3100000000004</v>
      </c>
      <c r="H319" s="52">
        <v>1988.5600000000004</v>
      </c>
      <c r="I319" s="53">
        <v>26928.879999999997</v>
      </c>
      <c r="J319" s="49"/>
    </row>
    <row r="320" spans="1:10" x14ac:dyDescent="0.2">
      <c r="A320" s="50">
        <f t="shared" si="5"/>
        <v>44515</v>
      </c>
      <c r="B320" s="51">
        <v>6749</v>
      </c>
      <c r="C320" s="52">
        <v>3916</v>
      </c>
      <c r="D320" s="52">
        <v>4885</v>
      </c>
      <c r="E320" s="52">
        <v>4229</v>
      </c>
      <c r="F320" s="52">
        <v>4246</v>
      </c>
      <c r="G320" s="52">
        <v>6524</v>
      </c>
      <c r="H320" s="52">
        <v>3231</v>
      </c>
      <c r="I320" s="53">
        <v>27318</v>
      </c>
      <c r="J320" s="49"/>
    </row>
    <row r="321" spans="1:10" x14ac:dyDescent="0.2">
      <c r="A321" s="50">
        <f t="shared" si="5"/>
        <v>44516</v>
      </c>
      <c r="B321" s="51">
        <v>6926.54</v>
      </c>
      <c r="C321" s="52">
        <v>4136.8500000000004</v>
      </c>
      <c r="D321" s="52">
        <v>5074.66</v>
      </c>
      <c r="E321" s="52">
        <v>4683.84</v>
      </c>
      <c r="F321" s="52">
        <v>3877.8</v>
      </c>
      <c r="G321" s="52">
        <v>7015.99</v>
      </c>
      <c r="H321" s="52">
        <v>3189.5</v>
      </c>
      <c r="I321" s="53">
        <v>28526.18</v>
      </c>
      <c r="J321" s="49"/>
    </row>
    <row r="322" spans="1:10" x14ac:dyDescent="0.2">
      <c r="A322" s="50">
        <f t="shared" si="5"/>
        <v>44517</v>
      </c>
      <c r="B322" s="51">
        <v>7373.07</v>
      </c>
      <c r="C322" s="52">
        <v>4165.1899999999996</v>
      </c>
      <c r="D322" s="52">
        <v>5049.8599999999997</v>
      </c>
      <c r="E322" s="52">
        <v>4621.1000000000004</v>
      </c>
      <c r="F322" s="52">
        <v>4395.8900000000003</v>
      </c>
      <c r="G322" s="52">
        <v>6405.51</v>
      </c>
      <c r="H322" s="52">
        <v>2778.68</v>
      </c>
      <c r="I322" s="53">
        <v>29231.940000000002</v>
      </c>
      <c r="J322" s="49"/>
    </row>
    <row r="323" spans="1:10" x14ac:dyDescent="0.2">
      <c r="A323" s="50">
        <f t="shared" si="5"/>
        <v>44518</v>
      </c>
      <c r="B323" s="51">
        <v>7292.17</v>
      </c>
      <c r="C323" s="52">
        <v>4107.63</v>
      </c>
      <c r="D323" s="52">
        <v>5061.22</v>
      </c>
      <c r="E323" s="52">
        <v>4283.0200000000004</v>
      </c>
      <c r="F323" s="52">
        <v>4593.96</v>
      </c>
      <c r="G323" s="52">
        <v>6173.81</v>
      </c>
      <c r="H323" s="52">
        <v>2822.64</v>
      </c>
      <c r="I323" s="53">
        <v>28689.170000000002</v>
      </c>
      <c r="J323" s="49"/>
    </row>
    <row r="324" spans="1:10" x14ac:dyDescent="0.2">
      <c r="A324" s="50">
        <f t="shared" si="5"/>
        <v>44519</v>
      </c>
      <c r="B324" s="51">
        <v>7060</v>
      </c>
      <c r="C324" s="52">
        <v>3996</v>
      </c>
      <c r="D324" s="52">
        <v>4655</v>
      </c>
      <c r="E324" s="52">
        <v>4792</v>
      </c>
      <c r="F324" s="52">
        <v>4695</v>
      </c>
      <c r="G324" s="52">
        <v>5338</v>
      </c>
      <c r="H324" s="52">
        <v>2308</v>
      </c>
      <c r="I324" s="53">
        <v>28228</v>
      </c>
      <c r="J324" s="49"/>
    </row>
    <row r="325" spans="1:10" x14ac:dyDescent="0.2">
      <c r="A325" s="50">
        <f t="shared" si="5"/>
        <v>44520</v>
      </c>
      <c r="B325" s="51">
        <v>6851.84</v>
      </c>
      <c r="C325" s="52">
        <v>3829.69</v>
      </c>
      <c r="D325" s="52">
        <v>4414.68</v>
      </c>
      <c r="E325" s="52">
        <v>4465.9399999999996</v>
      </c>
      <c r="F325" s="52">
        <v>4417.79</v>
      </c>
      <c r="G325" s="52">
        <v>5295.08</v>
      </c>
      <c r="H325" s="52">
        <v>2098.2599999999998</v>
      </c>
      <c r="I325" s="53">
        <v>27176.760000000006</v>
      </c>
      <c r="J325" s="49"/>
    </row>
    <row r="326" spans="1:10" x14ac:dyDescent="0.2">
      <c r="A326" s="50">
        <f t="shared" si="5"/>
        <v>44521</v>
      </c>
      <c r="B326" s="51">
        <v>6938.01</v>
      </c>
      <c r="C326" s="52">
        <v>3820.62</v>
      </c>
      <c r="D326" s="52">
        <v>4322.59</v>
      </c>
      <c r="E326" s="52">
        <v>4557.22</v>
      </c>
      <c r="F326" s="52">
        <v>4645.2</v>
      </c>
      <c r="G326" s="52">
        <v>5251.46</v>
      </c>
      <c r="H326" s="52">
        <v>1726.77</v>
      </c>
      <c r="I326" s="53">
        <v>27808.33</v>
      </c>
      <c r="J326" s="49"/>
    </row>
    <row r="327" spans="1:10" x14ac:dyDescent="0.2">
      <c r="A327" s="50">
        <f t="shared" si="5"/>
        <v>44522</v>
      </c>
      <c r="B327" s="51">
        <v>7250.2</v>
      </c>
      <c r="C327" s="52">
        <v>4117.93</v>
      </c>
      <c r="D327" s="52">
        <v>4647.1000000000004</v>
      </c>
      <c r="E327" s="52">
        <v>4809.92</v>
      </c>
      <c r="F327" s="52">
        <v>4635.29</v>
      </c>
      <c r="G327" s="52">
        <v>6165.19</v>
      </c>
      <c r="H327" s="52">
        <v>2573.4299999999998</v>
      </c>
      <c r="I327" s="53">
        <v>29052.2</v>
      </c>
      <c r="J327" s="49"/>
    </row>
    <row r="328" spans="1:10" x14ac:dyDescent="0.2">
      <c r="A328" s="50">
        <f t="shared" si="5"/>
        <v>44523</v>
      </c>
      <c r="B328" s="51">
        <v>7261.44</v>
      </c>
      <c r="C328" s="52">
        <v>4214.18</v>
      </c>
      <c r="D328" s="52">
        <v>4812.2700000000004</v>
      </c>
      <c r="E328" s="52">
        <v>5239.26</v>
      </c>
      <c r="F328" s="52">
        <v>4632.93</v>
      </c>
      <c r="G328" s="52">
        <v>6066.21</v>
      </c>
      <c r="H328" s="52">
        <v>2636.2500000000005</v>
      </c>
      <c r="I328" s="53">
        <v>29590.04</v>
      </c>
      <c r="J328" s="49"/>
    </row>
    <row r="329" spans="1:10" x14ac:dyDescent="0.2">
      <c r="A329" s="50">
        <f t="shared" si="5"/>
        <v>44524</v>
      </c>
      <c r="B329" s="51">
        <v>7162.26</v>
      </c>
      <c r="C329" s="52">
        <v>4147.5200000000004</v>
      </c>
      <c r="D329" s="52">
        <v>4792.45</v>
      </c>
      <c r="E329" s="52">
        <v>4580.1400000000003</v>
      </c>
      <c r="F329" s="52">
        <v>4001.28</v>
      </c>
      <c r="G329" s="52">
        <v>6239.35</v>
      </c>
      <c r="H329" s="52">
        <v>2702.5300000000007</v>
      </c>
      <c r="I329" s="53">
        <v>28220.47</v>
      </c>
      <c r="J329" s="49"/>
    </row>
    <row r="330" spans="1:10" x14ac:dyDescent="0.2">
      <c r="A330" s="50">
        <f t="shared" si="5"/>
        <v>44525</v>
      </c>
      <c r="B330" s="51">
        <v>7153.33</v>
      </c>
      <c r="C330" s="52">
        <v>4140.4399999999996</v>
      </c>
      <c r="D330" s="52">
        <v>4749.7700000000004</v>
      </c>
      <c r="E330" s="52">
        <v>4457.8</v>
      </c>
      <c r="F330" s="52">
        <v>4057.77</v>
      </c>
      <c r="G330" s="52">
        <v>6248.31</v>
      </c>
      <c r="H330" s="52">
        <v>2543.8899999999994</v>
      </c>
      <c r="I330" s="53">
        <v>28263.530000000002</v>
      </c>
      <c r="J330" s="49"/>
    </row>
    <row r="331" spans="1:10" x14ac:dyDescent="0.2">
      <c r="A331" s="50">
        <f t="shared" si="5"/>
        <v>44526</v>
      </c>
      <c r="B331" s="51">
        <v>7350.42</v>
      </c>
      <c r="C331" s="52">
        <v>3986.06</v>
      </c>
      <c r="D331" s="52">
        <v>4360.5</v>
      </c>
      <c r="E331" s="52">
        <v>4592.93</v>
      </c>
      <c r="F331" s="52">
        <v>4609.28</v>
      </c>
      <c r="G331" s="52">
        <v>5911.64</v>
      </c>
      <c r="H331" s="52">
        <v>2427.4699999999998</v>
      </c>
      <c r="I331" s="53">
        <v>28383.359999999997</v>
      </c>
      <c r="J331" s="49"/>
    </row>
    <row r="332" spans="1:10" x14ac:dyDescent="0.2">
      <c r="A332" s="50">
        <f t="shared" si="5"/>
        <v>44527</v>
      </c>
      <c r="B332" s="51">
        <v>6971</v>
      </c>
      <c r="C332" s="52">
        <v>3567</v>
      </c>
      <c r="D332" s="52">
        <v>4379</v>
      </c>
      <c r="E332" s="52">
        <v>4833</v>
      </c>
      <c r="F332" s="52">
        <v>4864</v>
      </c>
      <c r="G332" s="52">
        <v>4944</v>
      </c>
      <c r="H332" s="52">
        <v>2131</v>
      </c>
      <c r="I332" s="53">
        <v>27427</v>
      </c>
      <c r="J332" s="49"/>
    </row>
    <row r="333" spans="1:10" x14ac:dyDescent="0.2">
      <c r="A333" s="50">
        <f t="shared" si="5"/>
        <v>44528</v>
      </c>
      <c r="B333" s="51">
        <v>6513.27</v>
      </c>
      <c r="C333" s="52">
        <v>3784.9</v>
      </c>
      <c r="D333" s="52">
        <v>4353.12</v>
      </c>
      <c r="E333" s="52">
        <v>3602.69</v>
      </c>
      <c r="F333" s="52">
        <v>4243.9799999999996</v>
      </c>
      <c r="G333" s="52">
        <v>4740.59</v>
      </c>
      <c r="H333" s="52">
        <v>1779.2700000000002</v>
      </c>
      <c r="I333" s="53">
        <v>25459.279999999999</v>
      </c>
      <c r="J333" s="49"/>
    </row>
    <row r="334" spans="1:10" x14ac:dyDescent="0.2">
      <c r="A334" s="50">
        <f t="shared" si="5"/>
        <v>44529</v>
      </c>
      <c r="B334" s="51">
        <v>7340.11</v>
      </c>
      <c r="C334" s="52">
        <v>4017.32</v>
      </c>
      <c r="D334" s="52">
        <v>4635.79</v>
      </c>
      <c r="E334" s="52">
        <v>4820.28</v>
      </c>
      <c r="F334" s="52">
        <v>4813.32</v>
      </c>
      <c r="G334" s="52">
        <v>5308.2</v>
      </c>
      <c r="H334" s="52">
        <v>2636.7000000000003</v>
      </c>
      <c r="I334" s="53">
        <v>28298.32</v>
      </c>
      <c r="J334" s="49"/>
    </row>
    <row r="335" spans="1:10" x14ac:dyDescent="0.2">
      <c r="A335" s="50">
        <f t="shared" si="5"/>
        <v>44530</v>
      </c>
      <c r="B335" s="51">
        <v>6954.32</v>
      </c>
      <c r="C335" s="52">
        <v>4224.1899999999996</v>
      </c>
      <c r="D335" s="52">
        <v>4678.79</v>
      </c>
      <c r="E335" s="52">
        <v>4924.3900000000003</v>
      </c>
      <c r="F335" s="52">
        <v>5038.26</v>
      </c>
      <c r="G335" s="52">
        <v>5213.55</v>
      </c>
      <c r="H335" s="52">
        <v>2400.31</v>
      </c>
      <c r="I335" s="53">
        <v>28633.189999999995</v>
      </c>
      <c r="J335" s="49"/>
    </row>
    <row r="336" spans="1:10" x14ac:dyDescent="0.2">
      <c r="A336" s="50">
        <f t="shared" si="5"/>
        <v>44531</v>
      </c>
      <c r="B336" s="51">
        <v>7318</v>
      </c>
      <c r="C336" s="52">
        <v>4255</v>
      </c>
      <c r="D336" s="52">
        <v>4736</v>
      </c>
      <c r="E336" s="52">
        <v>4871</v>
      </c>
      <c r="F336" s="52">
        <v>5199</v>
      </c>
      <c r="G336" s="52">
        <v>5702</v>
      </c>
      <c r="H336" s="52">
        <v>2849</v>
      </c>
      <c r="I336" s="53">
        <v>29232</v>
      </c>
      <c r="J336" s="49"/>
    </row>
    <row r="337" spans="1:10" x14ac:dyDescent="0.2">
      <c r="A337" s="50">
        <f t="shared" si="5"/>
        <v>44532</v>
      </c>
      <c r="B337" s="51">
        <v>6835.11</v>
      </c>
      <c r="C337" s="52">
        <v>4045.71</v>
      </c>
      <c r="D337" s="52">
        <v>4659.6099999999997</v>
      </c>
      <c r="E337" s="52">
        <v>4183.92</v>
      </c>
      <c r="F337" s="52">
        <v>4955.41</v>
      </c>
      <c r="G337" s="52">
        <v>5854.04</v>
      </c>
      <c r="H337" s="52">
        <v>2789.71</v>
      </c>
      <c r="I337" s="53">
        <v>27744.09</v>
      </c>
      <c r="J337" s="49"/>
    </row>
    <row r="338" spans="1:10" x14ac:dyDescent="0.2">
      <c r="A338" s="50">
        <f t="shared" si="5"/>
        <v>44533</v>
      </c>
      <c r="B338" s="51">
        <v>6882.27</v>
      </c>
      <c r="C338" s="52">
        <v>3908.63</v>
      </c>
      <c r="D338" s="52">
        <v>4630.6000000000004</v>
      </c>
      <c r="E338" s="52">
        <v>4506.8100000000004</v>
      </c>
      <c r="F338" s="52">
        <v>4702.21</v>
      </c>
      <c r="G338" s="52">
        <v>5846.27</v>
      </c>
      <c r="H338" s="52">
        <v>2486.6099999999997</v>
      </c>
      <c r="I338" s="53">
        <v>27990.18</v>
      </c>
      <c r="J338" s="49"/>
    </row>
    <row r="339" spans="1:10" x14ac:dyDescent="0.2">
      <c r="A339" s="50">
        <f t="shared" si="5"/>
        <v>44534</v>
      </c>
      <c r="B339" s="51">
        <v>6450.17</v>
      </c>
      <c r="C339" s="52">
        <v>3599.94</v>
      </c>
      <c r="D339" s="52">
        <v>4289.68</v>
      </c>
      <c r="E339" s="52">
        <v>4841.8500000000004</v>
      </c>
      <c r="F339" s="52">
        <v>5032.7299999999996</v>
      </c>
      <c r="G339" s="52">
        <v>4008.36</v>
      </c>
      <c r="H339" s="52">
        <v>1617.0000000000002</v>
      </c>
      <c r="I339" s="53">
        <v>26605.73</v>
      </c>
      <c r="J339" s="49"/>
    </row>
    <row r="340" spans="1:10" x14ac:dyDescent="0.2">
      <c r="A340" s="50">
        <f t="shared" si="5"/>
        <v>44535</v>
      </c>
      <c r="B340" s="51">
        <v>6298</v>
      </c>
      <c r="C340" s="52">
        <v>3645</v>
      </c>
      <c r="D340" s="52">
        <v>4272</v>
      </c>
      <c r="E340" s="52">
        <v>4621</v>
      </c>
      <c r="F340" s="52">
        <v>4737</v>
      </c>
      <c r="G340" s="52">
        <v>3840</v>
      </c>
      <c r="H340" s="52">
        <v>1353</v>
      </c>
      <c r="I340" s="53">
        <v>26060</v>
      </c>
      <c r="J340" s="49"/>
    </row>
    <row r="341" spans="1:10" x14ac:dyDescent="0.2">
      <c r="A341" s="50">
        <f t="shared" si="5"/>
        <v>44536</v>
      </c>
      <c r="B341" s="51">
        <v>6728.4</v>
      </c>
      <c r="C341" s="52">
        <v>3893.57</v>
      </c>
      <c r="D341" s="52">
        <v>4642.55</v>
      </c>
      <c r="E341" s="52">
        <v>4444.3900000000003</v>
      </c>
      <c r="F341" s="52">
        <v>4626</v>
      </c>
      <c r="G341" s="52">
        <v>6212.73</v>
      </c>
      <c r="H341" s="52">
        <v>2990.3500000000004</v>
      </c>
      <c r="I341" s="53">
        <v>27557.29</v>
      </c>
      <c r="J341" s="49"/>
    </row>
    <row r="342" spans="1:10" x14ac:dyDescent="0.2">
      <c r="A342" s="50">
        <f t="shared" si="5"/>
        <v>44537</v>
      </c>
      <c r="B342" s="51">
        <v>7222.6</v>
      </c>
      <c r="C342" s="52">
        <v>4097.0600000000004</v>
      </c>
      <c r="D342" s="52">
        <v>5071.09</v>
      </c>
      <c r="E342" s="52">
        <v>4743.45</v>
      </c>
      <c r="F342" s="52">
        <v>4832.22</v>
      </c>
      <c r="G342" s="52">
        <v>7080.87</v>
      </c>
      <c r="H342" s="52">
        <v>3530.9799999999996</v>
      </c>
      <c r="I342" s="53">
        <v>29516.31</v>
      </c>
      <c r="J342" s="49"/>
    </row>
    <row r="343" spans="1:10" x14ac:dyDescent="0.2">
      <c r="A343" s="50">
        <f t="shared" si="5"/>
        <v>44538</v>
      </c>
      <c r="B343" s="51">
        <v>7306.97</v>
      </c>
      <c r="C343" s="52">
        <v>4086.48</v>
      </c>
      <c r="D343" s="52">
        <v>5313.38</v>
      </c>
      <c r="E343" s="52">
        <v>4848.34</v>
      </c>
      <c r="F343" s="52">
        <v>4957.22</v>
      </c>
      <c r="G343" s="52">
        <v>6678.52</v>
      </c>
      <c r="H343" s="52">
        <v>3446.0200000000004</v>
      </c>
      <c r="I343" s="53">
        <v>29744.890000000003</v>
      </c>
      <c r="J343" s="49"/>
    </row>
    <row r="344" spans="1:10" x14ac:dyDescent="0.2">
      <c r="A344" s="50">
        <f t="shared" si="5"/>
        <v>44539</v>
      </c>
      <c r="B344" s="51">
        <v>7266</v>
      </c>
      <c r="C344" s="52">
        <v>4028</v>
      </c>
      <c r="D344" s="52">
        <v>5237</v>
      </c>
      <c r="E344" s="52">
        <v>4993</v>
      </c>
      <c r="F344" s="52">
        <v>5085</v>
      </c>
      <c r="G344" s="52">
        <v>6730</v>
      </c>
      <c r="H344" s="52">
        <v>3457</v>
      </c>
      <c r="I344" s="53">
        <v>29882</v>
      </c>
      <c r="J344" s="49"/>
    </row>
    <row r="345" spans="1:10" x14ac:dyDescent="0.2">
      <c r="A345" s="50">
        <f t="shared" si="5"/>
        <v>44540</v>
      </c>
      <c r="B345" s="51">
        <v>7256.02</v>
      </c>
      <c r="C345" s="52">
        <v>4002.99</v>
      </c>
      <c r="D345" s="52">
        <v>5117.2</v>
      </c>
      <c r="E345" s="52">
        <v>4495.2</v>
      </c>
      <c r="F345" s="52">
        <v>4882.4799999999996</v>
      </c>
      <c r="G345" s="52">
        <v>7198.45</v>
      </c>
      <c r="H345" s="52">
        <v>3356.3400000000006</v>
      </c>
      <c r="I345" s="53">
        <v>29595.999999999996</v>
      </c>
      <c r="J345" s="49"/>
    </row>
    <row r="346" spans="1:10" x14ac:dyDescent="0.2">
      <c r="A346" s="50">
        <f t="shared" si="5"/>
        <v>44541</v>
      </c>
      <c r="B346" s="51">
        <v>7095.4</v>
      </c>
      <c r="C346" s="52">
        <v>3670.04</v>
      </c>
      <c r="D346" s="52">
        <v>4862.5200000000004</v>
      </c>
      <c r="E346" s="52">
        <v>3918.32</v>
      </c>
      <c r="F346" s="52">
        <v>6150.6</v>
      </c>
      <c r="G346" s="52">
        <v>5368.19</v>
      </c>
      <c r="H346" s="52">
        <v>2221.3500000000004</v>
      </c>
      <c r="I346" s="53">
        <v>28843.719999999994</v>
      </c>
      <c r="J346" s="49"/>
    </row>
    <row r="347" spans="1:10" x14ac:dyDescent="0.2">
      <c r="A347" s="50">
        <f t="shared" si="5"/>
        <v>44542</v>
      </c>
      <c r="B347" s="51">
        <v>6792.42</v>
      </c>
      <c r="C347" s="52">
        <v>3914.31</v>
      </c>
      <c r="D347" s="52">
        <v>4989.96</v>
      </c>
      <c r="E347" s="52">
        <v>2256.41</v>
      </c>
      <c r="F347" s="52">
        <v>6240.08</v>
      </c>
      <c r="G347" s="52">
        <v>4666.2</v>
      </c>
      <c r="H347" s="52">
        <v>1737.4500000000003</v>
      </c>
      <c r="I347" s="53">
        <v>27121.93</v>
      </c>
      <c r="J347" s="49"/>
    </row>
    <row r="348" spans="1:10" x14ac:dyDescent="0.2">
      <c r="A348" s="50">
        <f t="shared" si="5"/>
        <v>44543</v>
      </c>
      <c r="B348" s="51">
        <v>7408</v>
      </c>
      <c r="C348" s="52">
        <v>4108</v>
      </c>
      <c r="D348" s="52">
        <v>5260</v>
      </c>
      <c r="E348" s="52">
        <v>4261</v>
      </c>
      <c r="F348" s="52">
        <v>5856</v>
      </c>
      <c r="G348" s="52">
        <v>6022</v>
      </c>
      <c r="H348" s="52">
        <v>2522</v>
      </c>
      <c r="I348" s="53">
        <v>30393</v>
      </c>
      <c r="J348" s="49"/>
    </row>
    <row r="349" spans="1:10" x14ac:dyDescent="0.2">
      <c r="A349" s="50">
        <f t="shared" si="5"/>
        <v>44544</v>
      </c>
      <c r="B349" s="51">
        <v>7013.91</v>
      </c>
      <c r="C349" s="52">
        <v>4062.95</v>
      </c>
      <c r="D349" s="52">
        <v>5017.2700000000004</v>
      </c>
      <c r="E349" s="52">
        <v>4160.42</v>
      </c>
      <c r="F349" s="52">
        <v>4757.4799999999996</v>
      </c>
      <c r="G349" s="52">
        <v>6113.84</v>
      </c>
      <c r="H349" s="52">
        <v>2889.1399999999994</v>
      </c>
      <c r="I349" s="53">
        <v>28236.730000000003</v>
      </c>
      <c r="J349" s="49"/>
    </row>
    <row r="350" spans="1:10" x14ac:dyDescent="0.2">
      <c r="A350" s="50">
        <f t="shared" si="5"/>
        <v>44545</v>
      </c>
      <c r="B350" s="51">
        <v>7265.78</v>
      </c>
      <c r="C350" s="52">
        <v>4064.08</v>
      </c>
      <c r="D350" s="52">
        <v>4984.09</v>
      </c>
      <c r="E350" s="52">
        <v>4311.8999999999996</v>
      </c>
      <c r="F350" s="52">
        <v>4676.55</v>
      </c>
      <c r="G350" s="52">
        <v>6141.46</v>
      </c>
      <c r="H350" s="52">
        <v>2852.8100000000004</v>
      </c>
      <c r="I350" s="53">
        <v>28591.049999999996</v>
      </c>
      <c r="J350" s="49"/>
    </row>
    <row r="351" spans="1:10" x14ac:dyDescent="0.2">
      <c r="A351" s="50">
        <f t="shared" si="5"/>
        <v>44546</v>
      </c>
      <c r="B351" s="51">
        <v>7380.3</v>
      </c>
      <c r="C351" s="52">
        <v>3959.51</v>
      </c>
      <c r="D351" s="52">
        <v>4959.38</v>
      </c>
      <c r="E351" s="52">
        <v>4591.6899999999996</v>
      </c>
      <c r="F351" s="52">
        <v>5213.8599999999997</v>
      </c>
      <c r="G351" s="52">
        <v>5827.83</v>
      </c>
      <c r="H351" s="52">
        <v>2633.31</v>
      </c>
      <c r="I351" s="53">
        <v>29299.26</v>
      </c>
      <c r="J351" s="49"/>
    </row>
    <row r="352" spans="1:10" x14ac:dyDescent="0.2">
      <c r="A352" s="50">
        <f t="shared" ref="A352:A366" si="6">A351+1</f>
        <v>44547</v>
      </c>
      <c r="B352" s="51">
        <v>7313</v>
      </c>
      <c r="C352" s="52">
        <v>3870</v>
      </c>
      <c r="D352" s="52">
        <v>5010</v>
      </c>
      <c r="E352" s="52">
        <v>4602</v>
      </c>
      <c r="F352" s="52">
        <v>5072</v>
      </c>
      <c r="G352" s="52">
        <v>5749</v>
      </c>
      <c r="H352" s="52">
        <v>2602.52</v>
      </c>
      <c r="I352" s="53">
        <v>29013.48</v>
      </c>
      <c r="J352" s="49"/>
    </row>
    <row r="353" spans="1:10" x14ac:dyDescent="0.2">
      <c r="A353" s="50">
        <f t="shared" si="6"/>
        <v>44548</v>
      </c>
      <c r="B353" s="51">
        <v>6770.92</v>
      </c>
      <c r="C353" s="52">
        <v>3803.51</v>
      </c>
      <c r="D353" s="52">
        <v>4731.1400000000003</v>
      </c>
      <c r="E353" s="52">
        <v>4513.2700000000004</v>
      </c>
      <c r="F353" s="52">
        <v>4795.5600000000004</v>
      </c>
      <c r="G353" s="52">
        <v>5380.85</v>
      </c>
      <c r="H353" s="52">
        <v>2356.9799999999996</v>
      </c>
      <c r="I353" s="53">
        <v>27638.27</v>
      </c>
      <c r="J353" s="49"/>
    </row>
    <row r="354" spans="1:10" x14ac:dyDescent="0.2">
      <c r="A354" s="50">
        <f t="shared" si="6"/>
        <v>44549</v>
      </c>
      <c r="B354" s="51">
        <v>6779.63</v>
      </c>
      <c r="C354" s="52">
        <v>3810.97</v>
      </c>
      <c r="D354" s="52">
        <v>4680</v>
      </c>
      <c r="E354" s="52">
        <v>3876.76</v>
      </c>
      <c r="F354" s="52">
        <v>4645.76</v>
      </c>
      <c r="G354" s="52">
        <v>4622.0200000000004</v>
      </c>
      <c r="H354" s="52">
        <v>1907.3</v>
      </c>
      <c r="I354" s="53">
        <v>26507.840000000004</v>
      </c>
      <c r="J354" s="49"/>
    </row>
    <row r="355" spans="1:10" x14ac:dyDescent="0.2">
      <c r="A355" s="50">
        <f t="shared" si="6"/>
        <v>44550</v>
      </c>
      <c r="B355" s="51">
        <v>6893.1</v>
      </c>
      <c r="C355" s="52">
        <v>3966.37</v>
      </c>
      <c r="D355" s="52">
        <v>4799.93</v>
      </c>
      <c r="E355" s="52">
        <v>3968.08</v>
      </c>
      <c r="F355" s="52">
        <v>5264.21</v>
      </c>
      <c r="G355" s="52">
        <v>5659.48</v>
      </c>
      <c r="H355" s="52">
        <v>2437.2599999999998</v>
      </c>
      <c r="I355" s="53">
        <v>28113.910000000003</v>
      </c>
      <c r="J355" s="49"/>
    </row>
    <row r="356" spans="1:10" x14ac:dyDescent="0.2">
      <c r="A356" s="50">
        <f t="shared" si="6"/>
        <v>44551</v>
      </c>
      <c r="B356" s="51">
        <v>7318</v>
      </c>
      <c r="C356" s="52">
        <v>3832</v>
      </c>
      <c r="D356" s="52">
        <v>4852</v>
      </c>
      <c r="E356" s="52">
        <v>4934</v>
      </c>
      <c r="F356" s="52">
        <v>5316</v>
      </c>
      <c r="G356" s="52">
        <v>6107</v>
      </c>
      <c r="H356" s="52">
        <v>2809.8</v>
      </c>
      <c r="I356" s="53">
        <v>29549.200000000001</v>
      </c>
      <c r="J356" s="49"/>
    </row>
    <row r="357" spans="1:10" x14ac:dyDescent="0.2">
      <c r="A357" s="50">
        <f t="shared" si="6"/>
        <v>44552</v>
      </c>
      <c r="B357" s="51">
        <v>6835.35</v>
      </c>
      <c r="C357" s="52">
        <v>4032.97</v>
      </c>
      <c r="D357" s="52">
        <v>4745.92</v>
      </c>
      <c r="E357" s="52">
        <v>4507.2700000000004</v>
      </c>
      <c r="F357" s="52">
        <v>5076.87</v>
      </c>
      <c r="G357" s="52">
        <v>5997.32</v>
      </c>
      <c r="H357" s="52">
        <v>2902.32</v>
      </c>
      <c r="I357" s="53">
        <v>28293.38</v>
      </c>
      <c r="J357" s="49"/>
    </row>
    <row r="358" spans="1:10" x14ac:dyDescent="0.2">
      <c r="A358" s="50">
        <f t="shared" si="6"/>
        <v>44553</v>
      </c>
      <c r="B358" s="51">
        <v>7233.4</v>
      </c>
      <c r="C358" s="52">
        <v>4257.5</v>
      </c>
      <c r="D358" s="52">
        <v>5149.99</v>
      </c>
      <c r="E358" s="52">
        <v>4435.38</v>
      </c>
      <c r="F358" s="52">
        <v>5063.49</v>
      </c>
      <c r="G358" s="52">
        <v>7010.41</v>
      </c>
      <c r="H358" s="52">
        <v>3354.4399999999996</v>
      </c>
      <c r="I358" s="53">
        <v>29795.73</v>
      </c>
      <c r="J358" s="49"/>
    </row>
    <row r="359" spans="1:10" x14ac:dyDescent="0.2">
      <c r="A359" s="50">
        <f t="shared" si="6"/>
        <v>44554</v>
      </c>
      <c r="B359" s="51">
        <v>7480.05</v>
      </c>
      <c r="C359" s="52">
        <v>4304.83</v>
      </c>
      <c r="D359" s="52">
        <v>5440.81</v>
      </c>
      <c r="E359" s="52">
        <v>4763.8500000000004</v>
      </c>
      <c r="F359" s="52">
        <v>5004.72</v>
      </c>
      <c r="G359" s="52">
        <v>6838.94</v>
      </c>
      <c r="H359" s="52">
        <v>3148.98</v>
      </c>
      <c r="I359" s="53">
        <v>30684.220000000005</v>
      </c>
      <c r="J359" s="49"/>
    </row>
    <row r="360" spans="1:10" x14ac:dyDescent="0.2">
      <c r="A360" s="50">
        <f t="shared" si="6"/>
        <v>44555</v>
      </c>
      <c r="B360" s="51">
        <v>7596</v>
      </c>
      <c r="C360" s="52">
        <v>4174</v>
      </c>
      <c r="D360" s="52">
        <v>5684</v>
      </c>
      <c r="E360" s="52">
        <v>4435</v>
      </c>
      <c r="F360" s="52">
        <v>4745</v>
      </c>
      <c r="G360" s="52">
        <v>5805</v>
      </c>
      <c r="H360" s="52">
        <v>2539</v>
      </c>
      <c r="I360" s="53">
        <v>29900</v>
      </c>
      <c r="J360" s="49"/>
    </row>
    <row r="361" spans="1:10" x14ac:dyDescent="0.2">
      <c r="A361" s="50">
        <f t="shared" si="6"/>
        <v>44556</v>
      </c>
      <c r="B361" s="51">
        <v>8162.42</v>
      </c>
      <c r="C361" s="52">
        <v>4061.42</v>
      </c>
      <c r="D361" s="52">
        <v>5399.32</v>
      </c>
      <c r="E361" s="52">
        <v>4428.87</v>
      </c>
      <c r="F361" s="52">
        <v>5052.93</v>
      </c>
      <c r="G361" s="52">
        <v>5497.48</v>
      </c>
      <c r="H361" s="52">
        <v>2192.4699999999998</v>
      </c>
      <c r="I361" s="53">
        <v>30409.969999999998</v>
      </c>
      <c r="J361" s="49"/>
    </row>
    <row r="362" spans="1:10" x14ac:dyDescent="0.2">
      <c r="A362" s="50">
        <f t="shared" si="6"/>
        <v>44557</v>
      </c>
      <c r="B362" s="51">
        <v>7810.81</v>
      </c>
      <c r="C362" s="52">
        <v>4757.34</v>
      </c>
      <c r="D362" s="52">
        <v>4551.66</v>
      </c>
      <c r="E362" s="52">
        <v>4182.42</v>
      </c>
      <c r="F362" s="52">
        <v>4669.1899999999996</v>
      </c>
      <c r="G362" s="52">
        <v>6150.88</v>
      </c>
      <c r="H362" s="52">
        <v>2628.0099999999998</v>
      </c>
      <c r="I362" s="53">
        <v>29494.290000000005</v>
      </c>
      <c r="J362" s="49"/>
    </row>
    <row r="363" spans="1:10" x14ac:dyDescent="0.2">
      <c r="A363" s="50">
        <f t="shared" si="6"/>
        <v>44558</v>
      </c>
      <c r="B363" s="51">
        <v>7760.53</v>
      </c>
      <c r="C363" s="52">
        <v>4939.3500000000004</v>
      </c>
      <c r="D363" s="52">
        <v>4569.43</v>
      </c>
      <c r="E363" s="52">
        <v>4419.7299999999996</v>
      </c>
      <c r="F363" s="52">
        <v>4810.51</v>
      </c>
      <c r="G363" s="52">
        <v>5480.32</v>
      </c>
      <c r="H363" s="52">
        <v>2720.4700000000003</v>
      </c>
      <c r="I363" s="53">
        <v>29259.4</v>
      </c>
      <c r="J363" s="49"/>
    </row>
    <row r="364" spans="1:10" x14ac:dyDescent="0.2">
      <c r="A364" s="50">
        <f t="shared" si="6"/>
        <v>44559</v>
      </c>
      <c r="B364" s="51">
        <v>7282</v>
      </c>
      <c r="C364" s="52">
        <v>4840</v>
      </c>
      <c r="D364" s="52">
        <v>4311</v>
      </c>
      <c r="E364" s="52">
        <v>3948</v>
      </c>
      <c r="F364" s="52">
        <v>4451</v>
      </c>
      <c r="G364" s="52">
        <v>5585</v>
      </c>
      <c r="H364" s="52">
        <v>2468</v>
      </c>
      <c r="I364" s="53">
        <v>27949</v>
      </c>
      <c r="J364" s="49"/>
    </row>
    <row r="365" spans="1:10" x14ac:dyDescent="0.2">
      <c r="A365" s="50">
        <f t="shared" si="6"/>
        <v>44560</v>
      </c>
      <c r="B365" s="51">
        <v>0</v>
      </c>
      <c r="C365" s="52">
        <v>0</v>
      </c>
      <c r="D365" s="52">
        <v>0</v>
      </c>
      <c r="E365" s="52">
        <v>0</v>
      </c>
      <c r="F365" s="52">
        <v>0</v>
      </c>
      <c r="G365" s="52">
        <v>0</v>
      </c>
      <c r="H365" s="52">
        <v>0</v>
      </c>
      <c r="I365" s="53">
        <v>0</v>
      </c>
      <c r="J365" s="49"/>
    </row>
    <row r="366" spans="1:10" x14ac:dyDescent="0.2">
      <c r="A366" s="50">
        <f t="shared" si="6"/>
        <v>44561</v>
      </c>
      <c r="B366" s="51"/>
      <c r="C366" s="52"/>
      <c r="D366" s="52"/>
      <c r="E366" s="52"/>
      <c r="F366" s="52"/>
      <c r="G366" s="52"/>
      <c r="H366" s="52"/>
      <c r="I366" s="53">
        <v>0</v>
      </c>
      <c r="J366" s="49"/>
    </row>
    <row r="367" spans="1:10" x14ac:dyDescent="0.2">
      <c r="A367" s="50"/>
      <c r="B367" s="51"/>
      <c r="C367" s="52"/>
      <c r="D367" s="52"/>
      <c r="E367" s="52"/>
      <c r="F367" s="52"/>
      <c r="G367" s="52"/>
      <c r="H367" s="52"/>
      <c r="I367" s="53"/>
      <c r="J367" s="49"/>
    </row>
    <row r="368" spans="1:10" x14ac:dyDescent="0.2">
      <c r="A368" s="50"/>
      <c r="B368" s="51"/>
      <c r="C368" s="52"/>
      <c r="D368" s="52"/>
      <c r="E368" s="52"/>
      <c r="F368" s="52"/>
      <c r="G368" s="52"/>
      <c r="H368" s="52"/>
      <c r="I368" s="53"/>
      <c r="J368" s="49"/>
    </row>
    <row r="369" spans="1:10" ht="13.5" thickBot="1" x14ac:dyDescent="0.25">
      <c r="A369" s="54"/>
      <c r="B369" s="55"/>
      <c r="C369" s="56"/>
      <c r="D369" s="56"/>
      <c r="E369" s="56"/>
      <c r="F369" s="56"/>
      <c r="G369" s="56"/>
      <c r="H369" s="56"/>
      <c r="I369" s="57"/>
      <c r="J369" s="49"/>
    </row>
    <row r="371" spans="1:10" x14ac:dyDescent="0.2">
      <c r="I371" s="58">
        <f>MAX(I2:I367)</f>
        <v>34697.94</v>
      </c>
    </row>
  </sheetData>
  <conditionalFormatting sqref="A31">
    <cfRule type="expression" dxfId="24" priority="3" stopIfTrue="1">
      <formula>WEEKDAY(A31:A51,2)&gt;5</formula>
    </cfRule>
  </conditionalFormatting>
  <conditionalFormatting sqref="A32:A369">
    <cfRule type="expression" dxfId="23" priority="2" stopIfTrue="1">
      <formula>WEEKDAY(A32:A52,2)&gt;5</formula>
    </cfRule>
  </conditionalFormatting>
  <conditionalFormatting sqref="A2:A30">
    <cfRule type="expression" dxfId="22" priority="1" stopIfTrue="1">
      <formula>WEEKDAY(A2:A22,2)&gt;5</formula>
    </cfRule>
  </conditionalFormatting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371"/>
  <sheetViews>
    <sheetView zoomScaleNormal="100" workbookViewId="0">
      <selection activeCell="T1" sqref="T1:W1048576"/>
    </sheetView>
  </sheetViews>
  <sheetFormatPr defaultRowHeight="12.75" x14ac:dyDescent="0.2"/>
  <cols>
    <col min="1" max="1" width="9.140625" style="44"/>
    <col min="2" max="2" width="10.85546875" style="44" customWidth="1"/>
    <col min="3" max="3" width="10.28515625" style="44" customWidth="1"/>
    <col min="4" max="4" width="9.85546875" style="44" customWidth="1"/>
    <col min="5" max="5" width="10.5703125" style="44" customWidth="1"/>
    <col min="6" max="6" width="10" style="44" customWidth="1"/>
    <col min="7" max="7" width="9.85546875" style="44" customWidth="1"/>
    <col min="8" max="8" width="10.140625" style="44" customWidth="1"/>
    <col min="9" max="9" width="13.85546875" style="44" customWidth="1"/>
    <col min="10" max="10" width="12.5703125" style="44" customWidth="1"/>
    <col min="11" max="253" width="9.140625" style="44"/>
    <col min="254" max="254" width="10.85546875" style="44" customWidth="1"/>
    <col min="255" max="255" width="10.28515625" style="44" customWidth="1"/>
    <col min="256" max="256" width="9.85546875" style="44" customWidth="1"/>
    <col min="257" max="257" width="10.5703125" style="44" customWidth="1"/>
    <col min="258" max="258" width="10" style="44" customWidth="1"/>
    <col min="259" max="259" width="9.85546875" style="44" customWidth="1"/>
    <col min="260" max="260" width="10.140625" style="44" customWidth="1"/>
    <col min="261" max="261" width="13.85546875" style="44" customWidth="1"/>
    <col min="262" max="262" width="12.5703125" style="44" customWidth="1"/>
    <col min="263" max="509" width="9.140625" style="44"/>
    <col min="510" max="510" width="10.85546875" style="44" customWidth="1"/>
    <col min="511" max="511" width="10.28515625" style="44" customWidth="1"/>
    <col min="512" max="512" width="9.85546875" style="44" customWidth="1"/>
    <col min="513" max="513" width="10.5703125" style="44" customWidth="1"/>
    <col min="514" max="514" width="10" style="44" customWidth="1"/>
    <col min="515" max="515" width="9.85546875" style="44" customWidth="1"/>
    <col min="516" max="516" width="10.140625" style="44" customWidth="1"/>
    <col min="517" max="517" width="13.85546875" style="44" customWidth="1"/>
    <col min="518" max="518" width="12.5703125" style="44" customWidth="1"/>
    <col min="519" max="765" width="9.140625" style="44"/>
    <col min="766" max="766" width="10.85546875" style="44" customWidth="1"/>
    <col min="767" max="767" width="10.28515625" style="44" customWidth="1"/>
    <col min="768" max="768" width="9.85546875" style="44" customWidth="1"/>
    <col min="769" max="769" width="10.5703125" style="44" customWidth="1"/>
    <col min="770" max="770" width="10" style="44" customWidth="1"/>
    <col min="771" max="771" width="9.85546875" style="44" customWidth="1"/>
    <col min="772" max="772" width="10.140625" style="44" customWidth="1"/>
    <col min="773" max="773" width="13.85546875" style="44" customWidth="1"/>
    <col min="774" max="774" width="12.5703125" style="44" customWidth="1"/>
    <col min="775" max="1021" width="9.140625" style="44"/>
    <col min="1022" max="1022" width="10.85546875" style="44" customWidth="1"/>
    <col min="1023" max="1023" width="10.28515625" style="44" customWidth="1"/>
    <col min="1024" max="1024" width="9.85546875" style="44" customWidth="1"/>
    <col min="1025" max="1025" width="10.5703125" style="44" customWidth="1"/>
    <col min="1026" max="1026" width="10" style="44" customWidth="1"/>
    <col min="1027" max="1027" width="9.85546875" style="44" customWidth="1"/>
    <col min="1028" max="1028" width="10.140625" style="44" customWidth="1"/>
    <col min="1029" max="1029" width="13.85546875" style="44" customWidth="1"/>
    <col min="1030" max="1030" width="12.5703125" style="44" customWidth="1"/>
    <col min="1031" max="1277" width="9.140625" style="44"/>
    <col min="1278" max="1278" width="10.85546875" style="44" customWidth="1"/>
    <col min="1279" max="1279" width="10.28515625" style="44" customWidth="1"/>
    <col min="1280" max="1280" width="9.85546875" style="44" customWidth="1"/>
    <col min="1281" max="1281" width="10.5703125" style="44" customWidth="1"/>
    <col min="1282" max="1282" width="10" style="44" customWidth="1"/>
    <col min="1283" max="1283" width="9.85546875" style="44" customWidth="1"/>
    <col min="1284" max="1284" width="10.140625" style="44" customWidth="1"/>
    <col min="1285" max="1285" width="13.85546875" style="44" customWidth="1"/>
    <col min="1286" max="1286" width="12.5703125" style="44" customWidth="1"/>
    <col min="1287" max="1533" width="9.140625" style="44"/>
    <col min="1534" max="1534" width="10.85546875" style="44" customWidth="1"/>
    <col min="1535" max="1535" width="10.28515625" style="44" customWidth="1"/>
    <col min="1536" max="1536" width="9.85546875" style="44" customWidth="1"/>
    <col min="1537" max="1537" width="10.5703125" style="44" customWidth="1"/>
    <col min="1538" max="1538" width="10" style="44" customWidth="1"/>
    <col min="1539" max="1539" width="9.85546875" style="44" customWidth="1"/>
    <col min="1540" max="1540" width="10.140625" style="44" customWidth="1"/>
    <col min="1541" max="1541" width="13.85546875" style="44" customWidth="1"/>
    <col min="1542" max="1542" width="12.5703125" style="44" customWidth="1"/>
    <col min="1543" max="1789" width="9.140625" style="44"/>
    <col min="1790" max="1790" width="10.85546875" style="44" customWidth="1"/>
    <col min="1791" max="1791" width="10.28515625" style="44" customWidth="1"/>
    <col min="1792" max="1792" width="9.85546875" style="44" customWidth="1"/>
    <col min="1793" max="1793" width="10.5703125" style="44" customWidth="1"/>
    <col min="1794" max="1794" width="10" style="44" customWidth="1"/>
    <col min="1795" max="1795" width="9.85546875" style="44" customWidth="1"/>
    <col min="1796" max="1796" width="10.140625" style="44" customWidth="1"/>
    <col min="1797" max="1797" width="13.85546875" style="44" customWidth="1"/>
    <col min="1798" max="1798" width="12.5703125" style="44" customWidth="1"/>
    <col min="1799" max="2045" width="9.140625" style="44"/>
    <col min="2046" max="2046" width="10.85546875" style="44" customWidth="1"/>
    <col min="2047" max="2047" width="10.28515625" style="44" customWidth="1"/>
    <col min="2048" max="2048" width="9.85546875" style="44" customWidth="1"/>
    <col min="2049" max="2049" width="10.5703125" style="44" customWidth="1"/>
    <col min="2050" max="2050" width="10" style="44" customWidth="1"/>
    <col min="2051" max="2051" width="9.85546875" style="44" customWidth="1"/>
    <col min="2052" max="2052" width="10.140625" style="44" customWidth="1"/>
    <col min="2053" max="2053" width="13.85546875" style="44" customWidth="1"/>
    <col min="2054" max="2054" width="12.5703125" style="44" customWidth="1"/>
    <col min="2055" max="2301" width="9.140625" style="44"/>
    <col min="2302" max="2302" width="10.85546875" style="44" customWidth="1"/>
    <col min="2303" max="2303" width="10.28515625" style="44" customWidth="1"/>
    <col min="2304" max="2304" width="9.85546875" style="44" customWidth="1"/>
    <col min="2305" max="2305" width="10.5703125" style="44" customWidth="1"/>
    <col min="2306" max="2306" width="10" style="44" customWidth="1"/>
    <col min="2307" max="2307" width="9.85546875" style="44" customWidth="1"/>
    <col min="2308" max="2308" width="10.140625" style="44" customWidth="1"/>
    <col min="2309" max="2309" width="13.85546875" style="44" customWidth="1"/>
    <col min="2310" max="2310" width="12.5703125" style="44" customWidth="1"/>
    <col min="2311" max="2557" width="9.140625" style="44"/>
    <col min="2558" max="2558" width="10.85546875" style="44" customWidth="1"/>
    <col min="2559" max="2559" width="10.28515625" style="44" customWidth="1"/>
    <col min="2560" max="2560" width="9.85546875" style="44" customWidth="1"/>
    <col min="2561" max="2561" width="10.5703125" style="44" customWidth="1"/>
    <col min="2562" max="2562" width="10" style="44" customWidth="1"/>
    <col min="2563" max="2563" width="9.85546875" style="44" customWidth="1"/>
    <col min="2564" max="2564" width="10.140625" style="44" customWidth="1"/>
    <col min="2565" max="2565" width="13.85546875" style="44" customWidth="1"/>
    <col min="2566" max="2566" width="12.5703125" style="44" customWidth="1"/>
    <col min="2567" max="2813" width="9.140625" style="44"/>
    <col min="2814" max="2814" width="10.85546875" style="44" customWidth="1"/>
    <col min="2815" max="2815" width="10.28515625" style="44" customWidth="1"/>
    <col min="2816" max="2816" width="9.85546875" style="44" customWidth="1"/>
    <col min="2817" max="2817" width="10.5703125" style="44" customWidth="1"/>
    <col min="2818" max="2818" width="10" style="44" customWidth="1"/>
    <col min="2819" max="2819" width="9.85546875" style="44" customWidth="1"/>
    <col min="2820" max="2820" width="10.140625" style="44" customWidth="1"/>
    <col min="2821" max="2821" width="13.85546875" style="44" customWidth="1"/>
    <col min="2822" max="2822" width="12.5703125" style="44" customWidth="1"/>
    <col min="2823" max="3069" width="9.140625" style="44"/>
    <col min="3070" max="3070" width="10.85546875" style="44" customWidth="1"/>
    <col min="3071" max="3071" width="10.28515625" style="44" customWidth="1"/>
    <col min="3072" max="3072" width="9.85546875" style="44" customWidth="1"/>
    <col min="3073" max="3073" width="10.5703125" style="44" customWidth="1"/>
    <col min="3074" max="3074" width="10" style="44" customWidth="1"/>
    <col min="3075" max="3075" width="9.85546875" style="44" customWidth="1"/>
    <col min="3076" max="3076" width="10.140625" style="44" customWidth="1"/>
    <col min="3077" max="3077" width="13.85546875" style="44" customWidth="1"/>
    <col min="3078" max="3078" width="12.5703125" style="44" customWidth="1"/>
    <col min="3079" max="3325" width="9.140625" style="44"/>
    <col min="3326" max="3326" width="10.85546875" style="44" customWidth="1"/>
    <col min="3327" max="3327" width="10.28515625" style="44" customWidth="1"/>
    <col min="3328" max="3328" width="9.85546875" style="44" customWidth="1"/>
    <col min="3329" max="3329" width="10.5703125" style="44" customWidth="1"/>
    <col min="3330" max="3330" width="10" style="44" customWidth="1"/>
    <col min="3331" max="3331" width="9.85546875" style="44" customWidth="1"/>
    <col min="3332" max="3332" width="10.140625" style="44" customWidth="1"/>
    <col min="3333" max="3333" width="13.85546875" style="44" customWidth="1"/>
    <col min="3334" max="3334" width="12.5703125" style="44" customWidth="1"/>
    <col min="3335" max="3581" width="9.140625" style="44"/>
    <col min="3582" max="3582" width="10.85546875" style="44" customWidth="1"/>
    <col min="3583" max="3583" width="10.28515625" style="44" customWidth="1"/>
    <col min="3584" max="3584" width="9.85546875" style="44" customWidth="1"/>
    <col min="3585" max="3585" width="10.5703125" style="44" customWidth="1"/>
    <col min="3586" max="3586" width="10" style="44" customWidth="1"/>
    <col min="3587" max="3587" width="9.85546875" style="44" customWidth="1"/>
    <col min="3588" max="3588" width="10.140625" style="44" customWidth="1"/>
    <col min="3589" max="3589" width="13.85546875" style="44" customWidth="1"/>
    <col min="3590" max="3590" width="12.5703125" style="44" customWidth="1"/>
    <col min="3591" max="3837" width="9.140625" style="44"/>
    <col min="3838" max="3838" width="10.85546875" style="44" customWidth="1"/>
    <col min="3839" max="3839" width="10.28515625" style="44" customWidth="1"/>
    <col min="3840" max="3840" width="9.85546875" style="44" customWidth="1"/>
    <col min="3841" max="3841" width="10.5703125" style="44" customWidth="1"/>
    <col min="3842" max="3842" width="10" style="44" customWidth="1"/>
    <col min="3843" max="3843" width="9.85546875" style="44" customWidth="1"/>
    <col min="3844" max="3844" width="10.140625" style="44" customWidth="1"/>
    <col min="3845" max="3845" width="13.85546875" style="44" customWidth="1"/>
    <col min="3846" max="3846" width="12.5703125" style="44" customWidth="1"/>
    <col min="3847" max="4093" width="9.140625" style="44"/>
    <col min="4094" max="4094" width="10.85546875" style="44" customWidth="1"/>
    <col min="4095" max="4095" width="10.28515625" style="44" customWidth="1"/>
    <col min="4096" max="4096" width="9.85546875" style="44" customWidth="1"/>
    <col min="4097" max="4097" width="10.5703125" style="44" customWidth="1"/>
    <col min="4098" max="4098" width="10" style="44" customWidth="1"/>
    <col min="4099" max="4099" width="9.85546875" style="44" customWidth="1"/>
    <col min="4100" max="4100" width="10.140625" style="44" customWidth="1"/>
    <col min="4101" max="4101" width="13.85546875" style="44" customWidth="1"/>
    <col min="4102" max="4102" width="12.5703125" style="44" customWidth="1"/>
    <col min="4103" max="4349" width="9.140625" style="44"/>
    <col min="4350" max="4350" width="10.85546875" style="44" customWidth="1"/>
    <col min="4351" max="4351" width="10.28515625" style="44" customWidth="1"/>
    <col min="4352" max="4352" width="9.85546875" style="44" customWidth="1"/>
    <col min="4353" max="4353" width="10.5703125" style="44" customWidth="1"/>
    <col min="4354" max="4354" width="10" style="44" customWidth="1"/>
    <col min="4355" max="4355" width="9.85546875" style="44" customWidth="1"/>
    <col min="4356" max="4356" width="10.140625" style="44" customWidth="1"/>
    <col min="4357" max="4357" width="13.85546875" style="44" customWidth="1"/>
    <col min="4358" max="4358" width="12.5703125" style="44" customWidth="1"/>
    <col min="4359" max="4605" width="9.140625" style="44"/>
    <col min="4606" max="4606" width="10.85546875" style="44" customWidth="1"/>
    <col min="4607" max="4607" width="10.28515625" style="44" customWidth="1"/>
    <col min="4608" max="4608" width="9.85546875" style="44" customWidth="1"/>
    <col min="4609" max="4609" width="10.5703125" style="44" customWidth="1"/>
    <col min="4610" max="4610" width="10" style="44" customWidth="1"/>
    <col min="4611" max="4611" width="9.85546875" style="44" customWidth="1"/>
    <col min="4612" max="4612" width="10.140625" style="44" customWidth="1"/>
    <col min="4613" max="4613" width="13.85546875" style="44" customWidth="1"/>
    <col min="4614" max="4614" width="12.5703125" style="44" customWidth="1"/>
    <col min="4615" max="4861" width="9.140625" style="44"/>
    <col min="4862" max="4862" width="10.85546875" style="44" customWidth="1"/>
    <col min="4863" max="4863" width="10.28515625" style="44" customWidth="1"/>
    <col min="4864" max="4864" width="9.85546875" style="44" customWidth="1"/>
    <col min="4865" max="4865" width="10.5703125" style="44" customWidth="1"/>
    <col min="4866" max="4866" width="10" style="44" customWidth="1"/>
    <col min="4867" max="4867" width="9.85546875" style="44" customWidth="1"/>
    <col min="4868" max="4868" width="10.140625" style="44" customWidth="1"/>
    <col min="4869" max="4869" width="13.85546875" style="44" customWidth="1"/>
    <col min="4870" max="4870" width="12.5703125" style="44" customWidth="1"/>
    <col min="4871" max="5117" width="9.140625" style="44"/>
    <col min="5118" max="5118" width="10.85546875" style="44" customWidth="1"/>
    <col min="5119" max="5119" width="10.28515625" style="44" customWidth="1"/>
    <col min="5120" max="5120" width="9.85546875" style="44" customWidth="1"/>
    <col min="5121" max="5121" width="10.5703125" style="44" customWidth="1"/>
    <col min="5122" max="5122" width="10" style="44" customWidth="1"/>
    <col min="5123" max="5123" width="9.85546875" style="44" customWidth="1"/>
    <col min="5124" max="5124" width="10.140625" style="44" customWidth="1"/>
    <col min="5125" max="5125" width="13.85546875" style="44" customWidth="1"/>
    <col min="5126" max="5126" width="12.5703125" style="44" customWidth="1"/>
    <col min="5127" max="5373" width="9.140625" style="44"/>
    <col min="5374" max="5374" width="10.85546875" style="44" customWidth="1"/>
    <col min="5375" max="5375" width="10.28515625" style="44" customWidth="1"/>
    <col min="5376" max="5376" width="9.85546875" style="44" customWidth="1"/>
    <col min="5377" max="5377" width="10.5703125" style="44" customWidth="1"/>
    <col min="5378" max="5378" width="10" style="44" customWidth="1"/>
    <col min="5379" max="5379" width="9.85546875" style="44" customWidth="1"/>
    <col min="5380" max="5380" width="10.140625" style="44" customWidth="1"/>
    <col min="5381" max="5381" width="13.85546875" style="44" customWidth="1"/>
    <col min="5382" max="5382" width="12.5703125" style="44" customWidth="1"/>
    <col min="5383" max="5629" width="9.140625" style="44"/>
    <col min="5630" max="5630" width="10.85546875" style="44" customWidth="1"/>
    <col min="5631" max="5631" width="10.28515625" style="44" customWidth="1"/>
    <col min="5632" max="5632" width="9.85546875" style="44" customWidth="1"/>
    <col min="5633" max="5633" width="10.5703125" style="44" customWidth="1"/>
    <col min="5634" max="5634" width="10" style="44" customWidth="1"/>
    <col min="5635" max="5635" width="9.85546875" style="44" customWidth="1"/>
    <col min="5636" max="5636" width="10.140625" style="44" customWidth="1"/>
    <col min="5637" max="5637" width="13.85546875" style="44" customWidth="1"/>
    <col min="5638" max="5638" width="12.5703125" style="44" customWidth="1"/>
    <col min="5639" max="5885" width="9.140625" style="44"/>
    <col min="5886" max="5886" width="10.85546875" style="44" customWidth="1"/>
    <col min="5887" max="5887" width="10.28515625" style="44" customWidth="1"/>
    <col min="5888" max="5888" width="9.85546875" style="44" customWidth="1"/>
    <col min="5889" max="5889" width="10.5703125" style="44" customWidth="1"/>
    <col min="5890" max="5890" width="10" style="44" customWidth="1"/>
    <col min="5891" max="5891" width="9.85546875" style="44" customWidth="1"/>
    <col min="5892" max="5892" width="10.140625" style="44" customWidth="1"/>
    <col min="5893" max="5893" width="13.85546875" style="44" customWidth="1"/>
    <col min="5894" max="5894" width="12.5703125" style="44" customWidth="1"/>
    <col min="5895" max="6141" width="9.140625" style="44"/>
    <col min="6142" max="6142" width="10.85546875" style="44" customWidth="1"/>
    <col min="6143" max="6143" width="10.28515625" style="44" customWidth="1"/>
    <col min="6144" max="6144" width="9.85546875" style="44" customWidth="1"/>
    <col min="6145" max="6145" width="10.5703125" style="44" customWidth="1"/>
    <col min="6146" max="6146" width="10" style="44" customWidth="1"/>
    <col min="6147" max="6147" width="9.85546875" style="44" customWidth="1"/>
    <col min="6148" max="6148" width="10.140625" style="44" customWidth="1"/>
    <col min="6149" max="6149" width="13.85546875" style="44" customWidth="1"/>
    <col min="6150" max="6150" width="12.5703125" style="44" customWidth="1"/>
    <col min="6151" max="6397" width="9.140625" style="44"/>
    <col min="6398" max="6398" width="10.85546875" style="44" customWidth="1"/>
    <col min="6399" max="6399" width="10.28515625" style="44" customWidth="1"/>
    <col min="6400" max="6400" width="9.85546875" style="44" customWidth="1"/>
    <col min="6401" max="6401" width="10.5703125" style="44" customWidth="1"/>
    <col min="6402" max="6402" width="10" style="44" customWidth="1"/>
    <col min="6403" max="6403" width="9.85546875" style="44" customWidth="1"/>
    <col min="6404" max="6404" width="10.140625" style="44" customWidth="1"/>
    <col min="6405" max="6405" width="13.85546875" style="44" customWidth="1"/>
    <col min="6406" max="6406" width="12.5703125" style="44" customWidth="1"/>
    <col min="6407" max="6653" width="9.140625" style="44"/>
    <col min="6654" max="6654" width="10.85546875" style="44" customWidth="1"/>
    <col min="6655" max="6655" width="10.28515625" style="44" customWidth="1"/>
    <col min="6656" max="6656" width="9.85546875" style="44" customWidth="1"/>
    <col min="6657" max="6657" width="10.5703125" style="44" customWidth="1"/>
    <col min="6658" max="6658" width="10" style="44" customWidth="1"/>
    <col min="6659" max="6659" width="9.85546875" style="44" customWidth="1"/>
    <col min="6660" max="6660" width="10.140625" style="44" customWidth="1"/>
    <col min="6661" max="6661" width="13.85546875" style="44" customWidth="1"/>
    <col min="6662" max="6662" width="12.5703125" style="44" customWidth="1"/>
    <col min="6663" max="6909" width="9.140625" style="44"/>
    <col min="6910" max="6910" width="10.85546875" style="44" customWidth="1"/>
    <col min="6911" max="6911" width="10.28515625" style="44" customWidth="1"/>
    <col min="6912" max="6912" width="9.85546875" style="44" customWidth="1"/>
    <col min="6913" max="6913" width="10.5703125" style="44" customWidth="1"/>
    <col min="6914" max="6914" width="10" style="44" customWidth="1"/>
    <col min="6915" max="6915" width="9.85546875" style="44" customWidth="1"/>
    <col min="6916" max="6916" width="10.140625" style="44" customWidth="1"/>
    <col min="6917" max="6917" width="13.85546875" style="44" customWidth="1"/>
    <col min="6918" max="6918" width="12.5703125" style="44" customWidth="1"/>
    <col min="6919" max="7165" width="9.140625" style="44"/>
    <col min="7166" max="7166" width="10.85546875" style="44" customWidth="1"/>
    <col min="7167" max="7167" width="10.28515625" style="44" customWidth="1"/>
    <col min="7168" max="7168" width="9.85546875" style="44" customWidth="1"/>
    <col min="7169" max="7169" width="10.5703125" style="44" customWidth="1"/>
    <col min="7170" max="7170" width="10" style="44" customWidth="1"/>
    <col min="7171" max="7171" width="9.85546875" style="44" customWidth="1"/>
    <col min="7172" max="7172" width="10.140625" style="44" customWidth="1"/>
    <col min="7173" max="7173" width="13.85546875" style="44" customWidth="1"/>
    <col min="7174" max="7174" width="12.5703125" style="44" customWidth="1"/>
    <col min="7175" max="7421" width="9.140625" style="44"/>
    <col min="7422" max="7422" width="10.85546875" style="44" customWidth="1"/>
    <col min="7423" max="7423" width="10.28515625" style="44" customWidth="1"/>
    <col min="7424" max="7424" width="9.85546875" style="44" customWidth="1"/>
    <col min="7425" max="7425" width="10.5703125" style="44" customWidth="1"/>
    <col min="7426" max="7426" width="10" style="44" customWidth="1"/>
    <col min="7427" max="7427" width="9.85546875" style="44" customWidth="1"/>
    <col min="7428" max="7428" width="10.140625" style="44" customWidth="1"/>
    <col min="7429" max="7429" width="13.85546875" style="44" customWidth="1"/>
    <col min="7430" max="7430" width="12.5703125" style="44" customWidth="1"/>
    <col min="7431" max="7677" width="9.140625" style="44"/>
    <col min="7678" max="7678" width="10.85546875" style="44" customWidth="1"/>
    <col min="7679" max="7679" width="10.28515625" style="44" customWidth="1"/>
    <col min="7680" max="7680" width="9.85546875" style="44" customWidth="1"/>
    <col min="7681" max="7681" width="10.5703125" style="44" customWidth="1"/>
    <col min="7682" max="7682" width="10" style="44" customWidth="1"/>
    <col min="7683" max="7683" width="9.85546875" style="44" customWidth="1"/>
    <col min="7684" max="7684" width="10.140625" style="44" customWidth="1"/>
    <col min="7685" max="7685" width="13.85546875" style="44" customWidth="1"/>
    <col min="7686" max="7686" width="12.5703125" style="44" customWidth="1"/>
    <col min="7687" max="7933" width="9.140625" style="44"/>
    <col min="7934" max="7934" width="10.85546875" style="44" customWidth="1"/>
    <col min="7935" max="7935" width="10.28515625" style="44" customWidth="1"/>
    <col min="7936" max="7936" width="9.85546875" style="44" customWidth="1"/>
    <col min="7937" max="7937" width="10.5703125" style="44" customWidth="1"/>
    <col min="7938" max="7938" width="10" style="44" customWidth="1"/>
    <col min="7939" max="7939" width="9.85546875" style="44" customWidth="1"/>
    <col min="7940" max="7940" width="10.140625" style="44" customWidth="1"/>
    <col min="7941" max="7941" width="13.85546875" style="44" customWidth="1"/>
    <col min="7942" max="7942" width="12.5703125" style="44" customWidth="1"/>
    <col min="7943" max="8189" width="9.140625" style="44"/>
    <col min="8190" max="8190" width="10.85546875" style="44" customWidth="1"/>
    <col min="8191" max="8191" width="10.28515625" style="44" customWidth="1"/>
    <col min="8192" max="8192" width="9.85546875" style="44" customWidth="1"/>
    <col min="8193" max="8193" width="10.5703125" style="44" customWidth="1"/>
    <col min="8194" max="8194" width="10" style="44" customWidth="1"/>
    <col min="8195" max="8195" width="9.85546875" style="44" customWidth="1"/>
    <col min="8196" max="8196" width="10.140625" style="44" customWidth="1"/>
    <col min="8197" max="8197" width="13.85546875" style="44" customWidth="1"/>
    <col min="8198" max="8198" width="12.5703125" style="44" customWidth="1"/>
    <col min="8199" max="8445" width="9.140625" style="44"/>
    <col min="8446" max="8446" width="10.85546875" style="44" customWidth="1"/>
    <col min="8447" max="8447" width="10.28515625" style="44" customWidth="1"/>
    <col min="8448" max="8448" width="9.85546875" style="44" customWidth="1"/>
    <col min="8449" max="8449" width="10.5703125" style="44" customWidth="1"/>
    <col min="8450" max="8450" width="10" style="44" customWidth="1"/>
    <col min="8451" max="8451" width="9.85546875" style="44" customWidth="1"/>
    <col min="8452" max="8452" width="10.140625" style="44" customWidth="1"/>
    <col min="8453" max="8453" width="13.85546875" style="44" customWidth="1"/>
    <col min="8454" max="8454" width="12.5703125" style="44" customWidth="1"/>
    <col min="8455" max="8701" width="9.140625" style="44"/>
    <col min="8702" max="8702" width="10.85546875" style="44" customWidth="1"/>
    <col min="8703" max="8703" width="10.28515625" style="44" customWidth="1"/>
    <col min="8704" max="8704" width="9.85546875" style="44" customWidth="1"/>
    <col min="8705" max="8705" width="10.5703125" style="44" customWidth="1"/>
    <col min="8706" max="8706" width="10" style="44" customWidth="1"/>
    <col min="8707" max="8707" width="9.85546875" style="44" customWidth="1"/>
    <col min="8708" max="8708" width="10.140625" style="44" customWidth="1"/>
    <col min="8709" max="8709" width="13.85546875" style="44" customWidth="1"/>
    <col min="8710" max="8710" width="12.5703125" style="44" customWidth="1"/>
    <col min="8711" max="8957" width="9.140625" style="44"/>
    <col min="8958" max="8958" width="10.85546875" style="44" customWidth="1"/>
    <col min="8959" max="8959" width="10.28515625" style="44" customWidth="1"/>
    <col min="8960" max="8960" width="9.85546875" style="44" customWidth="1"/>
    <col min="8961" max="8961" width="10.5703125" style="44" customWidth="1"/>
    <col min="8962" max="8962" width="10" style="44" customWidth="1"/>
    <col min="8963" max="8963" width="9.85546875" style="44" customWidth="1"/>
    <col min="8964" max="8964" width="10.140625" style="44" customWidth="1"/>
    <col min="8965" max="8965" width="13.85546875" style="44" customWidth="1"/>
    <col min="8966" max="8966" width="12.5703125" style="44" customWidth="1"/>
    <col min="8967" max="9213" width="9.140625" style="44"/>
    <col min="9214" max="9214" width="10.85546875" style="44" customWidth="1"/>
    <col min="9215" max="9215" width="10.28515625" style="44" customWidth="1"/>
    <col min="9216" max="9216" width="9.85546875" style="44" customWidth="1"/>
    <col min="9217" max="9217" width="10.5703125" style="44" customWidth="1"/>
    <col min="9218" max="9218" width="10" style="44" customWidth="1"/>
    <col min="9219" max="9219" width="9.85546875" style="44" customWidth="1"/>
    <col min="9220" max="9220" width="10.140625" style="44" customWidth="1"/>
    <col min="9221" max="9221" width="13.85546875" style="44" customWidth="1"/>
    <col min="9222" max="9222" width="12.5703125" style="44" customWidth="1"/>
    <col min="9223" max="9469" width="9.140625" style="44"/>
    <col min="9470" max="9470" width="10.85546875" style="44" customWidth="1"/>
    <col min="9471" max="9471" width="10.28515625" style="44" customWidth="1"/>
    <col min="9472" max="9472" width="9.85546875" style="44" customWidth="1"/>
    <col min="9473" max="9473" width="10.5703125" style="44" customWidth="1"/>
    <col min="9474" max="9474" width="10" style="44" customWidth="1"/>
    <col min="9475" max="9475" width="9.85546875" style="44" customWidth="1"/>
    <col min="9476" max="9476" width="10.140625" style="44" customWidth="1"/>
    <col min="9477" max="9477" width="13.85546875" style="44" customWidth="1"/>
    <col min="9478" max="9478" width="12.5703125" style="44" customWidth="1"/>
    <col min="9479" max="9725" width="9.140625" style="44"/>
    <col min="9726" max="9726" width="10.85546875" style="44" customWidth="1"/>
    <col min="9727" max="9727" width="10.28515625" style="44" customWidth="1"/>
    <col min="9728" max="9728" width="9.85546875" style="44" customWidth="1"/>
    <col min="9729" max="9729" width="10.5703125" style="44" customWidth="1"/>
    <col min="9730" max="9730" width="10" style="44" customWidth="1"/>
    <col min="9731" max="9731" width="9.85546875" style="44" customWidth="1"/>
    <col min="9732" max="9732" width="10.140625" style="44" customWidth="1"/>
    <col min="9733" max="9733" width="13.85546875" style="44" customWidth="1"/>
    <col min="9734" max="9734" width="12.5703125" style="44" customWidth="1"/>
    <col min="9735" max="9981" width="9.140625" style="44"/>
    <col min="9982" max="9982" width="10.85546875" style="44" customWidth="1"/>
    <col min="9983" max="9983" width="10.28515625" style="44" customWidth="1"/>
    <col min="9984" max="9984" width="9.85546875" style="44" customWidth="1"/>
    <col min="9985" max="9985" width="10.5703125" style="44" customWidth="1"/>
    <col min="9986" max="9986" width="10" style="44" customWidth="1"/>
    <col min="9987" max="9987" width="9.85546875" style="44" customWidth="1"/>
    <col min="9988" max="9988" width="10.140625" style="44" customWidth="1"/>
    <col min="9989" max="9989" width="13.85546875" style="44" customWidth="1"/>
    <col min="9990" max="9990" width="12.5703125" style="44" customWidth="1"/>
    <col min="9991" max="10237" width="9.140625" style="44"/>
    <col min="10238" max="10238" width="10.85546875" style="44" customWidth="1"/>
    <col min="10239" max="10239" width="10.28515625" style="44" customWidth="1"/>
    <col min="10240" max="10240" width="9.85546875" style="44" customWidth="1"/>
    <col min="10241" max="10241" width="10.5703125" style="44" customWidth="1"/>
    <col min="10242" max="10242" width="10" style="44" customWidth="1"/>
    <col min="10243" max="10243" width="9.85546875" style="44" customWidth="1"/>
    <col min="10244" max="10244" width="10.140625" style="44" customWidth="1"/>
    <col min="10245" max="10245" width="13.85546875" style="44" customWidth="1"/>
    <col min="10246" max="10246" width="12.5703125" style="44" customWidth="1"/>
    <col min="10247" max="10493" width="9.140625" style="44"/>
    <col min="10494" max="10494" width="10.85546875" style="44" customWidth="1"/>
    <col min="10495" max="10495" width="10.28515625" style="44" customWidth="1"/>
    <col min="10496" max="10496" width="9.85546875" style="44" customWidth="1"/>
    <col min="10497" max="10497" width="10.5703125" style="44" customWidth="1"/>
    <col min="10498" max="10498" width="10" style="44" customWidth="1"/>
    <col min="10499" max="10499" width="9.85546875" style="44" customWidth="1"/>
    <col min="10500" max="10500" width="10.140625" style="44" customWidth="1"/>
    <col min="10501" max="10501" width="13.85546875" style="44" customWidth="1"/>
    <col min="10502" max="10502" width="12.5703125" style="44" customWidth="1"/>
    <col min="10503" max="10749" width="9.140625" style="44"/>
    <col min="10750" max="10750" width="10.85546875" style="44" customWidth="1"/>
    <col min="10751" max="10751" width="10.28515625" style="44" customWidth="1"/>
    <col min="10752" max="10752" width="9.85546875" style="44" customWidth="1"/>
    <col min="10753" max="10753" width="10.5703125" style="44" customWidth="1"/>
    <col min="10754" max="10754" width="10" style="44" customWidth="1"/>
    <col min="10755" max="10755" width="9.85546875" style="44" customWidth="1"/>
    <col min="10756" max="10756" width="10.140625" style="44" customWidth="1"/>
    <col min="10757" max="10757" width="13.85546875" style="44" customWidth="1"/>
    <col min="10758" max="10758" width="12.5703125" style="44" customWidth="1"/>
    <col min="10759" max="11005" width="9.140625" style="44"/>
    <col min="11006" max="11006" width="10.85546875" style="44" customWidth="1"/>
    <col min="11007" max="11007" width="10.28515625" style="44" customWidth="1"/>
    <col min="11008" max="11008" width="9.85546875" style="44" customWidth="1"/>
    <col min="11009" max="11009" width="10.5703125" style="44" customWidth="1"/>
    <col min="11010" max="11010" width="10" style="44" customWidth="1"/>
    <col min="11011" max="11011" width="9.85546875" style="44" customWidth="1"/>
    <col min="11012" max="11012" width="10.140625" style="44" customWidth="1"/>
    <col min="11013" max="11013" width="13.85546875" style="44" customWidth="1"/>
    <col min="11014" max="11014" width="12.5703125" style="44" customWidth="1"/>
    <col min="11015" max="11261" width="9.140625" style="44"/>
    <col min="11262" max="11262" width="10.85546875" style="44" customWidth="1"/>
    <col min="11263" max="11263" width="10.28515625" style="44" customWidth="1"/>
    <col min="11264" max="11264" width="9.85546875" style="44" customWidth="1"/>
    <col min="11265" max="11265" width="10.5703125" style="44" customWidth="1"/>
    <col min="11266" max="11266" width="10" style="44" customWidth="1"/>
    <col min="11267" max="11267" width="9.85546875" style="44" customWidth="1"/>
    <col min="11268" max="11268" width="10.140625" style="44" customWidth="1"/>
    <col min="11269" max="11269" width="13.85546875" style="44" customWidth="1"/>
    <col min="11270" max="11270" width="12.5703125" style="44" customWidth="1"/>
    <col min="11271" max="11517" width="9.140625" style="44"/>
    <col min="11518" max="11518" width="10.85546875" style="44" customWidth="1"/>
    <col min="11519" max="11519" width="10.28515625" style="44" customWidth="1"/>
    <col min="11520" max="11520" width="9.85546875" style="44" customWidth="1"/>
    <col min="11521" max="11521" width="10.5703125" style="44" customWidth="1"/>
    <col min="11522" max="11522" width="10" style="44" customWidth="1"/>
    <col min="11523" max="11523" width="9.85546875" style="44" customWidth="1"/>
    <col min="11524" max="11524" width="10.140625" style="44" customWidth="1"/>
    <col min="11525" max="11525" width="13.85546875" style="44" customWidth="1"/>
    <col min="11526" max="11526" width="12.5703125" style="44" customWidth="1"/>
    <col min="11527" max="11773" width="9.140625" style="44"/>
    <col min="11774" max="11774" width="10.85546875" style="44" customWidth="1"/>
    <col min="11775" max="11775" width="10.28515625" style="44" customWidth="1"/>
    <col min="11776" max="11776" width="9.85546875" style="44" customWidth="1"/>
    <col min="11777" max="11777" width="10.5703125" style="44" customWidth="1"/>
    <col min="11778" max="11778" width="10" style="44" customWidth="1"/>
    <col min="11779" max="11779" width="9.85546875" style="44" customWidth="1"/>
    <col min="11780" max="11780" width="10.140625" style="44" customWidth="1"/>
    <col min="11781" max="11781" width="13.85546875" style="44" customWidth="1"/>
    <col min="11782" max="11782" width="12.5703125" style="44" customWidth="1"/>
    <col min="11783" max="12029" width="9.140625" style="44"/>
    <col min="12030" max="12030" width="10.85546875" style="44" customWidth="1"/>
    <col min="12031" max="12031" width="10.28515625" style="44" customWidth="1"/>
    <col min="12032" max="12032" width="9.85546875" style="44" customWidth="1"/>
    <col min="12033" max="12033" width="10.5703125" style="44" customWidth="1"/>
    <col min="12034" max="12034" width="10" style="44" customWidth="1"/>
    <col min="12035" max="12035" width="9.85546875" style="44" customWidth="1"/>
    <col min="12036" max="12036" width="10.140625" style="44" customWidth="1"/>
    <col min="12037" max="12037" width="13.85546875" style="44" customWidth="1"/>
    <col min="12038" max="12038" width="12.5703125" style="44" customWidth="1"/>
    <col min="12039" max="12285" width="9.140625" style="44"/>
    <col min="12286" max="12286" width="10.85546875" style="44" customWidth="1"/>
    <col min="12287" max="12287" width="10.28515625" style="44" customWidth="1"/>
    <col min="12288" max="12288" width="9.85546875" style="44" customWidth="1"/>
    <col min="12289" max="12289" width="10.5703125" style="44" customWidth="1"/>
    <col min="12290" max="12290" width="10" style="44" customWidth="1"/>
    <col min="12291" max="12291" width="9.85546875" style="44" customWidth="1"/>
    <col min="12292" max="12292" width="10.140625" style="44" customWidth="1"/>
    <col min="12293" max="12293" width="13.85546875" style="44" customWidth="1"/>
    <col min="12294" max="12294" width="12.5703125" style="44" customWidth="1"/>
    <col min="12295" max="12541" width="9.140625" style="44"/>
    <col min="12542" max="12542" width="10.85546875" style="44" customWidth="1"/>
    <col min="12543" max="12543" width="10.28515625" style="44" customWidth="1"/>
    <col min="12544" max="12544" width="9.85546875" style="44" customWidth="1"/>
    <col min="12545" max="12545" width="10.5703125" style="44" customWidth="1"/>
    <col min="12546" max="12546" width="10" style="44" customWidth="1"/>
    <col min="12547" max="12547" width="9.85546875" style="44" customWidth="1"/>
    <col min="12548" max="12548" width="10.140625" style="44" customWidth="1"/>
    <col min="12549" max="12549" width="13.85546875" style="44" customWidth="1"/>
    <col min="12550" max="12550" width="12.5703125" style="44" customWidth="1"/>
    <col min="12551" max="12797" width="9.140625" style="44"/>
    <col min="12798" max="12798" width="10.85546875" style="44" customWidth="1"/>
    <col min="12799" max="12799" width="10.28515625" style="44" customWidth="1"/>
    <col min="12800" max="12800" width="9.85546875" style="44" customWidth="1"/>
    <col min="12801" max="12801" width="10.5703125" style="44" customWidth="1"/>
    <col min="12802" max="12802" width="10" style="44" customWidth="1"/>
    <col min="12803" max="12803" width="9.85546875" style="44" customWidth="1"/>
    <col min="12804" max="12804" width="10.140625" style="44" customWidth="1"/>
    <col min="12805" max="12805" width="13.85546875" style="44" customWidth="1"/>
    <col min="12806" max="12806" width="12.5703125" style="44" customWidth="1"/>
    <col min="12807" max="13053" width="9.140625" style="44"/>
    <col min="13054" max="13054" width="10.85546875" style="44" customWidth="1"/>
    <col min="13055" max="13055" width="10.28515625" style="44" customWidth="1"/>
    <col min="13056" max="13056" width="9.85546875" style="44" customWidth="1"/>
    <col min="13057" max="13057" width="10.5703125" style="44" customWidth="1"/>
    <col min="13058" max="13058" width="10" style="44" customWidth="1"/>
    <col min="13059" max="13059" width="9.85546875" style="44" customWidth="1"/>
    <col min="13060" max="13060" width="10.140625" style="44" customWidth="1"/>
    <col min="13061" max="13061" width="13.85546875" style="44" customWidth="1"/>
    <col min="13062" max="13062" width="12.5703125" style="44" customWidth="1"/>
    <col min="13063" max="13309" width="9.140625" style="44"/>
    <col min="13310" max="13310" width="10.85546875" style="44" customWidth="1"/>
    <col min="13311" max="13311" width="10.28515625" style="44" customWidth="1"/>
    <col min="13312" max="13312" width="9.85546875" style="44" customWidth="1"/>
    <col min="13313" max="13313" width="10.5703125" style="44" customWidth="1"/>
    <col min="13314" max="13314" width="10" style="44" customWidth="1"/>
    <col min="13315" max="13315" width="9.85546875" style="44" customWidth="1"/>
    <col min="13316" max="13316" width="10.140625" style="44" customWidth="1"/>
    <col min="13317" max="13317" width="13.85546875" style="44" customWidth="1"/>
    <col min="13318" max="13318" width="12.5703125" style="44" customWidth="1"/>
    <col min="13319" max="13565" width="9.140625" style="44"/>
    <col min="13566" max="13566" width="10.85546875" style="44" customWidth="1"/>
    <col min="13567" max="13567" width="10.28515625" style="44" customWidth="1"/>
    <col min="13568" max="13568" width="9.85546875" style="44" customWidth="1"/>
    <col min="13569" max="13569" width="10.5703125" style="44" customWidth="1"/>
    <col min="13570" max="13570" width="10" style="44" customWidth="1"/>
    <col min="13571" max="13571" width="9.85546875" style="44" customWidth="1"/>
    <col min="13572" max="13572" width="10.140625" style="44" customWidth="1"/>
    <col min="13573" max="13573" width="13.85546875" style="44" customWidth="1"/>
    <col min="13574" max="13574" width="12.5703125" style="44" customWidth="1"/>
    <col min="13575" max="13821" width="9.140625" style="44"/>
    <col min="13822" max="13822" width="10.85546875" style="44" customWidth="1"/>
    <col min="13823" max="13823" width="10.28515625" style="44" customWidth="1"/>
    <col min="13824" max="13824" width="9.85546875" style="44" customWidth="1"/>
    <col min="13825" max="13825" width="10.5703125" style="44" customWidth="1"/>
    <col min="13826" max="13826" width="10" style="44" customWidth="1"/>
    <col min="13827" max="13827" width="9.85546875" style="44" customWidth="1"/>
    <col min="13828" max="13828" width="10.140625" style="44" customWidth="1"/>
    <col min="13829" max="13829" width="13.85546875" style="44" customWidth="1"/>
    <col min="13830" max="13830" width="12.5703125" style="44" customWidth="1"/>
    <col min="13831" max="14077" width="9.140625" style="44"/>
    <col min="14078" max="14078" width="10.85546875" style="44" customWidth="1"/>
    <col min="14079" max="14079" width="10.28515625" style="44" customWidth="1"/>
    <col min="14080" max="14080" width="9.85546875" style="44" customWidth="1"/>
    <col min="14081" max="14081" width="10.5703125" style="44" customWidth="1"/>
    <col min="14082" max="14082" width="10" style="44" customWidth="1"/>
    <col min="14083" max="14083" width="9.85546875" style="44" customWidth="1"/>
    <col min="14084" max="14084" width="10.140625" style="44" customWidth="1"/>
    <col min="14085" max="14085" width="13.85546875" style="44" customWidth="1"/>
    <col min="14086" max="14086" width="12.5703125" style="44" customWidth="1"/>
    <col min="14087" max="14333" width="9.140625" style="44"/>
    <col min="14334" max="14334" width="10.85546875" style="44" customWidth="1"/>
    <col min="14335" max="14335" width="10.28515625" style="44" customWidth="1"/>
    <col min="14336" max="14336" width="9.85546875" style="44" customWidth="1"/>
    <col min="14337" max="14337" width="10.5703125" style="44" customWidth="1"/>
    <col min="14338" max="14338" width="10" style="44" customWidth="1"/>
    <col min="14339" max="14339" width="9.85546875" style="44" customWidth="1"/>
    <col min="14340" max="14340" width="10.140625" style="44" customWidth="1"/>
    <col min="14341" max="14341" width="13.85546875" style="44" customWidth="1"/>
    <col min="14342" max="14342" width="12.5703125" style="44" customWidth="1"/>
    <col min="14343" max="14589" width="9.140625" style="44"/>
    <col min="14590" max="14590" width="10.85546875" style="44" customWidth="1"/>
    <col min="14591" max="14591" width="10.28515625" style="44" customWidth="1"/>
    <col min="14592" max="14592" width="9.85546875" style="44" customWidth="1"/>
    <col min="14593" max="14593" width="10.5703125" style="44" customWidth="1"/>
    <col min="14594" max="14594" width="10" style="44" customWidth="1"/>
    <col min="14595" max="14595" width="9.85546875" style="44" customWidth="1"/>
    <col min="14596" max="14596" width="10.140625" style="44" customWidth="1"/>
    <col min="14597" max="14597" width="13.85546875" style="44" customWidth="1"/>
    <col min="14598" max="14598" width="12.5703125" style="44" customWidth="1"/>
    <col min="14599" max="14845" width="9.140625" style="44"/>
    <col min="14846" max="14846" width="10.85546875" style="44" customWidth="1"/>
    <col min="14847" max="14847" width="10.28515625" style="44" customWidth="1"/>
    <col min="14848" max="14848" width="9.85546875" style="44" customWidth="1"/>
    <col min="14849" max="14849" width="10.5703125" style="44" customWidth="1"/>
    <col min="14850" max="14850" width="10" style="44" customWidth="1"/>
    <col min="14851" max="14851" width="9.85546875" style="44" customWidth="1"/>
    <col min="14852" max="14852" width="10.140625" style="44" customWidth="1"/>
    <col min="14853" max="14853" width="13.85546875" style="44" customWidth="1"/>
    <col min="14854" max="14854" width="12.5703125" style="44" customWidth="1"/>
    <col min="14855" max="15101" width="9.140625" style="44"/>
    <col min="15102" max="15102" width="10.85546875" style="44" customWidth="1"/>
    <col min="15103" max="15103" width="10.28515625" style="44" customWidth="1"/>
    <col min="15104" max="15104" width="9.85546875" style="44" customWidth="1"/>
    <col min="15105" max="15105" width="10.5703125" style="44" customWidth="1"/>
    <col min="15106" max="15106" width="10" style="44" customWidth="1"/>
    <col min="15107" max="15107" width="9.85546875" style="44" customWidth="1"/>
    <col min="15108" max="15108" width="10.140625" style="44" customWidth="1"/>
    <col min="15109" max="15109" width="13.85546875" style="44" customWidth="1"/>
    <col min="15110" max="15110" width="12.5703125" style="44" customWidth="1"/>
    <col min="15111" max="15357" width="9.140625" style="44"/>
    <col min="15358" max="15358" width="10.85546875" style="44" customWidth="1"/>
    <col min="15359" max="15359" width="10.28515625" style="44" customWidth="1"/>
    <col min="15360" max="15360" width="9.85546875" style="44" customWidth="1"/>
    <col min="15361" max="15361" width="10.5703125" style="44" customWidth="1"/>
    <col min="15362" max="15362" width="10" style="44" customWidth="1"/>
    <col min="15363" max="15363" width="9.85546875" style="44" customWidth="1"/>
    <col min="15364" max="15364" width="10.140625" style="44" customWidth="1"/>
    <col min="15365" max="15365" width="13.85546875" style="44" customWidth="1"/>
    <col min="15366" max="15366" width="12.5703125" style="44" customWidth="1"/>
    <col min="15367" max="15613" width="9.140625" style="44"/>
    <col min="15614" max="15614" width="10.85546875" style="44" customWidth="1"/>
    <col min="15615" max="15615" width="10.28515625" style="44" customWidth="1"/>
    <col min="15616" max="15616" width="9.85546875" style="44" customWidth="1"/>
    <col min="15617" max="15617" width="10.5703125" style="44" customWidth="1"/>
    <col min="15618" max="15618" width="10" style="44" customWidth="1"/>
    <col min="15619" max="15619" width="9.85546875" style="44" customWidth="1"/>
    <col min="15620" max="15620" width="10.140625" style="44" customWidth="1"/>
    <col min="15621" max="15621" width="13.85546875" style="44" customWidth="1"/>
    <col min="15622" max="15622" width="12.5703125" style="44" customWidth="1"/>
    <col min="15623" max="15869" width="9.140625" style="44"/>
    <col min="15870" max="15870" width="10.85546875" style="44" customWidth="1"/>
    <col min="15871" max="15871" width="10.28515625" style="44" customWidth="1"/>
    <col min="15872" max="15872" width="9.85546875" style="44" customWidth="1"/>
    <col min="15873" max="15873" width="10.5703125" style="44" customWidth="1"/>
    <col min="15874" max="15874" width="10" style="44" customWidth="1"/>
    <col min="15875" max="15875" width="9.85546875" style="44" customWidth="1"/>
    <col min="15876" max="15876" width="10.140625" style="44" customWidth="1"/>
    <col min="15877" max="15877" width="13.85546875" style="44" customWidth="1"/>
    <col min="15878" max="15878" width="12.5703125" style="44" customWidth="1"/>
    <col min="15879" max="16125" width="9.140625" style="44"/>
    <col min="16126" max="16126" width="10.85546875" style="44" customWidth="1"/>
    <col min="16127" max="16127" width="10.28515625" style="44" customWidth="1"/>
    <col min="16128" max="16128" width="9.85546875" style="44" customWidth="1"/>
    <col min="16129" max="16129" width="10.5703125" style="44" customWidth="1"/>
    <col min="16130" max="16130" width="10" style="44" customWidth="1"/>
    <col min="16131" max="16131" width="9.85546875" style="44" customWidth="1"/>
    <col min="16132" max="16132" width="10.140625" style="44" customWidth="1"/>
    <col min="16133" max="16133" width="13.85546875" style="44" customWidth="1"/>
    <col min="16134" max="16134" width="12.5703125" style="44" customWidth="1"/>
    <col min="16135" max="16384" width="9.140625" style="44"/>
  </cols>
  <sheetData>
    <row r="1" spans="1:23" ht="90" thickBot="1" x14ac:dyDescent="0.25">
      <c r="A1" s="40" t="s">
        <v>42</v>
      </c>
      <c r="B1" s="41" t="s">
        <v>28</v>
      </c>
      <c r="C1" s="42" t="s">
        <v>29</v>
      </c>
      <c r="D1" s="42" t="s">
        <v>30</v>
      </c>
      <c r="E1" s="42" t="s">
        <v>31</v>
      </c>
      <c r="F1" s="42" t="s">
        <v>32</v>
      </c>
      <c r="G1" s="42" t="s">
        <v>33</v>
      </c>
      <c r="H1" s="42" t="s">
        <v>34</v>
      </c>
      <c r="I1" s="43" t="s">
        <v>43</v>
      </c>
      <c r="J1" s="72" t="s">
        <v>44</v>
      </c>
      <c r="K1" s="72" t="s">
        <v>45</v>
      </c>
      <c r="L1" s="72" t="s">
        <v>46</v>
      </c>
      <c r="M1" s="73" t="s">
        <v>47</v>
      </c>
      <c r="N1" s="73" t="s">
        <v>48</v>
      </c>
      <c r="O1" s="73" t="s">
        <v>49</v>
      </c>
      <c r="P1" s="71" t="s">
        <v>50</v>
      </c>
      <c r="Q1" s="71" t="s">
        <v>51</v>
      </c>
      <c r="R1" s="71" t="s">
        <v>52</v>
      </c>
      <c r="S1" s="71" t="s">
        <v>53</v>
      </c>
      <c r="T1" s="74" t="s">
        <v>55</v>
      </c>
      <c r="U1" s="75" t="s">
        <v>56</v>
      </c>
      <c r="V1" s="75" t="s">
        <v>57</v>
      </c>
      <c r="W1" s="75" t="s">
        <v>54</v>
      </c>
    </row>
    <row r="2" spans="1:23" x14ac:dyDescent="0.2">
      <c r="A2" s="45">
        <v>44562</v>
      </c>
      <c r="B2" s="46">
        <v>1612.3</v>
      </c>
      <c r="C2" s="47">
        <v>1250.5</v>
      </c>
      <c r="D2" s="47">
        <v>420</v>
      </c>
      <c r="E2" s="47">
        <v>43</v>
      </c>
      <c r="F2" s="47">
        <v>248.8</v>
      </c>
      <c r="G2" s="47">
        <v>1083.8</v>
      </c>
      <c r="H2" s="47">
        <v>704.7</v>
      </c>
      <c r="I2" s="48">
        <v>3953.7000000000007</v>
      </c>
      <c r="J2" s="49"/>
    </row>
    <row r="3" spans="1:23" x14ac:dyDescent="0.2">
      <c r="A3" s="50">
        <f t="shared" ref="A3:A30" si="0">A2+1</f>
        <v>44563</v>
      </c>
      <c r="B3" s="51">
        <v>1447</v>
      </c>
      <c r="C3" s="52">
        <v>1206</v>
      </c>
      <c r="D3" s="52">
        <v>408.7</v>
      </c>
      <c r="E3" s="52">
        <v>40</v>
      </c>
      <c r="F3" s="52">
        <v>238.1</v>
      </c>
      <c r="G3" s="52">
        <v>1352.4</v>
      </c>
      <c r="H3" s="52">
        <v>976.90000000000009</v>
      </c>
      <c r="I3" s="53">
        <v>3715.2999999999997</v>
      </c>
      <c r="J3" s="49"/>
    </row>
    <row r="4" spans="1:23" x14ac:dyDescent="0.2">
      <c r="A4" s="50">
        <f t="shared" si="0"/>
        <v>44564</v>
      </c>
      <c r="B4" s="51">
        <v>1119</v>
      </c>
      <c r="C4" s="52">
        <v>1412.2</v>
      </c>
      <c r="D4" s="52">
        <v>896</v>
      </c>
      <c r="E4" s="52">
        <v>553.70000000000005</v>
      </c>
      <c r="F4" s="52">
        <v>562.6</v>
      </c>
      <c r="G4" s="52">
        <v>1969</v>
      </c>
      <c r="H4" s="52">
        <v>1057.8799999999997</v>
      </c>
      <c r="I4" s="53">
        <v>5454.6200000000008</v>
      </c>
      <c r="J4" s="49"/>
    </row>
    <row r="5" spans="1:23" x14ac:dyDescent="0.2">
      <c r="A5" s="50">
        <f t="shared" si="0"/>
        <v>44565</v>
      </c>
      <c r="B5" s="51">
        <v>1248.7</v>
      </c>
      <c r="C5" s="52">
        <v>1435.4</v>
      </c>
      <c r="D5" s="52">
        <v>1148</v>
      </c>
      <c r="E5" s="52">
        <v>598</v>
      </c>
      <c r="F5" s="52">
        <v>489.5</v>
      </c>
      <c r="G5" s="52">
        <v>2158.9</v>
      </c>
      <c r="H5" s="52">
        <v>1406</v>
      </c>
      <c r="I5" s="53">
        <v>5672.5</v>
      </c>
      <c r="J5" s="49"/>
    </row>
    <row r="6" spans="1:23" x14ac:dyDescent="0.2">
      <c r="A6" s="50">
        <f t="shared" si="0"/>
        <v>44566</v>
      </c>
      <c r="B6" s="51">
        <v>1210.68</v>
      </c>
      <c r="C6" s="52">
        <v>1506.22</v>
      </c>
      <c r="D6" s="52">
        <v>1563.11</v>
      </c>
      <c r="E6" s="52">
        <v>662.84</v>
      </c>
      <c r="F6" s="52">
        <v>607.11</v>
      </c>
      <c r="G6" s="52">
        <v>2360.63</v>
      </c>
      <c r="H6" s="52">
        <v>1515.57</v>
      </c>
      <c r="I6" s="53">
        <v>6395.02</v>
      </c>
      <c r="J6" s="49"/>
    </row>
    <row r="7" spans="1:23" x14ac:dyDescent="0.2">
      <c r="A7" s="50">
        <f t="shared" si="0"/>
        <v>44567</v>
      </c>
      <c r="B7" s="51">
        <v>1500.41</v>
      </c>
      <c r="C7" s="52">
        <v>1642.41</v>
      </c>
      <c r="D7" s="52">
        <v>1527.67</v>
      </c>
      <c r="E7" s="52">
        <v>867.42</v>
      </c>
      <c r="F7" s="52">
        <v>321.86</v>
      </c>
      <c r="G7" s="52">
        <v>2455.65</v>
      </c>
      <c r="H7" s="52">
        <v>1660.4099999999999</v>
      </c>
      <c r="I7" s="53">
        <v>6655.01</v>
      </c>
      <c r="J7" s="49"/>
    </row>
    <row r="8" spans="1:23" x14ac:dyDescent="0.2">
      <c r="A8" s="50">
        <f t="shared" si="0"/>
        <v>44568</v>
      </c>
      <c r="B8" s="51">
        <v>1210.29</v>
      </c>
      <c r="C8" s="52">
        <v>1448.55</v>
      </c>
      <c r="D8" s="52">
        <v>1495.29</v>
      </c>
      <c r="E8" s="52">
        <v>676.34</v>
      </c>
      <c r="F8" s="52">
        <v>392.58</v>
      </c>
      <c r="G8" s="52">
        <v>2026.41</v>
      </c>
      <c r="H8" s="52">
        <v>1506.4</v>
      </c>
      <c r="I8" s="53">
        <v>5743.0599999999995</v>
      </c>
      <c r="J8" s="49"/>
    </row>
    <row r="9" spans="1:23" x14ac:dyDescent="0.2">
      <c r="A9" s="50">
        <f t="shared" si="0"/>
        <v>44569</v>
      </c>
      <c r="B9" s="51">
        <v>4963.7299999999996</v>
      </c>
      <c r="C9" s="52">
        <v>3860.17</v>
      </c>
      <c r="D9" s="52">
        <v>2587.3000000000002</v>
      </c>
      <c r="E9" s="52">
        <v>2240.67</v>
      </c>
      <c r="F9" s="52">
        <v>3943.76</v>
      </c>
      <c r="G9" s="52">
        <v>3235.23</v>
      </c>
      <c r="H9" s="52">
        <v>1235.9100000000001</v>
      </c>
      <c r="I9" s="53">
        <v>19594.95</v>
      </c>
      <c r="J9" s="49"/>
    </row>
    <row r="10" spans="1:23" x14ac:dyDescent="0.2">
      <c r="A10" s="50">
        <f t="shared" si="0"/>
        <v>44570</v>
      </c>
      <c r="B10" s="51">
        <v>6262.37</v>
      </c>
      <c r="C10" s="52">
        <v>4447.09</v>
      </c>
      <c r="D10" s="52">
        <v>4041.88</v>
      </c>
      <c r="E10" s="52">
        <v>3007.43</v>
      </c>
      <c r="F10" s="52">
        <v>4996.43</v>
      </c>
      <c r="G10" s="52">
        <v>3747.22</v>
      </c>
      <c r="H10" s="52">
        <v>1393.9399999999998</v>
      </c>
      <c r="I10" s="53">
        <v>25108.480000000003</v>
      </c>
      <c r="J10" s="49"/>
    </row>
    <row r="11" spans="1:23" x14ac:dyDescent="0.2">
      <c r="A11" s="50">
        <f t="shared" si="0"/>
        <v>44571</v>
      </c>
      <c r="B11" s="51">
        <v>6809</v>
      </c>
      <c r="C11" s="52">
        <v>4844</v>
      </c>
      <c r="D11" s="52">
        <v>4544</v>
      </c>
      <c r="E11" s="52">
        <v>3803</v>
      </c>
      <c r="F11" s="52">
        <v>5651</v>
      </c>
      <c r="G11" s="52">
        <v>6482</v>
      </c>
      <c r="H11" s="52">
        <v>2738</v>
      </c>
      <c r="I11" s="53">
        <v>29395</v>
      </c>
      <c r="J11" s="49"/>
    </row>
    <row r="12" spans="1:23" x14ac:dyDescent="0.2">
      <c r="A12" s="50">
        <f t="shared" si="0"/>
        <v>44572</v>
      </c>
      <c r="B12" s="51">
        <v>7067.12</v>
      </c>
      <c r="C12" s="52">
        <v>5089.7</v>
      </c>
      <c r="D12" s="52">
        <v>4188</v>
      </c>
      <c r="E12" s="52">
        <v>4324.83</v>
      </c>
      <c r="F12" s="52">
        <v>5519.64</v>
      </c>
      <c r="G12" s="52">
        <v>6706.77</v>
      </c>
      <c r="H12" s="52">
        <v>2876.4199999999996</v>
      </c>
      <c r="I12" s="53">
        <v>30019.64</v>
      </c>
      <c r="J12" s="49"/>
    </row>
    <row r="13" spans="1:23" x14ac:dyDescent="0.2">
      <c r="A13" s="50">
        <f t="shared" si="0"/>
        <v>44573</v>
      </c>
      <c r="B13" s="51">
        <v>7335.52</v>
      </c>
      <c r="C13" s="52">
        <v>5003.1499999999996</v>
      </c>
      <c r="D13" s="52">
        <v>4260.6099999999997</v>
      </c>
      <c r="E13" s="52">
        <v>4535.6899999999996</v>
      </c>
      <c r="F13" s="52">
        <v>5105.33</v>
      </c>
      <c r="G13" s="52">
        <v>7296.19</v>
      </c>
      <c r="H13" s="52">
        <v>3356.8599999999997</v>
      </c>
      <c r="I13" s="53">
        <v>30179.629999999997</v>
      </c>
      <c r="J13" s="49"/>
    </row>
    <row r="14" spans="1:23" x14ac:dyDescent="0.2">
      <c r="A14" s="50">
        <f t="shared" si="0"/>
        <v>44574</v>
      </c>
      <c r="B14" s="51">
        <v>7649.03</v>
      </c>
      <c r="C14" s="52">
        <v>5259.74</v>
      </c>
      <c r="D14" s="52">
        <v>4756.76</v>
      </c>
      <c r="E14" s="52">
        <v>4776.0600000000004</v>
      </c>
      <c r="F14" s="52">
        <v>5137.33</v>
      </c>
      <c r="G14" s="52">
        <v>6676.73</v>
      </c>
      <c r="H14" s="52">
        <v>3097.2</v>
      </c>
      <c r="I14" s="53">
        <v>31158.449999999993</v>
      </c>
      <c r="J14" s="49"/>
    </row>
    <row r="15" spans="1:23" x14ac:dyDescent="0.2">
      <c r="A15" s="50">
        <f t="shared" si="0"/>
        <v>44575</v>
      </c>
      <c r="B15" s="51">
        <v>7768</v>
      </c>
      <c r="C15" s="52">
        <v>5162</v>
      </c>
      <c r="D15" s="52">
        <v>4830</v>
      </c>
      <c r="E15" s="52">
        <v>3918</v>
      </c>
      <c r="F15" s="52">
        <v>6774</v>
      </c>
      <c r="G15" s="52">
        <v>6842</v>
      </c>
      <c r="H15" s="52">
        <v>2993</v>
      </c>
      <c r="I15" s="53">
        <v>32301</v>
      </c>
      <c r="J15" s="49"/>
    </row>
    <row r="16" spans="1:23" x14ac:dyDescent="0.2">
      <c r="A16" s="50">
        <f t="shared" si="0"/>
        <v>44576</v>
      </c>
      <c r="B16" s="51">
        <v>7039.38</v>
      </c>
      <c r="C16" s="52">
        <v>4808.33</v>
      </c>
      <c r="D16" s="52">
        <v>4148.8</v>
      </c>
      <c r="E16" s="52">
        <v>2844.51</v>
      </c>
      <c r="F16" s="52">
        <v>7047.19</v>
      </c>
      <c r="G16" s="52">
        <v>6372.6</v>
      </c>
      <c r="H16" s="52">
        <v>2502.6999999999998</v>
      </c>
      <c r="I16" s="53">
        <v>29758.109999999997</v>
      </c>
      <c r="J16" s="49"/>
    </row>
    <row r="17" spans="1:10" x14ac:dyDescent="0.2">
      <c r="A17" s="50">
        <f t="shared" si="0"/>
        <v>44577</v>
      </c>
      <c r="B17" s="51">
        <v>7260.21</v>
      </c>
      <c r="C17" s="52">
        <v>4597.05</v>
      </c>
      <c r="D17" s="52">
        <v>3934.32</v>
      </c>
      <c r="E17" s="52">
        <v>3028.13</v>
      </c>
      <c r="F17" s="52">
        <v>7001.48</v>
      </c>
      <c r="G17" s="52">
        <v>5884.2</v>
      </c>
      <c r="H17" s="52">
        <v>2156.8300000000004</v>
      </c>
      <c r="I17" s="53">
        <v>29548.559999999998</v>
      </c>
      <c r="J17" s="49"/>
    </row>
    <row r="18" spans="1:10" x14ac:dyDescent="0.2">
      <c r="A18" s="50">
        <f t="shared" si="0"/>
        <v>44578</v>
      </c>
      <c r="B18" s="51">
        <v>7296.79</v>
      </c>
      <c r="C18" s="52">
        <v>4856.1899999999996</v>
      </c>
      <c r="D18" s="52">
        <v>4510.58</v>
      </c>
      <c r="E18" s="52">
        <v>2419.4699999999998</v>
      </c>
      <c r="F18" s="52">
        <v>7050.77</v>
      </c>
      <c r="G18" s="52">
        <v>6119.18</v>
      </c>
      <c r="H18" s="52">
        <v>2982.4</v>
      </c>
      <c r="I18" s="53">
        <v>29270.579999999998</v>
      </c>
      <c r="J18" s="49"/>
    </row>
    <row r="19" spans="1:10" x14ac:dyDescent="0.2">
      <c r="A19" s="50">
        <f t="shared" si="0"/>
        <v>44579</v>
      </c>
      <c r="B19" s="51">
        <v>7561</v>
      </c>
      <c r="C19" s="52">
        <v>4890</v>
      </c>
      <c r="D19" s="52">
        <v>4389</v>
      </c>
      <c r="E19" s="52">
        <v>3274</v>
      </c>
      <c r="F19" s="52">
        <v>7389</v>
      </c>
      <c r="G19" s="52">
        <v>5878</v>
      </c>
      <c r="H19" s="52">
        <v>2971</v>
      </c>
      <c r="I19" s="53">
        <v>30410</v>
      </c>
      <c r="J19" s="49"/>
    </row>
    <row r="20" spans="1:10" x14ac:dyDescent="0.2">
      <c r="A20" s="50">
        <f t="shared" si="0"/>
        <v>44580</v>
      </c>
      <c r="B20" s="51">
        <v>7429.36</v>
      </c>
      <c r="C20" s="52">
        <v>5084.68</v>
      </c>
      <c r="D20" s="52">
        <v>4140.62</v>
      </c>
      <c r="E20" s="52">
        <v>2485.23</v>
      </c>
      <c r="F20" s="52">
        <v>7210.37</v>
      </c>
      <c r="G20" s="52">
        <v>5695.86</v>
      </c>
      <c r="H20" s="52">
        <v>2820.13</v>
      </c>
      <c r="I20" s="53">
        <v>29225.989999999998</v>
      </c>
      <c r="J20" s="49"/>
    </row>
    <row r="21" spans="1:10" x14ac:dyDescent="0.2">
      <c r="A21" s="50">
        <f t="shared" si="0"/>
        <v>44581</v>
      </c>
      <c r="B21" s="51">
        <v>7826.27</v>
      </c>
      <c r="C21" s="52">
        <v>4743.92</v>
      </c>
      <c r="D21" s="52">
        <v>4242.88</v>
      </c>
      <c r="E21" s="52">
        <v>2852.12</v>
      </c>
      <c r="F21" s="52">
        <v>7300.88</v>
      </c>
      <c r="G21" s="52">
        <v>5659.2</v>
      </c>
      <c r="H21" s="52">
        <v>2475.8799999999997</v>
      </c>
      <c r="I21" s="53">
        <v>30149.39</v>
      </c>
      <c r="J21" s="49"/>
    </row>
    <row r="22" spans="1:10" x14ac:dyDescent="0.2">
      <c r="A22" s="50">
        <f t="shared" si="0"/>
        <v>44582</v>
      </c>
      <c r="B22" s="51">
        <v>7610.49</v>
      </c>
      <c r="C22" s="52">
        <v>4660.97</v>
      </c>
      <c r="D22" s="52">
        <v>4930.12</v>
      </c>
      <c r="E22" s="52">
        <v>2535.7600000000002</v>
      </c>
      <c r="F22" s="52">
        <v>7881.14</v>
      </c>
      <c r="G22" s="52">
        <v>5781.74</v>
      </c>
      <c r="H22" s="52">
        <v>2485.4700000000003</v>
      </c>
      <c r="I22" s="53">
        <v>30914.749999999993</v>
      </c>
      <c r="J22" s="49"/>
    </row>
    <row r="23" spans="1:10" x14ac:dyDescent="0.2">
      <c r="A23" s="50">
        <f t="shared" si="0"/>
        <v>44583</v>
      </c>
      <c r="B23" s="51">
        <v>8090</v>
      </c>
      <c r="C23" s="52">
        <v>4821</v>
      </c>
      <c r="D23" s="52">
        <v>4680</v>
      </c>
      <c r="E23" s="52">
        <v>2691</v>
      </c>
      <c r="F23" s="52">
        <v>8178</v>
      </c>
      <c r="G23" s="52">
        <v>5109</v>
      </c>
      <c r="H23" s="52">
        <v>2067</v>
      </c>
      <c r="I23" s="53">
        <v>31502</v>
      </c>
      <c r="J23" s="49"/>
    </row>
    <row r="24" spans="1:10" x14ac:dyDescent="0.2">
      <c r="A24" s="50">
        <f t="shared" si="0"/>
        <v>44584</v>
      </c>
      <c r="B24" s="51">
        <v>7782.39</v>
      </c>
      <c r="C24" s="52">
        <v>4861.92</v>
      </c>
      <c r="D24" s="52">
        <v>4263.3100000000004</v>
      </c>
      <c r="E24" s="52">
        <v>1941.03</v>
      </c>
      <c r="F24" s="52">
        <v>7520.01</v>
      </c>
      <c r="G24" s="52">
        <v>4973.45</v>
      </c>
      <c r="H24" s="52">
        <v>1778.0200000000002</v>
      </c>
      <c r="I24" s="53">
        <v>29564.090000000004</v>
      </c>
      <c r="J24" s="49"/>
    </row>
    <row r="25" spans="1:10" x14ac:dyDescent="0.2">
      <c r="A25" s="50">
        <f t="shared" si="0"/>
        <v>44585</v>
      </c>
      <c r="B25" s="51">
        <v>7662.88</v>
      </c>
      <c r="C25" s="52">
        <v>5052.9799999999996</v>
      </c>
      <c r="D25" s="52">
        <v>4508.8</v>
      </c>
      <c r="E25" s="52">
        <v>1073.5899999999999</v>
      </c>
      <c r="F25" s="52">
        <v>7483.7</v>
      </c>
      <c r="G25" s="52">
        <v>5996.35</v>
      </c>
      <c r="H25" s="52">
        <v>2774.8799999999997</v>
      </c>
      <c r="I25" s="53">
        <v>29003.420000000002</v>
      </c>
      <c r="J25" s="49"/>
    </row>
    <row r="26" spans="1:10" x14ac:dyDescent="0.2">
      <c r="A26" s="50">
        <f t="shared" si="0"/>
        <v>44586</v>
      </c>
      <c r="B26" s="51">
        <v>7794.26</v>
      </c>
      <c r="C26" s="52">
        <v>4789.2299999999996</v>
      </c>
      <c r="D26" s="52">
        <v>4367.82</v>
      </c>
      <c r="E26" s="52">
        <v>2319.52</v>
      </c>
      <c r="F26" s="52">
        <v>7881.7</v>
      </c>
      <c r="G26" s="52">
        <v>5608.2</v>
      </c>
      <c r="H26" s="52">
        <v>3103.3500000000004</v>
      </c>
      <c r="I26" s="53">
        <v>29657.379999999997</v>
      </c>
      <c r="J26" s="49"/>
    </row>
    <row r="27" spans="1:10" x14ac:dyDescent="0.2">
      <c r="A27" s="50">
        <f t="shared" si="0"/>
        <v>44587</v>
      </c>
      <c r="B27" s="51">
        <v>8405</v>
      </c>
      <c r="C27" s="52">
        <v>4806</v>
      </c>
      <c r="D27" s="52">
        <v>4541</v>
      </c>
      <c r="E27" s="52">
        <v>3195</v>
      </c>
      <c r="F27" s="52">
        <v>8098</v>
      </c>
      <c r="G27" s="52">
        <v>5967</v>
      </c>
      <c r="H27" s="52">
        <v>3094</v>
      </c>
      <c r="I27" s="53">
        <v>31918</v>
      </c>
      <c r="J27" s="49"/>
    </row>
    <row r="28" spans="1:10" x14ac:dyDescent="0.2">
      <c r="A28" s="50">
        <f t="shared" si="0"/>
        <v>44588</v>
      </c>
      <c r="B28" s="51">
        <v>7966.18</v>
      </c>
      <c r="C28" s="52">
        <v>5033.01</v>
      </c>
      <c r="D28" s="52">
        <v>4407.4399999999996</v>
      </c>
      <c r="E28" s="52">
        <v>2397.69</v>
      </c>
      <c r="F28" s="52">
        <v>7600.4</v>
      </c>
      <c r="G28" s="52">
        <v>5818.06</v>
      </c>
      <c r="H28" s="52">
        <v>2689.94</v>
      </c>
      <c r="I28" s="53">
        <v>30532.84</v>
      </c>
      <c r="J28" s="49"/>
    </row>
    <row r="29" spans="1:10" x14ac:dyDescent="0.2">
      <c r="A29" s="50">
        <f t="shared" si="0"/>
        <v>44589</v>
      </c>
      <c r="B29" s="51">
        <v>7707.5330999999996</v>
      </c>
      <c r="C29" s="52">
        <v>4904.098</v>
      </c>
      <c r="D29" s="52">
        <v>4420.1854999999996</v>
      </c>
      <c r="E29" s="52">
        <v>2623.3854000000001</v>
      </c>
      <c r="F29" s="52">
        <v>7847.1579000000002</v>
      </c>
      <c r="G29" s="52">
        <v>6005.8211000000001</v>
      </c>
      <c r="H29" s="52">
        <v>2740.0917999999997</v>
      </c>
      <c r="I29" s="53">
        <v>30768.089199999999</v>
      </c>
      <c r="J29" s="49"/>
    </row>
    <row r="30" spans="1:10" x14ac:dyDescent="0.2">
      <c r="A30" s="50">
        <f t="shared" si="0"/>
        <v>44590</v>
      </c>
      <c r="B30" s="51">
        <v>7897.6385</v>
      </c>
      <c r="C30" s="52">
        <v>4540.2695999999996</v>
      </c>
      <c r="D30" s="52">
        <v>4265.3053</v>
      </c>
      <c r="E30" s="52">
        <v>4053.1558</v>
      </c>
      <c r="F30" s="52">
        <v>8072.4139999999998</v>
      </c>
      <c r="G30" s="52">
        <v>4336.9597999999996</v>
      </c>
      <c r="H30" s="52">
        <v>1645.8899999999999</v>
      </c>
      <c r="I30" s="53">
        <v>31519.853000000003</v>
      </c>
      <c r="J30" s="49"/>
    </row>
    <row r="31" spans="1:10" x14ac:dyDescent="0.2">
      <c r="A31" s="50">
        <f>A30+1</f>
        <v>44591</v>
      </c>
      <c r="B31" s="51">
        <v>7987.7329</v>
      </c>
      <c r="C31" s="52">
        <v>4604.3353999999999</v>
      </c>
      <c r="D31" s="52">
        <v>4256.9627</v>
      </c>
      <c r="E31" s="52">
        <v>2676.8656999999998</v>
      </c>
      <c r="F31" s="52">
        <v>8027.2066000000004</v>
      </c>
      <c r="G31" s="52">
        <v>4366.6887999999999</v>
      </c>
      <c r="H31" s="52">
        <v>1602.0698</v>
      </c>
      <c r="I31" s="53">
        <v>30317.722299999998</v>
      </c>
      <c r="J31" s="49"/>
    </row>
    <row r="32" spans="1:10" x14ac:dyDescent="0.2">
      <c r="A32" s="50">
        <f t="shared" ref="A32:A95" si="1">A31+1</f>
        <v>44592</v>
      </c>
      <c r="B32" s="51">
        <v>8132.27</v>
      </c>
      <c r="C32" s="52">
        <v>5080.5200000000004</v>
      </c>
      <c r="D32" s="52">
        <v>4326.37</v>
      </c>
      <c r="E32" s="52">
        <v>2210.56</v>
      </c>
      <c r="F32" s="52">
        <v>7663.86</v>
      </c>
      <c r="G32" s="52">
        <v>6105.91</v>
      </c>
      <c r="H32" s="52">
        <v>2953.64</v>
      </c>
      <c r="I32" s="53">
        <v>30565.850000000006</v>
      </c>
      <c r="J32" s="49"/>
    </row>
    <row r="33" spans="1:10" x14ac:dyDescent="0.2">
      <c r="A33" s="50">
        <f t="shared" si="1"/>
        <v>44593</v>
      </c>
      <c r="B33" s="51">
        <v>8914.2275000000009</v>
      </c>
      <c r="C33" s="52">
        <v>4499.7925999999998</v>
      </c>
      <c r="D33" s="52">
        <v>4338.6842999999999</v>
      </c>
      <c r="E33" s="52">
        <v>2793.0996</v>
      </c>
      <c r="F33" s="52">
        <v>7836.9345999999996</v>
      </c>
      <c r="G33" s="52">
        <v>6315.3577999999998</v>
      </c>
      <c r="H33" s="52">
        <v>2835.5732000000003</v>
      </c>
      <c r="I33" s="53">
        <v>31862.523200000003</v>
      </c>
      <c r="J33" s="49"/>
    </row>
    <row r="34" spans="1:10" x14ac:dyDescent="0.2">
      <c r="A34" s="50">
        <f t="shared" si="1"/>
        <v>44594</v>
      </c>
      <c r="B34" s="51">
        <v>9111.6</v>
      </c>
      <c r="C34" s="52">
        <v>3608.23</v>
      </c>
      <c r="D34" s="52">
        <v>4640.96</v>
      </c>
      <c r="E34" s="52">
        <v>2588.3000000000002</v>
      </c>
      <c r="F34" s="52">
        <v>7751.44</v>
      </c>
      <c r="G34" s="52">
        <v>6270.86</v>
      </c>
      <c r="H34" s="52">
        <v>2916.4999999999995</v>
      </c>
      <c r="I34" s="53">
        <v>31054.89</v>
      </c>
      <c r="J34" s="49"/>
    </row>
    <row r="35" spans="1:10" x14ac:dyDescent="0.2">
      <c r="A35" s="50">
        <f t="shared" si="1"/>
        <v>44595</v>
      </c>
      <c r="B35" s="51">
        <v>9183</v>
      </c>
      <c r="C35" s="52">
        <v>3192</v>
      </c>
      <c r="D35" s="52">
        <v>5016</v>
      </c>
      <c r="E35" s="52">
        <v>3775</v>
      </c>
      <c r="F35" s="52">
        <v>7972</v>
      </c>
      <c r="G35" s="52">
        <v>6835</v>
      </c>
      <c r="H35" s="52">
        <v>3264</v>
      </c>
      <c r="I35" s="53">
        <v>32709</v>
      </c>
      <c r="J35" s="49"/>
    </row>
    <row r="36" spans="1:10" x14ac:dyDescent="0.2">
      <c r="A36" s="50">
        <f t="shared" si="1"/>
        <v>44596</v>
      </c>
      <c r="B36" s="51">
        <v>8957.5499999999993</v>
      </c>
      <c r="C36" s="52">
        <v>3240.03</v>
      </c>
      <c r="D36" s="52">
        <v>4831.46</v>
      </c>
      <c r="E36" s="52">
        <v>2052.6999999999998</v>
      </c>
      <c r="F36" s="52">
        <v>7824.68</v>
      </c>
      <c r="G36" s="52">
        <v>6335.5</v>
      </c>
      <c r="H36" s="52">
        <v>2853.8700000000003</v>
      </c>
      <c r="I36" s="53">
        <v>30388.05</v>
      </c>
      <c r="J36" s="49"/>
    </row>
    <row r="37" spans="1:10" x14ac:dyDescent="0.2">
      <c r="A37" s="50">
        <f t="shared" si="1"/>
        <v>44597</v>
      </c>
      <c r="B37" s="51">
        <v>8868.1059999999998</v>
      </c>
      <c r="C37" s="52">
        <v>2946.3618000000001</v>
      </c>
      <c r="D37" s="52">
        <v>4615.3135000000002</v>
      </c>
      <c r="E37" s="52">
        <v>2654.1088</v>
      </c>
      <c r="F37" s="52">
        <v>7993.9126999999999</v>
      </c>
      <c r="G37" s="52">
        <v>4985.7341999999999</v>
      </c>
      <c r="H37" s="52">
        <v>1913.7612000000004</v>
      </c>
      <c r="I37" s="53">
        <v>30149.775800000003</v>
      </c>
      <c r="J37" s="49"/>
    </row>
    <row r="38" spans="1:10" x14ac:dyDescent="0.2">
      <c r="A38" s="50">
        <f t="shared" si="1"/>
        <v>44598</v>
      </c>
      <c r="B38" s="51">
        <v>8473.2999999999993</v>
      </c>
      <c r="C38" s="52">
        <v>2863.5</v>
      </c>
      <c r="D38" s="52">
        <v>4728.55</v>
      </c>
      <c r="E38" s="52">
        <v>2839.15</v>
      </c>
      <c r="F38" s="52">
        <v>7997.6</v>
      </c>
      <c r="G38" s="52">
        <v>4544.41</v>
      </c>
      <c r="H38" s="52">
        <v>1812.4799999999998</v>
      </c>
      <c r="I38" s="53">
        <v>29634.03</v>
      </c>
      <c r="J38" s="49"/>
    </row>
    <row r="39" spans="1:10" x14ac:dyDescent="0.2">
      <c r="A39" s="50">
        <f t="shared" si="1"/>
        <v>44599</v>
      </c>
      <c r="B39" s="51">
        <v>9283.7999999999993</v>
      </c>
      <c r="C39" s="52">
        <v>3333.6</v>
      </c>
      <c r="D39" s="52">
        <v>5290.9</v>
      </c>
      <c r="E39" s="52">
        <v>3316.8</v>
      </c>
      <c r="F39" s="52">
        <v>8454.5</v>
      </c>
      <c r="G39" s="52">
        <v>6507.3</v>
      </c>
      <c r="H39" s="52">
        <v>3043.9</v>
      </c>
      <c r="I39" s="53">
        <v>33143</v>
      </c>
      <c r="J39" s="49"/>
    </row>
    <row r="40" spans="1:10" x14ac:dyDescent="0.2">
      <c r="A40" s="50">
        <f t="shared" si="1"/>
        <v>44600</v>
      </c>
      <c r="B40" s="51">
        <v>9226.66</v>
      </c>
      <c r="C40" s="52">
        <v>3241.68</v>
      </c>
      <c r="D40" s="52">
        <v>5231.84</v>
      </c>
      <c r="E40" s="52">
        <v>2703.43</v>
      </c>
      <c r="F40" s="52">
        <v>7962.36</v>
      </c>
      <c r="G40" s="52">
        <v>6806.54</v>
      </c>
      <c r="H40" s="52">
        <v>3222.27</v>
      </c>
      <c r="I40" s="53">
        <v>31950.240000000002</v>
      </c>
      <c r="J40" s="49"/>
    </row>
    <row r="41" spans="1:10" x14ac:dyDescent="0.2">
      <c r="A41" s="50">
        <f t="shared" si="1"/>
        <v>44601</v>
      </c>
      <c r="B41" s="51">
        <v>9185</v>
      </c>
      <c r="C41" s="52">
        <v>3425</v>
      </c>
      <c r="D41" s="52">
        <v>5320</v>
      </c>
      <c r="E41" s="52">
        <v>2179</v>
      </c>
      <c r="F41" s="52">
        <v>8175</v>
      </c>
      <c r="G41" s="52">
        <v>6725</v>
      </c>
      <c r="H41" s="52">
        <v>3029</v>
      </c>
      <c r="I41" s="53">
        <v>31980</v>
      </c>
      <c r="J41" s="49"/>
    </row>
    <row r="42" spans="1:10" x14ac:dyDescent="0.2">
      <c r="A42" s="50">
        <f t="shared" si="1"/>
        <v>44602</v>
      </c>
      <c r="B42" s="51">
        <v>8840.67</v>
      </c>
      <c r="C42" s="52">
        <v>3451.06</v>
      </c>
      <c r="D42" s="52">
        <v>5587.57</v>
      </c>
      <c r="E42" s="52">
        <v>2399.7800000000002</v>
      </c>
      <c r="F42" s="52">
        <v>7855.56</v>
      </c>
      <c r="G42" s="52">
        <v>6455.68</v>
      </c>
      <c r="H42" s="52">
        <v>3025.0899999999997</v>
      </c>
      <c r="I42" s="53">
        <v>31565.23</v>
      </c>
      <c r="J42" s="49"/>
    </row>
    <row r="43" spans="1:10" x14ac:dyDescent="0.2">
      <c r="A43" s="50">
        <f t="shared" si="1"/>
        <v>44603</v>
      </c>
      <c r="B43" s="51">
        <v>11720.37</v>
      </c>
      <c r="C43" s="52">
        <v>3289.63</v>
      </c>
      <c r="D43" s="52">
        <v>5320.74</v>
      </c>
      <c r="E43" s="52">
        <v>3304.5</v>
      </c>
      <c r="F43" s="52">
        <v>8487.4</v>
      </c>
      <c r="G43" s="52">
        <v>6494</v>
      </c>
      <c r="H43" s="52">
        <v>3057.12</v>
      </c>
      <c r="I43" s="53">
        <v>35559.519999999997</v>
      </c>
      <c r="J43" s="49"/>
    </row>
    <row r="44" spans="1:10" x14ac:dyDescent="0.2">
      <c r="A44" s="50">
        <f t="shared" si="1"/>
        <v>44604</v>
      </c>
      <c r="B44" s="51">
        <v>11640.34</v>
      </c>
      <c r="C44" s="52">
        <v>3093.0899999999997</v>
      </c>
      <c r="D44" s="52">
        <v>4887.869999999999</v>
      </c>
      <c r="E44" s="52">
        <v>2557.83</v>
      </c>
      <c r="F44" s="52">
        <v>7652.0100000000011</v>
      </c>
      <c r="G44" s="52">
        <v>5059.4999999999991</v>
      </c>
      <c r="H44" s="52">
        <v>1921.85</v>
      </c>
      <c r="I44" s="53">
        <v>32968.79</v>
      </c>
      <c r="J44" s="49"/>
    </row>
    <row r="45" spans="1:10" x14ac:dyDescent="0.2">
      <c r="A45" s="50">
        <f t="shared" si="1"/>
        <v>44605</v>
      </c>
      <c r="B45" s="51">
        <v>11255</v>
      </c>
      <c r="C45" s="52">
        <v>3078.07</v>
      </c>
      <c r="D45" s="52">
        <v>4708.58</v>
      </c>
      <c r="E45" s="52">
        <v>2055.4499999999998</v>
      </c>
      <c r="F45" s="52">
        <v>7935</v>
      </c>
      <c r="G45" s="52">
        <v>5187.04</v>
      </c>
      <c r="H45" s="52">
        <v>1990.7299999999998</v>
      </c>
      <c r="I45" s="53">
        <v>32228.41</v>
      </c>
      <c r="J45" s="49"/>
    </row>
    <row r="46" spans="1:10" x14ac:dyDescent="0.2">
      <c r="A46" s="50">
        <f t="shared" si="1"/>
        <v>44606</v>
      </c>
      <c r="B46" s="51">
        <v>10925.39</v>
      </c>
      <c r="C46" s="52">
        <v>3143.5</v>
      </c>
      <c r="D46" s="52">
        <v>5053.8900000000003</v>
      </c>
      <c r="E46" s="52">
        <v>2029.41</v>
      </c>
      <c r="F46" s="52">
        <v>7793.88</v>
      </c>
      <c r="G46" s="52">
        <v>6075.87</v>
      </c>
      <c r="H46" s="52">
        <v>2707.22</v>
      </c>
      <c r="I46" s="53">
        <v>32314.720000000001</v>
      </c>
      <c r="J46" s="49"/>
    </row>
    <row r="47" spans="1:10" x14ac:dyDescent="0.2">
      <c r="A47" s="50">
        <f t="shared" si="1"/>
        <v>44607</v>
      </c>
      <c r="B47" s="51">
        <v>10784.52</v>
      </c>
      <c r="C47" s="52">
        <v>3180.56</v>
      </c>
      <c r="D47" s="52">
        <v>5140.9799999999996</v>
      </c>
      <c r="E47" s="52">
        <v>3152.58</v>
      </c>
      <c r="F47" s="52">
        <v>7308</v>
      </c>
      <c r="G47" s="52">
        <v>6506.22</v>
      </c>
      <c r="H47" s="52">
        <v>2974.7099999999996</v>
      </c>
      <c r="I47" s="53">
        <v>33098.15</v>
      </c>
      <c r="J47" s="49"/>
    </row>
    <row r="48" spans="1:10" x14ac:dyDescent="0.2">
      <c r="A48" s="50">
        <f t="shared" si="1"/>
        <v>44608</v>
      </c>
      <c r="B48" s="51">
        <v>11082.12</v>
      </c>
      <c r="C48" s="52">
        <v>3203.55</v>
      </c>
      <c r="D48" s="52">
        <v>5024.2299999999996</v>
      </c>
      <c r="E48" s="52">
        <v>2371.87</v>
      </c>
      <c r="F48" s="52">
        <v>6717.24</v>
      </c>
      <c r="G48" s="52">
        <v>6074.02</v>
      </c>
      <c r="H48" s="52">
        <v>2768.61</v>
      </c>
      <c r="I48" s="53">
        <v>31704.42</v>
      </c>
      <c r="J48" s="49"/>
    </row>
    <row r="49" spans="1:10" x14ac:dyDescent="0.2">
      <c r="A49" s="50">
        <f t="shared" si="1"/>
        <v>44609</v>
      </c>
      <c r="B49" s="51">
        <v>10853</v>
      </c>
      <c r="C49" s="52">
        <v>3197</v>
      </c>
      <c r="D49" s="52">
        <v>4880.91</v>
      </c>
      <c r="E49" s="52">
        <v>2240.79</v>
      </c>
      <c r="F49" s="52">
        <v>7610.37</v>
      </c>
      <c r="G49" s="52">
        <v>6028.12</v>
      </c>
      <c r="H49" s="52">
        <v>2852.1</v>
      </c>
      <c r="I49" s="53">
        <v>31958.090000000004</v>
      </c>
      <c r="J49" s="49"/>
    </row>
    <row r="50" spans="1:10" x14ac:dyDescent="0.2">
      <c r="A50" s="50">
        <f t="shared" si="1"/>
        <v>44610</v>
      </c>
      <c r="B50" s="51">
        <v>10968.55</v>
      </c>
      <c r="C50" s="52">
        <v>3112.28</v>
      </c>
      <c r="D50" s="52">
        <v>5044.32</v>
      </c>
      <c r="E50" s="52">
        <v>2751.57</v>
      </c>
      <c r="F50" s="52">
        <v>8334.49</v>
      </c>
      <c r="G50" s="52">
        <v>5843.53</v>
      </c>
      <c r="H50" s="52">
        <v>2693.56</v>
      </c>
      <c r="I50" s="53">
        <v>33361.18</v>
      </c>
      <c r="J50" s="49"/>
    </row>
    <row r="51" spans="1:10" x14ac:dyDescent="0.2">
      <c r="A51" s="50">
        <f t="shared" si="1"/>
        <v>44611</v>
      </c>
      <c r="B51" s="51">
        <v>10609.31</v>
      </c>
      <c r="C51" s="52">
        <v>2931.22</v>
      </c>
      <c r="D51" s="52">
        <v>4830.92</v>
      </c>
      <c r="E51" s="52">
        <v>2987.45</v>
      </c>
      <c r="F51" s="52">
        <v>8548.1299999999992</v>
      </c>
      <c r="G51" s="52">
        <v>5582.7</v>
      </c>
      <c r="H51" s="52">
        <v>2386.02</v>
      </c>
      <c r="I51" s="53">
        <v>33103.71</v>
      </c>
      <c r="J51" s="49"/>
    </row>
    <row r="52" spans="1:10" x14ac:dyDescent="0.2">
      <c r="A52" s="50">
        <f t="shared" si="1"/>
        <v>44612</v>
      </c>
      <c r="B52" s="51">
        <v>10632.37</v>
      </c>
      <c r="C52" s="52">
        <v>2919.25</v>
      </c>
      <c r="D52" s="52">
        <v>4816.33</v>
      </c>
      <c r="E52" s="52">
        <v>2013.4</v>
      </c>
      <c r="F52" s="52">
        <v>8191.31</v>
      </c>
      <c r="G52" s="52">
        <v>4827.1899999999996</v>
      </c>
      <c r="H52" s="52">
        <v>1696.9</v>
      </c>
      <c r="I52" s="53">
        <v>31702.950000000004</v>
      </c>
      <c r="J52" s="49"/>
    </row>
    <row r="53" spans="1:10" x14ac:dyDescent="0.2">
      <c r="A53" s="50">
        <f t="shared" si="1"/>
        <v>44613</v>
      </c>
      <c r="B53" s="51">
        <v>10365.94</v>
      </c>
      <c r="C53" s="52">
        <v>3206.92</v>
      </c>
      <c r="D53" s="52">
        <v>4915.0600000000004</v>
      </c>
      <c r="E53" s="52">
        <v>2174.0100000000002</v>
      </c>
      <c r="F53" s="52">
        <v>8258.86</v>
      </c>
      <c r="G53" s="52">
        <v>5764.15</v>
      </c>
      <c r="H53" s="52">
        <v>2734.0200000000004</v>
      </c>
      <c r="I53" s="53">
        <v>31950.920000000002</v>
      </c>
      <c r="J53" s="49"/>
    </row>
    <row r="54" spans="1:10" x14ac:dyDescent="0.2">
      <c r="A54" s="50">
        <f t="shared" si="1"/>
        <v>44614</v>
      </c>
      <c r="B54" s="51">
        <v>10440.5</v>
      </c>
      <c r="C54" s="52">
        <v>3164.74</v>
      </c>
      <c r="D54" s="52">
        <v>4909.95</v>
      </c>
      <c r="E54" s="52">
        <v>2215.62</v>
      </c>
      <c r="F54" s="52">
        <v>8416.43</v>
      </c>
      <c r="G54" s="52">
        <v>5761.59</v>
      </c>
      <c r="H54" s="52">
        <v>2764.4300000000003</v>
      </c>
      <c r="I54" s="53">
        <v>32144.400000000001</v>
      </c>
      <c r="J54" s="49"/>
    </row>
    <row r="55" spans="1:10" x14ac:dyDescent="0.2">
      <c r="A55" s="50">
        <f t="shared" si="1"/>
        <v>44615</v>
      </c>
      <c r="B55" s="51">
        <v>10061</v>
      </c>
      <c r="C55" s="52">
        <v>3051</v>
      </c>
      <c r="D55" s="52">
        <v>4745</v>
      </c>
      <c r="E55" s="52">
        <v>2739</v>
      </c>
      <c r="F55" s="52">
        <v>8602</v>
      </c>
      <c r="G55" s="52">
        <v>4786</v>
      </c>
      <c r="H55" s="52">
        <v>1834.6299999999999</v>
      </c>
      <c r="I55" s="53">
        <v>32149.37</v>
      </c>
      <c r="J55" s="49"/>
    </row>
    <row r="56" spans="1:10" x14ac:dyDescent="0.2">
      <c r="A56" s="50">
        <f t="shared" si="1"/>
        <v>44616</v>
      </c>
      <c r="B56" s="51">
        <v>9822.73</v>
      </c>
      <c r="C56" s="52">
        <v>3253.33</v>
      </c>
      <c r="D56" s="52">
        <v>5148.1499999999996</v>
      </c>
      <c r="E56" s="52">
        <v>1515.21</v>
      </c>
      <c r="F56" s="52">
        <v>8155.61</v>
      </c>
      <c r="G56" s="52">
        <v>5726.49</v>
      </c>
      <c r="H56" s="52">
        <v>2761.1800000000003</v>
      </c>
      <c r="I56" s="53">
        <v>30860.339999999997</v>
      </c>
      <c r="J56" s="49"/>
    </row>
    <row r="57" spans="1:10" x14ac:dyDescent="0.2">
      <c r="A57" s="50">
        <f t="shared" si="1"/>
        <v>44617</v>
      </c>
      <c r="B57" s="51">
        <v>10379.39</v>
      </c>
      <c r="C57" s="52">
        <v>3235.62</v>
      </c>
      <c r="D57" s="52">
        <v>5015.13</v>
      </c>
      <c r="E57" s="52">
        <v>2953.01</v>
      </c>
      <c r="F57" s="52">
        <v>7558.82</v>
      </c>
      <c r="G57" s="52">
        <v>5690</v>
      </c>
      <c r="H57" s="52">
        <v>2028.3300000000002</v>
      </c>
      <c r="I57" s="53">
        <v>32803.64</v>
      </c>
      <c r="J57" s="49"/>
    </row>
    <row r="58" spans="1:10" x14ac:dyDescent="0.2">
      <c r="A58" s="50">
        <f t="shared" si="1"/>
        <v>44618</v>
      </c>
      <c r="B58" s="51">
        <v>10041.040000000001</v>
      </c>
      <c r="C58" s="52">
        <v>3099.37</v>
      </c>
      <c r="D58" s="52">
        <v>4744.58</v>
      </c>
      <c r="E58" s="52">
        <v>1916.55</v>
      </c>
      <c r="F58" s="52">
        <v>8250.6200000000008</v>
      </c>
      <c r="G58" s="52">
        <v>4980.04</v>
      </c>
      <c r="H58" s="52">
        <v>2263.91</v>
      </c>
      <c r="I58" s="53">
        <v>30768.289999999997</v>
      </c>
      <c r="J58" s="49"/>
    </row>
    <row r="59" spans="1:10" x14ac:dyDescent="0.2">
      <c r="A59" s="50">
        <f t="shared" si="1"/>
        <v>44619</v>
      </c>
      <c r="B59" s="51">
        <v>10301</v>
      </c>
      <c r="C59" s="52">
        <v>3068</v>
      </c>
      <c r="D59" s="52">
        <v>4681</v>
      </c>
      <c r="E59" s="52">
        <v>2531</v>
      </c>
      <c r="F59" s="52">
        <v>8524</v>
      </c>
      <c r="G59" s="52">
        <v>4574</v>
      </c>
      <c r="H59" s="52">
        <v>1783</v>
      </c>
      <c r="I59" s="53">
        <v>31896</v>
      </c>
      <c r="J59" s="49"/>
    </row>
    <row r="60" spans="1:10" x14ac:dyDescent="0.2">
      <c r="A60" s="50">
        <f t="shared" si="1"/>
        <v>44620</v>
      </c>
      <c r="B60" s="51">
        <v>9063.2099999999991</v>
      </c>
      <c r="C60" s="52">
        <v>3160.4</v>
      </c>
      <c r="D60" s="52">
        <v>4732.45</v>
      </c>
      <c r="E60" s="52">
        <v>1989.28</v>
      </c>
      <c r="F60" s="52">
        <v>8273.2000000000007</v>
      </c>
      <c r="G60" s="52">
        <v>6001.1</v>
      </c>
      <c r="H60" s="52">
        <v>2995.9000000000005</v>
      </c>
      <c r="I60" s="53">
        <v>30223.739999999998</v>
      </c>
      <c r="J60" s="49"/>
    </row>
    <row r="61" spans="1:10" x14ac:dyDescent="0.2">
      <c r="A61" s="50">
        <f t="shared" si="1"/>
        <v>44621</v>
      </c>
      <c r="B61" s="51">
        <v>8619.82</v>
      </c>
      <c r="C61" s="52">
        <v>3188.28</v>
      </c>
      <c r="D61" s="52">
        <v>4779.05</v>
      </c>
      <c r="E61" s="52">
        <v>2001.35</v>
      </c>
      <c r="F61" s="52">
        <v>8169.5</v>
      </c>
      <c r="G61" s="52">
        <v>6097.92</v>
      </c>
      <c r="H61" s="52">
        <v>3035.09</v>
      </c>
      <c r="I61" s="53">
        <v>29820.829999999998</v>
      </c>
      <c r="J61" s="49"/>
    </row>
    <row r="62" spans="1:10" x14ac:dyDescent="0.2">
      <c r="A62" s="50">
        <f t="shared" si="1"/>
        <v>44622</v>
      </c>
      <c r="B62" s="51">
        <v>8895.07</v>
      </c>
      <c r="C62" s="52">
        <v>3121.83</v>
      </c>
      <c r="D62" s="52">
        <v>4759.2</v>
      </c>
      <c r="E62" s="52">
        <v>2071.96</v>
      </c>
      <c r="F62" s="52">
        <v>8091.25</v>
      </c>
      <c r="G62" s="52">
        <v>6235.25</v>
      </c>
      <c r="H62" s="52">
        <v>3048.03</v>
      </c>
      <c r="I62" s="53">
        <v>30126.53</v>
      </c>
      <c r="J62" s="49"/>
    </row>
    <row r="63" spans="1:10" x14ac:dyDescent="0.2">
      <c r="A63" s="50">
        <f t="shared" si="1"/>
        <v>44623</v>
      </c>
      <c r="B63" s="51">
        <v>7944</v>
      </c>
      <c r="C63" s="52">
        <v>3097</v>
      </c>
      <c r="D63" s="52">
        <v>4700</v>
      </c>
      <c r="E63" s="52">
        <v>2070</v>
      </c>
      <c r="F63" s="52">
        <v>8508</v>
      </c>
      <c r="G63" s="52">
        <v>6059</v>
      </c>
      <c r="H63" s="52">
        <v>2812</v>
      </c>
      <c r="I63" s="53">
        <v>29566</v>
      </c>
      <c r="J63" s="49"/>
    </row>
    <row r="64" spans="1:10" x14ac:dyDescent="0.2">
      <c r="A64" s="50">
        <f t="shared" si="1"/>
        <v>44624</v>
      </c>
      <c r="B64" s="51">
        <v>7440.52</v>
      </c>
      <c r="C64" s="52">
        <v>3129.74</v>
      </c>
      <c r="D64" s="52">
        <v>4617.05</v>
      </c>
      <c r="E64" s="52">
        <v>1957.1</v>
      </c>
      <c r="F64" s="52">
        <v>7940.23</v>
      </c>
      <c r="G64" s="52">
        <v>5899.22</v>
      </c>
      <c r="H64" s="52">
        <v>2801.7999999999997</v>
      </c>
      <c r="I64" s="53">
        <v>28182.06</v>
      </c>
      <c r="J64" s="49"/>
    </row>
    <row r="65" spans="1:10" x14ac:dyDescent="0.2">
      <c r="A65" s="50">
        <f t="shared" si="1"/>
        <v>44625</v>
      </c>
      <c r="B65" s="51">
        <v>7478.8</v>
      </c>
      <c r="C65" s="52">
        <v>3073.87</v>
      </c>
      <c r="D65" s="52">
        <v>4547.57</v>
      </c>
      <c r="E65" s="52">
        <v>2609.63</v>
      </c>
      <c r="F65" s="52">
        <v>7393.12</v>
      </c>
      <c r="G65" s="52">
        <v>5343.71</v>
      </c>
      <c r="H65" s="52">
        <v>2386.6</v>
      </c>
      <c r="I65" s="53">
        <v>28060.1</v>
      </c>
      <c r="J65" s="49"/>
    </row>
    <row r="66" spans="1:10" x14ac:dyDescent="0.2">
      <c r="A66" s="50">
        <f t="shared" si="1"/>
        <v>44626</v>
      </c>
      <c r="B66" s="51">
        <v>7497.9</v>
      </c>
      <c r="C66" s="52">
        <v>2799.5</v>
      </c>
      <c r="D66" s="52">
        <v>4721.5600000000004</v>
      </c>
      <c r="E66" s="52">
        <v>3378.49</v>
      </c>
      <c r="F66" s="52">
        <v>7547.26</v>
      </c>
      <c r="G66" s="52">
        <v>4982.45</v>
      </c>
      <c r="H66" s="52">
        <v>1930</v>
      </c>
      <c r="I66" s="53">
        <v>28997.16</v>
      </c>
      <c r="J66" s="49"/>
    </row>
    <row r="67" spans="1:10" x14ac:dyDescent="0.2">
      <c r="A67" s="50">
        <f t="shared" si="1"/>
        <v>44627</v>
      </c>
      <c r="B67" s="51">
        <v>8408</v>
      </c>
      <c r="C67" s="52">
        <v>2960</v>
      </c>
      <c r="D67" s="52">
        <v>4975</v>
      </c>
      <c r="E67" s="52">
        <v>2872</v>
      </c>
      <c r="F67" s="52">
        <v>8653</v>
      </c>
      <c r="G67" s="52">
        <v>5143</v>
      </c>
      <c r="H67" s="52">
        <v>2082</v>
      </c>
      <c r="I67" s="53">
        <v>30929</v>
      </c>
      <c r="J67" s="49"/>
    </row>
    <row r="68" spans="1:10" x14ac:dyDescent="0.2">
      <c r="A68" s="50">
        <f t="shared" si="1"/>
        <v>44628</v>
      </c>
      <c r="B68" s="51">
        <v>10407.030000000001</v>
      </c>
      <c r="C68" s="52">
        <v>3066.84</v>
      </c>
      <c r="D68" s="52">
        <v>4954.96</v>
      </c>
      <c r="E68" s="52">
        <v>1971.19</v>
      </c>
      <c r="F68" s="52">
        <v>7864.36</v>
      </c>
      <c r="G68" s="52">
        <v>4953.16</v>
      </c>
      <c r="H68" s="52">
        <v>2005.8200000000002</v>
      </c>
      <c r="I68" s="53">
        <v>31211.72</v>
      </c>
      <c r="J68" s="49"/>
    </row>
    <row r="69" spans="1:10" x14ac:dyDescent="0.2">
      <c r="A69" s="50">
        <f t="shared" si="1"/>
        <v>44629</v>
      </c>
      <c r="B69" s="51">
        <v>9300.91</v>
      </c>
      <c r="C69" s="52">
        <v>3361.41</v>
      </c>
      <c r="D69" s="52">
        <v>5071.8900000000003</v>
      </c>
      <c r="E69" s="52">
        <v>1624.9</v>
      </c>
      <c r="F69" s="52">
        <v>7826.75</v>
      </c>
      <c r="G69" s="52">
        <v>6506.59</v>
      </c>
      <c r="H69" s="52">
        <v>3077.22</v>
      </c>
      <c r="I69" s="53">
        <v>30615.229999999996</v>
      </c>
      <c r="J69" s="49"/>
    </row>
    <row r="70" spans="1:10" x14ac:dyDescent="0.2">
      <c r="A70" s="50">
        <f t="shared" si="1"/>
        <v>44630</v>
      </c>
      <c r="B70" s="51">
        <v>9604.9599999999991</v>
      </c>
      <c r="C70" s="52">
        <v>3274.69</v>
      </c>
      <c r="D70" s="52">
        <v>4989.62</v>
      </c>
      <c r="E70" s="52">
        <v>2312.31</v>
      </c>
      <c r="F70" s="52">
        <v>7778.81</v>
      </c>
      <c r="G70" s="52">
        <v>6202.93</v>
      </c>
      <c r="H70" s="52">
        <v>2880.5400000000004</v>
      </c>
      <c r="I70" s="53">
        <v>31282.780000000006</v>
      </c>
      <c r="J70" s="49"/>
    </row>
    <row r="71" spans="1:10" x14ac:dyDescent="0.2">
      <c r="A71" s="50">
        <f t="shared" si="1"/>
        <v>44631</v>
      </c>
      <c r="B71" s="51">
        <v>8880</v>
      </c>
      <c r="C71" s="52">
        <v>3528</v>
      </c>
      <c r="D71" s="52">
        <v>5181</v>
      </c>
      <c r="E71" s="52">
        <v>2379</v>
      </c>
      <c r="F71" s="52">
        <v>8394</v>
      </c>
      <c r="G71" s="52">
        <v>5998</v>
      </c>
      <c r="H71" s="52">
        <v>2837.28</v>
      </c>
      <c r="I71" s="53">
        <v>31522.720000000001</v>
      </c>
      <c r="J71" s="49"/>
    </row>
    <row r="72" spans="1:10" x14ac:dyDescent="0.2">
      <c r="A72" s="50">
        <f t="shared" si="1"/>
        <v>44632</v>
      </c>
      <c r="B72" s="51">
        <v>8672.26</v>
      </c>
      <c r="C72" s="52">
        <v>3334.27</v>
      </c>
      <c r="D72" s="52">
        <v>4944.8999999999996</v>
      </c>
      <c r="E72" s="52">
        <v>2944.2</v>
      </c>
      <c r="F72" s="52">
        <v>8433.0300000000007</v>
      </c>
      <c r="G72" s="52">
        <v>5611</v>
      </c>
      <c r="H72" s="52">
        <v>2378.8900000000003</v>
      </c>
      <c r="I72" s="53">
        <v>31560.770000000004</v>
      </c>
      <c r="J72" s="49"/>
    </row>
    <row r="73" spans="1:10" x14ac:dyDescent="0.2">
      <c r="A73" s="50">
        <f t="shared" si="1"/>
        <v>44633</v>
      </c>
      <c r="B73" s="51">
        <v>8503.7099999999991</v>
      </c>
      <c r="C73" s="52">
        <v>3295.65</v>
      </c>
      <c r="D73" s="52">
        <v>4979.5200000000004</v>
      </c>
      <c r="E73" s="52">
        <v>2660.76</v>
      </c>
      <c r="F73" s="52">
        <v>8462.0300000000007</v>
      </c>
      <c r="G73" s="52">
        <v>5236.9399999999996</v>
      </c>
      <c r="H73" s="52">
        <v>2222.7300000000005</v>
      </c>
      <c r="I73" s="53">
        <v>30915.88</v>
      </c>
      <c r="J73" s="49"/>
    </row>
    <row r="74" spans="1:10" x14ac:dyDescent="0.2">
      <c r="A74" s="50">
        <f t="shared" si="1"/>
        <v>44634</v>
      </c>
      <c r="B74" s="51">
        <v>8289.6200000000008</v>
      </c>
      <c r="C74" s="52">
        <v>3700.93</v>
      </c>
      <c r="D74" s="52">
        <v>5125.8</v>
      </c>
      <c r="E74" s="52">
        <v>2566.66</v>
      </c>
      <c r="F74" s="52">
        <v>8250.6299999999992</v>
      </c>
      <c r="G74" s="52">
        <v>6068.1</v>
      </c>
      <c r="H74" s="52">
        <v>2927.8700000000003</v>
      </c>
      <c r="I74" s="53">
        <v>31073.87</v>
      </c>
      <c r="J74" s="49"/>
    </row>
    <row r="75" spans="1:10" x14ac:dyDescent="0.2">
      <c r="A75" s="50">
        <f t="shared" si="1"/>
        <v>44635</v>
      </c>
      <c r="B75" s="51">
        <v>8072</v>
      </c>
      <c r="C75" s="52">
        <v>3634</v>
      </c>
      <c r="D75" s="52">
        <v>5114</v>
      </c>
      <c r="E75" s="52">
        <v>2132</v>
      </c>
      <c r="F75" s="52">
        <v>8266</v>
      </c>
      <c r="G75" s="52">
        <v>6508</v>
      </c>
      <c r="H75" s="52">
        <v>3004</v>
      </c>
      <c r="I75" s="53">
        <v>30722</v>
      </c>
      <c r="J75" s="49"/>
    </row>
    <row r="76" spans="1:10" x14ac:dyDescent="0.2">
      <c r="A76" s="50">
        <f t="shared" si="1"/>
        <v>44636</v>
      </c>
      <c r="B76" s="51">
        <v>8424.2099999999991</v>
      </c>
      <c r="C76" s="52">
        <v>3698.94</v>
      </c>
      <c r="D76" s="52">
        <v>5376.04</v>
      </c>
      <c r="E76" s="52">
        <v>1411.06</v>
      </c>
      <c r="F76" s="52">
        <v>8010.08</v>
      </c>
      <c r="G76" s="52">
        <v>6528.27</v>
      </c>
      <c r="H76" s="52">
        <v>2975.14</v>
      </c>
      <c r="I76" s="53">
        <v>30473.460000000006</v>
      </c>
      <c r="J76" s="49"/>
    </row>
    <row r="77" spans="1:10" x14ac:dyDescent="0.2">
      <c r="A77" s="50">
        <f t="shared" si="1"/>
        <v>44637</v>
      </c>
      <c r="B77" s="51">
        <v>8614.69</v>
      </c>
      <c r="C77" s="52">
        <v>3499.49</v>
      </c>
      <c r="D77" s="52">
        <v>5200.72</v>
      </c>
      <c r="E77" s="52">
        <v>2775.64</v>
      </c>
      <c r="F77" s="52">
        <v>8379.91</v>
      </c>
      <c r="G77" s="52">
        <v>6696.01</v>
      </c>
      <c r="H77" s="52">
        <v>2809.0699999999997</v>
      </c>
      <c r="I77" s="53">
        <v>32357.39</v>
      </c>
      <c r="J77" s="49"/>
    </row>
    <row r="78" spans="1:10" x14ac:dyDescent="0.2">
      <c r="A78" s="50">
        <f t="shared" si="1"/>
        <v>44638</v>
      </c>
      <c r="B78" s="51">
        <v>8049.47</v>
      </c>
      <c r="C78" s="52">
        <v>3293.13</v>
      </c>
      <c r="D78" s="52">
        <v>4941.05</v>
      </c>
      <c r="E78" s="52">
        <v>1887.96</v>
      </c>
      <c r="F78" s="52">
        <v>8031.15</v>
      </c>
      <c r="G78" s="52">
        <v>5995.81</v>
      </c>
      <c r="H78" s="52">
        <v>2718.9200000000005</v>
      </c>
      <c r="I78" s="53">
        <v>29479.65</v>
      </c>
      <c r="J78" s="49"/>
    </row>
    <row r="79" spans="1:10" x14ac:dyDescent="0.2">
      <c r="A79" s="50">
        <f t="shared" si="1"/>
        <v>44639</v>
      </c>
      <c r="B79" s="51">
        <v>9266</v>
      </c>
      <c r="C79" s="52">
        <v>3117</v>
      </c>
      <c r="D79" s="52">
        <v>4730</v>
      </c>
      <c r="E79" s="52">
        <v>2817</v>
      </c>
      <c r="F79" s="52">
        <v>8434</v>
      </c>
      <c r="G79" s="52">
        <v>4856</v>
      </c>
      <c r="H79" s="52">
        <v>1840</v>
      </c>
      <c r="I79" s="53">
        <v>31380</v>
      </c>
      <c r="J79" s="49"/>
    </row>
    <row r="80" spans="1:10" x14ac:dyDescent="0.2">
      <c r="A80" s="50">
        <f t="shared" si="1"/>
        <v>44640</v>
      </c>
      <c r="B80" s="51">
        <v>9808.11</v>
      </c>
      <c r="C80" s="52">
        <v>3165.59</v>
      </c>
      <c r="D80" s="52">
        <v>4558.63</v>
      </c>
      <c r="E80" s="52">
        <v>2314.3000000000002</v>
      </c>
      <c r="F80" s="52">
        <v>8308.99</v>
      </c>
      <c r="G80" s="52">
        <v>4300.4799999999996</v>
      </c>
      <c r="H80" s="52">
        <v>1597.8600000000004</v>
      </c>
      <c r="I80" s="53">
        <v>30858.240000000002</v>
      </c>
      <c r="J80" s="49"/>
    </row>
    <row r="81" spans="1:10" x14ac:dyDescent="0.2">
      <c r="A81" s="50">
        <f t="shared" si="1"/>
        <v>44641</v>
      </c>
      <c r="B81" s="51">
        <v>9497.43</v>
      </c>
      <c r="C81" s="52">
        <v>3350.91</v>
      </c>
      <c r="D81" s="52">
        <v>4873.71</v>
      </c>
      <c r="E81" s="52">
        <v>2110.3000000000002</v>
      </c>
      <c r="F81" s="52">
        <v>8270.83</v>
      </c>
      <c r="G81" s="52">
        <v>5944.94</v>
      </c>
      <c r="H81" s="52">
        <v>2758.8500000000004</v>
      </c>
      <c r="I81" s="53">
        <v>31289.270000000004</v>
      </c>
      <c r="J81" s="49"/>
    </row>
    <row r="82" spans="1:10" x14ac:dyDescent="0.2">
      <c r="A82" s="50">
        <f t="shared" si="1"/>
        <v>44642</v>
      </c>
      <c r="B82" s="51">
        <v>10464.19</v>
      </c>
      <c r="C82" s="52">
        <v>3286.65</v>
      </c>
      <c r="D82" s="52">
        <v>4870.7700000000004</v>
      </c>
      <c r="E82" s="52">
        <v>2289.6</v>
      </c>
      <c r="F82" s="52">
        <v>8350.08</v>
      </c>
      <c r="G82" s="52">
        <v>5831.29</v>
      </c>
      <c r="H82" s="52">
        <v>2844.11</v>
      </c>
      <c r="I82" s="53">
        <v>32248.47</v>
      </c>
      <c r="J82" s="49"/>
    </row>
    <row r="83" spans="1:10" x14ac:dyDescent="0.2">
      <c r="A83" s="50">
        <f t="shared" si="1"/>
        <v>44643</v>
      </c>
      <c r="B83" s="51">
        <v>10060</v>
      </c>
      <c r="C83" s="52">
        <v>3258</v>
      </c>
      <c r="D83" s="52">
        <v>4792</v>
      </c>
      <c r="E83" s="52">
        <v>2424</v>
      </c>
      <c r="F83" s="52">
        <v>8560</v>
      </c>
      <c r="G83" s="52">
        <v>6192</v>
      </c>
      <c r="H83" s="52">
        <v>2882</v>
      </c>
      <c r="I83" s="53">
        <v>32404</v>
      </c>
      <c r="J83" s="49"/>
    </row>
    <row r="84" spans="1:10" x14ac:dyDescent="0.2">
      <c r="A84" s="50">
        <f t="shared" si="1"/>
        <v>44644</v>
      </c>
      <c r="B84" s="51">
        <v>9962.2800000000007</v>
      </c>
      <c r="C84" s="52">
        <v>3297.87</v>
      </c>
      <c r="D84" s="52">
        <v>4654.8900000000003</v>
      </c>
      <c r="E84" s="52">
        <v>2603.25</v>
      </c>
      <c r="F84" s="52">
        <v>8542.7199999999993</v>
      </c>
      <c r="G84" s="52">
        <v>5798.19</v>
      </c>
      <c r="H84" s="52">
        <v>2978.91</v>
      </c>
      <c r="I84" s="53">
        <v>31880.290000000005</v>
      </c>
      <c r="J84" s="49"/>
    </row>
    <row r="85" spans="1:10" x14ac:dyDescent="0.2">
      <c r="A85" s="50">
        <f t="shared" si="1"/>
        <v>44645</v>
      </c>
      <c r="B85" s="51">
        <v>9852</v>
      </c>
      <c r="C85" s="52">
        <v>3272</v>
      </c>
      <c r="D85" s="52">
        <v>4711</v>
      </c>
      <c r="E85" s="52">
        <v>2477</v>
      </c>
      <c r="F85" s="52">
        <v>8486</v>
      </c>
      <c r="G85" s="52">
        <v>5603</v>
      </c>
      <c r="H85" s="52">
        <v>2592</v>
      </c>
      <c r="I85" s="53">
        <v>31809</v>
      </c>
      <c r="J85" s="49"/>
    </row>
    <row r="86" spans="1:10" x14ac:dyDescent="0.2">
      <c r="A86" s="50">
        <f t="shared" si="1"/>
        <v>44646</v>
      </c>
      <c r="B86" s="51">
        <v>9835.25</v>
      </c>
      <c r="C86" s="52">
        <v>2911.61</v>
      </c>
      <c r="D86" s="52">
        <v>4571.67</v>
      </c>
      <c r="E86" s="52">
        <v>3380.84</v>
      </c>
      <c r="F86" s="52">
        <v>8135.76</v>
      </c>
      <c r="G86" s="52">
        <v>4656.66</v>
      </c>
      <c r="H86" s="52">
        <v>2190.4200000000005</v>
      </c>
      <c r="I86" s="53">
        <v>31301.369999999992</v>
      </c>
      <c r="J86" s="49"/>
    </row>
    <row r="87" spans="1:10" x14ac:dyDescent="0.2">
      <c r="A87" s="50">
        <f t="shared" si="1"/>
        <v>44647</v>
      </c>
      <c r="B87" s="51">
        <v>9624</v>
      </c>
      <c r="C87" s="52">
        <v>3068</v>
      </c>
      <c r="D87" s="52">
        <v>4619</v>
      </c>
      <c r="E87" s="52">
        <v>2564</v>
      </c>
      <c r="F87" s="52">
        <v>8349</v>
      </c>
      <c r="G87" s="52">
        <v>4637</v>
      </c>
      <c r="H87" s="52">
        <v>2034</v>
      </c>
      <c r="I87" s="53">
        <v>30827</v>
      </c>
      <c r="J87" s="49"/>
    </row>
    <row r="88" spans="1:10" x14ac:dyDescent="0.2">
      <c r="A88" s="50">
        <f t="shared" si="1"/>
        <v>44648</v>
      </c>
      <c r="B88" s="51">
        <v>9079.6</v>
      </c>
      <c r="C88" s="52">
        <v>3244.42</v>
      </c>
      <c r="D88" s="52">
        <v>4731.0600000000004</v>
      </c>
      <c r="E88" s="52">
        <v>989.81</v>
      </c>
      <c r="F88" s="52">
        <v>7796.08</v>
      </c>
      <c r="G88" s="52">
        <v>5592.55</v>
      </c>
      <c r="H88" s="52">
        <v>2628.0299999999997</v>
      </c>
      <c r="I88" s="53">
        <v>28805.49</v>
      </c>
      <c r="J88" s="49"/>
    </row>
    <row r="89" spans="1:10" x14ac:dyDescent="0.2">
      <c r="A89" s="50">
        <f t="shared" si="1"/>
        <v>44649</v>
      </c>
      <c r="B89" s="51">
        <v>9968.75</v>
      </c>
      <c r="C89" s="52">
        <v>3287.62</v>
      </c>
      <c r="D89" s="52">
        <v>4747.7700000000004</v>
      </c>
      <c r="E89" s="52">
        <v>2660.71</v>
      </c>
      <c r="F89" s="52">
        <v>8599.98</v>
      </c>
      <c r="G89" s="52">
        <v>6171.01</v>
      </c>
      <c r="H89" s="52">
        <v>2836.3399999999997</v>
      </c>
      <c r="I89" s="53">
        <v>32599.499999999996</v>
      </c>
      <c r="J89" s="49"/>
    </row>
    <row r="90" spans="1:10" x14ac:dyDescent="0.2">
      <c r="A90" s="50">
        <f t="shared" si="1"/>
        <v>44650</v>
      </c>
      <c r="B90" s="51">
        <v>9838.99</v>
      </c>
      <c r="C90" s="52">
        <v>3175.58</v>
      </c>
      <c r="D90" s="52">
        <v>4812.84</v>
      </c>
      <c r="E90" s="52">
        <v>2390.46</v>
      </c>
      <c r="F90" s="52">
        <v>8427</v>
      </c>
      <c r="G90" s="52">
        <v>5820.48</v>
      </c>
      <c r="H90" s="52">
        <v>2791.65</v>
      </c>
      <c r="I90" s="53">
        <v>31673.699999999997</v>
      </c>
      <c r="J90" s="49"/>
    </row>
    <row r="91" spans="1:10" x14ac:dyDescent="0.2">
      <c r="A91" s="50">
        <f t="shared" si="1"/>
        <v>44651</v>
      </c>
      <c r="B91" s="51">
        <v>9938</v>
      </c>
      <c r="C91" s="52">
        <v>3221</v>
      </c>
      <c r="D91" s="52">
        <v>4647</v>
      </c>
      <c r="E91" s="52">
        <v>2313</v>
      </c>
      <c r="F91" s="52">
        <v>8405</v>
      </c>
      <c r="G91" s="52">
        <v>5635</v>
      </c>
      <c r="H91" s="52">
        <v>2664</v>
      </c>
      <c r="I91" s="53">
        <v>31495</v>
      </c>
      <c r="J91" s="49"/>
    </row>
    <row r="92" spans="1:10" x14ac:dyDescent="0.2">
      <c r="A92" s="50">
        <f t="shared" si="1"/>
        <v>44652</v>
      </c>
      <c r="B92" s="51">
        <v>9508.2800000000007</v>
      </c>
      <c r="C92" s="52">
        <v>3132.56</v>
      </c>
      <c r="D92" s="52">
        <v>4683.62</v>
      </c>
      <c r="E92" s="52">
        <v>2062.0300000000002</v>
      </c>
      <c r="F92" s="52">
        <v>8285.19</v>
      </c>
      <c r="G92" s="52">
        <v>5850.97</v>
      </c>
      <c r="H92" s="52">
        <v>2663.6399999999994</v>
      </c>
      <c r="I92" s="53">
        <v>30859.010000000002</v>
      </c>
      <c r="J92" s="49"/>
    </row>
    <row r="93" spans="1:10" x14ac:dyDescent="0.2">
      <c r="A93" s="50">
        <f t="shared" si="1"/>
        <v>44653</v>
      </c>
      <c r="B93" s="51">
        <v>9441.7999999999993</v>
      </c>
      <c r="C93" s="52">
        <v>3085.56</v>
      </c>
      <c r="D93" s="52">
        <v>4510.99</v>
      </c>
      <c r="E93" s="52">
        <v>2419.06</v>
      </c>
      <c r="F93" s="52">
        <v>8434.1200000000008</v>
      </c>
      <c r="G93" s="52">
        <v>5024.75</v>
      </c>
      <c r="H93" s="52">
        <v>2095.63</v>
      </c>
      <c r="I93" s="53">
        <v>30820.649999999998</v>
      </c>
      <c r="J93" s="49"/>
    </row>
    <row r="94" spans="1:10" x14ac:dyDescent="0.2">
      <c r="A94" s="50">
        <f t="shared" si="1"/>
        <v>44654</v>
      </c>
      <c r="B94" s="51">
        <v>9042.7800000000007</v>
      </c>
      <c r="C94" s="52">
        <v>3110.59</v>
      </c>
      <c r="D94" s="52">
        <v>4406.3100000000004</v>
      </c>
      <c r="E94" s="52">
        <v>1806.31</v>
      </c>
      <c r="F94" s="52">
        <v>8169.15</v>
      </c>
      <c r="G94" s="52">
        <v>4244.79</v>
      </c>
      <c r="H94" s="52">
        <v>1754.9</v>
      </c>
      <c r="I94" s="53">
        <v>29025.03</v>
      </c>
      <c r="J94" s="49"/>
    </row>
    <row r="95" spans="1:10" x14ac:dyDescent="0.2">
      <c r="A95" s="50">
        <f t="shared" si="1"/>
        <v>44655</v>
      </c>
      <c r="B95" s="51">
        <v>8816</v>
      </c>
      <c r="C95" s="52">
        <v>3288</v>
      </c>
      <c r="D95" s="52">
        <v>4568</v>
      </c>
      <c r="E95" s="52">
        <v>1812</v>
      </c>
      <c r="F95" s="52">
        <v>7767</v>
      </c>
      <c r="G95" s="52">
        <v>5278</v>
      </c>
      <c r="H95" s="52">
        <v>2571</v>
      </c>
      <c r="I95" s="53">
        <v>28958</v>
      </c>
      <c r="J95" s="49"/>
    </row>
    <row r="96" spans="1:10" x14ac:dyDescent="0.2">
      <c r="A96" s="50">
        <f t="shared" ref="A96:A159" si="2">A95+1</f>
        <v>44656</v>
      </c>
      <c r="B96" s="51">
        <v>9291.11</v>
      </c>
      <c r="C96" s="52">
        <v>3292.79</v>
      </c>
      <c r="D96" s="52">
        <v>4728.05</v>
      </c>
      <c r="E96" s="52">
        <v>2017.34</v>
      </c>
      <c r="F96" s="52">
        <v>8189.14</v>
      </c>
      <c r="G96" s="52">
        <v>5533.15</v>
      </c>
      <c r="H96" s="52">
        <v>2623.26</v>
      </c>
      <c r="I96" s="53">
        <v>30428.32</v>
      </c>
      <c r="J96" s="49"/>
    </row>
    <row r="97" spans="1:10" x14ac:dyDescent="0.2">
      <c r="A97" s="50">
        <f t="shared" si="2"/>
        <v>44657</v>
      </c>
      <c r="B97" s="51">
        <v>9152</v>
      </c>
      <c r="C97" s="52">
        <v>3274</v>
      </c>
      <c r="D97" s="52">
        <v>4728.34</v>
      </c>
      <c r="E97" s="52">
        <v>1255</v>
      </c>
      <c r="F97" s="52">
        <v>7712</v>
      </c>
      <c r="G97" s="52">
        <v>5886</v>
      </c>
      <c r="H97" s="52">
        <v>2696.0299999999997</v>
      </c>
      <c r="I97" s="53">
        <v>29311.31</v>
      </c>
      <c r="J97" s="49"/>
    </row>
    <row r="98" spans="1:10" x14ac:dyDescent="0.2">
      <c r="A98" s="50">
        <f t="shared" si="2"/>
        <v>44658</v>
      </c>
      <c r="B98" s="51">
        <v>9110.92</v>
      </c>
      <c r="C98" s="52">
        <v>3355.98</v>
      </c>
      <c r="D98" s="52">
        <v>4610.04</v>
      </c>
      <c r="E98" s="52">
        <v>4865.28</v>
      </c>
      <c r="F98" s="52">
        <v>5482.59</v>
      </c>
      <c r="G98" s="52">
        <v>5455.88</v>
      </c>
      <c r="H98" s="52">
        <v>2596.96</v>
      </c>
      <c r="I98" s="53">
        <v>30283.729999999996</v>
      </c>
      <c r="J98" s="49"/>
    </row>
    <row r="99" spans="1:10" x14ac:dyDescent="0.2">
      <c r="A99" s="50">
        <f t="shared" si="2"/>
        <v>44659</v>
      </c>
      <c r="B99" s="51">
        <v>9536</v>
      </c>
      <c r="C99" s="52">
        <v>3144</v>
      </c>
      <c r="D99" s="52">
        <v>4636</v>
      </c>
      <c r="E99" s="52">
        <v>5478</v>
      </c>
      <c r="F99" s="52">
        <v>5608</v>
      </c>
      <c r="G99" s="52">
        <v>5566</v>
      </c>
      <c r="H99" s="52">
        <v>2505</v>
      </c>
      <c r="I99" s="53">
        <v>31463</v>
      </c>
      <c r="J99" s="49"/>
    </row>
    <row r="100" spans="1:10" x14ac:dyDescent="0.2">
      <c r="A100" s="50">
        <f t="shared" si="2"/>
        <v>44660</v>
      </c>
      <c r="B100" s="51">
        <v>9122.52</v>
      </c>
      <c r="C100" s="52">
        <v>2831.33</v>
      </c>
      <c r="D100" s="52">
        <v>4318.22</v>
      </c>
      <c r="E100" s="52">
        <v>4520.9399999999996</v>
      </c>
      <c r="F100" s="52">
        <v>5844.46</v>
      </c>
      <c r="G100" s="52">
        <v>4407.3500000000004</v>
      </c>
      <c r="H100" s="52">
        <v>1769.0400000000002</v>
      </c>
      <c r="I100" s="53">
        <v>29275.78</v>
      </c>
      <c r="J100" s="49"/>
    </row>
    <row r="101" spans="1:10" x14ac:dyDescent="0.2">
      <c r="A101" s="50">
        <f t="shared" si="2"/>
        <v>44661</v>
      </c>
      <c r="B101" s="51">
        <v>8644.58</v>
      </c>
      <c r="C101" s="52">
        <v>2783.78</v>
      </c>
      <c r="D101" s="52">
        <v>4014.28</v>
      </c>
      <c r="E101" s="52">
        <v>4224.8599999999997</v>
      </c>
      <c r="F101" s="52">
        <v>6020.9</v>
      </c>
      <c r="G101" s="52">
        <v>3934.12</v>
      </c>
      <c r="H101" s="52">
        <v>1609.91</v>
      </c>
      <c r="I101" s="53">
        <v>28012.61</v>
      </c>
      <c r="J101" s="49"/>
    </row>
    <row r="102" spans="1:10" x14ac:dyDescent="0.2">
      <c r="A102" s="50">
        <f t="shared" si="2"/>
        <v>44662</v>
      </c>
      <c r="B102" s="51">
        <v>8926.74</v>
      </c>
      <c r="C102" s="52">
        <v>3042.18</v>
      </c>
      <c r="D102" s="52">
        <v>4167.2299999999996</v>
      </c>
      <c r="E102" s="52">
        <v>5333.44</v>
      </c>
      <c r="F102" s="52">
        <v>5769.48</v>
      </c>
      <c r="G102" s="52">
        <v>5177.8599999999997</v>
      </c>
      <c r="H102" s="52">
        <v>2593.2600000000002</v>
      </c>
      <c r="I102" s="53">
        <v>29823.67</v>
      </c>
      <c r="J102" s="49"/>
    </row>
    <row r="103" spans="1:10" x14ac:dyDescent="0.2">
      <c r="A103" s="50">
        <f t="shared" si="2"/>
        <v>44663</v>
      </c>
      <c r="B103" s="51">
        <v>8892</v>
      </c>
      <c r="C103" s="52">
        <v>3144</v>
      </c>
      <c r="D103" s="52">
        <v>3662</v>
      </c>
      <c r="E103" s="52">
        <v>5109</v>
      </c>
      <c r="F103" s="52">
        <v>5350</v>
      </c>
      <c r="G103" s="52">
        <v>5534</v>
      </c>
      <c r="H103" s="52">
        <v>2561</v>
      </c>
      <c r="I103" s="53">
        <v>29130</v>
      </c>
      <c r="J103" s="49"/>
    </row>
    <row r="104" spans="1:10" x14ac:dyDescent="0.2">
      <c r="A104" s="50">
        <f t="shared" si="2"/>
        <v>44664</v>
      </c>
      <c r="B104" s="51">
        <v>8871.09</v>
      </c>
      <c r="C104" s="52">
        <v>3087.18</v>
      </c>
      <c r="D104" s="52">
        <v>3539.54</v>
      </c>
      <c r="E104" s="52">
        <v>4298.45</v>
      </c>
      <c r="F104" s="52">
        <v>4944.08</v>
      </c>
      <c r="G104" s="52">
        <v>5455.6</v>
      </c>
      <c r="H104" s="52">
        <v>2418.0500000000002</v>
      </c>
      <c r="I104" s="53">
        <v>27777.890000000003</v>
      </c>
      <c r="J104" s="49"/>
    </row>
    <row r="105" spans="1:10" x14ac:dyDescent="0.2">
      <c r="A105" s="50">
        <f t="shared" si="2"/>
        <v>44665</v>
      </c>
      <c r="B105" s="51">
        <v>9326.34</v>
      </c>
      <c r="C105" s="52">
        <v>3046.8</v>
      </c>
      <c r="D105" s="52">
        <v>3312.09</v>
      </c>
      <c r="E105" s="52">
        <v>5392.9</v>
      </c>
      <c r="F105" s="52">
        <v>5570.09</v>
      </c>
      <c r="G105" s="52">
        <v>5307.83</v>
      </c>
      <c r="H105" s="52">
        <v>2434</v>
      </c>
      <c r="I105" s="53">
        <v>29522.049999999996</v>
      </c>
      <c r="J105" s="49"/>
    </row>
    <row r="106" spans="1:10" x14ac:dyDescent="0.2">
      <c r="A106" s="50">
        <f t="shared" si="2"/>
        <v>44666</v>
      </c>
      <c r="B106" s="51">
        <v>9098.08</v>
      </c>
      <c r="C106" s="52">
        <v>3071.77</v>
      </c>
      <c r="D106" s="52">
        <v>3241.37</v>
      </c>
      <c r="E106" s="52">
        <v>4562.12</v>
      </c>
      <c r="F106" s="52">
        <v>5425.97</v>
      </c>
      <c r="G106" s="52">
        <v>4738.01</v>
      </c>
      <c r="H106" s="52">
        <v>2351.36</v>
      </c>
      <c r="I106" s="53">
        <v>27785.96</v>
      </c>
      <c r="J106" s="49"/>
    </row>
    <row r="107" spans="1:10" x14ac:dyDescent="0.2">
      <c r="A107" s="50">
        <f t="shared" si="2"/>
        <v>44667</v>
      </c>
      <c r="B107" s="51">
        <v>8920</v>
      </c>
      <c r="C107" s="52">
        <v>2890</v>
      </c>
      <c r="D107" s="52">
        <v>3149</v>
      </c>
      <c r="E107" s="52">
        <v>5111</v>
      </c>
      <c r="F107" s="52">
        <v>5250</v>
      </c>
      <c r="G107" s="52">
        <v>4038</v>
      </c>
      <c r="H107" s="52">
        <v>1850</v>
      </c>
      <c r="I107" s="53">
        <v>27508</v>
      </c>
      <c r="J107" s="49"/>
    </row>
    <row r="108" spans="1:10" x14ac:dyDescent="0.2">
      <c r="A108" s="50">
        <f t="shared" si="2"/>
        <v>44668</v>
      </c>
      <c r="B108" s="51">
        <v>8912.0300000000007</v>
      </c>
      <c r="C108" s="52">
        <v>2994.74</v>
      </c>
      <c r="D108" s="52">
        <v>3184.5</v>
      </c>
      <c r="E108" s="52">
        <v>4487.1499999999996</v>
      </c>
      <c r="F108" s="52">
        <v>5313.65</v>
      </c>
      <c r="G108" s="52">
        <v>4289.47</v>
      </c>
      <c r="H108" s="52">
        <v>1678.3799999999999</v>
      </c>
      <c r="I108" s="53">
        <v>27503.16</v>
      </c>
      <c r="J108" s="49"/>
    </row>
    <row r="109" spans="1:10" x14ac:dyDescent="0.2">
      <c r="A109" s="50">
        <f t="shared" si="2"/>
        <v>44669</v>
      </c>
      <c r="B109" s="51">
        <v>7887</v>
      </c>
      <c r="C109" s="52">
        <v>3267.69</v>
      </c>
      <c r="D109" s="52">
        <v>3152.61</v>
      </c>
      <c r="E109" s="52">
        <v>3686.69</v>
      </c>
      <c r="F109" s="52">
        <v>5016</v>
      </c>
      <c r="G109" s="52">
        <v>5287.48</v>
      </c>
      <c r="H109" s="52">
        <v>2576.1000000000004</v>
      </c>
      <c r="I109" s="53">
        <v>25721.370000000003</v>
      </c>
      <c r="J109" s="49"/>
    </row>
    <row r="110" spans="1:10" x14ac:dyDescent="0.2">
      <c r="A110" s="50">
        <f t="shared" si="2"/>
        <v>44670</v>
      </c>
      <c r="B110" s="51">
        <v>9009.6299999999992</v>
      </c>
      <c r="C110" s="52">
        <v>3261.66</v>
      </c>
      <c r="D110" s="52">
        <v>3377.18</v>
      </c>
      <c r="E110" s="52">
        <v>4472.67</v>
      </c>
      <c r="F110" s="52">
        <v>5274.44</v>
      </c>
      <c r="G110" s="52">
        <v>5085.24</v>
      </c>
      <c r="H110" s="52">
        <v>2511.6200000000003</v>
      </c>
      <c r="I110" s="53">
        <v>27969.200000000001</v>
      </c>
      <c r="J110" s="49"/>
    </row>
    <row r="111" spans="1:10" x14ac:dyDescent="0.2">
      <c r="A111" s="50">
        <f t="shared" si="2"/>
        <v>44671</v>
      </c>
      <c r="B111" s="51">
        <v>9182</v>
      </c>
      <c r="C111" s="52">
        <v>3296</v>
      </c>
      <c r="D111" s="52">
        <v>3406</v>
      </c>
      <c r="E111" s="52">
        <v>4422</v>
      </c>
      <c r="F111" s="52">
        <v>5293</v>
      </c>
      <c r="G111" s="52">
        <v>5328</v>
      </c>
      <c r="H111" s="52">
        <v>2516</v>
      </c>
      <c r="I111" s="53">
        <v>28411</v>
      </c>
      <c r="J111" s="49"/>
    </row>
    <row r="112" spans="1:10" x14ac:dyDescent="0.2">
      <c r="A112" s="50">
        <f t="shared" si="2"/>
        <v>44672</v>
      </c>
      <c r="B112" s="51">
        <v>9161.76</v>
      </c>
      <c r="C112" s="52">
        <v>3281.92</v>
      </c>
      <c r="D112" s="52">
        <v>3524.16</v>
      </c>
      <c r="E112" s="52">
        <v>4935.95</v>
      </c>
      <c r="F112" s="52">
        <v>5347.2</v>
      </c>
      <c r="G112" s="52">
        <v>5292.26</v>
      </c>
      <c r="H112" s="52">
        <v>2492.56</v>
      </c>
      <c r="I112" s="53">
        <v>29050.69</v>
      </c>
      <c r="J112" s="49"/>
    </row>
    <row r="113" spans="1:10" x14ac:dyDescent="0.2">
      <c r="A113" s="50">
        <f t="shared" si="2"/>
        <v>44673</v>
      </c>
      <c r="B113" s="51">
        <v>9588.5</v>
      </c>
      <c r="C113" s="52">
        <v>3239.3</v>
      </c>
      <c r="D113" s="52">
        <v>3467.24</v>
      </c>
      <c r="E113" s="52">
        <v>4938.7299999999996</v>
      </c>
      <c r="F113" s="52">
        <v>5458.56</v>
      </c>
      <c r="G113" s="52">
        <v>5240.2</v>
      </c>
      <c r="H113" s="52">
        <v>2386.35</v>
      </c>
      <c r="I113" s="53">
        <v>29546.18</v>
      </c>
      <c r="J113" s="49"/>
    </row>
    <row r="114" spans="1:10" x14ac:dyDescent="0.2">
      <c r="A114" s="50">
        <f t="shared" si="2"/>
        <v>44674</v>
      </c>
      <c r="B114" s="51">
        <v>9593.5799999999981</v>
      </c>
      <c r="C114" s="52">
        <v>2951.93</v>
      </c>
      <c r="D114" s="52">
        <v>3200.92</v>
      </c>
      <c r="E114" s="52">
        <v>6282.7300000000005</v>
      </c>
      <c r="F114" s="52">
        <v>5891.3499999999995</v>
      </c>
      <c r="G114" s="52">
        <v>4303.7299999999996</v>
      </c>
      <c r="H114" s="52">
        <v>1931.27</v>
      </c>
      <c r="I114" s="53">
        <v>30292.969999999998</v>
      </c>
      <c r="J114" s="49"/>
    </row>
    <row r="115" spans="1:10" x14ac:dyDescent="0.2">
      <c r="A115" s="50">
        <f t="shared" si="2"/>
        <v>44675</v>
      </c>
      <c r="B115" s="51">
        <v>9399</v>
      </c>
      <c r="C115" s="52">
        <v>3056</v>
      </c>
      <c r="D115" s="52">
        <v>3154</v>
      </c>
      <c r="E115" s="52">
        <v>4842</v>
      </c>
      <c r="F115" s="52">
        <v>5116</v>
      </c>
      <c r="G115" s="52">
        <v>4086</v>
      </c>
      <c r="H115" s="52">
        <v>1711</v>
      </c>
      <c r="I115" s="53">
        <v>27942</v>
      </c>
      <c r="J115" s="49"/>
    </row>
    <row r="116" spans="1:10" x14ac:dyDescent="0.2">
      <c r="A116" s="50">
        <f t="shared" si="2"/>
        <v>44676</v>
      </c>
      <c r="B116" s="51">
        <v>9378.98</v>
      </c>
      <c r="C116" s="52">
        <v>3187</v>
      </c>
      <c r="D116" s="52">
        <v>3294.04</v>
      </c>
      <c r="E116" s="52">
        <v>4667.4799999999996</v>
      </c>
      <c r="F116" s="52">
        <v>5374.63</v>
      </c>
      <c r="G116" s="52">
        <v>5169.4399999999996</v>
      </c>
      <c r="H116" s="52">
        <v>2579.9399999999996</v>
      </c>
      <c r="I116" s="53">
        <v>28491.63</v>
      </c>
      <c r="J116" s="49"/>
    </row>
    <row r="117" spans="1:10" x14ac:dyDescent="0.2">
      <c r="A117" s="50">
        <f t="shared" si="2"/>
        <v>44677</v>
      </c>
      <c r="B117" s="51">
        <v>9416.7099999999991</v>
      </c>
      <c r="C117" s="52">
        <v>3245.44</v>
      </c>
      <c r="D117" s="52">
        <v>3245.22</v>
      </c>
      <c r="E117" s="52">
        <v>4433.04</v>
      </c>
      <c r="F117" s="52">
        <v>5410.95</v>
      </c>
      <c r="G117" s="52">
        <v>5000.38</v>
      </c>
      <c r="H117" s="52">
        <v>2302.5</v>
      </c>
      <c r="I117" s="53">
        <v>28449.24</v>
      </c>
      <c r="J117" s="49"/>
    </row>
    <row r="118" spans="1:10" x14ac:dyDescent="0.2">
      <c r="A118" s="50">
        <f t="shared" si="2"/>
        <v>44678</v>
      </c>
      <c r="B118" s="51">
        <v>8553.48</v>
      </c>
      <c r="C118" s="52">
        <v>3462.84</v>
      </c>
      <c r="D118" s="52">
        <v>3137.57</v>
      </c>
      <c r="E118" s="52">
        <v>3739.08</v>
      </c>
      <c r="F118" s="52">
        <v>5026.76</v>
      </c>
      <c r="G118" s="52">
        <v>4582.1000000000004</v>
      </c>
      <c r="H118" s="52">
        <v>2236.89</v>
      </c>
      <c r="I118" s="53">
        <v>26264.940000000002</v>
      </c>
      <c r="J118" s="49"/>
    </row>
    <row r="119" spans="1:10" x14ac:dyDescent="0.2">
      <c r="A119" s="50">
        <f t="shared" si="2"/>
        <v>44679</v>
      </c>
      <c r="B119" s="51">
        <v>9116</v>
      </c>
      <c r="C119" s="52">
        <v>3551</v>
      </c>
      <c r="D119" s="52">
        <v>3199</v>
      </c>
      <c r="E119" s="52">
        <v>4358</v>
      </c>
      <c r="F119" s="52">
        <v>5734</v>
      </c>
      <c r="G119" s="52">
        <v>4075</v>
      </c>
      <c r="H119" s="52">
        <v>2078</v>
      </c>
      <c r="I119" s="53">
        <v>27955</v>
      </c>
      <c r="J119" s="49"/>
    </row>
    <row r="120" spans="1:10" x14ac:dyDescent="0.2">
      <c r="A120" s="50">
        <f t="shared" si="2"/>
        <v>44680</v>
      </c>
      <c r="B120" s="51">
        <v>8652.27</v>
      </c>
      <c r="C120" s="52">
        <v>3508.98</v>
      </c>
      <c r="D120" s="52">
        <v>3266.69</v>
      </c>
      <c r="E120" s="52">
        <v>4598.63</v>
      </c>
      <c r="F120" s="52">
        <v>5339.16</v>
      </c>
      <c r="G120" s="52">
        <v>4394.63</v>
      </c>
      <c r="H120" s="52">
        <v>1832.97</v>
      </c>
      <c r="I120" s="53">
        <v>27927.39</v>
      </c>
      <c r="J120" s="49"/>
    </row>
    <row r="121" spans="1:10" x14ac:dyDescent="0.2">
      <c r="A121" s="50">
        <f t="shared" si="2"/>
        <v>44681</v>
      </c>
      <c r="B121" s="51">
        <v>9453.35</v>
      </c>
      <c r="C121" s="52">
        <v>3215.3</v>
      </c>
      <c r="D121" s="52">
        <v>3084.4</v>
      </c>
      <c r="E121" s="52">
        <v>5908.35</v>
      </c>
      <c r="F121" s="52">
        <v>5788.71</v>
      </c>
      <c r="G121" s="52">
        <v>4179.1400000000003</v>
      </c>
      <c r="H121" s="52">
        <v>1417.1000000000004</v>
      </c>
      <c r="I121" s="53">
        <v>30212.15</v>
      </c>
      <c r="J121" s="49"/>
    </row>
    <row r="122" spans="1:10" x14ac:dyDescent="0.2">
      <c r="A122" s="50">
        <f t="shared" si="2"/>
        <v>44682</v>
      </c>
      <c r="B122" s="51">
        <v>9194.8700000000008</v>
      </c>
      <c r="C122" s="52">
        <v>3254.2</v>
      </c>
      <c r="D122" s="52">
        <v>3047.93</v>
      </c>
      <c r="E122" s="52">
        <v>4677.67</v>
      </c>
      <c r="F122" s="52">
        <v>5659.63</v>
      </c>
      <c r="G122" s="52">
        <v>3813.29</v>
      </c>
      <c r="H122" s="52">
        <v>1247.1300000000001</v>
      </c>
      <c r="I122" s="53">
        <v>28400.46</v>
      </c>
      <c r="J122" s="49"/>
    </row>
    <row r="123" spans="1:10" x14ac:dyDescent="0.2">
      <c r="A123" s="50">
        <f t="shared" si="2"/>
        <v>44683</v>
      </c>
      <c r="B123" s="51">
        <v>9070</v>
      </c>
      <c r="C123" s="52">
        <v>3288</v>
      </c>
      <c r="D123" s="52">
        <v>3289</v>
      </c>
      <c r="E123" s="52">
        <v>4469</v>
      </c>
      <c r="F123" s="52">
        <v>5647</v>
      </c>
      <c r="G123" s="52">
        <v>3856</v>
      </c>
      <c r="H123" s="52">
        <v>1110</v>
      </c>
      <c r="I123" s="53">
        <v>28509</v>
      </c>
      <c r="J123" s="49"/>
    </row>
    <row r="124" spans="1:10" x14ac:dyDescent="0.2">
      <c r="A124" s="50">
        <f t="shared" si="2"/>
        <v>44684</v>
      </c>
      <c r="B124" s="51">
        <v>8626.0499999999993</v>
      </c>
      <c r="C124" s="52">
        <v>3392.83</v>
      </c>
      <c r="D124" s="52">
        <v>3226.97</v>
      </c>
      <c r="E124" s="52">
        <v>5150.49</v>
      </c>
      <c r="F124" s="52">
        <v>5127.1499999999996</v>
      </c>
      <c r="G124" s="52">
        <v>3840.33</v>
      </c>
      <c r="H124" s="52">
        <v>1340.31</v>
      </c>
      <c r="I124" s="53">
        <v>28023.51</v>
      </c>
      <c r="J124" s="49"/>
    </row>
    <row r="125" spans="1:10" x14ac:dyDescent="0.2">
      <c r="A125" s="50">
        <f t="shared" si="2"/>
        <v>44685</v>
      </c>
      <c r="B125" s="51">
        <v>8977</v>
      </c>
      <c r="C125" s="52">
        <v>3489</v>
      </c>
      <c r="D125" s="52">
        <v>3181.3</v>
      </c>
      <c r="E125" s="52">
        <v>4326.5</v>
      </c>
      <c r="F125" s="52">
        <v>5386</v>
      </c>
      <c r="G125" s="52">
        <v>5072</v>
      </c>
      <c r="H125" s="52">
        <v>2309.6</v>
      </c>
      <c r="I125" s="53">
        <v>28122.2</v>
      </c>
      <c r="J125" s="49"/>
    </row>
    <row r="126" spans="1:10" x14ac:dyDescent="0.2">
      <c r="A126" s="50">
        <f t="shared" si="2"/>
        <v>44686</v>
      </c>
      <c r="B126" s="51">
        <v>8950.1200000000008</v>
      </c>
      <c r="C126" s="52">
        <v>3496.32</v>
      </c>
      <c r="D126" s="52">
        <v>3127.29</v>
      </c>
      <c r="E126" s="52">
        <v>4319.0200000000004</v>
      </c>
      <c r="F126" s="52">
        <v>5542.18</v>
      </c>
      <c r="G126" s="52">
        <v>5214.1400000000003</v>
      </c>
      <c r="H126" s="52">
        <v>2564.7900000000009</v>
      </c>
      <c r="I126" s="53">
        <v>28084.28</v>
      </c>
      <c r="J126" s="49"/>
    </row>
    <row r="127" spans="1:10" x14ac:dyDescent="0.2">
      <c r="A127" s="50">
        <f t="shared" si="2"/>
        <v>44687</v>
      </c>
      <c r="B127" s="51">
        <v>9297.15</v>
      </c>
      <c r="C127" s="52">
        <v>3480</v>
      </c>
      <c r="D127" s="52">
        <v>3345</v>
      </c>
      <c r="E127" s="52">
        <v>4397</v>
      </c>
      <c r="F127" s="52">
        <v>5318</v>
      </c>
      <c r="G127" s="52">
        <v>5656</v>
      </c>
      <c r="H127" s="52">
        <v>2513</v>
      </c>
      <c r="I127" s="53">
        <v>28980.15</v>
      </c>
      <c r="J127" s="49"/>
    </row>
    <row r="128" spans="1:10" x14ac:dyDescent="0.2">
      <c r="A128" s="50">
        <f t="shared" si="2"/>
        <v>44688</v>
      </c>
      <c r="B128" s="51">
        <v>8829.5499999999993</v>
      </c>
      <c r="C128" s="52">
        <v>3359.25</v>
      </c>
      <c r="D128" s="52">
        <v>3044.04</v>
      </c>
      <c r="E128" s="52">
        <v>4596.62</v>
      </c>
      <c r="F128" s="52">
        <v>4979.24</v>
      </c>
      <c r="G128" s="52">
        <v>4604.82</v>
      </c>
      <c r="H128" s="52">
        <v>1882.04</v>
      </c>
      <c r="I128" s="53">
        <v>27531.479999999996</v>
      </c>
      <c r="J128" s="49"/>
    </row>
    <row r="129" spans="1:10" x14ac:dyDescent="0.2">
      <c r="A129" s="50">
        <f t="shared" si="2"/>
        <v>44689</v>
      </c>
      <c r="B129" s="51">
        <v>8916.7900000000009</v>
      </c>
      <c r="C129" s="52">
        <v>3321.15</v>
      </c>
      <c r="D129" s="52">
        <v>2904.29</v>
      </c>
      <c r="E129" s="52">
        <v>4614.3100000000004</v>
      </c>
      <c r="F129" s="52">
        <v>5335.04</v>
      </c>
      <c r="G129" s="52">
        <v>4286.17</v>
      </c>
      <c r="H129" s="52">
        <v>1552.31</v>
      </c>
      <c r="I129" s="53">
        <v>27825.439999999999</v>
      </c>
      <c r="J129" s="49"/>
    </row>
    <row r="130" spans="1:10" x14ac:dyDescent="0.2">
      <c r="A130" s="50">
        <f t="shared" si="2"/>
        <v>44690</v>
      </c>
      <c r="B130" s="51">
        <v>8450.9500000000007</v>
      </c>
      <c r="C130" s="52">
        <v>3142.64</v>
      </c>
      <c r="D130" s="52">
        <v>2989.92</v>
      </c>
      <c r="E130" s="52">
        <v>4828.7299999999996</v>
      </c>
      <c r="F130" s="52">
        <v>5223.7</v>
      </c>
      <c r="G130" s="52">
        <v>3632.01</v>
      </c>
      <c r="H130" s="52">
        <v>1466.68</v>
      </c>
      <c r="I130" s="53">
        <v>26801.269999999997</v>
      </c>
      <c r="J130" s="49"/>
    </row>
    <row r="131" spans="1:10" x14ac:dyDescent="0.2">
      <c r="A131" s="50">
        <f t="shared" si="2"/>
        <v>44691</v>
      </c>
      <c r="B131" s="51">
        <v>8980</v>
      </c>
      <c r="C131" s="52">
        <v>3273</v>
      </c>
      <c r="D131" s="52">
        <v>3244</v>
      </c>
      <c r="E131" s="52">
        <v>4978</v>
      </c>
      <c r="F131" s="52">
        <v>5348</v>
      </c>
      <c r="G131" s="52">
        <v>3578</v>
      </c>
      <c r="H131" s="52">
        <v>1809</v>
      </c>
      <c r="I131" s="53">
        <v>27592</v>
      </c>
      <c r="J131" s="49"/>
    </row>
    <row r="132" spans="1:10" x14ac:dyDescent="0.2">
      <c r="A132" s="50">
        <f t="shared" si="2"/>
        <v>44692</v>
      </c>
      <c r="B132" s="51">
        <v>9092.14</v>
      </c>
      <c r="C132" s="52">
        <v>3599.21</v>
      </c>
      <c r="D132" s="52">
        <v>3309.34</v>
      </c>
      <c r="E132" s="52">
        <v>4521.7700000000004</v>
      </c>
      <c r="F132" s="52">
        <v>5350.84</v>
      </c>
      <c r="G132" s="52">
        <v>5311.69</v>
      </c>
      <c r="H132" s="52">
        <v>2409.6600000000003</v>
      </c>
      <c r="I132" s="53">
        <v>28775.329999999998</v>
      </c>
      <c r="J132" s="49"/>
    </row>
    <row r="133" spans="1:10" x14ac:dyDescent="0.2">
      <c r="A133" s="50">
        <f t="shared" si="2"/>
        <v>44693</v>
      </c>
      <c r="B133" s="51">
        <v>9272.3700000000008</v>
      </c>
      <c r="C133" s="52">
        <v>3568.71</v>
      </c>
      <c r="D133" s="52">
        <v>3213.57</v>
      </c>
      <c r="E133" s="52">
        <v>4611.4399999999996</v>
      </c>
      <c r="F133" s="52">
        <v>5523.31</v>
      </c>
      <c r="G133" s="52">
        <v>5584.23</v>
      </c>
      <c r="H133" s="52">
        <v>2461.33</v>
      </c>
      <c r="I133" s="53">
        <v>29312.300000000003</v>
      </c>
      <c r="J133" s="49"/>
    </row>
    <row r="134" spans="1:10" x14ac:dyDescent="0.2">
      <c r="A134" s="50">
        <f t="shared" si="2"/>
        <v>44694</v>
      </c>
      <c r="B134" s="51">
        <v>8715.99</v>
      </c>
      <c r="C134" s="52">
        <v>3419.47</v>
      </c>
      <c r="D134" s="52">
        <v>3242.71</v>
      </c>
      <c r="E134" s="52">
        <v>4222.57</v>
      </c>
      <c r="F134" s="52">
        <v>5435.05</v>
      </c>
      <c r="G134" s="52">
        <v>5664.42</v>
      </c>
      <c r="H134" s="52">
        <v>2523.5600000000004</v>
      </c>
      <c r="I134" s="53">
        <v>28176.649999999998</v>
      </c>
      <c r="J134" s="49"/>
    </row>
    <row r="135" spans="1:10" x14ac:dyDescent="0.2">
      <c r="A135" s="50">
        <f t="shared" si="2"/>
        <v>44695</v>
      </c>
      <c r="B135" s="51">
        <v>8609</v>
      </c>
      <c r="C135" s="52">
        <v>3197</v>
      </c>
      <c r="D135" s="52">
        <v>2944</v>
      </c>
      <c r="E135" s="52">
        <v>4053</v>
      </c>
      <c r="F135" s="52">
        <v>4906</v>
      </c>
      <c r="G135" s="52">
        <v>4264</v>
      </c>
      <c r="H135" s="52">
        <v>1258</v>
      </c>
      <c r="I135" s="53">
        <v>26715</v>
      </c>
      <c r="J135" s="49"/>
    </row>
    <row r="136" spans="1:10" x14ac:dyDescent="0.2">
      <c r="A136" s="50">
        <f t="shared" si="2"/>
        <v>44696</v>
      </c>
      <c r="B136" s="51">
        <v>7938.88</v>
      </c>
      <c r="C136" s="52">
        <v>3179</v>
      </c>
      <c r="D136" s="52">
        <v>2846.63</v>
      </c>
      <c r="E136" s="52">
        <v>3417.68</v>
      </c>
      <c r="F136" s="52">
        <v>4832.6899999999996</v>
      </c>
      <c r="G136" s="52">
        <v>4128.4399999999996</v>
      </c>
      <c r="H136" s="52">
        <v>1328.9900000000002</v>
      </c>
      <c r="I136" s="53">
        <v>25014.329999999998</v>
      </c>
      <c r="J136" s="49"/>
    </row>
    <row r="137" spans="1:10" x14ac:dyDescent="0.2">
      <c r="A137" s="50">
        <f t="shared" si="2"/>
        <v>44697</v>
      </c>
      <c r="B137" s="51">
        <v>8605.32</v>
      </c>
      <c r="C137" s="52">
        <v>3473.93</v>
      </c>
      <c r="D137" s="52">
        <v>3039.8</v>
      </c>
      <c r="E137" s="52">
        <v>3819.78</v>
      </c>
      <c r="F137" s="52">
        <v>5405.48</v>
      </c>
      <c r="G137" s="52">
        <v>4913.13</v>
      </c>
      <c r="H137" s="52">
        <v>1998.3500000000004</v>
      </c>
      <c r="I137" s="53">
        <v>27259.089999999997</v>
      </c>
      <c r="J137" s="49"/>
    </row>
    <row r="138" spans="1:10" x14ac:dyDescent="0.2">
      <c r="A138" s="50">
        <f t="shared" si="2"/>
        <v>44698</v>
      </c>
      <c r="B138" s="51">
        <v>8812.11</v>
      </c>
      <c r="C138" s="52">
        <v>3569.54</v>
      </c>
      <c r="D138" s="52">
        <v>3343.88</v>
      </c>
      <c r="E138" s="52">
        <v>4339.2700000000004</v>
      </c>
      <c r="F138" s="52">
        <v>5450.49</v>
      </c>
      <c r="G138" s="52">
        <v>4908.8</v>
      </c>
      <c r="H138" s="52">
        <v>2367.9899999999993</v>
      </c>
      <c r="I138" s="53">
        <v>28056.100000000002</v>
      </c>
      <c r="J138" s="49"/>
    </row>
    <row r="139" spans="1:10" x14ac:dyDescent="0.2">
      <c r="A139" s="50">
        <f t="shared" si="2"/>
        <v>44699</v>
      </c>
      <c r="B139" s="51">
        <v>9200</v>
      </c>
      <c r="C139" s="52">
        <v>3604</v>
      </c>
      <c r="D139" s="52">
        <v>3411</v>
      </c>
      <c r="E139" s="52">
        <v>4536</v>
      </c>
      <c r="F139" s="52">
        <v>5208</v>
      </c>
      <c r="G139" s="52">
        <v>5548</v>
      </c>
      <c r="H139" s="52">
        <v>2520</v>
      </c>
      <c r="I139" s="53">
        <v>28987</v>
      </c>
      <c r="J139" s="49"/>
    </row>
    <row r="140" spans="1:10" x14ac:dyDescent="0.2">
      <c r="A140" s="50">
        <f t="shared" si="2"/>
        <v>44700</v>
      </c>
      <c r="B140" s="51">
        <v>7730.32</v>
      </c>
      <c r="C140" s="52">
        <v>4380.26</v>
      </c>
      <c r="D140" s="52">
        <v>3423.55</v>
      </c>
      <c r="E140" s="52">
        <v>3689.96</v>
      </c>
      <c r="F140" s="52">
        <v>4865.1400000000003</v>
      </c>
      <c r="G140" s="52">
        <v>5277.9</v>
      </c>
      <c r="H140" s="52">
        <v>2238.4300000000003</v>
      </c>
      <c r="I140" s="53">
        <v>27128.699999999997</v>
      </c>
      <c r="J140" s="49"/>
    </row>
    <row r="141" spans="1:10" x14ac:dyDescent="0.2">
      <c r="A141" s="50">
        <f t="shared" si="2"/>
        <v>44701</v>
      </c>
      <c r="B141" s="51">
        <v>8087.8</v>
      </c>
      <c r="C141" s="52">
        <v>4147.8999999999996</v>
      </c>
      <c r="D141" s="52">
        <v>3428.7</v>
      </c>
      <c r="E141" s="52">
        <v>4411.7</v>
      </c>
      <c r="F141" s="52">
        <v>5211.16</v>
      </c>
      <c r="G141" s="52">
        <v>5549.1</v>
      </c>
      <c r="H141" s="52">
        <v>2406.1600000000003</v>
      </c>
      <c r="I141" s="53">
        <v>28430.2</v>
      </c>
      <c r="J141" s="49"/>
    </row>
    <row r="142" spans="1:10" x14ac:dyDescent="0.2">
      <c r="A142" s="50">
        <f t="shared" si="2"/>
        <v>44702</v>
      </c>
      <c r="B142" s="51">
        <v>8080.82</v>
      </c>
      <c r="C142" s="52">
        <v>3930.38</v>
      </c>
      <c r="D142" s="52">
        <v>3295.29</v>
      </c>
      <c r="E142" s="52">
        <v>4565.0200000000004</v>
      </c>
      <c r="F142" s="52">
        <v>5252.34</v>
      </c>
      <c r="G142" s="52">
        <v>4758.13</v>
      </c>
      <c r="H142" s="52">
        <v>1667.1399999999999</v>
      </c>
      <c r="I142" s="53">
        <v>28214.840000000004</v>
      </c>
      <c r="J142" s="49"/>
    </row>
    <row r="143" spans="1:10" x14ac:dyDescent="0.2">
      <c r="A143" s="50">
        <f t="shared" si="2"/>
        <v>44703</v>
      </c>
      <c r="B143" s="51">
        <v>8211</v>
      </c>
      <c r="C143" s="52">
        <v>4114</v>
      </c>
      <c r="D143" s="52">
        <v>3324</v>
      </c>
      <c r="E143" s="52">
        <v>4848</v>
      </c>
      <c r="F143" s="52">
        <v>5186</v>
      </c>
      <c r="G143" s="52">
        <v>4936</v>
      </c>
      <c r="H143" s="52">
        <v>1563</v>
      </c>
      <c r="I143" s="53">
        <v>29056</v>
      </c>
      <c r="J143" s="49"/>
    </row>
    <row r="144" spans="1:10" x14ac:dyDescent="0.2">
      <c r="A144" s="50">
        <f t="shared" si="2"/>
        <v>44704</v>
      </c>
      <c r="B144" s="51">
        <v>8433.51</v>
      </c>
      <c r="C144" s="52">
        <v>4381.71</v>
      </c>
      <c r="D144" s="52">
        <v>3547.65</v>
      </c>
      <c r="E144" s="52">
        <v>4932.33</v>
      </c>
      <c r="F144" s="52">
        <v>5486.43</v>
      </c>
      <c r="G144" s="52">
        <v>6246.14</v>
      </c>
      <c r="H144" s="52">
        <v>2553.33</v>
      </c>
      <c r="I144" s="53">
        <v>30474.440000000002</v>
      </c>
      <c r="J144" s="49"/>
    </row>
    <row r="145" spans="1:10" x14ac:dyDescent="0.2">
      <c r="A145" s="50">
        <f t="shared" si="2"/>
        <v>44705</v>
      </c>
      <c r="B145" s="51">
        <v>8904.7000000000007</v>
      </c>
      <c r="C145" s="52">
        <v>4344.8999999999996</v>
      </c>
      <c r="D145" s="52">
        <v>3441.15</v>
      </c>
      <c r="E145" s="52">
        <v>5073.3999999999996</v>
      </c>
      <c r="F145" s="52">
        <v>5324.14</v>
      </c>
      <c r="G145" s="52">
        <v>5741.7</v>
      </c>
      <c r="H145" s="52">
        <v>2513.91</v>
      </c>
      <c r="I145" s="53">
        <v>30316.079999999998</v>
      </c>
      <c r="J145" s="49"/>
    </row>
    <row r="146" spans="1:10" x14ac:dyDescent="0.2">
      <c r="A146" s="50">
        <f t="shared" si="2"/>
        <v>44706</v>
      </c>
      <c r="B146" s="51">
        <v>8549.32</v>
      </c>
      <c r="C146" s="52">
        <v>4525.55</v>
      </c>
      <c r="D146" s="52">
        <v>3454.54</v>
      </c>
      <c r="E146" s="52">
        <v>5467.68</v>
      </c>
      <c r="F146" s="52">
        <v>5780.35</v>
      </c>
      <c r="G146" s="52">
        <v>5328.32</v>
      </c>
      <c r="H146" s="52">
        <v>2596.37</v>
      </c>
      <c r="I146" s="53">
        <v>30509.390000000003</v>
      </c>
      <c r="J146" s="49"/>
    </row>
    <row r="147" spans="1:10" x14ac:dyDescent="0.2">
      <c r="A147" s="50">
        <f t="shared" si="2"/>
        <v>44707</v>
      </c>
      <c r="B147" s="51">
        <v>8582</v>
      </c>
      <c r="C147" s="52">
        <v>4678</v>
      </c>
      <c r="D147" s="52">
        <v>3398</v>
      </c>
      <c r="E147" s="52">
        <v>4601</v>
      </c>
      <c r="F147" s="52">
        <v>5272</v>
      </c>
      <c r="G147" s="52">
        <v>5226</v>
      </c>
      <c r="H147" s="52">
        <v>2305</v>
      </c>
      <c r="I147" s="53">
        <v>29452</v>
      </c>
      <c r="J147" s="49"/>
    </row>
    <row r="148" spans="1:10" x14ac:dyDescent="0.2">
      <c r="A148" s="50">
        <f t="shared" si="2"/>
        <v>44708</v>
      </c>
      <c r="B148" s="51">
        <v>6994.09</v>
      </c>
      <c r="C148" s="52">
        <v>4720.9399999999996</v>
      </c>
      <c r="D148" s="52">
        <v>3459.18</v>
      </c>
      <c r="E148" s="52">
        <v>4519.6400000000003</v>
      </c>
      <c r="F148" s="52">
        <v>5114.5</v>
      </c>
      <c r="G148" s="52">
        <v>5101.2700000000004</v>
      </c>
      <c r="H148" s="52">
        <v>2264.1999999999998</v>
      </c>
      <c r="I148" s="53">
        <v>27645.42</v>
      </c>
      <c r="J148" s="49"/>
    </row>
    <row r="149" spans="1:10" x14ac:dyDescent="0.2">
      <c r="A149" s="50">
        <f t="shared" si="2"/>
        <v>44709</v>
      </c>
      <c r="B149" s="51">
        <v>6671.45</v>
      </c>
      <c r="C149" s="52">
        <v>4819.0600000000004</v>
      </c>
      <c r="D149" s="52">
        <v>3516.38</v>
      </c>
      <c r="E149" s="52">
        <v>4765.91</v>
      </c>
      <c r="F149" s="52">
        <v>5751.14</v>
      </c>
      <c r="G149" s="52">
        <v>3756.75</v>
      </c>
      <c r="H149" s="52">
        <v>1423.0199999999998</v>
      </c>
      <c r="I149" s="53">
        <v>27857.67</v>
      </c>
      <c r="J149" s="49"/>
    </row>
    <row r="150" spans="1:10" x14ac:dyDescent="0.2">
      <c r="A150" s="50">
        <f t="shared" si="2"/>
        <v>44710</v>
      </c>
      <c r="B150" s="51">
        <v>5451.62</v>
      </c>
      <c r="C150" s="52">
        <v>3565.12</v>
      </c>
      <c r="D150" s="52">
        <v>3079.59</v>
      </c>
      <c r="E150" s="52">
        <v>3933.03</v>
      </c>
      <c r="F150" s="52">
        <v>5815.76</v>
      </c>
      <c r="G150" s="52">
        <v>4099</v>
      </c>
      <c r="H150" s="52">
        <v>1787.8000000000002</v>
      </c>
      <c r="I150" s="53">
        <v>24156.320000000003</v>
      </c>
      <c r="J150" s="49"/>
    </row>
    <row r="151" spans="1:10" x14ac:dyDescent="0.2">
      <c r="A151" s="50">
        <f t="shared" si="2"/>
        <v>44711</v>
      </c>
      <c r="B151" s="51">
        <v>5827</v>
      </c>
      <c r="C151" s="52">
        <v>4013</v>
      </c>
      <c r="D151" s="52">
        <v>3487</v>
      </c>
      <c r="E151" s="52">
        <v>2980</v>
      </c>
      <c r="F151" s="52">
        <v>6663</v>
      </c>
      <c r="G151" s="52">
        <v>5388</v>
      </c>
      <c r="H151" s="52">
        <v>2585</v>
      </c>
      <c r="I151" s="53">
        <v>25773</v>
      </c>
      <c r="J151" s="49"/>
    </row>
    <row r="152" spans="1:10" x14ac:dyDescent="0.2">
      <c r="A152" s="50">
        <f t="shared" si="2"/>
        <v>44712</v>
      </c>
      <c r="B152" s="51">
        <v>6599.7</v>
      </c>
      <c r="C152" s="52">
        <v>4164.17</v>
      </c>
      <c r="D152" s="52">
        <v>3483.22</v>
      </c>
      <c r="E152" s="52">
        <v>2424.5500000000002</v>
      </c>
      <c r="F152" s="52">
        <v>7456.96</v>
      </c>
      <c r="G152" s="52">
        <v>5544.05</v>
      </c>
      <c r="H152" s="52">
        <v>2527.6299999999997</v>
      </c>
      <c r="I152" s="53">
        <v>27145.019999999997</v>
      </c>
      <c r="J152" s="49"/>
    </row>
    <row r="153" spans="1:10" x14ac:dyDescent="0.2">
      <c r="A153" s="50">
        <f t="shared" si="2"/>
        <v>44713</v>
      </c>
      <c r="B153" s="51">
        <v>6640.62</v>
      </c>
      <c r="C153" s="52">
        <v>4078.54</v>
      </c>
      <c r="D153" s="52">
        <v>3466.62</v>
      </c>
      <c r="E153" s="52">
        <v>2547.7199999999998</v>
      </c>
      <c r="F153" s="52">
        <v>7495</v>
      </c>
      <c r="G153" s="52">
        <v>5319.96</v>
      </c>
      <c r="H153" s="52">
        <v>2340.7100000000005</v>
      </c>
      <c r="I153" s="53">
        <v>27207.75</v>
      </c>
      <c r="J153" s="49"/>
    </row>
    <row r="154" spans="1:10" x14ac:dyDescent="0.2">
      <c r="A154" s="50">
        <f t="shared" si="2"/>
        <v>44714</v>
      </c>
      <c r="B154" s="51">
        <v>6066.41</v>
      </c>
      <c r="C154" s="52">
        <v>3884.24</v>
      </c>
      <c r="D154" s="52">
        <v>3245.84</v>
      </c>
      <c r="E154" s="52">
        <v>3017</v>
      </c>
      <c r="F154" s="52">
        <v>6728.89</v>
      </c>
      <c r="G154" s="52">
        <v>5172.91</v>
      </c>
      <c r="H154" s="52">
        <v>2626.1299999999997</v>
      </c>
      <c r="I154" s="53">
        <v>25489.16</v>
      </c>
      <c r="J154" s="49"/>
    </row>
    <row r="155" spans="1:10" x14ac:dyDescent="0.2">
      <c r="A155" s="50">
        <f t="shared" si="2"/>
        <v>44715</v>
      </c>
      <c r="B155" s="51">
        <v>5241</v>
      </c>
      <c r="C155" s="52">
        <v>3920</v>
      </c>
      <c r="D155" s="52">
        <v>3199</v>
      </c>
      <c r="E155" s="52">
        <v>3841</v>
      </c>
      <c r="F155" s="52">
        <v>5508</v>
      </c>
      <c r="G155" s="52">
        <v>5660</v>
      </c>
      <c r="H155" s="52">
        <v>2904</v>
      </c>
      <c r="I155" s="53">
        <v>24465</v>
      </c>
      <c r="J155" s="49"/>
    </row>
    <row r="156" spans="1:10" x14ac:dyDescent="0.2">
      <c r="A156" s="50">
        <f t="shared" si="2"/>
        <v>44716</v>
      </c>
      <c r="B156" s="51">
        <v>5378.5</v>
      </c>
      <c r="C156" s="52">
        <v>3588.53</v>
      </c>
      <c r="D156" s="52">
        <v>3077.13</v>
      </c>
      <c r="E156" s="52">
        <v>3886.7</v>
      </c>
      <c r="F156" s="52">
        <v>5570.7</v>
      </c>
      <c r="G156" s="52">
        <v>4137.34</v>
      </c>
      <c r="H156" s="52">
        <v>1683.25</v>
      </c>
      <c r="I156" s="53">
        <v>23955.65</v>
      </c>
      <c r="J156" s="49"/>
    </row>
    <row r="157" spans="1:10" x14ac:dyDescent="0.2">
      <c r="A157" s="50">
        <f t="shared" si="2"/>
        <v>44717</v>
      </c>
      <c r="B157" s="51">
        <v>4369.54</v>
      </c>
      <c r="C157" s="52">
        <v>3419.87</v>
      </c>
      <c r="D157" s="52">
        <v>2854.13</v>
      </c>
      <c r="E157" s="52">
        <v>2822.29</v>
      </c>
      <c r="F157" s="52">
        <v>4578.5600000000004</v>
      </c>
      <c r="G157" s="52">
        <v>4086.29</v>
      </c>
      <c r="H157" s="52">
        <v>1652.5300000000002</v>
      </c>
      <c r="I157" s="53">
        <v>20478.150000000005</v>
      </c>
      <c r="J157" s="49"/>
    </row>
    <row r="158" spans="1:10" x14ac:dyDescent="0.2">
      <c r="A158" s="50">
        <f t="shared" si="2"/>
        <v>44718</v>
      </c>
      <c r="B158" s="51">
        <v>4765.91</v>
      </c>
      <c r="C158" s="52">
        <v>3573.77</v>
      </c>
      <c r="D158" s="52">
        <v>3138.45</v>
      </c>
      <c r="E158" s="52">
        <v>2989.03</v>
      </c>
      <c r="F158" s="52">
        <v>4760.34</v>
      </c>
      <c r="G158" s="52">
        <v>4661.54</v>
      </c>
      <c r="H158" s="52">
        <v>2479.4600000000005</v>
      </c>
      <c r="I158" s="53">
        <v>21409.58</v>
      </c>
      <c r="J158" s="49"/>
    </row>
    <row r="159" spans="1:10" x14ac:dyDescent="0.2">
      <c r="A159" s="50">
        <f t="shared" si="2"/>
        <v>44719</v>
      </c>
      <c r="B159" s="51">
        <v>5382</v>
      </c>
      <c r="C159" s="52">
        <v>3788</v>
      </c>
      <c r="D159" s="52">
        <v>3116</v>
      </c>
      <c r="E159" s="52">
        <v>4300</v>
      </c>
      <c r="F159" s="52">
        <v>5872</v>
      </c>
      <c r="G159" s="52">
        <v>4485</v>
      </c>
      <c r="H159" s="52">
        <v>2503</v>
      </c>
      <c r="I159" s="53">
        <v>24440</v>
      </c>
      <c r="J159" s="49"/>
    </row>
    <row r="160" spans="1:10" x14ac:dyDescent="0.2">
      <c r="A160" s="50">
        <f t="shared" ref="A160:A223" si="3">A159+1</f>
        <v>44720</v>
      </c>
      <c r="B160" s="51">
        <v>5152.3900000000003</v>
      </c>
      <c r="C160" s="52">
        <v>3828.62</v>
      </c>
      <c r="D160" s="52">
        <v>3263.57</v>
      </c>
      <c r="E160" s="52">
        <v>3395.81</v>
      </c>
      <c r="F160" s="52">
        <v>5204.1899999999996</v>
      </c>
      <c r="G160" s="52">
        <v>5015.53</v>
      </c>
      <c r="H160" s="52">
        <v>2556.8100000000004</v>
      </c>
      <c r="I160" s="53">
        <v>23303.299999999996</v>
      </c>
      <c r="J160" s="49"/>
    </row>
    <row r="161" spans="1:10" x14ac:dyDescent="0.2">
      <c r="A161" s="50">
        <f t="shared" si="3"/>
        <v>44721</v>
      </c>
      <c r="B161" s="51">
        <v>5442.76</v>
      </c>
      <c r="C161" s="52">
        <v>3827.01</v>
      </c>
      <c r="D161" s="52">
        <v>3192.1</v>
      </c>
      <c r="E161" s="52">
        <v>3629.51</v>
      </c>
      <c r="F161" s="52">
        <v>4997.96</v>
      </c>
      <c r="G161" s="52">
        <v>5323.73</v>
      </c>
      <c r="H161" s="52">
        <v>2596.54</v>
      </c>
      <c r="I161" s="53">
        <v>23816.53</v>
      </c>
      <c r="J161" s="49"/>
    </row>
    <row r="162" spans="1:10" x14ac:dyDescent="0.2">
      <c r="A162" s="50">
        <f t="shared" si="3"/>
        <v>44722</v>
      </c>
      <c r="B162" s="51">
        <v>4620.6899999999996</v>
      </c>
      <c r="C162" s="52">
        <v>3381.42</v>
      </c>
      <c r="D162" s="52">
        <v>3068.13</v>
      </c>
      <c r="E162" s="52">
        <v>3573.19</v>
      </c>
      <c r="F162" s="52">
        <v>5328.32</v>
      </c>
      <c r="G162" s="52">
        <v>4389.7700000000004</v>
      </c>
      <c r="H162" s="52">
        <v>2339.2599999999993</v>
      </c>
      <c r="I162" s="53">
        <v>22022.260000000002</v>
      </c>
      <c r="J162" s="49"/>
    </row>
    <row r="163" spans="1:10" x14ac:dyDescent="0.2">
      <c r="A163" s="50">
        <f t="shared" si="3"/>
        <v>44723</v>
      </c>
      <c r="B163" s="51">
        <v>1182</v>
      </c>
      <c r="C163" s="52">
        <v>1290</v>
      </c>
      <c r="D163" s="52">
        <v>1285</v>
      </c>
      <c r="E163" s="52">
        <v>1081</v>
      </c>
      <c r="F163" s="52">
        <v>2181</v>
      </c>
      <c r="G163" s="52">
        <v>1984</v>
      </c>
      <c r="H163" s="52">
        <v>1265</v>
      </c>
      <c r="I163" s="53">
        <v>7738</v>
      </c>
      <c r="J163" s="49"/>
    </row>
    <row r="164" spans="1:10" x14ac:dyDescent="0.2">
      <c r="A164" s="50">
        <f t="shared" si="3"/>
        <v>44724</v>
      </c>
      <c r="B164" s="51">
        <v>4172.72</v>
      </c>
      <c r="C164" s="52">
        <v>3126.95</v>
      </c>
      <c r="D164" s="52">
        <v>2479.46</v>
      </c>
      <c r="E164" s="52">
        <v>2927.86</v>
      </c>
      <c r="F164" s="52">
        <v>4028.08</v>
      </c>
      <c r="G164" s="52">
        <v>3075.9</v>
      </c>
      <c r="H164" s="52">
        <v>1714.8199999999997</v>
      </c>
      <c r="I164" s="53">
        <v>18096.150000000001</v>
      </c>
      <c r="J164" s="49"/>
    </row>
    <row r="165" spans="1:10" x14ac:dyDescent="0.2">
      <c r="A165" s="50">
        <f t="shared" si="3"/>
        <v>44725</v>
      </c>
      <c r="B165" s="51">
        <v>5208.93</v>
      </c>
      <c r="C165" s="52">
        <v>3729</v>
      </c>
      <c r="D165" s="52">
        <v>3305.21</v>
      </c>
      <c r="E165" s="52">
        <v>3294.1</v>
      </c>
      <c r="F165" s="52">
        <v>4850.9399999999996</v>
      </c>
      <c r="G165" s="52">
        <v>4865.3</v>
      </c>
      <c r="H165" s="52">
        <v>2086.0299999999997</v>
      </c>
      <c r="I165" s="53">
        <v>23167.45</v>
      </c>
      <c r="J165" s="49"/>
    </row>
    <row r="166" spans="1:10" x14ac:dyDescent="0.2">
      <c r="A166" s="50">
        <f t="shared" si="3"/>
        <v>44726</v>
      </c>
      <c r="B166" s="51">
        <v>5681.61</v>
      </c>
      <c r="C166" s="52">
        <v>4018.47</v>
      </c>
      <c r="D166" s="52">
        <v>3367.01</v>
      </c>
      <c r="E166" s="52">
        <v>4199.12</v>
      </c>
      <c r="F166" s="52">
        <v>5731.41</v>
      </c>
      <c r="G166" s="52">
        <v>4960.3100000000004</v>
      </c>
      <c r="H166" s="52">
        <v>2552.13</v>
      </c>
      <c r="I166" s="53">
        <v>25405.8</v>
      </c>
      <c r="J166" s="49"/>
    </row>
    <row r="167" spans="1:10" x14ac:dyDescent="0.2">
      <c r="A167" s="50">
        <f t="shared" si="3"/>
        <v>44727</v>
      </c>
      <c r="B167" s="51">
        <v>5520</v>
      </c>
      <c r="C167" s="52">
        <v>4114</v>
      </c>
      <c r="D167" s="52">
        <v>3251</v>
      </c>
      <c r="E167" s="52">
        <v>3823</v>
      </c>
      <c r="F167" s="52">
        <v>5648</v>
      </c>
      <c r="G167" s="52">
        <v>5084</v>
      </c>
      <c r="H167" s="52">
        <v>2520</v>
      </c>
      <c r="I167" s="53">
        <v>24920</v>
      </c>
      <c r="J167" s="49"/>
    </row>
    <row r="168" spans="1:10" x14ac:dyDescent="0.2">
      <c r="A168" s="50">
        <f t="shared" si="3"/>
        <v>44728</v>
      </c>
      <c r="B168" s="51">
        <v>5559</v>
      </c>
      <c r="C168" s="52">
        <v>4075.51</v>
      </c>
      <c r="D168" s="52">
        <v>3334.35</v>
      </c>
      <c r="E168" s="52">
        <v>3417.71</v>
      </c>
      <c r="F168" s="52">
        <v>6635.66</v>
      </c>
      <c r="G168" s="52">
        <v>5003.2299999999996</v>
      </c>
      <c r="H168" s="52">
        <v>2360.1</v>
      </c>
      <c r="I168" s="53">
        <v>25665.360000000001</v>
      </c>
      <c r="J168" s="49"/>
    </row>
    <row r="169" spans="1:10" x14ac:dyDescent="0.2">
      <c r="A169" s="50">
        <f t="shared" si="3"/>
        <v>44729</v>
      </c>
      <c r="B169" s="51">
        <v>5199.07</v>
      </c>
      <c r="C169" s="52">
        <v>4067.03</v>
      </c>
      <c r="D169" s="52">
        <v>3327.63</v>
      </c>
      <c r="E169" s="52">
        <v>3051.9</v>
      </c>
      <c r="F169" s="52">
        <v>6444.68</v>
      </c>
      <c r="G169" s="52">
        <v>5215.8999999999996</v>
      </c>
      <c r="H169" s="52">
        <v>2569.7199999999998</v>
      </c>
      <c r="I169" s="53">
        <v>24736.489999999998</v>
      </c>
      <c r="J169" s="49"/>
    </row>
    <row r="170" spans="1:10" x14ac:dyDescent="0.2">
      <c r="A170" s="50">
        <f t="shared" si="3"/>
        <v>44730</v>
      </c>
      <c r="B170" s="51">
        <v>5316.68</v>
      </c>
      <c r="C170" s="52">
        <v>3774.14</v>
      </c>
      <c r="D170" s="52">
        <v>3093.45</v>
      </c>
      <c r="E170" s="52">
        <v>3969.36</v>
      </c>
      <c r="F170" s="52">
        <v>6661.44</v>
      </c>
      <c r="G170" s="52">
        <v>4210.5600000000004</v>
      </c>
      <c r="H170" s="52">
        <v>2011.1799999999998</v>
      </c>
      <c r="I170" s="53">
        <v>25014.45</v>
      </c>
      <c r="J170" s="49"/>
    </row>
    <row r="171" spans="1:10" x14ac:dyDescent="0.2">
      <c r="A171" s="50">
        <f t="shared" si="3"/>
        <v>44731</v>
      </c>
      <c r="B171" s="51">
        <v>4792</v>
      </c>
      <c r="C171" s="52">
        <v>3966</v>
      </c>
      <c r="D171" s="52">
        <v>3046</v>
      </c>
      <c r="E171" s="52">
        <v>2872</v>
      </c>
      <c r="F171" s="52">
        <v>6204</v>
      </c>
      <c r="G171" s="52">
        <v>4189</v>
      </c>
      <c r="H171" s="52">
        <v>1829</v>
      </c>
      <c r="I171" s="53">
        <v>23240</v>
      </c>
      <c r="J171" s="49"/>
    </row>
    <row r="172" spans="1:10" x14ac:dyDescent="0.2">
      <c r="A172" s="50">
        <f t="shared" si="3"/>
        <v>44732</v>
      </c>
      <c r="B172" s="51">
        <v>5233.8900000000003</v>
      </c>
      <c r="C172" s="52">
        <v>3955.34</v>
      </c>
      <c r="D172" s="52">
        <v>3187.13</v>
      </c>
      <c r="E172" s="52">
        <v>2635.77</v>
      </c>
      <c r="F172" s="52">
        <v>6488.8</v>
      </c>
      <c r="G172" s="52">
        <v>5205.17</v>
      </c>
      <c r="H172" s="52">
        <v>2545.1200000000003</v>
      </c>
      <c r="I172" s="53">
        <v>24160.98</v>
      </c>
      <c r="J172" s="49"/>
    </row>
    <row r="173" spans="1:10" x14ac:dyDescent="0.2">
      <c r="A173" s="50">
        <f t="shared" si="3"/>
        <v>44733</v>
      </c>
      <c r="B173" s="51">
        <v>5762.75</v>
      </c>
      <c r="C173" s="52">
        <v>4071.71</v>
      </c>
      <c r="D173" s="52">
        <v>3359.71</v>
      </c>
      <c r="E173" s="52">
        <v>3326.41</v>
      </c>
      <c r="F173" s="52">
        <v>6694.88</v>
      </c>
      <c r="G173" s="52">
        <v>5196.03</v>
      </c>
      <c r="H173" s="52">
        <v>2561.7900000000004</v>
      </c>
      <c r="I173" s="53">
        <v>25849.699999999997</v>
      </c>
      <c r="J173" s="49"/>
    </row>
    <row r="174" spans="1:10" x14ac:dyDescent="0.2">
      <c r="A174" s="50">
        <f t="shared" si="3"/>
        <v>44734</v>
      </c>
      <c r="B174" s="51">
        <v>5681.67</v>
      </c>
      <c r="C174" s="52">
        <v>3938.02</v>
      </c>
      <c r="D174" s="52">
        <v>3159.38</v>
      </c>
      <c r="E174" s="52">
        <v>3731.01</v>
      </c>
      <c r="F174" s="52">
        <v>6674.59</v>
      </c>
      <c r="G174" s="52">
        <v>4859.88</v>
      </c>
      <c r="H174" s="52">
        <v>2368.7399999999998</v>
      </c>
      <c r="I174" s="53">
        <v>25675.810000000005</v>
      </c>
      <c r="J174" s="49"/>
    </row>
    <row r="175" spans="1:10" x14ac:dyDescent="0.2">
      <c r="A175" s="50">
        <f t="shared" si="3"/>
        <v>44735</v>
      </c>
      <c r="B175" s="51">
        <v>5539</v>
      </c>
      <c r="C175" s="52">
        <v>3929</v>
      </c>
      <c r="D175" s="52">
        <v>3151</v>
      </c>
      <c r="E175" s="52">
        <v>3558</v>
      </c>
      <c r="F175" s="52">
        <v>6705</v>
      </c>
      <c r="G175" s="52">
        <v>5171</v>
      </c>
      <c r="H175" s="52">
        <v>2428</v>
      </c>
      <c r="I175" s="53">
        <v>25625</v>
      </c>
      <c r="J175" s="49"/>
    </row>
    <row r="176" spans="1:10" x14ac:dyDescent="0.2">
      <c r="A176" s="50">
        <f t="shared" si="3"/>
        <v>44736</v>
      </c>
      <c r="B176" s="51">
        <v>5038</v>
      </c>
      <c r="C176" s="52">
        <v>4446.1400000000003</v>
      </c>
      <c r="D176" s="52">
        <v>3257.42</v>
      </c>
      <c r="E176" s="52">
        <v>2200.84</v>
      </c>
      <c r="F176" s="52">
        <v>6222.37</v>
      </c>
      <c r="G176" s="52">
        <v>5054.01</v>
      </c>
      <c r="H176" s="52">
        <v>2469.8620000000005</v>
      </c>
      <c r="I176" s="53">
        <v>23748.917999999998</v>
      </c>
      <c r="J176" s="49"/>
    </row>
    <row r="177" spans="1:10" x14ac:dyDescent="0.2">
      <c r="A177" s="50">
        <f t="shared" si="3"/>
        <v>44737</v>
      </c>
      <c r="B177" s="51">
        <v>5333.47</v>
      </c>
      <c r="C177" s="52">
        <v>4438.03</v>
      </c>
      <c r="D177" s="52">
        <v>3023.25</v>
      </c>
      <c r="E177" s="52">
        <v>3329.1</v>
      </c>
      <c r="F177" s="52">
        <v>6564.1</v>
      </c>
      <c r="G177" s="52">
        <v>3688.56</v>
      </c>
      <c r="H177" s="52">
        <v>1627.2200000000003</v>
      </c>
      <c r="I177" s="53">
        <v>24749.29</v>
      </c>
      <c r="J177" s="49"/>
    </row>
    <row r="178" spans="1:10" x14ac:dyDescent="0.2">
      <c r="A178" s="50">
        <f t="shared" si="3"/>
        <v>44738</v>
      </c>
      <c r="B178" s="51">
        <v>5891.05</v>
      </c>
      <c r="C178" s="52">
        <v>4959.53</v>
      </c>
      <c r="D178" s="52">
        <v>2954.03</v>
      </c>
      <c r="E178" s="52">
        <v>3876.34</v>
      </c>
      <c r="F178" s="52">
        <v>6060.77</v>
      </c>
      <c r="G178" s="52">
        <v>3326.36</v>
      </c>
      <c r="H178" s="52">
        <v>1370.9299999999998</v>
      </c>
      <c r="I178" s="53">
        <v>25697.15</v>
      </c>
      <c r="J178" s="49"/>
    </row>
    <row r="179" spans="1:10" x14ac:dyDescent="0.2">
      <c r="A179" s="50">
        <f t="shared" si="3"/>
        <v>44739</v>
      </c>
      <c r="B179" s="51">
        <v>5696</v>
      </c>
      <c r="C179" s="52">
        <v>4088</v>
      </c>
      <c r="D179" s="52">
        <v>3299</v>
      </c>
      <c r="E179" s="52">
        <v>3114</v>
      </c>
      <c r="F179" s="52">
        <v>6281</v>
      </c>
      <c r="G179" s="52">
        <v>5196</v>
      </c>
      <c r="H179" s="52">
        <v>2513</v>
      </c>
      <c r="I179" s="53">
        <v>25161</v>
      </c>
      <c r="J179" s="49"/>
    </row>
    <row r="180" spans="1:10" x14ac:dyDescent="0.2">
      <c r="A180" s="50">
        <f t="shared" si="3"/>
        <v>44740</v>
      </c>
      <c r="B180" s="51">
        <v>5742.12</v>
      </c>
      <c r="C180" s="52">
        <v>4019.59</v>
      </c>
      <c r="D180" s="52">
        <v>3365.98</v>
      </c>
      <c r="E180" s="52">
        <v>3074.6</v>
      </c>
      <c r="F180" s="52">
        <v>6123.18</v>
      </c>
      <c r="G180" s="52">
        <v>5438.48</v>
      </c>
      <c r="H180" s="52">
        <v>2484.6000000000004</v>
      </c>
      <c r="I180" s="53">
        <v>25279.35</v>
      </c>
      <c r="J180" s="49"/>
    </row>
    <row r="181" spans="1:10" x14ac:dyDescent="0.2">
      <c r="A181" s="50">
        <f t="shared" si="3"/>
        <v>44741</v>
      </c>
      <c r="B181" s="51">
        <v>5688.67</v>
      </c>
      <c r="C181" s="52">
        <v>3960.48</v>
      </c>
      <c r="D181" s="52">
        <v>3449.23</v>
      </c>
      <c r="E181" s="52">
        <v>3133.65</v>
      </c>
      <c r="F181" s="52">
        <v>6242.23</v>
      </c>
      <c r="G181" s="52">
        <v>5541.04</v>
      </c>
      <c r="H181" s="52">
        <v>2475.5800000000004</v>
      </c>
      <c r="I181" s="53">
        <v>25539.719999999998</v>
      </c>
      <c r="J181" s="49"/>
    </row>
    <row r="182" spans="1:10" x14ac:dyDescent="0.2">
      <c r="A182" s="50">
        <f t="shared" si="3"/>
        <v>44742</v>
      </c>
      <c r="B182" s="51">
        <v>5521.83</v>
      </c>
      <c r="C182" s="52">
        <v>3672.01</v>
      </c>
      <c r="D182" s="52">
        <v>3290.87</v>
      </c>
      <c r="E182" s="52">
        <v>3394.68</v>
      </c>
      <c r="F182" s="52">
        <v>6391.98</v>
      </c>
      <c r="G182" s="52">
        <v>5394.05</v>
      </c>
      <c r="H182" s="52">
        <v>2605.35</v>
      </c>
      <c r="I182" s="53">
        <v>25060.07</v>
      </c>
      <c r="J182" s="49"/>
    </row>
    <row r="183" spans="1:10" x14ac:dyDescent="0.2">
      <c r="A183" s="50">
        <f t="shared" si="3"/>
        <v>44743</v>
      </c>
      <c r="B183" s="51">
        <v>5527</v>
      </c>
      <c r="C183" s="52">
        <v>3829</v>
      </c>
      <c r="D183" s="52">
        <v>3303</v>
      </c>
      <c r="E183" s="52">
        <v>3504</v>
      </c>
      <c r="F183" s="52">
        <v>6150</v>
      </c>
      <c r="G183" s="52">
        <v>4911</v>
      </c>
      <c r="H183" s="52">
        <v>2454</v>
      </c>
      <c r="I183" s="53">
        <v>24770</v>
      </c>
      <c r="J183" s="49"/>
    </row>
    <row r="184" spans="1:10" x14ac:dyDescent="0.2">
      <c r="A184" s="50">
        <f t="shared" si="3"/>
        <v>44744</v>
      </c>
      <c r="B184" s="51">
        <v>5111.7700000000004</v>
      </c>
      <c r="C184" s="52">
        <v>3650.02</v>
      </c>
      <c r="D184" s="52">
        <v>3055.32</v>
      </c>
      <c r="E184" s="52">
        <v>2119.35</v>
      </c>
      <c r="F184" s="52">
        <v>6220.76</v>
      </c>
      <c r="G184" s="52">
        <v>2468.64</v>
      </c>
      <c r="H184" s="52">
        <v>1456.9699999999998</v>
      </c>
      <c r="I184" s="53">
        <v>21168.89</v>
      </c>
      <c r="J184" s="49"/>
    </row>
    <row r="185" spans="1:10" x14ac:dyDescent="0.2">
      <c r="A185" s="50">
        <f t="shared" si="3"/>
        <v>44745</v>
      </c>
      <c r="B185" s="51">
        <v>3488.63</v>
      </c>
      <c r="C185" s="52">
        <v>3364.96</v>
      </c>
      <c r="D185" s="52">
        <v>2517.2399999999998</v>
      </c>
      <c r="E185" s="52">
        <v>2626.93</v>
      </c>
      <c r="F185" s="52">
        <v>5520.73</v>
      </c>
      <c r="G185" s="52">
        <v>2345.9</v>
      </c>
      <c r="H185" s="52">
        <v>1363.31</v>
      </c>
      <c r="I185" s="53">
        <v>18501.079999999998</v>
      </c>
      <c r="J185" s="49"/>
    </row>
    <row r="186" spans="1:10" x14ac:dyDescent="0.2">
      <c r="A186" s="50">
        <f t="shared" si="3"/>
        <v>44746</v>
      </c>
      <c r="B186" s="51">
        <v>4888.6499999999996</v>
      </c>
      <c r="C186" s="52">
        <v>3730.97</v>
      </c>
      <c r="D186" s="52">
        <v>3133.94</v>
      </c>
      <c r="E186" s="52">
        <v>2590.13</v>
      </c>
      <c r="F186" s="52">
        <v>5784.54</v>
      </c>
      <c r="G186" s="52">
        <v>4699.8100000000004</v>
      </c>
      <c r="H186" s="52">
        <v>2441.4299999999998</v>
      </c>
      <c r="I186" s="53">
        <v>22386.61</v>
      </c>
      <c r="J186" s="49"/>
    </row>
    <row r="187" spans="1:10" x14ac:dyDescent="0.2">
      <c r="A187" s="50">
        <f t="shared" si="3"/>
        <v>44747</v>
      </c>
      <c r="B187" s="51">
        <v>5561</v>
      </c>
      <c r="C187" s="52">
        <v>3802</v>
      </c>
      <c r="D187" s="52">
        <v>3219</v>
      </c>
      <c r="E187" s="52">
        <v>3294</v>
      </c>
      <c r="F187" s="52">
        <v>6276</v>
      </c>
      <c r="G187" s="52">
        <v>5306</v>
      </c>
      <c r="H187" s="52">
        <v>2424</v>
      </c>
      <c r="I187" s="53">
        <v>25034</v>
      </c>
      <c r="J187" s="49"/>
    </row>
    <row r="188" spans="1:10" x14ac:dyDescent="0.2">
      <c r="A188" s="50">
        <f t="shared" si="3"/>
        <v>44748</v>
      </c>
      <c r="B188" s="51">
        <v>5357.85</v>
      </c>
      <c r="C188" s="52">
        <v>3785.09</v>
      </c>
      <c r="D188" s="52">
        <v>3198.72</v>
      </c>
      <c r="E188" s="52">
        <v>2758.15</v>
      </c>
      <c r="F188" s="52">
        <v>6200.65</v>
      </c>
      <c r="G188" s="52">
        <v>5633.91</v>
      </c>
      <c r="H188" s="52">
        <v>2685.44</v>
      </c>
      <c r="I188" s="53">
        <v>24248.93</v>
      </c>
      <c r="J188" s="49"/>
    </row>
    <row r="189" spans="1:10" x14ac:dyDescent="0.2">
      <c r="A189" s="50">
        <f t="shared" si="3"/>
        <v>44749</v>
      </c>
      <c r="B189" s="51">
        <v>5201.7</v>
      </c>
      <c r="C189" s="52">
        <v>3622.84</v>
      </c>
      <c r="D189" s="52">
        <v>3186.53</v>
      </c>
      <c r="E189" s="52">
        <v>3174.52</v>
      </c>
      <c r="F189" s="52">
        <v>6222.07</v>
      </c>
      <c r="G189" s="52">
        <v>5535.66</v>
      </c>
      <c r="H189" s="52">
        <v>2592.8200000000002</v>
      </c>
      <c r="I189" s="53">
        <v>24350.500000000004</v>
      </c>
      <c r="J189" s="49"/>
    </row>
    <row r="190" spans="1:10" x14ac:dyDescent="0.2">
      <c r="A190" s="50">
        <f t="shared" si="3"/>
        <v>44750</v>
      </c>
      <c r="B190" s="51">
        <v>4946.8999999999996</v>
      </c>
      <c r="C190" s="52">
        <v>3624.19</v>
      </c>
      <c r="D190" s="52">
        <v>3064.35</v>
      </c>
      <c r="E190" s="52">
        <v>2408.06</v>
      </c>
      <c r="F190" s="52">
        <v>6461.61</v>
      </c>
      <c r="G190" s="52">
        <v>5504.39</v>
      </c>
      <c r="H190" s="52">
        <v>2682.36</v>
      </c>
      <c r="I190" s="53">
        <v>23327.14</v>
      </c>
      <c r="J190" s="49"/>
    </row>
    <row r="191" spans="1:10" x14ac:dyDescent="0.2">
      <c r="A191" s="50">
        <f t="shared" si="3"/>
        <v>44751</v>
      </c>
      <c r="B191" s="51">
        <v>3600</v>
      </c>
      <c r="C191" s="52">
        <v>3171</v>
      </c>
      <c r="D191" s="52">
        <v>2262</v>
      </c>
      <c r="E191" s="52">
        <v>2551</v>
      </c>
      <c r="F191" s="52">
        <v>5696</v>
      </c>
      <c r="G191" s="52">
        <v>4375</v>
      </c>
      <c r="H191" s="52">
        <v>2068</v>
      </c>
      <c r="I191" s="53">
        <v>19587</v>
      </c>
      <c r="J191" s="49"/>
    </row>
    <row r="192" spans="1:10" x14ac:dyDescent="0.2">
      <c r="A192" s="50">
        <f t="shared" si="3"/>
        <v>44752</v>
      </c>
      <c r="B192" s="51">
        <v>4539.99</v>
      </c>
      <c r="C192" s="52">
        <v>3227.13</v>
      </c>
      <c r="D192" s="52">
        <v>2348.46</v>
      </c>
      <c r="E192" s="52">
        <v>2520.7800000000002</v>
      </c>
      <c r="F192" s="52">
        <v>5862.39</v>
      </c>
      <c r="G192" s="52">
        <v>4384.03</v>
      </c>
      <c r="H192" s="52">
        <v>1956.99</v>
      </c>
      <c r="I192" s="53">
        <v>20925.789999999997</v>
      </c>
      <c r="J192" s="49"/>
    </row>
    <row r="193" spans="1:10" x14ac:dyDescent="0.2">
      <c r="A193" s="50">
        <f t="shared" si="3"/>
        <v>44753</v>
      </c>
      <c r="B193" s="51">
        <v>5450.36</v>
      </c>
      <c r="C193" s="52">
        <v>3790.18</v>
      </c>
      <c r="D193" s="52">
        <v>3068.72</v>
      </c>
      <c r="E193" s="52">
        <v>3015.54</v>
      </c>
      <c r="F193" s="52">
        <v>6453.38</v>
      </c>
      <c r="G193" s="52">
        <v>4805.79</v>
      </c>
      <c r="H193" s="52">
        <v>2537.7799999999997</v>
      </c>
      <c r="I193" s="53">
        <v>24046.190000000002</v>
      </c>
      <c r="J193" s="49"/>
    </row>
    <row r="194" spans="1:10" x14ac:dyDescent="0.2">
      <c r="A194" s="50">
        <f t="shared" si="3"/>
        <v>44754</v>
      </c>
      <c r="B194" s="51">
        <v>5105</v>
      </c>
      <c r="C194" s="52">
        <v>3873.27</v>
      </c>
      <c r="D194" s="52">
        <v>3033.17</v>
      </c>
      <c r="E194" s="52">
        <v>2265.59</v>
      </c>
      <c r="F194" s="52">
        <v>6244.95</v>
      </c>
      <c r="G194" s="52">
        <v>5158.71</v>
      </c>
      <c r="H194" s="52">
        <v>2667.9700000000003</v>
      </c>
      <c r="I194" s="53">
        <v>23012.719999999998</v>
      </c>
      <c r="J194" s="49"/>
    </row>
    <row r="195" spans="1:10" x14ac:dyDescent="0.2">
      <c r="A195" s="50">
        <f t="shared" si="3"/>
        <v>44755</v>
      </c>
      <c r="B195" s="51">
        <v>5057</v>
      </c>
      <c r="C195" s="52">
        <v>4234</v>
      </c>
      <c r="D195" s="52">
        <v>3076</v>
      </c>
      <c r="E195" s="52">
        <v>2922</v>
      </c>
      <c r="F195" s="52">
        <v>6123</v>
      </c>
      <c r="G195" s="52">
        <v>5218</v>
      </c>
      <c r="H195" s="52">
        <v>2563</v>
      </c>
      <c r="I195" s="53">
        <v>24067</v>
      </c>
      <c r="J195" s="49"/>
    </row>
    <row r="196" spans="1:10" x14ac:dyDescent="0.2">
      <c r="A196" s="50">
        <f t="shared" si="3"/>
        <v>44756</v>
      </c>
      <c r="B196" s="51">
        <v>5108.5200000000004</v>
      </c>
      <c r="C196" s="52">
        <v>4264.3599999999997</v>
      </c>
      <c r="D196" s="52">
        <v>3031.64</v>
      </c>
      <c r="E196" s="52">
        <v>3678.42</v>
      </c>
      <c r="F196" s="52">
        <v>6778.08</v>
      </c>
      <c r="G196" s="52">
        <v>5229.91</v>
      </c>
      <c r="H196" s="52">
        <v>2390.7900000000004</v>
      </c>
      <c r="I196" s="53">
        <v>25700.14</v>
      </c>
      <c r="J196" s="49"/>
    </row>
    <row r="197" spans="1:10" x14ac:dyDescent="0.2">
      <c r="A197" s="50">
        <f t="shared" si="3"/>
        <v>44757</v>
      </c>
      <c r="B197" s="51">
        <v>5520.33</v>
      </c>
      <c r="C197" s="52">
        <v>4113.71</v>
      </c>
      <c r="D197" s="52">
        <v>3250.57</v>
      </c>
      <c r="E197" s="52">
        <v>3822.79</v>
      </c>
      <c r="F197" s="52">
        <v>5648.32</v>
      </c>
      <c r="G197" s="52">
        <v>5083.91</v>
      </c>
      <c r="H197" s="52">
        <v>2525.75</v>
      </c>
      <c r="I197" s="53">
        <v>24913.88</v>
      </c>
      <c r="J197" s="49"/>
    </row>
    <row r="198" spans="1:10" x14ac:dyDescent="0.2">
      <c r="A198" s="50">
        <f t="shared" si="3"/>
        <v>44758</v>
      </c>
      <c r="B198" s="51">
        <v>4731.24</v>
      </c>
      <c r="C198" s="52">
        <v>3819.19</v>
      </c>
      <c r="D198" s="52">
        <v>2647.66</v>
      </c>
      <c r="E198" s="52">
        <v>2915.12</v>
      </c>
      <c r="F198" s="52">
        <v>6271.83</v>
      </c>
      <c r="G198" s="52">
        <v>4515.4799999999996</v>
      </c>
      <c r="H198" s="52">
        <v>1976.94</v>
      </c>
      <c r="I198" s="53">
        <v>22923.58</v>
      </c>
      <c r="J198" s="49"/>
    </row>
    <row r="199" spans="1:10" x14ac:dyDescent="0.2">
      <c r="A199" s="50">
        <f t="shared" si="3"/>
        <v>44759</v>
      </c>
      <c r="B199" s="51">
        <v>2428</v>
      </c>
      <c r="C199" s="52">
        <v>3177</v>
      </c>
      <c r="D199" s="52">
        <v>1914</v>
      </c>
      <c r="E199" s="52">
        <v>1553</v>
      </c>
      <c r="F199" s="52">
        <v>4400</v>
      </c>
      <c r="G199" s="52">
        <v>2867</v>
      </c>
      <c r="H199" s="52">
        <v>1712</v>
      </c>
      <c r="I199" s="53">
        <v>14627</v>
      </c>
      <c r="J199" s="49"/>
    </row>
    <row r="200" spans="1:10" x14ac:dyDescent="0.2">
      <c r="A200" s="50">
        <f t="shared" si="3"/>
        <v>44760</v>
      </c>
      <c r="B200" s="51">
        <v>4569.3900000000003</v>
      </c>
      <c r="C200" s="52">
        <v>3810.33</v>
      </c>
      <c r="D200" s="52">
        <v>2936.19</v>
      </c>
      <c r="E200" s="52">
        <v>2969.9</v>
      </c>
      <c r="F200" s="52">
        <v>6002.1</v>
      </c>
      <c r="G200" s="52">
        <v>4852.21</v>
      </c>
      <c r="H200" s="52">
        <v>2654.98</v>
      </c>
      <c r="I200" s="53">
        <v>22485.140000000003</v>
      </c>
      <c r="J200" s="49"/>
    </row>
    <row r="201" spans="1:10" x14ac:dyDescent="0.2">
      <c r="A201" s="50">
        <f t="shared" si="3"/>
        <v>44761</v>
      </c>
      <c r="B201" s="51">
        <v>4761.57</v>
      </c>
      <c r="C201" s="52">
        <v>4008.68</v>
      </c>
      <c r="D201" s="52">
        <v>3076.55</v>
      </c>
      <c r="E201" s="52">
        <v>2626.13</v>
      </c>
      <c r="F201" s="52">
        <v>6202.75</v>
      </c>
      <c r="G201" s="52">
        <v>4448.16</v>
      </c>
      <c r="H201" s="52">
        <v>2384.19</v>
      </c>
      <c r="I201" s="53">
        <v>22739.65</v>
      </c>
      <c r="J201" s="49"/>
    </row>
    <row r="202" spans="1:10" x14ac:dyDescent="0.2">
      <c r="A202" s="50">
        <f t="shared" si="3"/>
        <v>44762</v>
      </c>
      <c r="B202" s="51">
        <v>4480.72</v>
      </c>
      <c r="C202" s="52">
        <v>3991.69</v>
      </c>
      <c r="D202" s="52">
        <v>3049.74</v>
      </c>
      <c r="E202" s="52">
        <v>2204.16</v>
      </c>
      <c r="F202" s="52">
        <v>6065.43</v>
      </c>
      <c r="G202" s="52">
        <v>4800.7</v>
      </c>
      <c r="H202" s="52">
        <v>2412.7199999999998</v>
      </c>
      <c r="I202" s="53">
        <v>22179.719999999998</v>
      </c>
      <c r="J202" s="49"/>
    </row>
    <row r="203" spans="1:10" x14ac:dyDescent="0.2">
      <c r="A203" s="50">
        <f t="shared" si="3"/>
        <v>44763</v>
      </c>
      <c r="B203" s="51">
        <v>5110</v>
      </c>
      <c r="C203" s="52">
        <v>4029</v>
      </c>
      <c r="D203" s="52">
        <v>3151</v>
      </c>
      <c r="E203" s="52">
        <v>3034</v>
      </c>
      <c r="F203" s="52">
        <v>6080</v>
      </c>
      <c r="G203" s="52">
        <v>5174</v>
      </c>
      <c r="H203" s="52">
        <v>2484</v>
      </c>
      <c r="I203" s="53">
        <v>24094</v>
      </c>
      <c r="J203" s="49"/>
    </row>
    <row r="204" spans="1:10" x14ac:dyDescent="0.2">
      <c r="A204" s="50">
        <f t="shared" si="3"/>
        <v>44764</v>
      </c>
      <c r="B204" s="51">
        <v>5313.59</v>
      </c>
      <c r="C204" s="52">
        <v>4097.57</v>
      </c>
      <c r="D204" s="52">
        <v>3250.54</v>
      </c>
      <c r="E204" s="52">
        <v>3205.68</v>
      </c>
      <c r="F204" s="52">
        <v>6413.61</v>
      </c>
      <c r="G204" s="52">
        <v>5235.82</v>
      </c>
      <c r="H204" s="52">
        <v>2582.2000000000003</v>
      </c>
      <c r="I204" s="53">
        <v>24934.61</v>
      </c>
      <c r="J204" s="49"/>
    </row>
    <row r="205" spans="1:10" x14ac:dyDescent="0.2">
      <c r="A205" s="50">
        <f t="shared" si="3"/>
        <v>44765</v>
      </c>
      <c r="B205" s="51">
        <v>3363.88</v>
      </c>
      <c r="C205" s="52">
        <v>3779.33</v>
      </c>
      <c r="D205" s="52">
        <v>2662.99</v>
      </c>
      <c r="E205" s="52">
        <v>2740.33</v>
      </c>
      <c r="F205" s="52">
        <v>5310.9</v>
      </c>
      <c r="G205" s="52">
        <v>4158.8900000000003</v>
      </c>
      <c r="H205" s="52">
        <v>1726.24</v>
      </c>
      <c r="I205" s="53">
        <v>20290.079999999998</v>
      </c>
      <c r="J205" s="49"/>
    </row>
    <row r="206" spans="1:10" x14ac:dyDescent="0.2">
      <c r="A206" s="50">
        <f t="shared" si="3"/>
        <v>44766</v>
      </c>
      <c r="B206" s="51">
        <v>4230.51</v>
      </c>
      <c r="C206" s="52">
        <v>3859.46</v>
      </c>
      <c r="D206" s="52">
        <v>2360.1999999999998</v>
      </c>
      <c r="E206" s="52">
        <v>1876.32</v>
      </c>
      <c r="F206" s="52">
        <v>5541.32</v>
      </c>
      <c r="G206" s="52">
        <v>4024.32</v>
      </c>
      <c r="H206" s="52">
        <v>1915.8400000000001</v>
      </c>
      <c r="I206" s="53">
        <v>19976.289999999997</v>
      </c>
      <c r="J206" s="49"/>
    </row>
    <row r="207" spans="1:10" x14ac:dyDescent="0.2">
      <c r="A207" s="50">
        <f t="shared" si="3"/>
        <v>44767</v>
      </c>
      <c r="B207" s="51">
        <v>5389</v>
      </c>
      <c r="C207" s="52">
        <v>4419</v>
      </c>
      <c r="D207" s="52">
        <v>3098</v>
      </c>
      <c r="E207" s="52">
        <v>3167</v>
      </c>
      <c r="F207" s="52">
        <v>6611</v>
      </c>
      <c r="G207" s="52">
        <v>4943</v>
      </c>
      <c r="H207" s="52">
        <v>2580</v>
      </c>
      <c r="I207" s="53">
        <v>25047</v>
      </c>
      <c r="J207" s="49"/>
    </row>
    <row r="208" spans="1:10" x14ac:dyDescent="0.2">
      <c r="A208" s="50">
        <f t="shared" si="3"/>
        <v>44768</v>
      </c>
      <c r="B208" s="51">
        <v>5225.0200000000004</v>
      </c>
      <c r="C208" s="52">
        <v>4229.8900000000003</v>
      </c>
      <c r="D208" s="52">
        <v>3183.25</v>
      </c>
      <c r="E208" s="52">
        <v>3127.62</v>
      </c>
      <c r="F208" s="52">
        <v>6559.46</v>
      </c>
      <c r="G208" s="52">
        <v>4882.05</v>
      </c>
      <c r="H208" s="52">
        <v>2372.7999999999997</v>
      </c>
      <c r="I208" s="53">
        <v>24834.489999999998</v>
      </c>
      <c r="J208" s="49"/>
    </row>
    <row r="209" spans="1:10" x14ac:dyDescent="0.2">
      <c r="A209" s="50">
        <f t="shared" si="3"/>
        <v>44769</v>
      </c>
      <c r="B209" s="51">
        <v>5014.92</v>
      </c>
      <c r="C209" s="52">
        <v>3732.19</v>
      </c>
      <c r="D209" s="52">
        <v>3056.07</v>
      </c>
      <c r="E209" s="52">
        <v>3875.37</v>
      </c>
      <c r="F209" s="52">
        <v>6126.36</v>
      </c>
      <c r="G209" s="52">
        <v>5150.74</v>
      </c>
      <c r="H209" s="52">
        <v>2419.8599999999997</v>
      </c>
      <c r="I209" s="53">
        <v>24535.79</v>
      </c>
      <c r="J209" s="49"/>
    </row>
    <row r="210" spans="1:10" x14ac:dyDescent="0.2">
      <c r="A210" s="50">
        <f t="shared" si="3"/>
        <v>44770</v>
      </c>
      <c r="B210" s="51">
        <v>5019.2299999999996</v>
      </c>
      <c r="C210" s="52">
        <v>4008.61</v>
      </c>
      <c r="D210" s="52">
        <v>3271.98</v>
      </c>
      <c r="E210" s="52">
        <v>2978.47</v>
      </c>
      <c r="F210" s="52">
        <v>5904.18</v>
      </c>
      <c r="G210" s="52">
        <v>5346.33</v>
      </c>
      <c r="H210" s="52">
        <v>2478.7400000000002</v>
      </c>
      <c r="I210" s="53">
        <v>24050.06</v>
      </c>
      <c r="J210" s="49"/>
    </row>
    <row r="211" spans="1:10" x14ac:dyDescent="0.2">
      <c r="A211" s="50">
        <f t="shared" si="3"/>
        <v>44771</v>
      </c>
      <c r="B211" s="51">
        <v>5206</v>
      </c>
      <c r="C211" s="52">
        <v>3998</v>
      </c>
      <c r="D211" s="52">
        <v>3261</v>
      </c>
      <c r="E211" s="52">
        <v>4084</v>
      </c>
      <c r="F211" s="52">
        <v>6677</v>
      </c>
      <c r="G211" s="52">
        <v>4884</v>
      </c>
      <c r="H211" s="52">
        <v>2413</v>
      </c>
      <c r="I211" s="53">
        <v>25697</v>
      </c>
      <c r="J211" s="49"/>
    </row>
    <row r="212" spans="1:10" x14ac:dyDescent="0.2">
      <c r="A212" s="50">
        <f t="shared" si="3"/>
        <v>44772</v>
      </c>
      <c r="B212" s="51">
        <v>4736.17</v>
      </c>
      <c r="C212" s="52">
        <v>3985.94</v>
      </c>
      <c r="D212" s="52">
        <v>2956.16</v>
      </c>
      <c r="E212" s="52">
        <v>3277.49</v>
      </c>
      <c r="F212" s="52">
        <v>6451.55</v>
      </c>
      <c r="G212" s="52">
        <v>4359.54</v>
      </c>
      <c r="H212" s="52">
        <v>1907.8300000000002</v>
      </c>
      <c r="I212" s="53">
        <v>23859.02</v>
      </c>
      <c r="J212" s="49"/>
    </row>
    <row r="213" spans="1:10" x14ac:dyDescent="0.2">
      <c r="A213" s="50">
        <f t="shared" si="3"/>
        <v>44773</v>
      </c>
      <c r="B213" s="51">
        <v>3353.41</v>
      </c>
      <c r="C213" s="52">
        <v>3569.8</v>
      </c>
      <c r="D213" s="52">
        <v>2673.31</v>
      </c>
      <c r="E213" s="52">
        <v>1839.65</v>
      </c>
      <c r="F213" s="52">
        <v>5222.63</v>
      </c>
      <c r="G213" s="52">
        <v>3913.74</v>
      </c>
      <c r="H213" s="52">
        <v>1799.0100000000004</v>
      </c>
      <c r="I213" s="53">
        <v>18773.53</v>
      </c>
      <c r="J213" s="49"/>
    </row>
    <row r="214" spans="1:10" x14ac:dyDescent="0.2">
      <c r="A214" s="50">
        <f t="shared" si="3"/>
        <v>44774</v>
      </c>
      <c r="B214" s="51">
        <v>4761.3500000000004</v>
      </c>
      <c r="C214" s="52">
        <v>4045.14</v>
      </c>
      <c r="D214" s="52">
        <v>2999.66</v>
      </c>
      <c r="E214" s="52">
        <v>2900.74</v>
      </c>
      <c r="F214" s="52">
        <v>6040.87</v>
      </c>
      <c r="G214" s="52">
        <v>4827.09</v>
      </c>
      <c r="H214" s="52">
        <v>2440.16</v>
      </c>
      <c r="I214" s="53">
        <v>23134.69</v>
      </c>
      <c r="J214" s="49"/>
    </row>
    <row r="215" spans="1:10" x14ac:dyDescent="0.2">
      <c r="A215" s="50">
        <f t="shared" si="3"/>
        <v>44775</v>
      </c>
      <c r="B215" s="51">
        <v>5008</v>
      </c>
      <c r="C215" s="52">
        <v>3956</v>
      </c>
      <c r="D215" s="52">
        <v>3234</v>
      </c>
      <c r="E215" s="52">
        <v>4458</v>
      </c>
      <c r="F215" s="52">
        <v>6524</v>
      </c>
      <c r="G215" s="52">
        <v>5461</v>
      </c>
      <c r="H215" s="52">
        <v>2434</v>
      </c>
      <c r="I215" s="53">
        <v>26207</v>
      </c>
      <c r="J215" s="49"/>
    </row>
    <row r="216" spans="1:10" x14ac:dyDescent="0.2">
      <c r="A216" s="50">
        <f t="shared" si="3"/>
        <v>44776</v>
      </c>
      <c r="B216" s="51">
        <v>5038.91</v>
      </c>
      <c r="C216" s="52">
        <v>3557.48</v>
      </c>
      <c r="D216" s="52">
        <v>3138.23</v>
      </c>
      <c r="E216" s="52">
        <v>2535.25</v>
      </c>
      <c r="F216" s="52">
        <v>6053.41</v>
      </c>
      <c r="G216" s="52">
        <v>5580.07</v>
      </c>
      <c r="H216" s="52">
        <v>2607.6400000000008</v>
      </c>
      <c r="I216" s="53">
        <v>23295.71</v>
      </c>
      <c r="J216" s="49"/>
    </row>
    <row r="217" spans="1:10" x14ac:dyDescent="0.2">
      <c r="A217" s="50">
        <f t="shared" si="3"/>
        <v>44777</v>
      </c>
      <c r="B217" s="51">
        <v>4525.3900000000003</v>
      </c>
      <c r="C217" s="52">
        <v>3906.89</v>
      </c>
      <c r="D217" s="52">
        <v>3096.43</v>
      </c>
      <c r="E217" s="52">
        <v>2439.23</v>
      </c>
      <c r="F217" s="52">
        <v>5829.47</v>
      </c>
      <c r="G217" s="52">
        <v>5152.75</v>
      </c>
      <c r="H217" s="52">
        <v>2596.91</v>
      </c>
      <c r="I217" s="53">
        <v>22353.25</v>
      </c>
      <c r="J217" s="49"/>
    </row>
    <row r="218" spans="1:10" x14ac:dyDescent="0.2">
      <c r="A218" s="50">
        <f t="shared" si="3"/>
        <v>44778</v>
      </c>
      <c r="B218" s="51">
        <v>4564.6899999999996</v>
      </c>
      <c r="C218" s="52">
        <v>4053.95</v>
      </c>
      <c r="D218" s="52">
        <v>2976.72</v>
      </c>
      <c r="E218" s="52">
        <v>3021.8</v>
      </c>
      <c r="F218" s="52">
        <v>6254.2</v>
      </c>
      <c r="G218" s="52">
        <v>4852.3100000000004</v>
      </c>
      <c r="H218" s="52">
        <v>2422.16</v>
      </c>
      <c r="I218" s="53">
        <v>23301.510000000002</v>
      </c>
      <c r="J218" s="49"/>
    </row>
    <row r="219" spans="1:10" x14ac:dyDescent="0.2">
      <c r="A219" s="50">
        <f t="shared" si="3"/>
        <v>44779</v>
      </c>
      <c r="B219" s="51">
        <v>2858</v>
      </c>
      <c r="C219" s="52">
        <v>3097</v>
      </c>
      <c r="D219" s="52">
        <v>2092</v>
      </c>
      <c r="E219" s="52">
        <v>2705</v>
      </c>
      <c r="F219" s="52">
        <v>5023</v>
      </c>
      <c r="G219" s="52">
        <v>3986</v>
      </c>
      <c r="H219" s="52">
        <v>2071</v>
      </c>
      <c r="I219" s="53">
        <v>17690</v>
      </c>
      <c r="J219" s="49"/>
    </row>
    <row r="220" spans="1:10" x14ac:dyDescent="0.2">
      <c r="A220" s="50">
        <f t="shared" si="3"/>
        <v>44780</v>
      </c>
      <c r="B220" s="51">
        <v>2834.35</v>
      </c>
      <c r="C220" s="52">
        <v>3147.5</v>
      </c>
      <c r="D220" s="52">
        <v>2100.7600000000002</v>
      </c>
      <c r="E220" s="52">
        <v>2267.48</v>
      </c>
      <c r="F220" s="52">
        <v>5025.67</v>
      </c>
      <c r="G220" s="52">
        <v>4388.25</v>
      </c>
      <c r="H220" s="52">
        <v>1945.5099999999998</v>
      </c>
      <c r="I220" s="53">
        <v>17818.500000000004</v>
      </c>
      <c r="J220" s="49"/>
    </row>
    <row r="221" spans="1:10" x14ac:dyDescent="0.2">
      <c r="A221" s="50">
        <f t="shared" si="3"/>
        <v>44781</v>
      </c>
      <c r="B221" s="51">
        <v>4592.5</v>
      </c>
      <c r="C221" s="52">
        <v>4021.28</v>
      </c>
      <c r="D221" s="52">
        <v>2983.58</v>
      </c>
      <c r="E221" s="52">
        <v>2497.12</v>
      </c>
      <c r="F221" s="52">
        <v>5855.66</v>
      </c>
      <c r="G221" s="52">
        <v>5593.27</v>
      </c>
      <c r="H221" s="52">
        <v>2739.08</v>
      </c>
      <c r="I221" s="53">
        <v>22804.33</v>
      </c>
      <c r="J221" s="49"/>
    </row>
    <row r="222" spans="1:10" x14ac:dyDescent="0.2">
      <c r="A222" s="50">
        <f t="shared" si="3"/>
        <v>44782</v>
      </c>
      <c r="B222" s="51">
        <v>4379.8599999999997</v>
      </c>
      <c r="C222" s="52">
        <v>4167.3999999999996</v>
      </c>
      <c r="D222" s="52">
        <v>2902.7</v>
      </c>
      <c r="E222" s="52">
        <v>2815.37</v>
      </c>
      <c r="F222" s="52">
        <v>5932.11</v>
      </c>
      <c r="G222" s="52">
        <v>5432.7</v>
      </c>
      <c r="H222" s="52">
        <v>2717.8199999999997</v>
      </c>
      <c r="I222" s="53">
        <v>22912.32</v>
      </c>
      <c r="J222" s="49"/>
    </row>
    <row r="223" spans="1:10" x14ac:dyDescent="0.2">
      <c r="A223" s="50">
        <f t="shared" si="3"/>
        <v>44783</v>
      </c>
      <c r="B223" s="51">
        <v>4117.17</v>
      </c>
      <c r="C223" s="52">
        <v>3994.11</v>
      </c>
      <c r="D223" s="52">
        <v>2817.42</v>
      </c>
      <c r="E223" s="52">
        <v>2593.7399999999998</v>
      </c>
      <c r="F223" s="52">
        <v>5840.95</v>
      </c>
      <c r="G223" s="52">
        <v>5466.68</v>
      </c>
      <c r="H223" s="52">
        <v>2757.0099999999998</v>
      </c>
      <c r="I223" s="53">
        <v>22073.06</v>
      </c>
      <c r="J223" s="49"/>
    </row>
    <row r="224" spans="1:10" x14ac:dyDescent="0.2">
      <c r="A224" s="50">
        <f t="shared" ref="A224:A287" si="4">A223+1</f>
        <v>44784</v>
      </c>
      <c r="B224" s="51">
        <v>4256.07</v>
      </c>
      <c r="C224" s="52">
        <v>3739.57</v>
      </c>
      <c r="D224" s="52">
        <v>2808.96</v>
      </c>
      <c r="E224" s="52">
        <v>2892.56</v>
      </c>
      <c r="F224" s="52">
        <v>5881.57</v>
      </c>
      <c r="G224" s="52">
        <v>4901.58</v>
      </c>
      <c r="H224" s="52">
        <v>2600.8199999999997</v>
      </c>
      <c r="I224" s="53">
        <v>21879.489999999998</v>
      </c>
      <c r="J224" s="49"/>
    </row>
    <row r="225" spans="1:10" x14ac:dyDescent="0.2">
      <c r="A225" s="50">
        <f t="shared" si="4"/>
        <v>44785</v>
      </c>
      <c r="B225" s="51">
        <v>3427.5</v>
      </c>
      <c r="C225" s="52">
        <v>3312.4</v>
      </c>
      <c r="D225" s="52">
        <v>2584.5</v>
      </c>
      <c r="E225" s="52">
        <v>1896.36</v>
      </c>
      <c r="F225" s="52">
        <v>4542.01</v>
      </c>
      <c r="G225" s="52">
        <v>4035.15</v>
      </c>
      <c r="H225" s="52">
        <v>2692.7299999999996</v>
      </c>
      <c r="I225" s="53">
        <v>17105.190000000002</v>
      </c>
      <c r="J225" s="49"/>
    </row>
    <row r="226" spans="1:10" x14ac:dyDescent="0.2">
      <c r="A226" s="50">
        <f t="shared" si="4"/>
        <v>44786</v>
      </c>
      <c r="B226" s="51">
        <v>2458.35</v>
      </c>
      <c r="C226" s="52">
        <v>2524.96</v>
      </c>
      <c r="D226" s="52">
        <v>1494.74</v>
      </c>
      <c r="E226" s="52">
        <v>2278.9499999999998</v>
      </c>
      <c r="F226" s="52">
        <v>4083.39</v>
      </c>
      <c r="G226" s="52">
        <v>2742.23</v>
      </c>
      <c r="H226" s="52">
        <v>1839.5800000000002</v>
      </c>
      <c r="I226" s="53">
        <v>13743.039999999999</v>
      </c>
      <c r="J226" s="49"/>
    </row>
    <row r="227" spans="1:10" x14ac:dyDescent="0.2">
      <c r="A227" s="50">
        <f t="shared" si="4"/>
        <v>44787</v>
      </c>
      <c r="B227" s="51">
        <v>1889.11</v>
      </c>
      <c r="C227" s="52">
        <v>1861.07</v>
      </c>
      <c r="D227" s="52">
        <v>1146.31</v>
      </c>
      <c r="E227" s="52">
        <v>1961.33</v>
      </c>
      <c r="F227" s="52">
        <v>3029.21</v>
      </c>
      <c r="G227" s="52">
        <v>2557.86</v>
      </c>
      <c r="H227" s="52">
        <v>1739.8800000000003</v>
      </c>
      <c r="I227" s="53">
        <v>10705.009999999998</v>
      </c>
      <c r="J227" s="49"/>
    </row>
    <row r="228" spans="1:10" x14ac:dyDescent="0.2">
      <c r="A228" s="50">
        <f t="shared" si="4"/>
        <v>44788</v>
      </c>
      <c r="B228" s="51">
        <v>4091.44</v>
      </c>
      <c r="C228" s="52">
        <v>3326.91</v>
      </c>
      <c r="D228" s="52">
        <v>2414.62</v>
      </c>
      <c r="E228" s="52">
        <v>2038.69</v>
      </c>
      <c r="F228" s="52">
        <v>5020.53</v>
      </c>
      <c r="G228" s="52">
        <v>4172.71</v>
      </c>
      <c r="H228" s="52">
        <v>2687.2699999999995</v>
      </c>
      <c r="I228" s="53">
        <v>18377.63</v>
      </c>
      <c r="J228" s="49"/>
    </row>
    <row r="229" spans="1:10" x14ac:dyDescent="0.2">
      <c r="A229" s="50">
        <f t="shared" si="4"/>
        <v>44789</v>
      </c>
      <c r="B229" s="51">
        <v>4921.46</v>
      </c>
      <c r="C229" s="52">
        <v>3714.24</v>
      </c>
      <c r="D229" s="52">
        <v>3046.85</v>
      </c>
      <c r="E229" s="52">
        <v>2549.1799999999998</v>
      </c>
      <c r="F229" s="52">
        <v>5210.38</v>
      </c>
      <c r="G229" s="52">
        <v>4790.55</v>
      </c>
      <c r="H229" s="52">
        <v>2530.5699999999997</v>
      </c>
      <c r="I229" s="53">
        <v>21702.09</v>
      </c>
      <c r="J229" s="49"/>
    </row>
    <row r="230" spans="1:10" x14ac:dyDescent="0.2">
      <c r="A230" s="50">
        <f t="shared" si="4"/>
        <v>44790</v>
      </c>
      <c r="B230" s="51">
        <v>4549.0600000000004</v>
      </c>
      <c r="C230" s="52">
        <v>3591.58</v>
      </c>
      <c r="D230" s="52">
        <v>2899.63</v>
      </c>
      <c r="E230" s="52">
        <v>2691.14</v>
      </c>
      <c r="F230" s="52">
        <v>4879.16</v>
      </c>
      <c r="G230" s="52">
        <v>4961.4399999999996</v>
      </c>
      <c r="H230" s="52">
        <v>2533.63</v>
      </c>
      <c r="I230" s="53">
        <v>21038.379999999997</v>
      </c>
      <c r="J230" s="49"/>
    </row>
    <row r="231" spans="1:10" x14ac:dyDescent="0.2">
      <c r="A231" s="50">
        <f t="shared" si="4"/>
        <v>44791</v>
      </c>
      <c r="B231" s="51">
        <v>4172.82</v>
      </c>
      <c r="C231" s="52">
        <v>3605.97</v>
      </c>
      <c r="D231" s="52">
        <v>2962.83</v>
      </c>
      <c r="E231" s="52">
        <v>2704</v>
      </c>
      <c r="F231" s="52">
        <v>4505.91</v>
      </c>
      <c r="G231" s="52">
        <v>4755.1400000000003</v>
      </c>
      <c r="H231" s="52">
        <v>2319.8900000000003</v>
      </c>
      <c r="I231" s="53">
        <v>20386.78</v>
      </c>
      <c r="J231" s="49"/>
    </row>
    <row r="232" spans="1:10" x14ac:dyDescent="0.2">
      <c r="A232" s="50">
        <f t="shared" si="4"/>
        <v>44792</v>
      </c>
      <c r="B232" s="51">
        <v>3895.64</v>
      </c>
      <c r="C232" s="52">
        <v>3445.66</v>
      </c>
      <c r="D232" s="52">
        <v>2797.48</v>
      </c>
      <c r="E232" s="52">
        <v>2187.5</v>
      </c>
      <c r="F232" s="52">
        <v>4157.2700000000004</v>
      </c>
      <c r="G232" s="52">
        <v>4333.95</v>
      </c>
      <c r="H232" s="52">
        <v>2421.89</v>
      </c>
      <c r="I232" s="53">
        <v>18395.61</v>
      </c>
      <c r="J232" s="49"/>
    </row>
    <row r="233" spans="1:10" x14ac:dyDescent="0.2">
      <c r="A233" s="50">
        <f t="shared" si="4"/>
        <v>44793</v>
      </c>
      <c r="B233" s="51">
        <v>2360.9700000000003</v>
      </c>
      <c r="C233" s="52">
        <v>2658.3799999999997</v>
      </c>
      <c r="D233" s="52">
        <v>1729.6299999999999</v>
      </c>
      <c r="E233" s="52">
        <v>2170.5700000000002</v>
      </c>
      <c r="F233" s="52">
        <v>2913.8100000000004</v>
      </c>
      <c r="G233" s="52">
        <v>2530.7100000000005</v>
      </c>
      <c r="H233" s="52">
        <v>1784.25</v>
      </c>
      <c r="I233" s="53">
        <v>12579.820000000002</v>
      </c>
      <c r="J233" s="49"/>
    </row>
    <row r="234" spans="1:10" x14ac:dyDescent="0.2">
      <c r="A234" s="50">
        <f t="shared" si="4"/>
        <v>44794</v>
      </c>
      <c r="B234" s="51">
        <v>1761.81</v>
      </c>
      <c r="C234" s="52">
        <v>1851.03</v>
      </c>
      <c r="D234" s="52">
        <v>1273.73</v>
      </c>
      <c r="E234" s="52">
        <v>1414.99</v>
      </c>
      <c r="F234" s="52">
        <v>1661.18</v>
      </c>
      <c r="G234" s="52">
        <v>2765.15</v>
      </c>
      <c r="H234" s="52">
        <v>1728.76</v>
      </c>
      <c r="I234" s="53">
        <v>8999.1299999999992</v>
      </c>
      <c r="J234" s="49"/>
    </row>
    <row r="235" spans="1:10" x14ac:dyDescent="0.2">
      <c r="A235" s="50">
        <f t="shared" si="4"/>
        <v>44795</v>
      </c>
      <c r="B235" s="51">
        <v>4355</v>
      </c>
      <c r="C235" s="52">
        <v>3604</v>
      </c>
      <c r="D235" s="52">
        <v>2427</v>
      </c>
      <c r="E235" s="52">
        <v>2842</v>
      </c>
      <c r="F235" s="52">
        <v>4255</v>
      </c>
      <c r="G235" s="52">
        <v>4052</v>
      </c>
      <c r="H235" s="52">
        <v>2402</v>
      </c>
      <c r="I235" s="53">
        <v>19133</v>
      </c>
      <c r="J235" s="49"/>
    </row>
    <row r="236" spans="1:10" x14ac:dyDescent="0.2">
      <c r="A236" s="50">
        <f t="shared" si="4"/>
        <v>44796</v>
      </c>
      <c r="B236" s="51">
        <v>4940.26</v>
      </c>
      <c r="C236" s="52">
        <v>3823.02</v>
      </c>
      <c r="D236" s="52">
        <v>2897.03</v>
      </c>
      <c r="E236" s="52">
        <v>2972.29</v>
      </c>
      <c r="F236" s="52">
        <v>4848.47</v>
      </c>
      <c r="G236" s="52">
        <v>4852.09</v>
      </c>
      <c r="H236" s="52">
        <v>2333.3200000000002</v>
      </c>
      <c r="I236" s="53">
        <v>21999.840000000004</v>
      </c>
      <c r="J236" s="49"/>
    </row>
    <row r="237" spans="1:10" x14ac:dyDescent="0.2">
      <c r="A237" s="50">
        <f t="shared" si="4"/>
        <v>44797</v>
      </c>
      <c r="B237" s="51">
        <v>4460.3599999999997</v>
      </c>
      <c r="C237" s="52">
        <v>3486.41</v>
      </c>
      <c r="D237" s="52">
        <v>2849.74</v>
      </c>
      <c r="E237" s="52">
        <v>2869.03</v>
      </c>
      <c r="F237" s="52">
        <v>4550.04</v>
      </c>
      <c r="G237" s="52">
        <v>4772.5</v>
      </c>
      <c r="H237" s="52">
        <v>2368.7599999999998</v>
      </c>
      <c r="I237" s="53">
        <v>20619.32</v>
      </c>
      <c r="J237" s="49"/>
    </row>
    <row r="238" spans="1:10" x14ac:dyDescent="0.2">
      <c r="A238" s="50">
        <f t="shared" si="4"/>
        <v>44798</v>
      </c>
      <c r="B238" s="51">
        <v>3547.53</v>
      </c>
      <c r="C238" s="52">
        <v>3369.89</v>
      </c>
      <c r="D238" s="52">
        <v>2815.12</v>
      </c>
      <c r="E238" s="52">
        <v>2224.29</v>
      </c>
      <c r="F238" s="52">
        <v>3687.85</v>
      </c>
      <c r="G238" s="52">
        <v>5008.13</v>
      </c>
      <c r="H238" s="52">
        <v>2501.2800000000002</v>
      </c>
      <c r="I238" s="53">
        <v>18151.530000000002</v>
      </c>
      <c r="J238" s="49"/>
    </row>
    <row r="239" spans="1:10" x14ac:dyDescent="0.2">
      <c r="A239" s="50">
        <f t="shared" si="4"/>
        <v>44799</v>
      </c>
      <c r="B239" s="51">
        <v>4299</v>
      </c>
      <c r="C239" s="52">
        <v>3810</v>
      </c>
      <c r="D239" s="52">
        <v>2888</v>
      </c>
      <c r="E239" s="52">
        <v>1775</v>
      </c>
      <c r="F239" s="52">
        <v>3903</v>
      </c>
      <c r="G239" s="52">
        <v>4359</v>
      </c>
      <c r="H239" s="52">
        <v>2443</v>
      </c>
      <c r="I239" s="53">
        <v>18591</v>
      </c>
      <c r="J239" s="49"/>
    </row>
    <row r="240" spans="1:10" x14ac:dyDescent="0.2">
      <c r="A240" s="50">
        <f t="shared" si="4"/>
        <v>44800</v>
      </c>
      <c r="B240" s="51">
        <v>4937.6000000000004</v>
      </c>
      <c r="C240" s="52">
        <v>3359.17</v>
      </c>
      <c r="D240" s="52">
        <v>2802.77</v>
      </c>
      <c r="E240" s="52">
        <v>2825.12</v>
      </c>
      <c r="F240" s="52">
        <v>4374.0600000000004</v>
      </c>
      <c r="G240" s="52">
        <v>2964.08</v>
      </c>
      <c r="H240" s="52">
        <v>1550.3800000000003</v>
      </c>
      <c r="I240" s="53">
        <v>19712.420000000002</v>
      </c>
      <c r="J240" s="49"/>
    </row>
    <row r="241" spans="1:10" x14ac:dyDescent="0.2">
      <c r="A241" s="50">
        <f t="shared" si="4"/>
        <v>44801</v>
      </c>
      <c r="B241" s="51">
        <v>4308.7299999999996</v>
      </c>
      <c r="C241" s="52">
        <v>3503.95</v>
      </c>
      <c r="D241" s="52">
        <v>2735.16</v>
      </c>
      <c r="E241" s="52">
        <v>2015.69</v>
      </c>
      <c r="F241" s="52">
        <v>4009.91</v>
      </c>
      <c r="G241" s="52">
        <v>2973.29</v>
      </c>
      <c r="H241" s="52">
        <v>1876.91</v>
      </c>
      <c r="I241" s="53">
        <v>17669.820000000003</v>
      </c>
      <c r="J241" s="49"/>
    </row>
    <row r="242" spans="1:10" x14ac:dyDescent="0.2">
      <c r="A242" s="50">
        <f t="shared" si="4"/>
        <v>44802</v>
      </c>
      <c r="B242" s="51">
        <v>4429.87</v>
      </c>
      <c r="C242" s="52">
        <v>3876.74</v>
      </c>
      <c r="D242" s="52">
        <v>3000.23</v>
      </c>
      <c r="E242" s="52">
        <v>2385.5</v>
      </c>
      <c r="F242" s="52">
        <v>4440.25</v>
      </c>
      <c r="G242" s="52">
        <v>4845.5600000000004</v>
      </c>
      <c r="H242" s="52">
        <v>2853.5500000000006</v>
      </c>
      <c r="I242" s="53">
        <v>20124.600000000002</v>
      </c>
      <c r="J242" s="49"/>
    </row>
    <row r="243" spans="1:10" x14ac:dyDescent="0.2">
      <c r="A243" s="50">
        <f t="shared" si="4"/>
        <v>44803</v>
      </c>
      <c r="B243" s="51">
        <v>4886</v>
      </c>
      <c r="C243" s="52">
        <v>3895</v>
      </c>
      <c r="D243" s="52">
        <v>3001</v>
      </c>
      <c r="E243" s="52">
        <v>2522</v>
      </c>
      <c r="F243" s="52">
        <v>4589</v>
      </c>
      <c r="G243" s="52">
        <v>5214</v>
      </c>
      <c r="H243" s="52">
        <v>2675</v>
      </c>
      <c r="I243" s="53">
        <v>21432</v>
      </c>
      <c r="J243" s="49"/>
    </row>
    <row r="244" spans="1:10" x14ac:dyDescent="0.2">
      <c r="A244" s="50">
        <f t="shared" si="4"/>
        <v>44804</v>
      </c>
      <c r="B244" s="51">
        <v>4567.88</v>
      </c>
      <c r="C244" s="52">
        <v>3816.33</v>
      </c>
      <c r="D244" s="52">
        <v>3013.86</v>
      </c>
      <c r="E244" s="52">
        <v>1958.05</v>
      </c>
      <c r="F244" s="52">
        <v>4382.96</v>
      </c>
      <c r="G244" s="52">
        <v>4792.5600000000004</v>
      </c>
      <c r="H244" s="52">
        <v>2339.7399999999993</v>
      </c>
      <c r="I244" s="53">
        <v>20191.900000000001</v>
      </c>
      <c r="J244" s="49"/>
    </row>
    <row r="245" spans="1:10" x14ac:dyDescent="0.2">
      <c r="A245" s="50">
        <f t="shared" si="4"/>
        <v>44805</v>
      </c>
      <c r="B245" s="51">
        <v>4690.05</v>
      </c>
      <c r="C245" s="52">
        <v>3994.35</v>
      </c>
      <c r="D245" s="52">
        <v>2909.67</v>
      </c>
      <c r="E245" s="52">
        <v>2769.93</v>
      </c>
      <c r="F245" s="52">
        <v>4634.8999999999996</v>
      </c>
      <c r="G245" s="52">
        <v>4755.5200000000004</v>
      </c>
      <c r="H245" s="52">
        <v>2412.1899999999996</v>
      </c>
      <c r="I245" s="53">
        <v>21342.230000000003</v>
      </c>
      <c r="J245" s="49"/>
    </row>
    <row r="246" spans="1:10" x14ac:dyDescent="0.2">
      <c r="A246" s="50">
        <f t="shared" si="4"/>
        <v>44806</v>
      </c>
      <c r="B246" s="51">
        <v>4184.58</v>
      </c>
      <c r="C246" s="52">
        <v>3660.51</v>
      </c>
      <c r="D246" s="52">
        <v>2672.86</v>
      </c>
      <c r="E246" s="52">
        <v>2389.92</v>
      </c>
      <c r="F246" s="52">
        <v>4482.24</v>
      </c>
      <c r="G246" s="52">
        <v>4289.1000000000004</v>
      </c>
      <c r="H246" s="52">
        <v>2358.9</v>
      </c>
      <c r="I246" s="53">
        <v>19320.309999999998</v>
      </c>
      <c r="J246" s="49"/>
    </row>
    <row r="247" spans="1:10" x14ac:dyDescent="0.2">
      <c r="A247" s="50">
        <f t="shared" si="4"/>
        <v>44807</v>
      </c>
      <c r="B247" s="51">
        <v>2132</v>
      </c>
      <c r="C247" s="52">
        <v>2450</v>
      </c>
      <c r="D247" s="52">
        <v>1792</v>
      </c>
      <c r="E247" s="52">
        <v>1234</v>
      </c>
      <c r="F247" s="52">
        <v>2710</v>
      </c>
      <c r="G247" s="52">
        <v>2363</v>
      </c>
      <c r="H247" s="52">
        <v>1589</v>
      </c>
      <c r="I247" s="53">
        <v>11092</v>
      </c>
      <c r="J247" s="49"/>
    </row>
    <row r="248" spans="1:10" x14ac:dyDescent="0.2">
      <c r="A248" s="50">
        <f t="shared" si="4"/>
        <v>44808</v>
      </c>
      <c r="B248" s="51">
        <v>2013.07</v>
      </c>
      <c r="C248" s="52">
        <v>2060.0100000000002</v>
      </c>
      <c r="D248" s="52">
        <v>1873.26</v>
      </c>
      <c r="E248" s="52">
        <v>1916.39</v>
      </c>
      <c r="F248" s="52">
        <v>2503.9899999999998</v>
      </c>
      <c r="G248" s="52">
        <v>2232.12</v>
      </c>
      <c r="H248" s="52">
        <v>1458.23</v>
      </c>
      <c r="I248" s="53">
        <v>11140.61</v>
      </c>
      <c r="J248" s="49"/>
    </row>
    <row r="249" spans="1:10" x14ac:dyDescent="0.2">
      <c r="A249" s="50">
        <f t="shared" si="4"/>
        <v>44809</v>
      </c>
      <c r="B249" s="51">
        <v>4384.49</v>
      </c>
      <c r="C249" s="52">
        <v>3361</v>
      </c>
      <c r="D249" s="52">
        <v>2978.3</v>
      </c>
      <c r="E249" s="52">
        <v>2058.5</v>
      </c>
      <c r="F249" s="52">
        <v>3886.2</v>
      </c>
      <c r="G249" s="52">
        <v>4592.8</v>
      </c>
      <c r="H249" s="52">
        <v>2631.02</v>
      </c>
      <c r="I249" s="53">
        <v>18630.27</v>
      </c>
      <c r="J249" s="49"/>
    </row>
    <row r="250" spans="1:10" x14ac:dyDescent="0.2">
      <c r="A250" s="50">
        <f t="shared" si="4"/>
        <v>44810</v>
      </c>
      <c r="B250" s="51">
        <v>4794.93</v>
      </c>
      <c r="C250" s="52">
        <v>3540.7</v>
      </c>
      <c r="D250" s="52">
        <v>3158.95</v>
      </c>
      <c r="E250" s="52">
        <v>2642.63</v>
      </c>
      <c r="F250" s="52">
        <v>4440.7299999999996</v>
      </c>
      <c r="G250" s="52">
        <v>5456.34</v>
      </c>
      <c r="H250" s="52">
        <v>2757.76</v>
      </c>
      <c r="I250" s="53">
        <v>21276.520000000004</v>
      </c>
      <c r="J250" s="49"/>
    </row>
    <row r="251" spans="1:10" x14ac:dyDescent="0.2">
      <c r="A251" s="50">
        <f t="shared" si="4"/>
        <v>44811</v>
      </c>
      <c r="B251" s="51">
        <v>4192</v>
      </c>
      <c r="C251" s="52">
        <v>3529</v>
      </c>
      <c r="D251" s="52">
        <v>3163</v>
      </c>
      <c r="E251" s="52">
        <v>1887</v>
      </c>
      <c r="F251" s="52">
        <v>3819</v>
      </c>
      <c r="G251" s="52">
        <v>5284</v>
      </c>
      <c r="H251" s="52">
        <v>2292</v>
      </c>
      <c r="I251" s="53">
        <v>19582</v>
      </c>
      <c r="J251" s="49"/>
    </row>
    <row r="252" spans="1:10" x14ac:dyDescent="0.2">
      <c r="A252" s="50">
        <f t="shared" si="4"/>
        <v>44812</v>
      </c>
      <c r="B252" s="51">
        <v>4790.6099999999997</v>
      </c>
      <c r="C252" s="52">
        <v>3364.09</v>
      </c>
      <c r="D252" s="52">
        <v>3103.64</v>
      </c>
      <c r="E252" s="52">
        <v>2547.96</v>
      </c>
      <c r="F252" s="52">
        <v>4331.13</v>
      </c>
      <c r="G252" s="52">
        <v>4065.84</v>
      </c>
      <c r="H252" s="52">
        <v>1940.2800000000002</v>
      </c>
      <c r="I252" s="53">
        <v>20262.990000000002</v>
      </c>
      <c r="J252" s="49"/>
    </row>
    <row r="253" spans="1:10" x14ac:dyDescent="0.2">
      <c r="A253" s="50">
        <f t="shared" si="4"/>
        <v>44813</v>
      </c>
      <c r="B253" s="51">
        <v>4983.75</v>
      </c>
      <c r="C253" s="52">
        <v>3610.22</v>
      </c>
      <c r="D253" s="52">
        <v>3273.47</v>
      </c>
      <c r="E253" s="52">
        <v>2832.1</v>
      </c>
      <c r="F253" s="52">
        <v>4379.76</v>
      </c>
      <c r="G253" s="52">
        <v>4623.53</v>
      </c>
      <c r="H253" s="52">
        <v>2705.23</v>
      </c>
      <c r="I253" s="53">
        <v>20997.599999999999</v>
      </c>
      <c r="J253" s="49"/>
    </row>
    <row r="254" spans="1:10" x14ac:dyDescent="0.2">
      <c r="A254" s="50">
        <f t="shared" si="4"/>
        <v>44814</v>
      </c>
      <c r="B254" s="51">
        <v>3155.74</v>
      </c>
      <c r="C254" s="52">
        <v>2928.3</v>
      </c>
      <c r="D254" s="52">
        <v>2501.2199999999998</v>
      </c>
      <c r="E254" s="52">
        <v>1849.67</v>
      </c>
      <c r="F254" s="52">
        <v>2758.22</v>
      </c>
      <c r="G254" s="52">
        <v>3364.95</v>
      </c>
      <c r="H254" s="52">
        <v>2192.5500000000002</v>
      </c>
      <c r="I254" s="53">
        <v>14365.55</v>
      </c>
      <c r="J254" s="49"/>
    </row>
    <row r="255" spans="1:10" x14ac:dyDescent="0.2">
      <c r="A255" s="50">
        <f t="shared" si="4"/>
        <v>44815</v>
      </c>
      <c r="B255" s="51">
        <v>2573</v>
      </c>
      <c r="C255" s="52">
        <v>2570</v>
      </c>
      <c r="D255" s="52">
        <v>2179</v>
      </c>
      <c r="E255" s="52">
        <v>2320</v>
      </c>
      <c r="F255" s="52">
        <v>3179</v>
      </c>
      <c r="G255" s="52">
        <v>3391</v>
      </c>
      <c r="H255" s="52">
        <v>2120</v>
      </c>
      <c r="I255" s="53">
        <v>14092</v>
      </c>
      <c r="J255" s="49"/>
    </row>
    <row r="256" spans="1:10" x14ac:dyDescent="0.2">
      <c r="A256" s="50">
        <f t="shared" si="4"/>
        <v>44816</v>
      </c>
      <c r="B256" s="51">
        <v>4956.6400000000003</v>
      </c>
      <c r="C256" s="52">
        <v>3447.13</v>
      </c>
      <c r="D256" s="52">
        <v>3134.53</v>
      </c>
      <c r="E256" s="52">
        <v>2958.84</v>
      </c>
      <c r="F256" s="52">
        <v>4562.67</v>
      </c>
      <c r="G256" s="52">
        <v>5305.67</v>
      </c>
      <c r="H256" s="52">
        <v>2683.31</v>
      </c>
      <c r="I256" s="53">
        <v>21682.170000000002</v>
      </c>
      <c r="J256" s="49"/>
    </row>
    <row r="257" spans="1:10" x14ac:dyDescent="0.2">
      <c r="A257" s="50">
        <f t="shared" si="4"/>
        <v>44817</v>
      </c>
      <c r="B257" s="51">
        <v>5681.03</v>
      </c>
      <c r="C257" s="52">
        <v>3707.45</v>
      </c>
      <c r="D257" s="52">
        <v>3152.52</v>
      </c>
      <c r="E257" s="52">
        <v>2541.98</v>
      </c>
      <c r="F257" s="52">
        <v>4715.04</v>
      </c>
      <c r="G257" s="52">
        <v>6071.71</v>
      </c>
      <c r="H257" s="52">
        <v>3050.52</v>
      </c>
      <c r="I257" s="53">
        <v>22819.21</v>
      </c>
      <c r="J257" s="49"/>
    </row>
    <row r="258" spans="1:10" x14ac:dyDescent="0.2">
      <c r="A258" s="50">
        <f t="shared" si="4"/>
        <v>44818</v>
      </c>
      <c r="B258" s="51">
        <v>5495.57</v>
      </c>
      <c r="C258" s="52">
        <v>3462.53</v>
      </c>
      <c r="D258" s="52">
        <v>3223.02</v>
      </c>
      <c r="E258" s="52">
        <v>3441.79</v>
      </c>
      <c r="F258" s="52">
        <v>4799.3999999999996</v>
      </c>
      <c r="G258" s="52">
        <v>6030.66</v>
      </c>
      <c r="H258" s="52">
        <v>3002.2899999999995</v>
      </c>
      <c r="I258" s="53">
        <v>23450.679999999997</v>
      </c>
      <c r="J258" s="49"/>
    </row>
    <row r="259" spans="1:10" x14ac:dyDescent="0.2">
      <c r="A259" s="50">
        <f t="shared" si="4"/>
        <v>44819</v>
      </c>
      <c r="B259" s="51">
        <v>5314</v>
      </c>
      <c r="C259" s="52">
        <v>3452</v>
      </c>
      <c r="D259" s="52">
        <v>3169</v>
      </c>
      <c r="E259" s="52">
        <v>2633</v>
      </c>
      <c r="F259" s="52">
        <v>4265</v>
      </c>
      <c r="G259" s="52">
        <v>6041</v>
      </c>
      <c r="H259" s="52">
        <v>2989</v>
      </c>
      <c r="I259" s="53">
        <v>21885</v>
      </c>
      <c r="J259" s="49"/>
    </row>
    <row r="260" spans="1:10" x14ac:dyDescent="0.2">
      <c r="A260" s="50">
        <f t="shared" si="4"/>
        <v>44820</v>
      </c>
      <c r="B260" s="51">
        <v>5272.65</v>
      </c>
      <c r="C260" s="52">
        <v>3382.09</v>
      </c>
      <c r="D260" s="52">
        <v>3165.02</v>
      </c>
      <c r="E260" s="52">
        <v>3482.93</v>
      </c>
      <c r="F260" s="52">
        <v>4937.6400000000003</v>
      </c>
      <c r="G260" s="52">
        <v>5639.67</v>
      </c>
      <c r="H260" s="52">
        <v>2617.71</v>
      </c>
      <c r="I260" s="53">
        <v>23262.29</v>
      </c>
      <c r="J260" s="49"/>
    </row>
    <row r="261" spans="1:10" x14ac:dyDescent="0.2">
      <c r="A261" s="50">
        <f t="shared" si="4"/>
        <v>44821</v>
      </c>
      <c r="B261" s="51">
        <v>4817.96</v>
      </c>
      <c r="C261" s="52">
        <v>3034.08</v>
      </c>
      <c r="D261" s="52">
        <v>2851.27</v>
      </c>
      <c r="E261" s="52">
        <v>1687.78</v>
      </c>
      <c r="F261" s="52">
        <v>3803.05</v>
      </c>
      <c r="G261" s="52">
        <v>4835.3999999999996</v>
      </c>
      <c r="H261" s="52">
        <v>2205.6899999999996</v>
      </c>
      <c r="I261" s="53">
        <v>18823.850000000002</v>
      </c>
      <c r="J261" s="49"/>
    </row>
    <row r="262" spans="1:10" x14ac:dyDescent="0.2">
      <c r="A262" s="50">
        <f t="shared" si="4"/>
        <v>44822</v>
      </c>
      <c r="B262" s="51">
        <v>3105.49</v>
      </c>
      <c r="C262" s="52">
        <v>2718.04</v>
      </c>
      <c r="D262" s="52">
        <v>2256.23</v>
      </c>
      <c r="E262" s="52">
        <v>1447.59</v>
      </c>
      <c r="F262" s="52">
        <v>2948.51</v>
      </c>
      <c r="G262" s="52">
        <v>4498.95</v>
      </c>
      <c r="H262" s="52">
        <v>2199.41</v>
      </c>
      <c r="I262" s="53">
        <v>14775.400000000001</v>
      </c>
      <c r="J262" s="49"/>
    </row>
    <row r="263" spans="1:10" x14ac:dyDescent="0.2">
      <c r="A263" s="50">
        <f t="shared" si="4"/>
        <v>44823</v>
      </c>
      <c r="B263" s="51">
        <v>4881</v>
      </c>
      <c r="C263" s="52">
        <v>3395</v>
      </c>
      <c r="D263" s="52">
        <v>3050</v>
      </c>
      <c r="E263" s="52">
        <v>2704</v>
      </c>
      <c r="F263" s="52">
        <v>4372</v>
      </c>
      <c r="G263" s="52">
        <v>5261</v>
      </c>
      <c r="H263" s="52">
        <v>2687</v>
      </c>
      <c r="I263" s="53">
        <v>20976</v>
      </c>
      <c r="J263" s="49"/>
    </row>
    <row r="264" spans="1:10" x14ac:dyDescent="0.2">
      <c r="A264" s="50">
        <f t="shared" si="4"/>
        <v>44824</v>
      </c>
      <c r="B264" s="51">
        <v>5380.81</v>
      </c>
      <c r="C264" s="52">
        <v>3522.75</v>
      </c>
      <c r="D264" s="52">
        <v>3210.4</v>
      </c>
      <c r="E264" s="52">
        <v>3420.88</v>
      </c>
      <c r="F264" s="52">
        <v>5099.22</v>
      </c>
      <c r="G264" s="52">
        <v>5523.87</v>
      </c>
      <c r="H264" s="52">
        <v>2754.04</v>
      </c>
      <c r="I264" s="53">
        <v>23403.89</v>
      </c>
      <c r="J264" s="49"/>
    </row>
    <row r="265" spans="1:10" x14ac:dyDescent="0.2">
      <c r="A265" s="50">
        <f t="shared" si="4"/>
        <v>44825</v>
      </c>
      <c r="B265" s="51">
        <v>5659.01</v>
      </c>
      <c r="C265" s="52">
        <v>3517.85</v>
      </c>
      <c r="D265" s="52">
        <v>3102.89</v>
      </c>
      <c r="E265" s="52">
        <v>3423.86</v>
      </c>
      <c r="F265" s="52">
        <v>4997.4799999999996</v>
      </c>
      <c r="G265" s="52">
        <v>5672.54</v>
      </c>
      <c r="H265" s="52">
        <v>2791.5499999999997</v>
      </c>
      <c r="I265" s="53">
        <v>23582.080000000002</v>
      </c>
      <c r="J265" s="49"/>
    </row>
    <row r="266" spans="1:10" x14ac:dyDescent="0.2">
      <c r="A266" s="50">
        <f t="shared" si="4"/>
        <v>44826</v>
      </c>
      <c r="B266" s="51">
        <v>5122.6000000000004</v>
      </c>
      <c r="C266" s="52">
        <v>3551.24</v>
      </c>
      <c r="D266" s="52">
        <v>3054.64</v>
      </c>
      <c r="E266" s="52">
        <v>2660.42</v>
      </c>
      <c r="F266" s="52">
        <v>4311.07</v>
      </c>
      <c r="G266" s="52">
        <v>5545.29</v>
      </c>
      <c r="H266" s="52">
        <v>2689.1900000000005</v>
      </c>
      <c r="I266" s="53">
        <v>21556.07</v>
      </c>
      <c r="J266" s="49"/>
    </row>
    <row r="267" spans="1:10" x14ac:dyDescent="0.2">
      <c r="A267" s="50">
        <f t="shared" si="4"/>
        <v>44827</v>
      </c>
      <c r="B267" s="51">
        <v>5201</v>
      </c>
      <c r="C267" s="52">
        <v>3479</v>
      </c>
      <c r="D267" s="52">
        <v>3040</v>
      </c>
      <c r="E267" s="52">
        <v>2085</v>
      </c>
      <c r="F267" s="52">
        <v>4239</v>
      </c>
      <c r="G267" s="52">
        <v>4976</v>
      </c>
      <c r="H267" s="52">
        <v>2692</v>
      </c>
      <c r="I267" s="53">
        <v>20328</v>
      </c>
      <c r="J267" s="49"/>
    </row>
    <row r="268" spans="1:10" x14ac:dyDescent="0.2">
      <c r="A268" s="50">
        <f t="shared" si="4"/>
        <v>44828</v>
      </c>
      <c r="B268" s="51">
        <v>4536.66</v>
      </c>
      <c r="C268" s="52">
        <v>3197.66</v>
      </c>
      <c r="D268" s="52">
        <v>2913.62</v>
      </c>
      <c r="E268" s="52">
        <v>2036.41</v>
      </c>
      <c r="F268" s="52">
        <v>3866.47</v>
      </c>
      <c r="G268" s="52">
        <v>3485.15</v>
      </c>
      <c r="H268" s="52">
        <v>2402.6999999999998</v>
      </c>
      <c r="I268" s="53">
        <v>17633.27</v>
      </c>
      <c r="J268" s="49"/>
    </row>
    <row r="269" spans="1:10" x14ac:dyDescent="0.2">
      <c r="A269" s="50">
        <f t="shared" si="4"/>
        <v>44829</v>
      </c>
      <c r="B269" s="51">
        <v>4302.13</v>
      </c>
      <c r="C269" s="52">
        <v>3110.78</v>
      </c>
      <c r="D269" s="52">
        <v>2841.11</v>
      </c>
      <c r="E269" s="52">
        <v>2488.09</v>
      </c>
      <c r="F269" s="52">
        <v>3709</v>
      </c>
      <c r="G269" s="52">
        <v>3404.94</v>
      </c>
      <c r="H269" s="52">
        <v>2245.2900000000004</v>
      </c>
      <c r="I269" s="53">
        <v>17610.759999999998</v>
      </c>
      <c r="J269" s="49"/>
    </row>
    <row r="270" spans="1:10" x14ac:dyDescent="0.2">
      <c r="A270" s="50">
        <f t="shared" si="4"/>
        <v>44830</v>
      </c>
      <c r="B270" s="51">
        <v>4784.93</v>
      </c>
      <c r="C270" s="52">
        <v>3225.33</v>
      </c>
      <c r="D270" s="52">
        <v>3243.52</v>
      </c>
      <c r="E270" s="52">
        <v>2516.4699999999998</v>
      </c>
      <c r="F270" s="52">
        <v>4018.3</v>
      </c>
      <c r="G270" s="52">
        <v>5395.68</v>
      </c>
      <c r="H270" s="52">
        <v>2782.21</v>
      </c>
      <c r="I270" s="53">
        <v>20402.02</v>
      </c>
      <c r="J270" s="49"/>
    </row>
    <row r="271" spans="1:10" x14ac:dyDescent="0.2">
      <c r="A271" s="50">
        <f t="shared" si="4"/>
        <v>44831</v>
      </c>
      <c r="B271" s="51">
        <v>4587</v>
      </c>
      <c r="C271" s="52">
        <v>3111</v>
      </c>
      <c r="D271" s="52">
        <v>3064</v>
      </c>
      <c r="E271" s="52">
        <v>2901</v>
      </c>
      <c r="F271" s="52">
        <v>4093</v>
      </c>
      <c r="G271" s="52">
        <v>5902</v>
      </c>
      <c r="H271" s="52">
        <v>2761</v>
      </c>
      <c r="I271" s="53">
        <v>20897</v>
      </c>
      <c r="J271" s="49"/>
    </row>
    <row r="272" spans="1:10" x14ac:dyDescent="0.2">
      <c r="A272" s="50">
        <f t="shared" si="4"/>
        <v>44832</v>
      </c>
      <c r="B272" s="51">
        <v>4972.93</v>
      </c>
      <c r="C272" s="52">
        <v>3116.54</v>
      </c>
      <c r="D272" s="52">
        <v>3252.73</v>
      </c>
      <c r="E272" s="52">
        <v>2782.67</v>
      </c>
      <c r="F272" s="52">
        <v>4339.12</v>
      </c>
      <c r="G272" s="52">
        <v>6048.71</v>
      </c>
      <c r="H272" s="52">
        <v>2795.2700000000004</v>
      </c>
      <c r="I272" s="53">
        <v>21717.43</v>
      </c>
      <c r="J272" s="49"/>
    </row>
    <row r="273" spans="1:10" x14ac:dyDescent="0.2">
      <c r="A273" s="50">
        <f t="shared" si="4"/>
        <v>44833</v>
      </c>
      <c r="B273" s="51">
        <v>4643.26</v>
      </c>
      <c r="C273" s="52">
        <v>3060.71</v>
      </c>
      <c r="D273" s="52">
        <v>2876.57</v>
      </c>
      <c r="E273" s="52">
        <v>2127.44</v>
      </c>
      <c r="F273" s="52">
        <v>3792.45</v>
      </c>
      <c r="G273" s="52">
        <v>5918.97</v>
      </c>
      <c r="H273" s="52">
        <v>2798.84</v>
      </c>
      <c r="I273" s="53">
        <v>19620.560000000001</v>
      </c>
      <c r="J273" s="49"/>
    </row>
    <row r="274" spans="1:10" x14ac:dyDescent="0.2">
      <c r="A274" s="50">
        <f t="shared" si="4"/>
        <v>44834</v>
      </c>
      <c r="B274" s="51">
        <v>4626.47</v>
      </c>
      <c r="C274" s="52">
        <v>2845.81</v>
      </c>
      <c r="D274" s="52">
        <v>2619.13</v>
      </c>
      <c r="E274" s="52">
        <v>2504.91</v>
      </c>
      <c r="F274" s="52">
        <v>3840.96</v>
      </c>
      <c r="G274" s="52">
        <v>4955.8599999999997</v>
      </c>
      <c r="H274" s="52">
        <v>2781.81</v>
      </c>
      <c r="I274" s="53">
        <v>18611.329999999998</v>
      </c>
      <c r="J274" s="49"/>
    </row>
    <row r="275" spans="1:10" x14ac:dyDescent="0.2">
      <c r="A275" s="50">
        <f t="shared" si="4"/>
        <v>44835</v>
      </c>
      <c r="B275" s="51">
        <v>1917</v>
      </c>
      <c r="C275" s="52">
        <v>1150</v>
      </c>
      <c r="D275" s="52">
        <v>1223</v>
      </c>
      <c r="E275" s="52">
        <v>2077</v>
      </c>
      <c r="F275" s="52">
        <v>1305</v>
      </c>
      <c r="G275" s="52">
        <v>3096</v>
      </c>
      <c r="H275" s="52">
        <v>2159.46</v>
      </c>
      <c r="I275" s="53">
        <v>8608.5400000000009</v>
      </c>
      <c r="J275" s="49"/>
    </row>
    <row r="276" spans="1:10" x14ac:dyDescent="0.2">
      <c r="A276" s="50">
        <f t="shared" si="4"/>
        <v>44836</v>
      </c>
      <c r="B276" s="51">
        <v>1243.5</v>
      </c>
      <c r="C276" s="52">
        <v>794.83</v>
      </c>
      <c r="D276" s="52">
        <v>725.71</v>
      </c>
      <c r="E276" s="52">
        <v>1385.85</v>
      </c>
      <c r="F276" s="52">
        <v>368.17</v>
      </c>
      <c r="G276" s="52">
        <v>3151.88</v>
      </c>
      <c r="H276" s="52">
        <v>2118.5</v>
      </c>
      <c r="I276" s="53">
        <v>5551.44</v>
      </c>
      <c r="J276" s="49"/>
    </row>
    <row r="277" spans="1:10" x14ac:dyDescent="0.2">
      <c r="A277" s="50">
        <f t="shared" si="4"/>
        <v>44837</v>
      </c>
      <c r="B277" s="51">
        <v>3778.7</v>
      </c>
      <c r="C277" s="52">
        <v>2737.74</v>
      </c>
      <c r="D277" s="52">
        <v>1963.27</v>
      </c>
      <c r="E277" s="52">
        <v>1468.09</v>
      </c>
      <c r="F277" s="52">
        <v>3061.86</v>
      </c>
      <c r="G277" s="52">
        <v>5173.4399999999996</v>
      </c>
      <c r="H277" s="52">
        <v>2791.7200000000003</v>
      </c>
      <c r="I277" s="53">
        <v>15391.379999999997</v>
      </c>
      <c r="J277" s="49"/>
    </row>
    <row r="278" spans="1:10" x14ac:dyDescent="0.2">
      <c r="A278" s="50">
        <f t="shared" si="4"/>
        <v>44838</v>
      </c>
      <c r="B278" s="51">
        <v>4886.8</v>
      </c>
      <c r="C278" s="52">
        <v>3103.1</v>
      </c>
      <c r="D278" s="52">
        <v>2888.05</v>
      </c>
      <c r="E278" s="52">
        <v>2564.6</v>
      </c>
      <c r="F278" s="52">
        <v>4224.8900000000003</v>
      </c>
      <c r="G278" s="52">
        <v>5378.39</v>
      </c>
      <c r="H278" s="52">
        <v>2587.88</v>
      </c>
      <c r="I278" s="53">
        <v>20457.95</v>
      </c>
      <c r="J278" s="49"/>
    </row>
    <row r="279" spans="1:10" x14ac:dyDescent="0.2">
      <c r="A279" s="50">
        <f t="shared" si="4"/>
        <v>44839</v>
      </c>
      <c r="B279" s="51">
        <v>4981</v>
      </c>
      <c r="C279" s="52">
        <v>3224</v>
      </c>
      <c r="D279" s="52">
        <v>2899</v>
      </c>
      <c r="E279" s="52">
        <v>2885</v>
      </c>
      <c r="F279" s="52">
        <v>4209</v>
      </c>
      <c r="G279" s="52">
        <v>5628</v>
      </c>
      <c r="H279" s="52">
        <v>2510</v>
      </c>
      <c r="I279" s="53">
        <v>21316</v>
      </c>
      <c r="J279" s="49"/>
    </row>
    <row r="280" spans="1:10" x14ac:dyDescent="0.2">
      <c r="A280" s="50">
        <f t="shared" si="4"/>
        <v>44840</v>
      </c>
      <c r="B280" s="51">
        <v>5100.28</v>
      </c>
      <c r="C280" s="52">
        <v>3313.03</v>
      </c>
      <c r="D280" s="52">
        <v>3131.97</v>
      </c>
      <c r="E280" s="52">
        <v>3071.15</v>
      </c>
      <c r="F280" s="52">
        <v>4371.07</v>
      </c>
      <c r="G280" s="52">
        <v>5736.09</v>
      </c>
      <c r="H280" s="52">
        <v>2830.39</v>
      </c>
      <c r="I280" s="53">
        <v>21893.200000000001</v>
      </c>
      <c r="J280" s="49"/>
    </row>
    <row r="281" spans="1:10" x14ac:dyDescent="0.2">
      <c r="A281" s="50">
        <f t="shared" si="4"/>
        <v>44841</v>
      </c>
      <c r="B281" s="51">
        <v>5037.37</v>
      </c>
      <c r="C281" s="52">
        <v>3352</v>
      </c>
      <c r="D281" s="52">
        <v>3039.81</v>
      </c>
      <c r="E281" s="52">
        <v>2553.36</v>
      </c>
      <c r="F281" s="52">
        <v>4479.47</v>
      </c>
      <c r="G281" s="52">
        <v>5597.2</v>
      </c>
      <c r="H281" s="52">
        <v>2762.1800000000003</v>
      </c>
      <c r="I281" s="53">
        <v>21297.03</v>
      </c>
      <c r="J281" s="49"/>
    </row>
    <row r="282" spans="1:10" x14ac:dyDescent="0.2">
      <c r="A282" s="50">
        <f t="shared" si="4"/>
        <v>44842</v>
      </c>
      <c r="B282" s="51">
        <v>4770.3500000000004</v>
      </c>
      <c r="C282" s="52">
        <v>2966.24</v>
      </c>
      <c r="D282" s="52">
        <v>2814.31</v>
      </c>
      <c r="E282" s="52">
        <v>3715.13</v>
      </c>
      <c r="F282" s="52">
        <v>4348.87</v>
      </c>
      <c r="G282" s="52">
        <v>4833.68</v>
      </c>
      <c r="H282" s="52">
        <v>2314.7599999999998</v>
      </c>
      <c r="I282" s="53">
        <v>21133.82</v>
      </c>
      <c r="J282" s="49"/>
    </row>
    <row r="283" spans="1:10" x14ac:dyDescent="0.2">
      <c r="A283" s="50">
        <f t="shared" si="4"/>
        <v>44843</v>
      </c>
      <c r="B283" s="51">
        <v>4774</v>
      </c>
      <c r="C283" s="52">
        <v>2934</v>
      </c>
      <c r="D283" s="52">
        <v>2742</v>
      </c>
      <c r="E283" s="52">
        <v>3448</v>
      </c>
      <c r="F283" s="52">
        <v>4406</v>
      </c>
      <c r="G283" s="52">
        <v>4292</v>
      </c>
      <c r="H283" s="52">
        <v>2066</v>
      </c>
      <c r="I283" s="53">
        <v>20530</v>
      </c>
      <c r="J283" s="49"/>
    </row>
    <row r="284" spans="1:10" x14ac:dyDescent="0.2">
      <c r="A284" s="50">
        <f t="shared" si="4"/>
        <v>44844</v>
      </c>
      <c r="B284" s="51">
        <v>4750.5200000000004</v>
      </c>
      <c r="C284" s="52">
        <v>3350.35</v>
      </c>
      <c r="D284" s="52">
        <v>3090.23</v>
      </c>
      <c r="E284" s="52">
        <v>1967.41</v>
      </c>
      <c r="F284" s="52">
        <v>4010.15</v>
      </c>
      <c r="G284" s="52">
        <v>4857.1499999999996</v>
      </c>
      <c r="H284" s="52">
        <v>2622.9100000000003</v>
      </c>
      <c r="I284" s="53">
        <v>19402.899999999998</v>
      </c>
      <c r="J284" s="49"/>
    </row>
    <row r="285" spans="1:10" x14ac:dyDescent="0.2">
      <c r="A285" s="50">
        <f t="shared" si="4"/>
        <v>44845</v>
      </c>
      <c r="B285" s="51">
        <v>4870.32</v>
      </c>
      <c r="C285" s="52">
        <v>3258.86</v>
      </c>
      <c r="D285" s="52">
        <v>3099.83</v>
      </c>
      <c r="E285" s="52">
        <v>2820.79</v>
      </c>
      <c r="F285" s="52">
        <v>4400.32</v>
      </c>
      <c r="G285" s="52">
        <v>5440.6</v>
      </c>
      <c r="H285" s="52">
        <v>2690.4600000000005</v>
      </c>
      <c r="I285" s="53">
        <v>21200.260000000002</v>
      </c>
      <c r="J285" s="49"/>
    </row>
    <row r="286" spans="1:10" x14ac:dyDescent="0.2">
      <c r="A286" s="50">
        <f t="shared" si="4"/>
        <v>44846</v>
      </c>
      <c r="B286" s="51">
        <v>4310.07</v>
      </c>
      <c r="C286" s="52">
        <v>3018.72</v>
      </c>
      <c r="D286" s="52">
        <v>3006.23</v>
      </c>
      <c r="E286" s="52">
        <v>2090.87</v>
      </c>
      <c r="F286" s="52">
        <v>3790.4</v>
      </c>
      <c r="G286" s="52">
        <v>5347.3</v>
      </c>
      <c r="H286" s="52">
        <v>2750.99</v>
      </c>
      <c r="I286" s="53">
        <v>18812.599999999999</v>
      </c>
      <c r="J286" s="49"/>
    </row>
    <row r="287" spans="1:10" x14ac:dyDescent="0.2">
      <c r="A287" s="50">
        <f t="shared" si="4"/>
        <v>44847</v>
      </c>
      <c r="B287" s="51">
        <v>4325</v>
      </c>
      <c r="C287" s="52">
        <v>2942</v>
      </c>
      <c r="D287" s="52">
        <v>2920</v>
      </c>
      <c r="E287" s="52">
        <v>2332</v>
      </c>
      <c r="F287" s="52">
        <v>3636</v>
      </c>
      <c r="G287" s="52">
        <v>5598</v>
      </c>
      <c r="H287" s="52">
        <v>2920</v>
      </c>
      <c r="I287" s="53">
        <v>18833</v>
      </c>
      <c r="J287" s="49"/>
    </row>
    <row r="288" spans="1:10" x14ac:dyDescent="0.2">
      <c r="A288" s="50">
        <f t="shared" ref="A288:A351" si="5">A287+1</f>
        <v>44848</v>
      </c>
      <c r="B288" s="51">
        <v>4259.88</v>
      </c>
      <c r="C288" s="52">
        <v>3033.42</v>
      </c>
      <c r="D288" s="52">
        <v>3016.4</v>
      </c>
      <c r="E288" s="52">
        <v>2853.71</v>
      </c>
      <c r="F288" s="52">
        <v>3888.29</v>
      </c>
      <c r="G288" s="52">
        <v>4289.0600000000004</v>
      </c>
      <c r="H288" s="52">
        <v>2719.7900000000004</v>
      </c>
      <c r="I288" s="53">
        <v>18620.97</v>
      </c>
      <c r="J288" s="49"/>
    </row>
    <row r="289" spans="1:10" x14ac:dyDescent="0.2">
      <c r="A289" s="50">
        <f t="shared" si="5"/>
        <v>44849</v>
      </c>
      <c r="B289" s="51">
        <v>4179.8500000000004</v>
      </c>
      <c r="C289" s="52">
        <v>2806.98</v>
      </c>
      <c r="D289" s="52">
        <v>2641.89</v>
      </c>
      <c r="E289" s="52">
        <v>2552.6799999999998</v>
      </c>
      <c r="F289" s="52">
        <v>3626.54</v>
      </c>
      <c r="G289" s="52">
        <v>3187.99</v>
      </c>
      <c r="H289" s="52">
        <v>2292.64</v>
      </c>
      <c r="I289" s="53">
        <v>16703.29</v>
      </c>
      <c r="J289" s="49"/>
    </row>
    <row r="290" spans="1:10" x14ac:dyDescent="0.2">
      <c r="A290" s="50">
        <f t="shared" si="5"/>
        <v>44850</v>
      </c>
      <c r="B290" s="51">
        <v>4182.83</v>
      </c>
      <c r="C290" s="52">
        <v>2865.79</v>
      </c>
      <c r="D290" s="52">
        <v>2774.61</v>
      </c>
      <c r="E290" s="52">
        <v>2100.91</v>
      </c>
      <c r="F290" s="52">
        <v>3313.3</v>
      </c>
      <c r="G290" s="52">
        <v>3151.23</v>
      </c>
      <c r="H290" s="52">
        <v>2274.63</v>
      </c>
      <c r="I290" s="53">
        <v>16114.039999999997</v>
      </c>
      <c r="J290" s="49"/>
    </row>
    <row r="291" spans="1:10" x14ac:dyDescent="0.2">
      <c r="A291" s="50">
        <f t="shared" si="5"/>
        <v>44851</v>
      </c>
      <c r="B291" s="51">
        <v>4846</v>
      </c>
      <c r="C291" s="52">
        <v>3185</v>
      </c>
      <c r="D291" s="52">
        <v>3089</v>
      </c>
      <c r="E291" s="52">
        <v>2806</v>
      </c>
      <c r="F291" s="52">
        <v>4213</v>
      </c>
      <c r="G291" s="52">
        <v>5323</v>
      </c>
      <c r="H291" s="52">
        <v>3090</v>
      </c>
      <c r="I291" s="53">
        <v>20372</v>
      </c>
      <c r="J291" s="49"/>
    </row>
    <row r="292" spans="1:10" x14ac:dyDescent="0.2">
      <c r="A292" s="50">
        <f t="shared" si="5"/>
        <v>44852</v>
      </c>
      <c r="B292" s="51">
        <v>4917.16</v>
      </c>
      <c r="C292" s="52">
        <v>3282.82</v>
      </c>
      <c r="D292" s="52">
        <v>2994.86</v>
      </c>
      <c r="E292" s="52">
        <v>2295.08</v>
      </c>
      <c r="F292" s="52">
        <v>3913.66</v>
      </c>
      <c r="G292" s="52">
        <v>5601.59</v>
      </c>
      <c r="H292" s="52">
        <v>2867.26</v>
      </c>
      <c r="I292" s="53">
        <v>20137.910000000003</v>
      </c>
      <c r="J292" s="49"/>
    </row>
    <row r="293" spans="1:10" x14ac:dyDescent="0.2">
      <c r="A293" s="50">
        <f t="shared" si="5"/>
        <v>44853</v>
      </c>
      <c r="B293" s="51">
        <v>4960.3500000000004</v>
      </c>
      <c r="C293" s="52">
        <v>3365.48</v>
      </c>
      <c r="D293" s="52">
        <v>3012.86</v>
      </c>
      <c r="E293" s="52">
        <v>2328.66</v>
      </c>
      <c r="F293" s="52">
        <v>4046.92</v>
      </c>
      <c r="G293" s="52">
        <v>5911.7</v>
      </c>
      <c r="H293" s="52">
        <v>2952.1</v>
      </c>
      <c r="I293" s="53">
        <v>20673.870000000003</v>
      </c>
      <c r="J293" s="49"/>
    </row>
    <row r="294" spans="1:10" x14ac:dyDescent="0.2">
      <c r="A294" s="50">
        <f t="shared" si="5"/>
        <v>44854</v>
      </c>
      <c r="B294" s="51">
        <v>4799.55</v>
      </c>
      <c r="C294" s="52">
        <v>3298.46</v>
      </c>
      <c r="D294" s="52">
        <v>3058.3</v>
      </c>
      <c r="E294" s="52">
        <v>2306.2199999999998</v>
      </c>
      <c r="F294" s="52">
        <v>4021.11</v>
      </c>
      <c r="G294" s="52">
        <v>5271.85</v>
      </c>
      <c r="H294" s="52">
        <v>2592.1</v>
      </c>
      <c r="I294" s="53">
        <v>20163.39</v>
      </c>
      <c r="J294" s="49"/>
    </row>
    <row r="295" spans="1:10" x14ac:dyDescent="0.2">
      <c r="A295" s="50">
        <f t="shared" si="5"/>
        <v>44855</v>
      </c>
      <c r="B295" s="51">
        <v>4741</v>
      </c>
      <c r="C295" s="52">
        <v>3182</v>
      </c>
      <c r="D295" s="52">
        <v>3054</v>
      </c>
      <c r="E295" s="52">
        <v>2688</v>
      </c>
      <c r="F295" s="52">
        <v>3741</v>
      </c>
      <c r="G295" s="52">
        <v>4779</v>
      </c>
      <c r="H295" s="52">
        <v>2728</v>
      </c>
      <c r="I295" s="53">
        <v>19457</v>
      </c>
      <c r="J295" s="49"/>
    </row>
    <row r="296" spans="1:10" x14ac:dyDescent="0.2">
      <c r="A296" s="50">
        <f t="shared" si="5"/>
        <v>44856</v>
      </c>
      <c r="B296" s="51">
        <v>4504.4799999999996</v>
      </c>
      <c r="C296" s="52">
        <v>2817.19</v>
      </c>
      <c r="D296" s="52">
        <v>3065.99</v>
      </c>
      <c r="E296" s="52">
        <v>2095.9899999999998</v>
      </c>
      <c r="F296" s="52">
        <v>3442.35</v>
      </c>
      <c r="G296" s="52">
        <v>3283.58</v>
      </c>
      <c r="H296" s="52">
        <v>2392.0500000000002</v>
      </c>
      <c r="I296" s="53">
        <v>16817.530000000002</v>
      </c>
      <c r="J296" s="49"/>
    </row>
    <row r="297" spans="1:10" x14ac:dyDescent="0.2">
      <c r="A297" s="50">
        <f t="shared" si="5"/>
        <v>44857</v>
      </c>
      <c r="B297" s="51">
        <v>4664.3</v>
      </c>
      <c r="C297" s="52">
        <v>2759.55</v>
      </c>
      <c r="D297" s="52">
        <v>3369</v>
      </c>
      <c r="E297" s="52">
        <v>1866.11</v>
      </c>
      <c r="F297" s="52">
        <v>3197</v>
      </c>
      <c r="G297" s="52">
        <v>2934.25</v>
      </c>
      <c r="H297" s="52">
        <v>2145.11</v>
      </c>
      <c r="I297" s="53">
        <v>16645.099999999999</v>
      </c>
      <c r="J297" s="49"/>
    </row>
    <row r="298" spans="1:10" x14ac:dyDescent="0.2">
      <c r="A298" s="50">
        <f t="shared" si="5"/>
        <v>44858</v>
      </c>
      <c r="B298" s="51">
        <v>5341.1</v>
      </c>
      <c r="C298" s="52">
        <v>3382.47</v>
      </c>
      <c r="D298" s="52">
        <v>4214.9799999999996</v>
      </c>
      <c r="E298" s="52">
        <v>2086.31</v>
      </c>
      <c r="F298" s="52">
        <v>3516.09</v>
      </c>
      <c r="G298" s="52">
        <v>5436.74</v>
      </c>
      <c r="H298" s="52">
        <v>3091.9199999999996</v>
      </c>
      <c r="I298" s="53">
        <v>20885.769999999997</v>
      </c>
      <c r="J298" s="49"/>
    </row>
    <row r="299" spans="1:10" x14ac:dyDescent="0.2">
      <c r="A299" s="50">
        <f t="shared" si="5"/>
        <v>44859</v>
      </c>
      <c r="B299" s="51">
        <v>5845</v>
      </c>
      <c r="C299" s="52">
        <v>3160</v>
      </c>
      <c r="D299" s="52">
        <v>4163</v>
      </c>
      <c r="E299" s="52">
        <v>1955</v>
      </c>
      <c r="F299" s="52">
        <v>3867</v>
      </c>
      <c r="G299" s="52">
        <v>5789</v>
      </c>
      <c r="H299" s="52">
        <v>3005</v>
      </c>
      <c r="I299" s="53">
        <v>21774</v>
      </c>
      <c r="J299" s="49"/>
    </row>
    <row r="300" spans="1:10" x14ac:dyDescent="0.2">
      <c r="A300" s="50">
        <f t="shared" si="5"/>
        <v>44860</v>
      </c>
      <c r="B300" s="51">
        <v>6777.86</v>
      </c>
      <c r="C300" s="52">
        <v>3158.67</v>
      </c>
      <c r="D300" s="52">
        <v>4295.42</v>
      </c>
      <c r="E300" s="52">
        <v>2777.88</v>
      </c>
      <c r="F300" s="52">
        <v>4530.8900000000003</v>
      </c>
      <c r="G300" s="52">
        <v>6142.76</v>
      </c>
      <c r="H300" s="52">
        <v>3066.7300000000005</v>
      </c>
      <c r="I300" s="53">
        <v>24616.749999999996</v>
      </c>
      <c r="J300" s="49"/>
    </row>
    <row r="301" spans="1:10" x14ac:dyDescent="0.2">
      <c r="A301" s="50">
        <f t="shared" si="5"/>
        <v>44861</v>
      </c>
      <c r="B301" s="51">
        <v>7063.6</v>
      </c>
      <c r="C301" s="52">
        <v>2976.82</v>
      </c>
      <c r="D301" s="52">
        <v>4389.6400000000003</v>
      </c>
      <c r="E301" s="52">
        <v>2737.5</v>
      </c>
      <c r="F301" s="52">
        <v>4782.3</v>
      </c>
      <c r="G301" s="52">
        <v>6052.2</v>
      </c>
      <c r="H301" s="52">
        <v>3100.0299999999997</v>
      </c>
      <c r="I301" s="53">
        <v>24902.030000000002</v>
      </c>
      <c r="J301" s="49"/>
    </row>
    <row r="302" spans="1:10" x14ac:dyDescent="0.2">
      <c r="A302" s="50">
        <f t="shared" si="5"/>
        <v>44862</v>
      </c>
      <c r="B302" s="51">
        <v>6911.04</v>
      </c>
      <c r="C302" s="52">
        <v>2928.53</v>
      </c>
      <c r="D302" s="52">
        <v>4314.42</v>
      </c>
      <c r="E302" s="52">
        <v>2300.35</v>
      </c>
      <c r="F302" s="52">
        <v>4530.63</v>
      </c>
      <c r="G302" s="52">
        <v>5935.14</v>
      </c>
      <c r="H302" s="52">
        <v>2880.2799999999997</v>
      </c>
      <c r="I302" s="53">
        <v>24039.83</v>
      </c>
      <c r="J302" s="49"/>
    </row>
    <row r="303" spans="1:10" x14ac:dyDescent="0.2">
      <c r="A303" s="50">
        <f t="shared" si="5"/>
        <v>44863</v>
      </c>
      <c r="B303" s="51">
        <v>6875</v>
      </c>
      <c r="C303" s="52">
        <v>2884</v>
      </c>
      <c r="D303" s="52">
        <v>4133</v>
      </c>
      <c r="E303" s="52">
        <v>2950</v>
      </c>
      <c r="F303" s="52">
        <v>4660</v>
      </c>
      <c r="G303" s="52">
        <v>5129</v>
      </c>
      <c r="H303" s="52">
        <v>2426</v>
      </c>
      <c r="I303" s="53">
        <v>24205</v>
      </c>
      <c r="J303" s="49"/>
    </row>
    <row r="304" spans="1:10" x14ac:dyDescent="0.2">
      <c r="A304" s="50">
        <f t="shared" si="5"/>
        <v>44864</v>
      </c>
      <c r="B304" s="51">
        <v>6631.14</v>
      </c>
      <c r="C304" s="52">
        <v>2851.78</v>
      </c>
      <c r="D304" s="52">
        <v>4064.39</v>
      </c>
      <c r="E304" s="52">
        <v>2438.0100000000002</v>
      </c>
      <c r="F304" s="52">
        <v>4374.3599999999997</v>
      </c>
      <c r="G304" s="52">
        <v>4996.18</v>
      </c>
      <c r="H304" s="52">
        <v>2299.21</v>
      </c>
      <c r="I304" s="53">
        <v>23056.65</v>
      </c>
      <c r="J304" s="49"/>
    </row>
    <row r="305" spans="1:10" x14ac:dyDescent="0.2">
      <c r="A305" s="50">
        <f t="shared" si="5"/>
        <v>44865</v>
      </c>
      <c r="B305" s="51">
        <v>6674.41</v>
      </c>
      <c r="C305" s="52">
        <v>3245.86</v>
      </c>
      <c r="D305" s="52">
        <v>4205.8999999999996</v>
      </c>
      <c r="E305" s="52">
        <v>2333.84</v>
      </c>
      <c r="F305" s="52">
        <v>4304.8</v>
      </c>
      <c r="G305" s="52">
        <v>6086.89</v>
      </c>
      <c r="H305" s="52">
        <v>3192.08</v>
      </c>
      <c r="I305" s="53">
        <v>23659.620000000003</v>
      </c>
      <c r="J305" s="49"/>
    </row>
    <row r="306" spans="1:10" x14ac:dyDescent="0.2">
      <c r="A306" s="50">
        <f t="shared" si="5"/>
        <v>44866</v>
      </c>
      <c r="B306" s="51">
        <v>6735.83</v>
      </c>
      <c r="C306" s="52">
        <v>3190.42</v>
      </c>
      <c r="D306" s="52">
        <v>4237.6099999999997</v>
      </c>
      <c r="E306" s="52">
        <v>3712.42</v>
      </c>
      <c r="F306" s="52">
        <v>5023.8100000000004</v>
      </c>
      <c r="G306" s="52">
        <v>5775.79</v>
      </c>
      <c r="H306" s="52">
        <v>2853.84</v>
      </c>
      <c r="I306" s="53">
        <v>25822.04</v>
      </c>
      <c r="J306" s="49"/>
    </row>
    <row r="307" spans="1:10" x14ac:dyDescent="0.2">
      <c r="A307" s="50">
        <f t="shared" si="5"/>
        <v>44867</v>
      </c>
      <c r="B307" s="51">
        <v>7164</v>
      </c>
      <c r="C307" s="52">
        <v>3160</v>
      </c>
      <c r="D307" s="52">
        <v>4400</v>
      </c>
      <c r="E307" s="52">
        <v>4469</v>
      </c>
      <c r="F307" s="52">
        <v>4883</v>
      </c>
      <c r="G307" s="52">
        <v>6326</v>
      </c>
      <c r="H307" s="52">
        <v>3189</v>
      </c>
      <c r="I307" s="53">
        <v>27213</v>
      </c>
      <c r="J307" s="49"/>
    </row>
    <row r="308" spans="1:10" x14ac:dyDescent="0.2">
      <c r="A308" s="50">
        <f t="shared" si="5"/>
        <v>44868</v>
      </c>
      <c r="B308" s="51">
        <v>6761.19</v>
      </c>
      <c r="C308" s="52">
        <v>2996.4</v>
      </c>
      <c r="D308" s="52">
        <v>4396.75</v>
      </c>
      <c r="E308" s="52">
        <v>2605.9499999999998</v>
      </c>
      <c r="F308" s="52">
        <v>4550.6899999999996</v>
      </c>
      <c r="G308" s="52">
        <v>6176.39</v>
      </c>
      <c r="H308" s="52">
        <v>2848.9399999999996</v>
      </c>
      <c r="I308" s="53">
        <v>24638.43</v>
      </c>
      <c r="J308" s="49"/>
    </row>
    <row r="309" spans="1:10" x14ac:dyDescent="0.2">
      <c r="A309" s="50">
        <f t="shared" si="5"/>
        <v>44869</v>
      </c>
      <c r="B309" s="51">
        <v>6322.2</v>
      </c>
      <c r="C309" s="52">
        <v>2726.48</v>
      </c>
      <c r="D309" s="52">
        <v>4188.47</v>
      </c>
      <c r="E309" s="52">
        <v>2895.46</v>
      </c>
      <c r="F309" s="52">
        <v>4393.62</v>
      </c>
      <c r="G309" s="52">
        <v>5674.44</v>
      </c>
      <c r="H309" s="52">
        <v>2590.39</v>
      </c>
      <c r="I309" s="53">
        <v>23610.28</v>
      </c>
      <c r="J309" s="49"/>
    </row>
    <row r="310" spans="1:10" x14ac:dyDescent="0.2">
      <c r="A310" s="50">
        <f t="shared" si="5"/>
        <v>44870</v>
      </c>
      <c r="B310" s="51">
        <v>6457.81</v>
      </c>
      <c r="C310" s="52">
        <v>2560.86</v>
      </c>
      <c r="D310" s="52">
        <v>4118.43</v>
      </c>
      <c r="E310" s="52">
        <v>2939.93</v>
      </c>
      <c r="F310" s="52">
        <v>4304.54</v>
      </c>
      <c r="G310" s="52">
        <v>5063.51</v>
      </c>
      <c r="H310" s="52">
        <v>2232.4100000000003</v>
      </c>
      <c r="I310" s="53">
        <v>23212.670000000002</v>
      </c>
      <c r="J310" s="49"/>
    </row>
    <row r="311" spans="1:10" x14ac:dyDescent="0.2">
      <c r="A311" s="50">
        <f t="shared" si="5"/>
        <v>44871</v>
      </c>
      <c r="B311" s="51">
        <v>6122</v>
      </c>
      <c r="C311" s="52">
        <v>2514</v>
      </c>
      <c r="D311" s="52">
        <v>3936</v>
      </c>
      <c r="E311" s="52">
        <v>3128</v>
      </c>
      <c r="F311" s="52">
        <v>4076</v>
      </c>
      <c r="G311" s="52">
        <v>5106</v>
      </c>
      <c r="H311" s="52">
        <v>2117</v>
      </c>
      <c r="I311" s="53">
        <v>22765</v>
      </c>
      <c r="J311" s="49"/>
    </row>
    <row r="312" spans="1:10" x14ac:dyDescent="0.2">
      <c r="A312" s="50">
        <f t="shared" si="5"/>
        <v>44872</v>
      </c>
      <c r="B312" s="51">
        <v>6427.76</v>
      </c>
      <c r="C312" s="52">
        <v>2904.98</v>
      </c>
      <c r="D312" s="52">
        <v>4292.91</v>
      </c>
      <c r="E312" s="52">
        <v>2466.86</v>
      </c>
      <c r="F312" s="52">
        <v>4061.22</v>
      </c>
      <c r="G312" s="52">
        <v>6503.77</v>
      </c>
      <c r="H312" s="52">
        <v>3005</v>
      </c>
      <c r="I312" s="53">
        <v>23652.5</v>
      </c>
      <c r="J312" s="49"/>
    </row>
    <row r="313" spans="1:10" x14ac:dyDescent="0.2">
      <c r="A313" s="50">
        <f t="shared" si="5"/>
        <v>44873</v>
      </c>
      <c r="B313" s="51">
        <v>6837.73</v>
      </c>
      <c r="C313" s="52">
        <v>2997.1</v>
      </c>
      <c r="D313" s="52">
        <v>4315</v>
      </c>
      <c r="E313" s="52">
        <v>2689.97</v>
      </c>
      <c r="F313" s="52">
        <v>4746.22</v>
      </c>
      <c r="G313" s="52">
        <v>6390.67</v>
      </c>
      <c r="H313" s="52">
        <v>2835.6899999999996</v>
      </c>
      <c r="I313" s="53">
        <v>25141.000000000004</v>
      </c>
      <c r="J313" s="49"/>
    </row>
    <row r="314" spans="1:10" x14ac:dyDescent="0.2">
      <c r="A314" s="50">
        <f t="shared" si="5"/>
        <v>44874</v>
      </c>
      <c r="B314" s="51">
        <v>6544.83</v>
      </c>
      <c r="C314" s="52">
        <v>2940.83</v>
      </c>
      <c r="D314" s="52">
        <v>4348.09</v>
      </c>
      <c r="E314" s="52">
        <v>2103.96</v>
      </c>
      <c r="F314" s="52">
        <v>4302.1499999999996</v>
      </c>
      <c r="G314" s="52">
        <v>5792.85</v>
      </c>
      <c r="H314" s="52">
        <v>2827.67</v>
      </c>
      <c r="I314" s="53">
        <v>23205.040000000001</v>
      </c>
      <c r="J314" s="49"/>
    </row>
    <row r="315" spans="1:10" x14ac:dyDescent="0.2">
      <c r="A315" s="50">
        <f t="shared" si="5"/>
        <v>44875</v>
      </c>
      <c r="B315" s="51">
        <v>6813</v>
      </c>
      <c r="C315" s="52">
        <v>3097</v>
      </c>
      <c r="D315" s="52">
        <v>4319</v>
      </c>
      <c r="E315" s="52">
        <v>3089</v>
      </c>
      <c r="F315" s="52">
        <v>3622</v>
      </c>
      <c r="G315" s="52">
        <v>5777</v>
      </c>
      <c r="H315" s="52">
        <v>2954</v>
      </c>
      <c r="I315" s="53">
        <v>23763</v>
      </c>
      <c r="J315" s="49"/>
    </row>
    <row r="316" spans="1:10" x14ac:dyDescent="0.2">
      <c r="A316" s="50">
        <f t="shared" si="5"/>
        <v>44876</v>
      </c>
      <c r="B316" s="51">
        <v>6932.78</v>
      </c>
      <c r="C316" s="52">
        <v>2975.77</v>
      </c>
      <c r="D316" s="52">
        <v>4249.3900000000003</v>
      </c>
      <c r="E316" s="52">
        <v>3442.49</v>
      </c>
      <c r="F316" s="52">
        <v>4231.68</v>
      </c>
      <c r="G316" s="52">
        <v>5873</v>
      </c>
      <c r="H316" s="52">
        <v>2951.2999999999997</v>
      </c>
      <c r="I316" s="53">
        <v>24753.81</v>
      </c>
      <c r="J316" s="49"/>
    </row>
    <row r="317" spans="1:10" x14ac:dyDescent="0.2">
      <c r="A317" s="50">
        <f t="shared" si="5"/>
        <v>44877</v>
      </c>
      <c r="B317" s="51">
        <v>6506.7</v>
      </c>
      <c r="C317" s="52">
        <v>2684</v>
      </c>
      <c r="D317" s="52">
        <v>3991.17</v>
      </c>
      <c r="E317" s="52">
        <v>4250.1400000000003</v>
      </c>
      <c r="F317" s="52">
        <v>5077.03</v>
      </c>
      <c r="G317" s="52">
        <v>4539.6000000000004</v>
      </c>
      <c r="H317" s="52">
        <v>2279.3599999999997</v>
      </c>
      <c r="I317" s="53">
        <v>24769.279999999999</v>
      </c>
      <c r="J317" s="49"/>
    </row>
    <row r="318" spans="1:10" x14ac:dyDescent="0.2">
      <c r="A318" s="50">
        <f t="shared" si="5"/>
        <v>44878</v>
      </c>
      <c r="B318" s="51">
        <v>6327.57</v>
      </c>
      <c r="C318" s="52">
        <v>2598.11</v>
      </c>
      <c r="D318" s="52">
        <v>3887.03</v>
      </c>
      <c r="E318" s="52">
        <v>3383.98</v>
      </c>
      <c r="F318" s="52">
        <v>4325.13</v>
      </c>
      <c r="G318" s="52">
        <v>4584.01</v>
      </c>
      <c r="H318" s="52">
        <v>2165.5099999999998</v>
      </c>
      <c r="I318" s="53">
        <v>22940.320000000003</v>
      </c>
      <c r="J318" s="49"/>
    </row>
    <row r="319" spans="1:10" x14ac:dyDescent="0.2">
      <c r="A319" s="50">
        <f t="shared" si="5"/>
        <v>44879</v>
      </c>
      <c r="B319" s="51">
        <v>6872</v>
      </c>
      <c r="C319" s="52">
        <v>3084</v>
      </c>
      <c r="D319" s="52">
        <v>4190</v>
      </c>
      <c r="E319" s="52">
        <v>3592</v>
      </c>
      <c r="F319" s="52">
        <v>4562</v>
      </c>
      <c r="G319" s="52">
        <v>6083</v>
      </c>
      <c r="H319" s="52">
        <v>3208</v>
      </c>
      <c r="I319" s="53">
        <v>25175</v>
      </c>
      <c r="J319" s="49"/>
    </row>
    <row r="320" spans="1:10" x14ac:dyDescent="0.2">
      <c r="A320" s="50">
        <f t="shared" si="5"/>
        <v>44880</v>
      </c>
      <c r="B320" s="51">
        <v>7092.73</v>
      </c>
      <c r="C320" s="52">
        <v>3197.49</v>
      </c>
      <c r="D320" s="52">
        <v>4494.5600000000004</v>
      </c>
      <c r="E320" s="52">
        <v>2888.44</v>
      </c>
      <c r="F320" s="52">
        <v>4662.05</v>
      </c>
      <c r="G320" s="52">
        <v>6713.28</v>
      </c>
      <c r="H320" s="52">
        <v>3109.54</v>
      </c>
      <c r="I320" s="53">
        <v>25939.009999999995</v>
      </c>
      <c r="J320" s="49"/>
    </row>
    <row r="321" spans="1:10" x14ac:dyDescent="0.2">
      <c r="A321" s="50">
        <f t="shared" si="5"/>
        <v>44881</v>
      </c>
      <c r="B321" s="51">
        <v>7332.1</v>
      </c>
      <c r="C321" s="52">
        <v>3136.42</v>
      </c>
      <c r="D321" s="52">
        <v>4658.58</v>
      </c>
      <c r="E321" s="52">
        <v>2829.91</v>
      </c>
      <c r="F321" s="52">
        <v>4685.0200000000004</v>
      </c>
      <c r="G321" s="52">
        <v>6886.37</v>
      </c>
      <c r="H321" s="52">
        <v>3197.5000000000005</v>
      </c>
      <c r="I321" s="53">
        <v>26330.9</v>
      </c>
      <c r="J321" s="49"/>
    </row>
    <row r="322" spans="1:10" x14ac:dyDescent="0.2">
      <c r="A322" s="50">
        <f t="shared" si="5"/>
        <v>44882</v>
      </c>
      <c r="B322" s="51">
        <v>7003.17</v>
      </c>
      <c r="C322" s="52">
        <v>2982.49</v>
      </c>
      <c r="D322" s="52">
        <v>4831.6899999999996</v>
      </c>
      <c r="E322" s="52">
        <v>3079.45</v>
      </c>
      <c r="F322" s="52">
        <v>4554.0600000000004</v>
      </c>
      <c r="G322" s="52">
        <v>6671.96</v>
      </c>
      <c r="H322" s="52">
        <v>3054.4199999999996</v>
      </c>
      <c r="I322" s="53">
        <v>26068.400000000001</v>
      </c>
      <c r="J322" s="49"/>
    </row>
    <row r="323" spans="1:10" x14ac:dyDescent="0.2">
      <c r="A323" s="50">
        <f t="shared" si="5"/>
        <v>44883</v>
      </c>
      <c r="B323" s="51">
        <v>6784</v>
      </c>
      <c r="C323" s="52">
        <v>3215</v>
      </c>
      <c r="D323" s="52">
        <v>4860</v>
      </c>
      <c r="E323" s="52">
        <v>2810</v>
      </c>
      <c r="F323" s="52">
        <v>4589</v>
      </c>
      <c r="G323" s="52">
        <v>6970</v>
      </c>
      <c r="H323" s="52">
        <v>2928</v>
      </c>
      <c r="I323" s="53">
        <v>26300</v>
      </c>
      <c r="J323" s="49"/>
    </row>
    <row r="324" spans="1:10" x14ac:dyDescent="0.2">
      <c r="A324" s="50">
        <f t="shared" si="5"/>
        <v>44884</v>
      </c>
      <c r="B324" s="51">
        <v>6434.34</v>
      </c>
      <c r="C324" s="52">
        <v>2992.42</v>
      </c>
      <c r="D324" s="52">
        <v>4622.04</v>
      </c>
      <c r="E324" s="52">
        <v>2238.0100000000002</v>
      </c>
      <c r="F324" s="52">
        <v>3945.13</v>
      </c>
      <c r="G324" s="52">
        <v>5854.02</v>
      </c>
      <c r="H324" s="52">
        <v>2140.6799999999994</v>
      </c>
      <c r="I324" s="53">
        <v>23945.279999999999</v>
      </c>
      <c r="J324" s="49"/>
    </row>
    <row r="325" spans="1:10" x14ac:dyDescent="0.2">
      <c r="A325" s="50">
        <f t="shared" si="5"/>
        <v>44885</v>
      </c>
      <c r="B325" s="51">
        <v>6362.33</v>
      </c>
      <c r="C325" s="52">
        <v>2803.8</v>
      </c>
      <c r="D325" s="52">
        <v>4727.16</v>
      </c>
      <c r="E325" s="52">
        <v>2753.72</v>
      </c>
      <c r="F325" s="52">
        <v>4218.2</v>
      </c>
      <c r="G325" s="52">
        <v>6308.13</v>
      </c>
      <c r="H325" s="52">
        <v>2328.9899999999998</v>
      </c>
      <c r="I325" s="53">
        <v>24844.350000000006</v>
      </c>
      <c r="J325" s="49"/>
    </row>
    <row r="326" spans="1:10" x14ac:dyDescent="0.2">
      <c r="A326" s="50">
        <f t="shared" si="5"/>
        <v>44886</v>
      </c>
      <c r="B326" s="51">
        <v>6724.87</v>
      </c>
      <c r="C326" s="52">
        <v>3088.24</v>
      </c>
      <c r="D326" s="52">
        <v>4985.18</v>
      </c>
      <c r="E326" s="52">
        <v>2478.59</v>
      </c>
      <c r="F326" s="52">
        <v>4152.67</v>
      </c>
      <c r="G326" s="52">
        <v>7117.52</v>
      </c>
      <c r="H326" s="52">
        <v>3016.74</v>
      </c>
      <c r="I326" s="53">
        <v>25530.33</v>
      </c>
      <c r="J326" s="49"/>
    </row>
    <row r="327" spans="1:10" x14ac:dyDescent="0.2">
      <c r="A327" s="50">
        <f t="shared" si="5"/>
        <v>44887</v>
      </c>
      <c r="B327" s="51">
        <v>7208</v>
      </c>
      <c r="C327" s="52">
        <v>3553</v>
      </c>
      <c r="D327" s="52">
        <v>4717</v>
      </c>
      <c r="E327" s="52">
        <v>2952</v>
      </c>
      <c r="F327" s="52">
        <v>4805</v>
      </c>
      <c r="G327" s="52">
        <v>6859</v>
      </c>
      <c r="H327" s="52">
        <v>2997.53</v>
      </c>
      <c r="I327" s="53">
        <v>27096.47</v>
      </c>
      <c r="J327" s="49"/>
    </row>
    <row r="328" spans="1:10" x14ac:dyDescent="0.2">
      <c r="A328" s="50">
        <f t="shared" si="5"/>
        <v>44888</v>
      </c>
      <c r="B328" s="51">
        <v>7183.36</v>
      </c>
      <c r="C328" s="52">
        <v>3249.01</v>
      </c>
      <c r="D328" s="52">
        <v>4967.5</v>
      </c>
      <c r="E328" s="52">
        <v>2156.5700000000002</v>
      </c>
      <c r="F328" s="52">
        <v>4294.13</v>
      </c>
      <c r="G328" s="52">
        <v>6538.28</v>
      </c>
      <c r="H328" s="52">
        <v>2677.7400000000002</v>
      </c>
      <c r="I328" s="53">
        <v>25711.109999999997</v>
      </c>
      <c r="J328" s="49"/>
    </row>
    <row r="329" spans="1:10" x14ac:dyDescent="0.2">
      <c r="A329" s="50">
        <f t="shared" si="5"/>
        <v>44889</v>
      </c>
      <c r="B329" s="51">
        <v>6840.22</v>
      </c>
      <c r="C329" s="52">
        <v>3211.26</v>
      </c>
      <c r="D329" s="52">
        <v>4981.3</v>
      </c>
      <c r="E329" s="52">
        <v>3117.52</v>
      </c>
      <c r="F329" s="52">
        <v>4935.5600000000004</v>
      </c>
      <c r="G329" s="52">
        <v>6860.86</v>
      </c>
      <c r="H329" s="52">
        <v>3210.6100000000006</v>
      </c>
      <c r="I329" s="53">
        <v>26736.11</v>
      </c>
      <c r="J329" s="49"/>
    </row>
    <row r="330" spans="1:10" x14ac:dyDescent="0.2">
      <c r="A330" s="50">
        <f t="shared" si="5"/>
        <v>44890</v>
      </c>
      <c r="B330" s="51">
        <v>6940.01</v>
      </c>
      <c r="C330" s="52">
        <v>2923.55</v>
      </c>
      <c r="D330" s="52">
        <v>4871.45</v>
      </c>
      <c r="E330" s="52">
        <v>3438.37</v>
      </c>
      <c r="F330" s="52">
        <v>4571.51</v>
      </c>
      <c r="G330" s="52">
        <v>6207.74</v>
      </c>
      <c r="H330" s="52">
        <v>2515.7600000000002</v>
      </c>
      <c r="I330" s="53">
        <v>26436.869999999995</v>
      </c>
      <c r="J330" s="49"/>
    </row>
    <row r="331" spans="1:10" x14ac:dyDescent="0.2">
      <c r="A331" s="50">
        <f t="shared" si="5"/>
        <v>44891</v>
      </c>
      <c r="B331" s="51">
        <v>6291</v>
      </c>
      <c r="C331" s="52">
        <v>3371</v>
      </c>
      <c r="D331" s="52">
        <v>5156</v>
      </c>
      <c r="E331" s="52">
        <v>2278</v>
      </c>
      <c r="F331" s="52">
        <v>4453</v>
      </c>
      <c r="G331" s="52">
        <v>5779</v>
      </c>
      <c r="H331" s="52">
        <v>2304.02</v>
      </c>
      <c r="I331" s="53">
        <v>25023.98</v>
      </c>
      <c r="J331" s="49"/>
    </row>
    <row r="332" spans="1:10" x14ac:dyDescent="0.2">
      <c r="A332" s="50">
        <f t="shared" si="5"/>
        <v>44892</v>
      </c>
      <c r="B332" s="51">
        <v>6044.57</v>
      </c>
      <c r="C332" s="52">
        <v>3195.87</v>
      </c>
      <c r="D332" s="52">
        <v>4523.2700000000004</v>
      </c>
      <c r="E332" s="52">
        <v>1811.27</v>
      </c>
      <c r="F332" s="52">
        <v>4026.12</v>
      </c>
      <c r="G332" s="52">
        <v>4521.2700000000004</v>
      </c>
      <c r="H332" s="52">
        <v>2146.5699999999997</v>
      </c>
      <c r="I332" s="53">
        <v>21975.8</v>
      </c>
      <c r="J332" s="49"/>
    </row>
    <row r="333" spans="1:10" x14ac:dyDescent="0.2">
      <c r="A333" s="50">
        <f t="shared" si="5"/>
        <v>44893</v>
      </c>
      <c r="B333" s="51">
        <v>6884.18</v>
      </c>
      <c r="C333" s="52">
        <v>3439.44</v>
      </c>
      <c r="D333" s="52">
        <v>4923.75</v>
      </c>
      <c r="E333" s="52">
        <v>2993.1</v>
      </c>
      <c r="F333" s="52">
        <v>4803.41</v>
      </c>
      <c r="G333" s="52">
        <v>6649.22</v>
      </c>
      <c r="H333" s="52">
        <v>3280.88</v>
      </c>
      <c r="I333" s="53">
        <v>26412.22</v>
      </c>
      <c r="J333" s="49"/>
    </row>
    <row r="334" spans="1:10" x14ac:dyDescent="0.2">
      <c r="A334" s="50">
        <f t="shared" si="5"/>
        <v>44894</v>
      </c>
      <c r="B334" s="51">
        <v>7155.53</v>
      </c>
      <c r="C334" s="52">
        <v>3436.93</v>
      </c>
      <c r="D334" s="52">
        <v>5259.22</v>
      </c>
      <c r="E334" s="52">
        <v>3544.8</v>
      </c>
      <c r="F334" s="52">
        <v>4696.66</v>
      </c>
      <c r="G334" s="52">
        <v>6844.19</v>
      </c>
      <c r="H334" s="52">
        <v>3193.36</v>
      </c>
      <c r="I334" s="53">
        <v>27743.969999999998</v>
      </c>
      <c r="J334" s="49"/>
    </row>
    <row r="335" spans="1:10" x14ac:dyDescent="0.2">
      <c r="A335" s="50">
        <f t="shared" si="5"/>
        <v>44895</v>
      </c>
      <c r="B335" s="51">
        <v>7137</v>
      </c>
      <c r="C335" s="52">
        <v>3626</v>
      </c>
      <c r="D335" s="52">
        <v>5202</v>
      </c>
      <c r="E335" s="52">
        <v>4222</v>
      </c>
      <c r="F335" s="52">
        <v>4984</v>
      </c>
      <c r="G335" s="52">
        <v>6961</v>
      </c>
      <c r="H335" s="52">
        <v>2985.08</v>
      </c>
      <c r="I335" s="53">
        <v>29146.92</v>
      </c>
      <c r="J335" s="49"/>
    </row>
    <row r="336" spans="1:10" x14ac:dyDescent="0.2">
      <c r="A336" s="50">
        <f t="shared" si="5"/>
        <v>44896</v>
      </c>
      <c r="B336" s="51">
        <v>6788.01</v>
      </c>
      <c r="C336" s="52">
        <v>3386.96</v>
      </c>
      <c r="D336" s="52">
        <v>5092.12</v>
      </c>
      <c r="E336" s="52">
        <v>2803.65</v>
      </c>
      <c r="F336" s="52">
        <v>4584.07</v>
      </c>
      <c r="G336" s="52">
        <v>7271.86</v>
      </c>
      <c r="H336" s="52">
        <v>3155.9900000000002</v>
      </c>
      <c r="I336" s="53">
        <v>26770.68</v>
      </c>
      <c r="J336" s="49"/>
    </row>
    <row r="337" spans="1:10" x14ac:dyDescent="0.2">
      <c r="A337" s="50">
        <f t="shared" si="5"/>
        <v>44897</v>
      </c>
      <c r="B337" s="51">
        <v>9086.5300000000007</v>
      </c>
      <c r="C337" s="52">
        <v>4261.51</v>
      </c>
      <c r="D337" s="52">
        <v>5989.33</v>
      </c>
      <c r="E337" s="52">
        <v>3152.72</v>
      </c>
      <c r="F337" s="52">
        <v>4220.63</v>
      </c>
      <c r="G337" s="52">
        <v>7624.77</v>
      </c>
      <c r="H337" s="52">
        <v>3141.8100000000004</v>
      </c>
      <c r="I337" s="53">
        <v>31193.680000000004</v>
      </c>
      <c r="J337" s="49"/>
    </row>
    <row r="338" spans="1:10" x14ac:dyDescent="0.2">
      <c r="A338" s="50">
        <f t="shared" si="5"/>
        <v>44898</v>
      </c>
      <c r="B338" s="51">
        <v>9768.23</v>
      </c>
      <c r="C338" s="52">
        <v>4015.15</v>
      </c>
      <c r="D338" s="52">
        <v>6175.35</v>
      </c>
      <c r="E338" s="52">
        <v>3604.29</v>
      </c>
      <c r="F338" s="52">
        <v>4307.92</v>
      </c>
      <c r="G338" s="52">
        <v>6412.59</v>
      </c>
      <c r="H338" s="52">
        <v>2732.39</v>
      </c>
      <c r="I338" s="53">
        <v>31551.14</v>
      </c>
      <c r="J338" s="49"/>
    </row>
    <row r="339" spans="1:10" x14ac:dyDescent="0.2">
      <c r="A339" s="50">
        <f t="shared" si="5"/>
        <v>44899</v>
      </c>
      <c r="B339" s="51">
        <v>9443</v>
      </c>
      <c r="C339" s="52">
        <v>4100</v>
      </c>
      <c r="D339" s="52">
        <v>5747</v>
      </c>
      <c r="E339" s="52">
        <v>3576</v>
      </c>
      <c r="F339" s="52">
        <v>4248</v>
      </c>
      <c r="G339" s="52">
        <v>5884</v>
      </c>
      <c r="H339" s="52">
        <v>2547.2399999999998</v>
      </c>
      <c r="I339" s="53">
        <v>30450.760000000002</v>
      </c>
      <c r="J339" s="49"/>
    </row>
    <row r="340" spans="1:10" x14ac:dyDescent="0.2">
      <c r="A340" s="50">
        <f t="shared" si="5"/>
        <v>44900</v>
      </c>
      <c r="B340" s="51">
        <v>9387.0400000000009</v>
      </c>
      <c r="C340" s="52">
        <v>4242.7700000000004</v>
      </c>
      <c r="D340" s="52">
        <v>5838.86</v>
      </c>
      <c r="E340" s="52">
        <v>2303.94</v>
      </c>
      <c r="F340" s="52">
        <v>4533.32</v>
      </c>
      <c r="G340" s="52">
        <v>7129.44</v>
      </c>
      <c r="H340" s="52">
        <v>3317.34</v>
      </c>
      <c r="I340" s="53">
        <v>30118.030000000002</v>
      </c>
      <c r="J340" s="49"/>
    </row>
    <row r="341" spans="1:10" x14ac:dyDescent="0.2">
      <c r="A341" s="50">
        <f t="shared" si="5"/>
        <v>44901</v>
      </c>
      <c r="B341" s="51">
        <v>9551.9</v>
      </c>
      <c r="C341" s="52">
        <v>4121.3900000000003</v>
      </c>
      <c r="D341" s="52">
        <v>6249.15</v>
      </c>
      <c r="E341" s="52">
        <v>3594.15</v>
      </c>
      <c r="F341" s="52">
        <v>4742.76</v>
      </c>
      <c r="G341" s="52">
        <v>7119.95</v>
      </c>
      <c r="H341" s="52">
        <v>3107.1399999999994</v>
      </c>
      <c r="I341" s="53">
        <v>32272.160000000003</v>
      </c>
      <c r="J341" s="49"/>
    </row>
    <row r="342" spans="1:10" x14ac:dyDescent="0.2">
      <c r="A342" s="50">
        <f t="shared" si="5"/>
        <v>44902</v>
      </c>
      <c r="B342" s="51">
        <v>9587.18</v>
      </c>
      <c r="C342" s="52">
        <v>4116.6099999999997</v>
      </c>
      <c r="D342" s="52">
        <v>6319.61</v>
      </c>
      <c r="E342" s="52">
        <v>3332.79</v>
      </c>
      <c r="F342" s="52">
        <v>4378.37</v>
      </c>
      <c r="G342" s="52">
        <v>6897.11</v>
      </c>
      <c r="H342" s="52">
        <v>3042.7000000000003</v>
      </c>
      <c r="I342" s="53">
        <v>31588.969999999998</v>
      </c>
      <c r="J342" s="49"/>
    </row>
    <row r="343" spans="1:10" x14ac:dyDescent="0.2">
      <c r="A343" s="50">
        <f t="shared" si="5"/>
        <v>44903</v>
      </c>
      <c r="B343" s="51">
        <v>9214</v>
      </c>
      <c r="C343" s="52">
        <v>3938</v>
      </c>
      <c r="D343" s="52">
        <v>5956</v>
      </c>
      <c r="E343" s="52">
        <v>3251</v>
      </c>
      <c r="F343" s="52">
        <v>4280</v>
      </c>
      <c r="G343" s="52">
        <v>7100</v>
      </c>
      <c r="H343" s="52">
        <v>3302.43</v>
      </c>
      <c r="I343" s="53">
        <v>30436.57</v>
      </c>
      <c r="J343" s="49"/>
    </row>
    <row r="344" spans="1:10" x14ac:dyDescent="0.2">
      <c r="A344" s="50">
        <f t="shared" si="5"/>
        <v>44904</v>
      </c>
      <c r="B344" s="51">
        <v>8226.59</v>
      </c>
      <c r="C344" s="52">
        <v>3581.56</v>
      </c>
      <c r="D344" s="52">
        <v>5206.66</v>
      </c>
      <c r="E344" s="52">
        <v>3671.22</v>
      </c>
      <c r="F344" s="52">
        <v>4188.7</v>
      </c>
      <c r="G344" s="52">
        <v>6991.05</v>
      </c>
      <c r="H344" s="52">
        <v>3078.2</v>
      </c>
      <c r="I344" s="53">
        <v>28787.579999999998</v>
      </c>
      <c r="J344" s="49"/>
    </row>
    <row r="345" spans="1:10" x14ac:dyDescent="0.2">
      <c r="A345" s="50">
        <f t="shared" si="5"/>
        <v>44905</v>
      </c>
      <c r="B345" s="51">
        <v>7832.89</v>
      </c>
      <c r="C345" s="52">
        <v>3579.81</v>
      </c>
      <c r="D345" s="52">
        <v>5010</v>
      </c>
      <c r="E345" s="52">
        <v>3187.42</v>
      </c>
      <c r="F345" s="52">
        <v>4391.82</v>
      </c>
      <c r="G345" s="52">
        <v>5770.8</v>
      </c>
      <c r="H345" s="52">
        <v>2474.8700000000003</v>
      </c>
      <c r="I345" s="53">
        <v>27297.870000000003</v>
      </c>
      <c r="J345" s="49"/>
    </row>
    <row r="346" spans="1:10" x14ac:dyDescent="0.2">
      <c r="A346" s="50">
        <f t="shared" si="5"/>
        <v>44906</v>
      </c>
      <c r="B346" s="51">
        <v>7880.67</v>
      </c>
      <c r="C346" s="52">
        <v>3408.8</v>
      </c>
      <c r="D346" s="52">
        <v>4980.68</v>
      </c>
      <c r="E346" s="52">
        <v>3573</v>
      </c>
      <c r="F346" s="52">
        <v>4851.68</v>
      </c>
      <c r="G346" s="52">
        <v>4754.1400000000003</v>
      </c>
      <c r="H346" s="52">
        <v>2404.37</v>
      </c>
      <c r="I346" s="53">
        <v>27044.600000000002</v>
      </c>
      <c r="J346" s="49"/>
    </row>
    <row r="347" spans="1:10" x14ac:dyDescent="0.2">
      <c r="A347" s="50">
        <f t="shared" si="5"/>
        <v>44907</v>
      </c>
      <c r="B347" s="51">
        <v>7881</v>
      </c>
      <c r="C347" s="52">
        <v>4007</v>
      </c>
      <c r="D347" s="52">
        <v>5386</v>
      </c>
      <c r="E347" s="52">
        <v>2378</v>
      </c>
      <c r="F347" s="52">
        <v>4671</v>
      </c>
      <c r="G347" s="52">
        <v>6311</v>
      </c>
      <c r="H347" s="52">
        <v>3329.06</v>
      </c>
      <c r="I347" s="53">
        <v>27304.94</v>
      </c>
      <c r="J347" s="49"/>
    </row>
    <row r="348" spans="1:10" x14ac:dyDescent="0.2">
      <c r="A348" s="50">
        <f t="shared" si="5"/>
        <v>44908</v>
      </c>
      <c r="B348" s="51">
        <v>7930</v>
      </c>
      <c r="C348" s="52">
        <v>3995.47</v>
      </c>
      <c r="D348" s="52">
        <v>5328.78</v>
      </c>
      <c r="E348" s="52">
        <v>2898.99</v>
      </c>
      <c r="F348" s="52">
        <v>5059.67</v>
      </c>
      <c r="G348" s="52">
        <v>6357.81</v>
      </c>
      <c r="H348" s="52">
        <v>3179.92</v>
      </c>
      <c r="I348" s="53">
        <v>28390.799999999996</v>
      </c>
      <c r="J348" s="49"/>
    </row>
    <row r="349" spans="1:10" x14ac:dyDescent="0.2">
      <c r="A349" s="50">
        <f t="shared" si="5"/>
        <v>44909</v>
      </c>
      <c r="B349" s="51">
        <v>7898.13</v>
      </c>
      <c r="C349" s="52">
        <v>3811.04</v>
      </c>
      <c r="D349" s="52">
        <v>5628.79</v>
      </c>
      <c r="E349" s="52">
        <v>3578.48</v>
      </c>
      <c r="F349" s="52">
        <v>4084.78</v>
      </c>
      <c r="G349" s="52">
        <v>6585.86</v>
      </c>
      <c r="H349" s="52">
        <v>2904.5900000000006</v>
      </c>
      <c r="I349" s="53">
        <v>28682.489999999998</v>
      </c>
      <c r="J349" s="49"/>
    </row>
    <row r="350" spans="1:10" x14ac:dyDescent="0.2">
      <c r="A350" s="50">
        <f t="shared" si="5"/>
        <v>44910</v>
      </c>
      <c r="B350" s="51">
        <v>8126.99</v>
      </c>
      <c r="C350" s="52">
        <v>3793.9</v>
      </c>
      <c r="D350" s="52">
        <v>5925.25</v>
      </c>
      <c r="E350" s="52">
        <v>4425.1000000000004</v>
      </c>
      <c r="F350" s="52">
        <v>3769.38</v>
      </c>
      <c r="G350" s="52">
        <v>6992.48</v>
      </c>
      <c r="H350" s="52">
        <v>3102.08</v>
      </c>
      <c r="I350" s="53">
        <v>29931.019999999997</v>
      </c>
      <c r="J350" s="49"/>
    </row>
    <row r="351" spans="1:10" x14ac:dyDescent="0.2">
      <c r="A351" s="50">
        <f t="shared" si="5"/>
        <v>44911</v>
      </c>
      <c r="B351" s="51">
        <v>8038</v>
      </c>
      <c r="C351" s="52">
        <v>4024</v>
      </c>
      <c r="D351" s="52">
        <v>5884</v>
      </c>
      <c r="E351" s="52">
        <v>3510</v>
      </c>
      <c r="F351" s="52">
        <v>3321</v>
      </c>
      <c r="G351" s="52">
        <v>6758</v>
      </c>
      <c r="H351" s="52">
        <v>2993</v>
      </c>
      <c r="I351" s="53">
        <v>28542</v>
      </c>
      <c r="J351" s="49"/>
    </row>
    <row r="352" spans="1:10" x14ac:dyDescent="0.2">
      <c r="A352" s="50">
        <f t="shared" ref="A352:A366" si="6">A351+1</f>
        <v>44912</v>
      </c>
      <c r="B352" s="51">
        <v>7544.01</v>
      </c>
      <c r="C352" s="52">
        <v>3889.32</v>
      </c>
      <c r="D352" s="52">
        <v>5296.89</v>
      </c>
      <c r="E352" s="52">
        <v>2687.98</v>
      </c>
      <c r="F352" s="52">
        <v>3312.85</v>
      </c>
      <c r="G352" s="52">
        <v>4075.1</v>
      </c>
      <c r="H352" s="52">
        <v>2218.8500000000004</v>
      </c>
      <c r="I352" s="53">
        <v>24587.299999999996</v>
      </c>
      <c r="J352" s="49"/>
    </row>
    <row r="353" spans="1:10" x14ac:dyDescent="0.2">
      <c r="A353" s="50">
        <f t="shared" si="6"/>
        <v>44913</v>
      </c>
      <c r="B353" s="51">
        <v>7725.86</v>
      </c>
      <c r="C353" s="52">
        <v>3694.33</v>
      </c>
      <c r="D353" s="52">
        <v>5170.9799999999996</v>
      </c>
      <c r="E353" s="52">
        <v>3564</v>
      </c>
      <c r="F353" s="52">
        <v>4013.51</v>
      </c>
      <c r="G353" s="52">
        <v>3935.72</v>
      </c>
      <c r="H353" s="52">
        <v>2235.8999999999996</v>
      </c>
      <c r="I353" s="53">
        <v>25868.5</v>
      </c>
      <c r="J353" s="49"/>
    </row>
    <row r="354" spans="1:10" x14ac:dyDescent="0.2">
      <c r="A354" s="50">
        <f t="shared" si="6"/>
        <v>44914</v>
      </c>
      <c r="B354" s="51">
        <v>7538.54</v>
      </c>
      <c r="C354" s="52">
        <v>3786.7</v>
      </c>
      <c r="D354" s="52">
        <v>5391.1</v>
      </c>
      <c r="E354" s="52">
        <v>3565.75</v>
      </c>
      <c r="F354" s="52">
        <v>3764.85</v>
      </c>
      <c r="G354" s="52">
        <v>5789.8</v>
      </c>
      <c r="H354" s="52">
        <v>3041.9599999999996</v>
      </c>
      <c r="I354" s="53">
        <v>26794.78</v>
      </c>
      <c r="J354" s="49"/>
    </row>
    <row r="355" spans="1:10" x14ac:dyDescent="0.2">
      <c r="A355" s="50">
        <f t="shared" si="6"/>
        <v>44915</v>
      </c>
      <c r="B355" s="51">
        <v>7802</v>
      </c>
      <c r="C355" s="52">
        <v>4253</v>
      </c>
      <c r="D355" s="52">
        <v>5611</v>
      </c>
      <c r="E355" s="52">
        <v>3685</v>
      </c>
      <c r="F355" s="52">
        <v>3904</v>
      </c>
      <c r="G355" s="52">
        <v>6331</v>
      </c>
      <c r="H355" s="52">
        <v>2882</v>
      </c>
      <c r="I355" s="53">
        <v>28704</v>
      </c>
      <c r="J355" s="49"/>
    </row>
    <row r="356" spans="1:10" x14ac:dyDescent="0.2">
      <c r="A356" s="50">
        <f t="shared" si="6"/>
        <v>44916</v>
      </c>
      <c r="B356" s="51">
        <v>8146.22</v>
      </c>
      <c r="C356" s="52">
        <v>4308.91</v>
      </c>
      <c r="D356" s="52">
        <v>5819.04</v>
      </c>
      <c r="E356" s="52">
        <v>4081.52</v>
      </c>
      <c r="F356" s="52">
        <v>3477.63</v>
      </c>
      <c r="G356" s="52">
        <v>6936.47</v>
      </c>
      <c r="H356" s="52">
        <v>2924.76</v>
      </c>
      <c r="I356" s="53">
        <v>29845.03</v>
      </c>
      <c r="J356" s="49"/>
    </row>
    <row r="357" spans="1:10" x14ac:dyDescent="0.2">
      <c r="A357" s="50">
        <f t="shared" si="6"/>
        <v>44917</v>
      </c>
      <c r="B357" s="51">
        <v>8063</v>
      </c>
      <c r="C357" s="52">
        <v>3941.03</v>
      </c>
      <c r="D357" s="52">
        <v>5970.05</v>
      </c>
      <c r="E357" s="52">
        <v>3947.84</v>
      </c>
      <c r="F357" s="52">
        <v>3873.54</v>
      </c>
      <c r="G357" s="52">
        <v>7420.74</v>
      </c>
      <c r="H357" s="52">
        <v>3236.2200000000003</v>
      </c>
      <c r="I357" s="53">
        <v>29979.980000000003</v>
      </c>
      <c r="J357" s="49"/>
    </row>
    <row r="358" spans="1:10" x14ac:dyDescent="0.2">
      <c r="A358" s="50">
        <f t="shared" si="6"/>
        <v>44918</v>
      </c>
      <c r="B358" s="51">
        <v>7676.91</v>
      </c>
      <c r="C358" s="52">
        <v>3736.87</v>
      </c>
      <c r="D358" s="52">
        <v>5557.8</v>
      </c>
      <c r="E358" s="52">
        <v>3247.35</v>
      </c>
      <c r="F358" s="52">
        <v>3464.67</v>
      </c>
      <c r="G358" s="52">
        <v>6540.81</v>
      </c>
      <c r="H358" s="52">
        <v>2676.67</v>
      </c>
      <c r="I358" s="53">
        <v>27547.739999999998</v>
      </c>
      <c r="J358" s="49"/>
    </row>
    <row r="359" spans="1:10" x14ac:dyDescent="0.2">
      <c r="A359" s="50">
        <f t="shared" si="6"/>
        <v>44919</v>
      </c>
      <c r="B359" s="51">
        <v>7523</v>
      </c>
      <c r="C359" s="52">
        <v>3513</v>
      </c>
      <c r="D359" s="52">
        <v>5156</v>
      </c>
      <c r="E359" s="52">
        <v>3441</v>
      </c>
      <c r="F359" s="52">
        <v>3722</v>
      </c>
      <c r="G359" s="52">
        <v>4896</v>
      </c>
      <c r="H359" s="52">
        <v>2353</v>
      </c>
      <c r="I359" s="53">
        <v>25898</v>
      </c>
      <c r="J359" s="49"/>
    </row>
    <row r="360" spans="1:10" x14ac:dyDescent="0.2">
      <c r="A360" s="50">
        <f t="shared" si="6"/>
        <v>44920</v>
      </c>
      <c r="B360" s="51">
        <v>6613.21</v>
      </c>
      <c r="C360" s="52">
        <v>3562.96</v>
      </c>
      <c r="D360" s="52">
        <v>5118.37</v>
      </c>
      <c r="E360" s="52">
        <v>2242.77</v>
      </c>
      <c r="F360" s="52">
        <v>3352.61</v>
      </c>
      <c r="G360" s="52">
        <v>3817.06</v>
      </c>
      <c r="H360" s="52">
        <v>2176.2400000000002</v>
      </c>
      <c r="I360" s="53">
        <v>22530.74</v>
      </c>
      <c r="J360" s="49"/>
    </row>
    <row r="361" spans="1:10" x14ac:dyDescent="0.2">
      <c r="A361" s="50">
        <f t="shared" si="6"/>
        <v>44921</v>
      </c>
      <c r="B361" s="51">
        <v>7228.63</v>
      </c>
      <c r="C361" s="52">
        <v>3840.31</v>
      </c>
      <c r="D361" s="52">
        <v>5296.67</v>
      </c>
      <c r="E361" s="52">
        <v>3240.28</v>
      </c>
      <c r="F361" s="52">
        <v>3838.05</v>
      </c>
      <c r="G361" s="52">
        <v>6385.88</v>
      </c>
      <c r="H361" s="52">
        <v>3057.64</v>
      </c>
      <c r="I361" s="53">
        <v>26772.18</v>
      </c>
      <c r="J361" s="49"/>
    </row>
    <row r="362" spans="1:10" x14ac:dyDescent="0.2">
      <c r="A362" s="50">
        <f t="shared" si="6"/>
        <v>44922</v>
      </c>
      <c r="B362" s="51">
        <v>7682.59</v>
      </c>
      <c r="C362" s="52">
        <v>3773.85</v>
      </c>
      <c r="D362" s="52">
        <v>5456.11</v>
      </c>
      <c r="E362" s="52">
        <v>4013.94</v>
      </c>
      <c r="F362" s="52">
        <v>4187.7700000000004</v>
      </c>
      <c r="G362" s="52">
        <v>6620.15</v>
      </c>
      <c r="H362" s="52">
        <v>2965.7299999999996</v>
      </c>
      <c r="I362" s="53">
        <v>28768.679999999997</v>
      </c>
      <c r="J362" s="49"/>
    </row>
    <row r="363" spans="1:10" x14ac:dyDescent="0.2">
      <c r="A363" s="50">
        <f t="shared" si="6"/>
        <v>44923</v>
      </c>
      <c r="B363" s="51">
        <v>6836</v>
      </c>
      <c r="C363" s="52">
        <v>3934</v>
      </c>
      <c r="D363" s="52">
        <v>5570</v>
      </c>
      <c r="E363" s="52">
        <v>2737</v>
      </c>
      <c r="F363" s="52">
        <v>3112</v>
      </c>
      <c r="G363" s="52">
        <v>6624</v>
      </c>
      <c r="H363" s="52">
        <v>2888</v>
      </c>
      <c r="I363" s="53">
        <v>25925</v>
      </c>
      <c r="J363" s="49"/>
    </row>
    <row r="364" spans="1:10" x14ac:dyDescent="0.2">
      <c r="A364" s="50">
        <f t="shared" si="6"/>
        <v>44924</v>
      </c>
      <c r="B364" s="51">
        <v>5255.2</v>
      </c>
      <c r="C364" s="52">
        <v>2789.93</v>
      </c>
      <c r="D364" s="52">
        <v>4337.04</v>
      </c>
      <c r="E364" s="52">
        <v>3667.78</v>
      </c>
      <c r="F364" s="52">
        <v>1577.61</v>
      </c>
      <c r="G364" s="52">
        <v>5022.16</v>
      </c>
      <c r="H364" s="52">
        <v>2371.5899999999992</v>
      </c>
      <c r="I364" s="53">
        <v>20278.129999999997</v>
      </c>
      <c r="J364" s="49"/>
    </row>
    <row r="365" spans="1:10" x14ac:dyDescent="0.2">
      <c r="A365" s="50">
        <f t="shared" si="6"/>
        <v>44925</v>
      </c>
      <c r="B365" s="51">
        <v>3106.09</v>
      </c>
      <c r="C365" s="52">
        <v>1075.3699999999999</v>
      </c>
      <c r="D365" s="52">
        <v>2180.69</v>
      </c>
      <c r="E365" s="52">
        <v>2508.92</v>
      </c>
      <c r="F365" s="52">
        <v>396.55</v>
      </c>
      <c r="G365" s="52">
        <v>2265.02</v>
      </c>
      <c r="H365" s="52">
        <v>1273.7700000000002</v>
      </c>
      <c r="I365" s="53">
        <v>10258.869999999999</v>
      </c>
      <c r="J365" s="49"/>
    </row>
    <row r="366" spans="1:10" x14ac:dyDescent="0.2">
      <c r="A366" s="50">
        <f t="shared" si="6"/>
        <v>44926</v>
      </c>
      <c r="B366" s="51">
        <v>734.78</v>
      </c>
      <c r="C366" s="52">
        <v>511.56</v>
      </c>
      <c r="D366" s="52">
        <v>784.97</v>
      </c>
      <c r="E366" s="52">
        <v>39.43</v>
      </c>
      <c r="F366" s="52">
        <v>882.82</v>
      </c>
      <c r="G366" s="52">
        <v>1372.39</v>
      </c>
      <c r="H366" s="52">
        <v>803.92</v>
      </c>
      <c r="I366" s="53">
        <v>3522.0299999999997</v>
      </c>
      <c r="J366" s="49"/>
    </row>
    <row r="367" spans="1:10" x14ac:dyDescent="0.2">
      <c r="A367" s="50"/>
      <c r="B367" s="51"/>
      <c r="C367" s="52"/>
      <c r="D367" s="52"/>
      <c r="E367" s="52"/>
      <c r="F367" s="52"/>
      <c r="G367" s="52"/>
      <c r="H367" s="52"/>
      <c r="I367" s="53"/>
      <c r="J367" s="49"/>
    </row>
    <row r="368" spans="1:10" x14ac:dyDescent="0.2">
      <c r="A368" s="50"/>
      <c r="B368" s="51"/>
      <c r="C368" s="52"/>
      <c r="D368" s="52"/>
      <c r="E368" s="52"/>
      <c r="F368" s="52"/>
      <c r="G368" s="52"/>
      <c r="H368" s="52"/>
      <c r="I368" s="53"/>
      <c r="J368" s="49"/>
    </row>
    <row r="369" spans="1:10" ht="13.5" thickBot="1" x14ac:dyDescent="0.25">
      <c r="A369" s="54"/>
      <c r="B369" s="55"/>
      <c r="C369" s="56"/>
      <c r="D369" s="56"/>
      <c r="E369" s="56"/>
      <c r="F369" s="56"/>
      <c r="G369" s="56"/>
      <c r="H369" s="56"/>
      <c r="I369" s="57"/>
      <c r="J369" s="49"/>
    </row>
    <row r="371" spans="1:10" x14ac:dyDescent="0.2">
      <c r="I371" s="58">
        <f>MAX(I2:I367)</f>
        <v>35559.519999999997</v>
      </c>
    </row>
  </sheetData>
  <conditionalFormatting sqref="A31">
    <cfRule type="expression" dxfId="21" priority="3" stopIfTrue="1">
      <formula>WEEKDAY(A31:A51,2)&gt;5</formula>
    </cfRule>
  </conditionalFormatting>
  <conditionalFormatting sqref="A32:A369">
    <cfRule type="expression" dxfId="20" priority="2" stopIfTrue="1">
      <formula>WEEKDAY(A32:A52,2)&gt;5</formula>
    </cfRule>
  </conditionalFormatting>
  <conditionalFormatting sqref="A2:A30">
    <cfRule type="expression" dxfId="19" priority="1" stopIfTrue="1">
      <formula>WEEKDAY(A2:A22,2)&gt;5</formula>
    </cfRule>
  </conditionalFormatting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371"/>
  <sheetViews>
    <sheetView zoomScaleNormal="100" workbookViewId="0">
      <pane ySplit="1" topLeftCell="A301" activePane="bottomLeft" state="frozen"/>
      <selection pane="bottomLeft" activeCell="T1" sqref="T1:W1048576"/>
    </sheetView>
  </sheetViews>
  <sheetFormatPr defaultRowHeight="12.75" x14ac:dyDescent="0.2"/>
  <cols>
    <col min="1" max="1" width="9.140625" style="44"/>
    <col min="2" max="2" width="10.85546875" style="44" customWidth="1"/>
    <col min="3" max="3" width="10.28515625" style="44" customWidth="1"/>
    <col min="4" max="4" width="9.85546875" style="44" customWidth="1"/>
    <col min="5" max="5" width="10.5703125" style="44" customWidth="1"/>
    <col min="6" max="6" width="10" style="44" customWidth="1"/>
    <col min="7" max="7" width="9.85546875" style="44" customWidth="1"/>
    <col min="8" max="8" width="10.140625" style="44" customWidth="1"/>
    <col min="9" max="9" width="13.85546875" style="44" customWidth="1"/>
    <col min="10" max="10" width="12.5703125" style="44" customWidth="1"/>
    <col min="11" max="253" width="9.140625" style="44"/>
    <col min="254" max="254" width="10.85546875" style="44" customWidth="1"/>
    <col min="255" max="255" width="10.28515625" style="44" customWidth="1"/>
    <col min="256" max="256" width="9.85546875" style="44" customWidth="1"/>
    <col min="257" max="257" width="10.5703125" style="44" customWidth="1"/>
    <col min="258" max="258" width="10" style="44" customWidth="1"/>
    <col min="259" max="259" width="9.85546875" style="44" customWidth="1"/>
    <col min="260" max="260" width="10.140625" style="44" customWidth="1"/>
    <col min="261" max="261" width="13.85546875" style="44" customWidth="1"/>
    <col min="262" max="262" width="12.5703125" style="44" customWidth="1"/>
    <col min="263" max="509" width="9.140625" style="44"/>
    <col min="510" max="510" width="10.85546875" style="44" customWidth="1"/>
    <col min="511" max="511" width="10.28515625" style="44" customWidth="1"/>
    <col min="512" max="512" width="9.85546875" style="44" customWidth="1"/>
    <col min="513" max="513" width="10.5703125" style="44" customWidth="1"/>
    <col min="514" max="514" width="10" style="44" customWidth="1"/>
    <col min="515" max="515" width="9.85546875" style="44" customWidth="1"/>
    <col min="516" max="516" width="10.140625" style="44" customWidth="1"/>
    <col min="517" max="517" width="13.85546875" style="44" customWidth="1"/>
    <col min="518" max="518" width="12.5703125" style="44" customWidth="1"/>
    <col min="519" max="765" width="9.140625" style="44"/>
    <col min="766" max="766" width="10.85546875" style="44" customWidth="1"/>
    <col min="767" max="767" width="10.28515625" style="44" customWidth="1"/>
    <col min="768" max="768" width="9.85546875" style="44" customWidth="1"/>
    <col min="769" max="769" width="10.5703125" style="44" customWidth="1"/>
    <col min="770" max="770" width="10" style="44" customWidth="1"/>
    <col min="771" max="771" width="9.85546875" style="44" customWidth="1"/>
    <col min="772" max="772" width="10.140625" style="44" customWidth="1"/>
    <col min="773" max="773" width="13.85546875" style="44" customWidth="1"/>
    <col min="774" max="774" width="12.5703125" style="44" customWidth="1"/>
    <col min="775" max="1021" width="9.140625" style="44"/>
    <col min="1022" max="1022" width="10.85546875" style="44" customWidth="1"/>
    <col min="1023" max="1023" width="10.28515625" style="44" customWidth="1"/>
    <col min="1024" max="1024" width="9.85546875" style="44" customWidth="1"/>
    <col min="1025" max="1025" width="10.5703125" style="44" customWidth="1"/>
    <col min="1026" max="1026" width="10" style="44" customWidth="1"/>
    <col min="1027" max="1027" width="9.85546875" style="44" customWidth="1"/>
    <col min="1028" max="1028" width="10.140625" style="44" customWidth="1"/>
    <col min="1029" max="1029" width="13.85546875" style="44" customWidth="1"/>
    <col min="1030" max="1030" width="12.5703125" style="44" customWidth="1"/>
    <col min="1031" max="1277" width="9.140625" style="44"/>
    <col min="1278" max="1278" width="10.85546875" style="44" customWidth="1"/>
    <col min="1279" max="1279" width="10.28515625" style="44" customWidth="1"/>
    <col min="1280" max="1280" width="9.85546875" style="44" customWidth="1"/>
    <col min="1281" max="1281" width="10.5703125" style="44" customWidth="1"/>
    <col min="1282" max="1282" width="10" style="44" customWidth="1"/>
    <col min="1283" max="1283" width="9.85546875" style="44" customWidth="1"/>
    <col min="1284" max="1284" width="10.140625" style="44" customWidth="1"/>
    <col min="1285" max="1285" width="13.85546875" style="44" customWidth="1"/>
    <col min="1286" max="1286" width="12.5703125" style="44" customWidth="1"/>
    <col min="1287" max="1533" width="9.140625" style="44"/>
    <col min="1534" max="1534" width="10.85546875" style="44" customWidth="1"/>
    <col min="1535" max="1535" width="10.28515625" style="44" customWidth="1"/>
    <col min="1536" max="1536" width="9.85546875" style="44" customWidth="1"/>
    <col min="1537" max="1537" width="10.5703125" style="44" customWidth="1"/>
    <col min="1538" max="1538" width="10" style="44" customWidth="1"/>
    <col min="1539" max="1539" width="9.85546875" style="44" customWidth="1"/>
    <col min="1540" max="1540" width="10.140625" style="44" customWidth="1"/>
    <col min="1541" max="1541" width="13.85546875" style="44" customWidth="1"/>
    <col min="1542" max="1542" width="12.5703125" style="44" customWidth="1"/>
    <col min="1543" max="1789" width="9.140625" style="44"/>
    <col min="1790" max="1790" width="10.85546875" style="44" customWidth="1"/>
    <col min="1791" max="1791" width="10.28515625" style="44" customWidth="1"/>
    <col min="1792" max="1792" width="9.85546875" style="44" customWidth="1"/>
    <col min="1793" max="1793" width="10.5703125" style="44" customWidth="1"/>
    <col min="1794" max="1794" width="10" style="44" customWidth="1"/>
    <col min="1795" max="1795" width="9.85546875" style="44" customWidth="1"/>
    <col min="1796" max="1796" width="10.140625" style="44" customWidth="1"/>
    <col min="1797" max="1797" width="13.85546875" style="44" customWidth="1"/>
    <col min="1798" max="1798" width="12.5703125" style="44" customWidth="1"/>
    <col min="1799" max="2045" width="9.140625" style="44"/>
    <col min="2046" max="2046" width="10.85546875" style="44" customWidth="1"/>
    <col min="2047" max="2047" width="10.28515625" style="44" customWidth="1"/>
    <col min="2048" max="2048" width="9.85546875" style="44" customWidth="1"/>
    <col min="2049" max="2049" width="10.5703125" style="44" customWidth="1"/>
    <col min="2050" max="2050" width="10" style="44" customWidth="1"/>
    <col min="2051" max="2051" width="9.85546875" style="44" customWidth="1"/>
    <col min="2052" max="2052" width="10.140625" style="44" customWidth="1"/>
    <col min="2053" max="2053" width="13.85546875" style="44" customWidth="1"/>
    <col min="2054" max="2054" width="12.5703125" style="44" customWidth="1"/>
    <col min="2055" max="2301" width="9.140625" style="44"/>
    <col min="2302" max="2302" width="10.85546875" style="44" customWidth="1"/>
    <col min="2303" max="2303" width="10.28515625" style="44" customWidth="1"/>
    <col min="2304" max="2304" width="9.85546875" style="44" customWidth="1"/>
    <col min="2305" max="2305" width="10.5703125" style="44" customWidth="1"/>
    <col min="2306" max="2306" width="10" style="44" customWidth="1"/>
    <col min="2307" max="2307" width="9.85546875" style="44" customWidth="1"/>
    <col min="2308" max="2308" width="10.140625" style="44" customWidth="1"/>
    <col min="2309" max="2309" width="13.85546875" style="44" customWidth="1"/>
    <col min="2310" max="2310" width="12.5703125" style="44" customWidth="1"/>
    <col min="2311" max="2557" width="9.140625" style="44"/>
    <col min="2558" max="2558" width="10.85546875" style="44" customWidth="1"/>
    <col min="2559" max="2559" width="10.28515625" style="44" customWidth="1"/>
    <col min="2560" max="2560" width="9.85546875" style="44" customWidth="1"/>
    <col min="2561" max="2561" width="10.5703125" style="44" customWidth="1"/>
    <col min="2562" max="2562" width="10" style="44" customWidth="1"/>
    <col min="2563" max="2563" width="9.85546875" style="44" customWidth="1"/>
    <col min="2564" max="2564" width="10.140625" style="44" customWidth="1"/>
    <col min="2565" max="2565" width="13.85546875" style="44" customWidth="1"/>
    <col min="2566" max="2566" width="12.5703125" style="44" customWidth="1"/>
    <col min="2567" max="2813" width="9.140625" style="44"/>
    <col min="2814" max="2814" width="10.85546875" style="44" customWidth="1"/>
    <col min="2815" max="2815" width="10.28515625" style="44" customWidth="1"/>
    <col min="2816" max="2816" width="9.85546875" style="44" customWidth="1"/>
    <col min="2817" max="2817" width="10.5703125" style="44" customWidth="1"/>
    <col min="2818" max="2818" width="10" style="44" customWidth="1"/>
    <col min="2819" max="2819" width="9.85546875" style="44" customWidth="1"/>
    <col min="2820" max="2820" width="10.140625" style="44" customWidth="1"/>
    <col min="2821" max="2821" width="13.85546875" style="44" customWidth="1"/>
    <col min="2822" max="2822" width="12.5703125" style="44" customWidth="1"/>
    <col min="2823" max="3069" width="9.140625" style="44"/>
    <col min="3070" max="3070" width="10.85546875" style="44" customWidth="1"/>
    <col min="3071" max="3071" width="10.28515625" style="44" customWidth="1"/>
    <col min="3072" max="3072" width="9.85546875" style="44" customWidth="1"/>
    <col min="3073" max="3073" width="10.5703125" style="44" customWidth="1"/>
    <col min="3074" max="3074" width="10" style="44" customWidth="1"/>
    <col min="3075" max="3075" width="9.85546875" style="44" customWidth="1"/>
    <col min="3076" max="3076" width="10.140625" style="44" customWidth="1"/>
    <col min="3077" max="3077" width="13.85546875" style="44" customWidth="1"/>
    <col min="3078" max="3078" width="12.5703125" style="44" customWidth="1"/>
    <col min="3079" max="3325" width="9.140625" style="44"/>
    <col min="3326" max="3326" width="10.85546875" style="44" customWidth="1"/>
    <col min="3327" max="3327" width="10.28515625" style="44" customWidth="1"/>
    <col min="3328" max="3328" width="9.85546875" style="44" customWidth="1"/>
    <col min="3329" max="3329" width="10.5703125" style="44" customWidth="1"/>
    <col min="3330" max="3330" width="10" style="44" customWidth="1"/>
    <col min="3331" max="3331" width="9.85546875" style="44" customWidth="1"/>
    <col min="3332" max="3332" width="10.140625" style="44" customWidth="1"/>
    <col min="3333" max="3333" width="13.85546875" style="44" customWidth="1"/>
    <col min="3334" max="3334" width="12.5703125" style="44" customWidth="1"/>
    <col min="3335" max="3581" width="9.140625" style="44"/>
    <col min="3582" max="3582" width="10.85546875" style="44" customWidth="1"/>
    <col min="3583" max="3583" width="10.28515625" style="44" customWidth="1"/>
    <col min="3584" max="3584" width="9.85546875" style="44" customWidth="1"/>
    <col min="3585" max="3585" width="10.5703125" style="44" customWidth="1"/>
    <col min="3586" max="3586" width="10" style="44" customWidth="1"/>
    <col min="3587" max="3587" width="9.85546875" style="44" customWidth="1"/>
    <col min="3588" max="3588" width="10.140625" style="44" customWidth="1"/>
    <col min="3589" max="3589" width="13.85546875" style="44" customWidth="1"/>
    <col min="3590" max="3590" width="12.5703125" style="44" customWidth="1"/>
    <col min="3591" max="3837" width="9.140625" style="44"/>
    <col min="3838" max="3838" width="10.85546875" style="44" customWidth="1"/>
    <col min="3839" max="3839" width="10.28515625" style="44" customWidth="1"/>
    <col min="3840" max="3840" width="9.85546875" style="44" customWidth="1"/>
    <col min="3841" max="3841" width="10.5703125" style="44" customWidth="1"/>
    <col min="3842" max="3842" width="10" style="44" customWidth="1"/>
    <col min="3843" max="3843" width="9.85546875" style="44" customWidth="1"/>
    <col min="3844" max="3844" width="10.140625" style="44" customWidth="1"/>
    <col min="3845" max="3845" width="13.85546875" style="44" customWidth="1"/>
    <col min="3846" max="3846" width="12.5703125" style="44" customWidth="1"/>
    <col min="3847" max="4093" width="9.140625" style="44"/>
    <col min="4094" max="4094" width="10.85546875" style="44" customWidth="1"/>
    <col min="4095" max="4095" width="10.28515625" style="44" customWidth="1"/>
    <col min="4096" max="4096" width="9.85546875" style="44" customWidth="1"/>
    <col min="4097" max="4097" width="10.5703125" style="44" customWidth="1"/>
    <col min="4098" max="4098" width="10" style="44" customWidth="1"/>
    <col min="4099" max="4099" width="9.85546875" style="44" customWidth="1"/>
    <col min="4100" max="4100" width="10.140625" style="44" customWidth="1"/>
    <col min="4101" max="4101" width="13.85546875" style="44" customWidth="1"/>
    <col min="4102" max="4102" width="12.5703125" style="44" customWidth="1"/>
    <col min="4103" max="4349" width="9.140625" style="44"/>
    <col min="4350" max="4350" width="10.85546875" style="44" customWidth="1"/>
    <col min="4351" max="4351" width="10.28515625" style="44" customWidth="1"/>
    <col min="4352" max="4352" width="9.85546875" style="44" customWidth="1"/>
    <col min="4353" max="4353" width="10.5703125" style="44" customWidth="1"/>
    <col min="4354" max="4354" width="10" style="44" customWidth="1"/>
    <col min="4355" max="4355" width="9.85546875" style="44" customWidth="1"/>
    <col min="4356" max="4356" width="10.140625" style="44" customWidth="1"/>
    <col min="4357" max="4357" width="13.85546875" style="44" customWidth="1"/>
    <col min="4358" max="4358" width="12.5703125" style="44" customWidth="1"/>
    <col min="4359" max="4605" width="9.140625" style="44"/>
    <col min="4606" max="4606" width="10.85546875" style="44" customWidth="1"/>
    <col min="4607" max="4607" width="10.28515625" style="44" customWidth="1"/>
    <col min="4608" max="4608" width="9.85546875" style="44" customWidth="1"/>
    <col min="4609" max="4609" width="10.5703125" style="44" customWidth="1"/>
    <col min="4610" max="4610" width="10" style="44" customWidth="1"/>
    <col min="4611" max="4611" width="9.85546875" style="44" customWidth="1"/>
    <col min="4612" max="4612" width="10.140625" style="44" customWidth="1"/>
    <col min="4613" max="4613" width="13.85546875" style="44" customWidth="1"/>
    <col min="4614" max="4614" width="12.5703125" style="44" customWidth="1"/>
    <col min="4615" max="4861" width="9.140625" style="44"/>
    <col min="4862" max="4862" width="10.85546875" style="44" customWidth="1"/>
    <col min="4863" max="4863" width="10.28515625" style="44" customWidth="1"/>
    <col min="4864" max="4864" width="9.85546875" style="44" customWidth="1"/>
    <col min="4865" max="4865" width="10.5703125" style="44" customWidth="1"/>
    <col min="4866" max="4866" width="10" style="44" customWidth="1"/>
    <col min="4867" max="4867" width="9.85546875" style="44" customWidth="1"/>
    <col min="4868" max="4868" width="10.140625" style="44" customWidth="1"/>
    <col min="4869" max="4869" width="13.85546875" style="44" customWidth="1"/>
    <col min="4870" max="4870" width="12.5703125" style="44" customWidth="1"/>
    <col min="4871" max="5117" width="9.140625" style="44"/>
    <col min="5118" max="5118" width="10.85546875" style="44" customWidth="1"/>
    <col min="5119" max="5119" width="10.28515625" style="44" customWidth="1"/>
    <col min="5120" max="5120" width="9.85546875" style="44" customWidth="1"/>
    <col min="5121" max="5121" width="10.5703125" style="44" customWidth="1"/>
    <col min="5122" max="5122" width="10" style="44" customWidth="1"/>
    <col min="5123" max="5123" width="9.85546875" style="44" customWidth="1"/>
    <col min="5124" max="5124" width="10.140625" style="44" customWidth="1"/>
    <col min="5125" max="5125" width="13.85546875" style="44" customWidth="1"/>
    <col min="5126" max="5126" width="12.5703125" style="44" customWidth="1"/>
    <col min="5127" max="5373" width="9.140625" style="44"/>
    <col min="5374" max="5374" width="10.85546875" style="44" customWidth="1"/>
    <col min="5375" max="5375" width="10.28515625" style="44" customWidth="1"/>
    <col min="5376" max="5376" width="9.85546875" style="44" customWidth="1"/>
    <col min="5377" max="5377" width="10.5703125" style="44" customWidth="1"/>
    <col min="5378" max="5378" width="10" style="44" customWidth="1"/>
    <col min="5379" max="5379" width="9.85546875" style="44" customWidth="1"/>
    <col min="5380" max="5380" width="10.140625" style="44" customWidth="1"/>
    <col min="5381" max="5381" width="13.85546875" style="44" customWidth="1"/>
    <col min="5382" max="5382" width="12.5703125" style="44" customWidth="1"/>
    <col min="5383" max="5629" width="9.140625" style="44"/>
    <col min="5630" max="5630" width="10.85546875" style="44" customWidth="1"/>
    <col min="5631" max="5631" width="10.28515625" style="44" customWidth="1"/>
    <col min="5632" max="5632" width="9.85546875" style="44" customWidth="1"/>
    <col min="5633" max="5633" width="10.5703125" style="44" customWidth="1"/>
    <col min="5634" max="5634" width="10" style="44" customWidth="1"/>
    <col min="5635" max="5635" width="9.85546875" style="44" customWidth="1"/>
    <col min="5636" max="5636" width="10.140625" style="44" customWidth="1"/>
    <col min="5637" max="5637" width="13.85546875" style="44" customWidth="1"/>
    <col min="5638" max="5638" width="12.5703125" style="44" customWidth="1"/>
    <col min="5639" max="5885" width="9.140625" style="44"/>
    <col min="5886" max="5886" width="10.85546875" style="44" customWidth="1"/>
    <col min="5887" max="5887" width="10.28515625" style="44" customWidth="1"/>
    <col min="5888" max="5888" width="9.85546875" style="44" customWidth="1"/>
    <col min="5889" max="5889" width="10.5703125" style="44" customWidth="1"/>
    <col min="5890" max="5890" width="10" style="44" customWidth="1"/>
    <col min="5891" max="5891" width="9.85546875" style="44" customWidth="1"/>
    <col min="5892" max="5892" width="10.140625" style="44" customWidth="1"/>
    <col min="5893" max="5893" width="13.85546875" style="44" customWidth="1"/>
    <col min="5894" max="5894" width="12.5703125" style="44" customWidth="1"/>
    <col min="5895" max="6141" width="9.140625" style="44"/>
    <col min="6142" max="6142" width="10.85546875" style="44" customWidth="1"/>
    <col min="6143" max="6143" width="10.28515625" style="44" customWidth="1"/>
    <col min="6144" max="6144" width="9.85546875" style="44" customWidth="1"/>
    <col min="6145" max="6145" width="10.5703125" style="44" customWidth="1"/>
    <col min="6146" max="6146" width="10" style="44" customWidth="1"/>
    <col min="6147" max="6147" width="9.85546875" style="44" customWidth="1"/>
    <col min="6148" max="6148" width="10.140625" style="44" customWidth="1"/>
    <col min="6149" max="6149" width="13.85546875" style="44" customWidth="1"/>
    <col min="6150" max="6150" width="12.5703125" style="44" customWidth="1"/>
    <col min="6151" max="6397" width="9.140625" style="44"/>
    <col min="6398" max="6398" width="10.85546875" style="44" customWidth="1"/>
    <col min="6399" max="6399" width="10.28515625" style="44" customWidth="1"/>
    <col min="6400" max="6400" width="9.85546875" style="44" customWidth="1"/>
    <col min="6401" max="6401" width="10.5703125" style="44" customWidth="1"/>
    <col min="6402" max="6402" width="10" style="44" customWidth="1"/>
    <col min="6403" max="6403" width="9.85546875" style="44" customWidth="1"/>
    <col min="6404" max="6404" width="10.140625" style="44" customWidth="1"/>
    <col min="6405" max="6405" width="13.85546875" style="44" customWidth="1"/>
    <col min="6406" max="6406" width="12.5703125" style="44" customWidth="1"/>
    <col min="6407" max="6653" width="9.140625" style="44"/>
    <col min="6654" max="6654" width="10.85546875" style="44" customWidth="1"/>
    <col min="6655" max="6655" width="10.28515625" style="44" customWidth="1"/>
    <col min="6656" max="6656" width="9.85546875" style="44" customWidth="1"/>
    <col min="6657" max="6657" width="10.5703125" style="44" customWidth="1"/>
    <col min="6658" max="6658" width="10" style="44" customWidth="1"/>
    <col min="6659" max="6659" width="9.85546875" style="44" customWidth="1"/>
    <col min="6660" max="6660" width="10.140625" style="44" customWidth="1"/>
    <col min="6661" max="6661" width="13.85546875" style="44" customWidth="1"/>
    <col min="6662" max="6662" width="12.5703125" style="44" customWidth="1"/>
    <col min="6663" max="6909" width="9.140625" style="44"/>
    <col min="6910" max="6910" width="10.85546875" style="44" customWidth="1"/>
    <col min="6911" max="6911" width="10.28515625" style="44" customWidth="1"/>
    <col min="6912" max="6912" width="9.85546875" style="44" customWidth="1"/>
    <col min="6913" max="6913" width="10.5703125" style="44" customWidth="1"/>
    <col min="6914" max="6914" width="10" style="44" customWidth="1"/>
    <col min="6915" max="6915" width="9.85546875" style="44" customWidth="1"/>
    <col min="6916" max="6916" width="10.140625" style="44" customWidth="1"/>
    <col min="6917" max="6917" width="13.85546875" style="44" customWidth="1"/>
    <col min="6918" max="6918" width="12.5703125" style="44" customWidth="1"/>
    <col min="6919" max="7165" width="9.140625" style="44"/>
    <col min="7166" max="7166" width="10.85546875" style="44" customWidth="1"/>
    <col min="7167" max="7167" width="10.28515625" style="44" customWidth="1"/>
    <col min="7168" max="7168" width="9.85546875" style="44" customWidth="1"/>
    <col min="7169" max="7169" width="10.5703125" style="44" customWidth="1"/>
    <col min="7170" max="7170" width="10" style="44" customWidth="1"/>
    <col min="7171" max="7171" width="9.85546875" style="44" customWidth="1"/>
    <col min="7172" max="7172" width="10.140625" style="44" customWidth="1"/>
    <col min="7173" max="7173" width="13.85546875" style="44" customWidth="1"/>
    <col min="7174" max="7174" width="12.5703125" style="44" customWidth="1"/>
    <col min="7175" max="7421" width="9.140625" style="44"/>
    <col min="7422" max="7422" width="10.85546875" style="44" customWidth="1"/>
    <col min="7423" max="7423" width="10.28515625" style="44" customWidth="1"/>
    <col min="7424" max="7424" width="9.85546875" style="44" customWidth="1"/>
    <col min="7425" max="7425" width="10.5703125" style="44" customWidth="1"/>
    <col min="7426" max="7426" width="10" style="44" customWidth="1"/>
    <col min="7427" max="7427" width="9.85546875" style="44" customWidth="1"/>
    <col min="7428" max="7428" width="10.140625" style="44" customWidth="1"/>
    <col min="7429" max="7429" width="13.85546875" style="44" customWidth="1"/>
    <col min="7430" max="7430" width="12.5703125" style="44" customWidth="1"/>
    <col min="7431" max="7677" width="9.140625" style="44"/>
    <col min="7678" max="7678" width="10.85546875" style="44" customWidth="1"/>
    <col min="7679" max="7679" width="10.28515625" style="44" customWidth="1"/>
    <col min="7680" max="7680" width="9.85546875" style="44" customWidth="1"/>
    <col min="7681" max="7681" width="10.5703125" style="44" customWidth="1"/>
    <col min="7682" max="7682" width="10" style="44" customWidth="1"/>
    <col min="7683" max="7683" width="9.85546875" style="44" customWidth="1"/>
    <col min="7684" max="7684" width="10.140625" style="44" customWidth="1"/>
    <col min="7685" max="7685" width="13.85546875" style="44" customWidth="1"/>
    <col min="7686" max="7686" width="12.5703125" style="44" customWidth="1"/>
    <col min="7687" max="7933" width="9.140625" style="44"/>
    <col min="7934" max="7934" width="10.85546875" style="44" customWidth="1"/>
    <col min="7935" max="7935" width="10.28515625" style="44" customWidth="1"/>
    <col min="7936" max="7936" width="9.85546875" style="44" customWidth="1"/>
    <col min="7937" max="7937" width="10.5703125" style="44" customWidth="1"/>
    <col min="7938" max="7938" width="10" style="44" customWidth="1"/>
    <col min="7939" max="7939" width="9.85546875" style="44" customWidth="1"/>
    <col min="7940" max="7940" width="10.140625" style="44" customWidth="1"/>
    <col min="7941" max="7941" width="13.85546875" style="44" customWidth="1"/>
    <col min="7942" max="7942" width="12.5703125" style="44" customWidth="1"/>
    <col min="7943" max="8189" width="9.140625" style="44"/>
    <col min="8190" max="8190" width="10.85546875" style="44" customWidth="1"/>
    <col min="8191" max="8191" width="10.28515625" style="44" customWidth="1"/>
    <col min="8192" max="8192" width="9.85546875" style="44" customWidth="1"/>
    <col min="8193" max="8193" width="10.5703125" style="44" customWidth="1"/>
    <col min="8194" max="8194" width="10" style="44" customWidth="1"/>
    <col min="8195" max="8195" width="9.85546875" style="44" customWidth="1"/>
    <col min="8196" max="8196" width="10.140625" style="44" customWidth="1"/>
    <col min="8197" max="8197" width="13.85546875" style="44" customWidth="1"/>
    <col min="8198" max="8198" width="12.5703125" style="44" customWidth="1"/>
    <col min="8199" max="8445" width="9.140625" style="44"/>
    <col min="8446" max="8446" width="10.85546875" style="44" customWidth="1"/>
    <col min="8447" max="8447" width="10.28515625" style="44" customWidth="1"/>
    <col min="8448" max="8448" width="9.85546875" style="44" customWidth="1"/>
    <col min="8449" max="8449" width="10.5703125" style="44" customWidth="1"/>
    <col min="8450" max="8450" width="10" style="44" customWidth="1"/>
    <col min="8451" max="8451" width="9.85546875" style="44" customWidth="1"/>
    <col min="8452" max="8452" width="10.140625" style="44" customWidth="1"/>
    <col min="8453" max="8453" width="13.85546875" style="44" customWidth="1"/>
    <col min="8454" max="8454" width="12.5703125" style="44" customWidth="1"/>
    <col min="8455" max="8701" width="9.140625" style="44"/>
    <col min="8702" max="8702" width="10.85546875" style="44" customWidth="1"/>
    <col min="8703" max="8703" width="10.28515625" style="44" customWidth="1"/>
    <col min="8704" max="8704" width="9.85546875" style="44" customWidth="1"/>
    <col min="8705" max="8705" width="10.5703125" style="44" customWidth="1"/>
    <col min="8706" max="8706" width="10" style="44" customWidth="1"/>
    <col min="8707" max="8707" width="9.85546875" style="44" customWidth="1"/>
    <col min="8708" max="8708" width="10.140625" style="44" customWidth="1"/>
    <col min="8709" max="8709" width="13.85546875" style="44" customWidth="1"/>
    <col min="8710" max="8710" width="12.5703125" style="44" customWidth="1"/>
    <col min="8711" max="8957" width="9.140625" style="44"/>
    <col min="8958" max="8958" width="10.85546875" style="44" customWidth="1"/>
    <col min="8959" max="8959" width="10.28515625" style="44" customWidth="1"/>
    <col min="8960" max="8960" width="9.85546875" style="44" customWidth="1"/>
    <col min="8961" max="8961" width="10.5703125" style="44" customWidth="1"/>
    <col min="8962" max="8962" width="10" style="44" customWidth="1"/>
    <col min="8963" max="8963" width="9.85546875" style="44" customWidth="1"/>
    <col min="8964" max="8964" width="10.140625" style="44" customWidth="1"/>
    <col min="8965" max="8965" width="13.85546875" style="44" customWidth="1"/>
    <col min="8966" max="8966" width="12.5703125" style="44" customWidth="1"/>
    <col min="8967" max="9213" width="9.140625" style="44"/>
    <col min="9214" max="9214" width="10.85546875" style="44" customWidth="1"/>
    <col min="9215" max="9215" width="10.28515625" style="44" customWidth="1"/>
    <col min="9216" max="9216" width="9.85546875" style="44" customWidth="1"/>
    <col min="9217" max="9217" width="10.5703125" style="44" customWidth="1"/>
    <col min="9218" max="9218" width="10" style="44" customWidth="1"/>
    <col min="9219" max="9219" width="9.85546875" style="44" customWidth="1"/>
    <col min="9220" max="9220" width="10.140625" style="44" customWidth="1"/>
    <col min="9221" max="9221" width="13.85546875" style="44" customWidth="1"/>
    <col min="9222" max="9222" width="12.5703125" style="44" customWidth="1"/>
    <col min="9223" max="9469" width="9.140625" style="44"/>
    <col min="9470" max="9470" width="10.85546875" style="44" customWidth="1"/>
    <col min="9471" max="9471" width="10.28515625" style="44" customWidth="1"/>
    <col min="9472" max="9472" width="9.85546875" style="44" customWidth="1"/>
    <col min="9473" max="9473" width="10.5703125" style="44" customWidth="1"/>
    <col min="9474" max="9474" width="10" style="44" customWidth="1"/>
    <col min="9475" max="9475" width="9.85546875" style="44" customWidth="1"/>
    <col min="9476" max="9476" width="10.140625" style="44" customWidth="1"/>
    <col min="9477" max="9477" width="13.85546875" style="44" customWidth="1"/>
    <col min="9478" max="9478" width="12.5703125" style="44" customWidth="1"/>
    <col min="9479" max="9725" width="9.140625" style="44"/>
    <col min="9726" max="9726" width="10.85546875" style="44" customWidth="1"/>
    <col min="9727" max="9727" width="10.28515625" style="44" customWidth="1"/>
    <col min="9728" max="9728" width="9.85546875" style="44" customWidth="1"/>
    <col min="9729" max="9729" width="10.5703125" style="44" customWidth="1"/>
    <col min="9730" max="9730" width="10" style="44" customWidth="1"/>
    <col min="9731" max="9731" width="9.85546875" style="44" customWidth="1"/>
    <col min="9732" max="9732" width="10.140625" style="44" customWidth="1"/>
    <col min="9733" max="9733" width="13.85546875" style="44" customWidth="1"/>
    <col min="9734" max="9734" width="12.5703125" style="44" customWidth="1"/>
    <col min="9735" max="9981" width="9.140625" style="44"/>
    <col min="9982" max="9982" width="10.85546875" style="44" customWidth="1"/>
    <col min="9983" max="9983" width="10.28515625" style="44" customWidth="1"/>
    <col min="9984" max="9984" width="9.85546875" style="44" customWidth="1"/>
    <col min="9985" max="9985" width="10.5703125" style="44" customWidth="1"/>
    <col min="9986" max="9986" width="10" style="44" customWidth="1"/>
    <col min="9987" max="9987" width="9.85546875" style="44" customWidth="1"/>
    <col min="9988" max="9988" width="10.140625" style="44" customWidth="1"/>
    <col min="9989" max="9989" width="13.85546875" style="44" customWidth="1"/>
    <col min="9990" max="9990" width="12.5703125" style="44" customWidth="1"/>
    <col min="9991" max="10237" width="9.140625" style="44"/>
    <col min="10238" max="10238" width="10.85546875" style="44" customWidth="1"/>
    <col min="10239" max="10239" width="10.28515625" style="44" customWidth="1"/>
    <col min="10240" max="10240" width="9.85546875" style="44" customWidth="1"/>
    <col min="10241" max="10241" width="10.5703125" style="44" customWidth="1"/>
    <col min="10242" max="10242" width="10" style="44" customWidth="1"/>
    <col min="10243" max="10243" width="9.85546875" style="44" customWidth="1"/>
    <col min="10244" max="10244" width="10.140625" style="44" customWidth="1"/>
    <col min="10245" max="10245" width="13.85546875" style="44" customWidth="1"/>
    <col min="10246" max="10246" width="12.5703125" style="44" customWidth="1"/>
    <col min="10247" max="10493" width="9.140625" style="44"/>
    <col min="10494" max="10494" width="10.85546875" style="44" customWidth="1"/>
    <col min="10495" max="10495" width="10.28515625" style="44" customWidth="1"/>
    <col min="10496" max="10496" width="9.85546875" style="44" customWidth="1"/>
    <col min="10497" max="10497" width="10.5703125" style="44" customWidth="1"/>
    <col min="10498" max="10498" width="10" style="44" customWidth="1"/>
    <col min="10499" max="10499" width="9.85546875" style="44" customWidth="1"/>
    <col min="10500" max="10500" width="10.140625" style="44" customWidth="1"/>
    <col min="10501" max="10501" width="13.85546875" style="44" customWidth="1"/>
    <col min="10502" max="10502" width="12.5703125" style="44" customWidth="1"/>
    <col min="10503" max="10749" width="9.140625" style="44"/>
    <col min="10750" max="10750" width="10.85546875" style="44" customWidth="1"/>
    <col min="10751" max="10751" width="10.28515625" style="44" customWidth="1"/>
    <col min="10752" max="10752" width="9.85546875" style="44" customWidth="1"/>
    <col min="10753" max="10753" width="10.5703125" style="44" customWidth="1"/>
    <col min="10754" max="10754" width="10" style="44" customWidth="1"/>
    <col min="10755" max="10755" width="9.85546875" style="44" customWidth="1"/>
    <col min="10756" max="10756" width="10.140625" style="44" customWidth="1"/>
    <col min="10757" max="10757" width="13.85546875" style="44" customWidth="1"/>
    <col min="10758" max="10758" width="12.5703125" style="44" customWidth="1"/>
    <col min="10759" max="11005" width="9.140625" style="44"/>
    <col min="11006" max="11006" width="10.85546875" style="44" customWidth="1"/>
    <col min="11007" max="11007" width="10.28515625" style="44" customWidth="1"/>
    <col min="11008" max="11008" width="9.85546875" style="44" customWidth="1"/>
    <col min="11009" max="11009" width="10.5703125" style="44" customWidth="1"/>
    <col min="11010" max="11010" width="10" style="44" customWidth="1"/>
    <col min="11011" max="11011" width="9.85546875" style="44" customWidth="1"/>
    <col min="11012" max="11012" width="10.140625" style="44" customWidth="1"/>
    <col min="11013" max="11013" width="13.85546875" style="44" customWidth="1"/>
    <col min="11014" max="11014" width="12.5703125" style="44" customWidth="1"/>
    <col min="11015" max="11261" width="9.140625" style="44"/>
    <col min="11262" max="11262" width="10.85546875" style="44" customWidth="1"/>
    <col min="11263" max="11263" width="10.28515625" style="44" customWidth="1"/>
    <col min="11264" max="11264" width="9.85546875" style="44" customWidth="1"/>
    <col min="11265" max="11265" width="10.5703125" style="44" customWidth="1"/>
    <col min="11266" max="11266" width="10" style="44" customWidth="1"/>
    <col min="11267" max="11267" width="9.85546875" style="44" customWidth="1"/>
    <col min="11268" max="11268" width="10.140625" style="44" customWidth="1"/>
    <col min="11269" max="11269" width="13.85546875" style="44" customWidth="1"/>
    <col min="11270" max="11270" width="12.5703125" style="44" customWidth="1"/>
    <col min="11271" max="11517" width="9.140625" style="44"/>
    <col min="11518" max="11518" width="10.85546875" style="44" customWidth="1"/>
    <col min="11519" max="11519" width="10.28515625" style="44" customWidth="1"/>
    <col min="11520" max="11520" width="9.85546875" style="44" customWidth="1"/>
    <col min="11521" max="11521" width="10.5703125" style="44" customWidth="1"/>
    <col min="11522" max="11522" width="10" style="44" customWidth="1"/>
    <col min="11523" max="11523" width="9.85546875" style="44" customWidth="1"/>
    <col min="11524" max="11524" width="10.140625" style="44" customWidth="1"/>
    <col min="11525" max="11525" width="13.85546875" style="44" customWidth="1"/>
    <col min="11526" max="11526" width="12.5703125" style="44" customWidth="1"/>
    <col min="11527" max="11773" width="9.140625" style="44"/>
    <col min="11774" max="11774" width="10.85546875" style="44" customWidth="1"/>
    <col min="11775" max="11775" width="10.28515625" style="44" customWidth="1"/>
    <col min="11776" max="11776" width="9.85546875" style="44" customWidth="1"/>
    <col min="11777" max="11777" width="10.5703125" style="44" customWidth="1"/>
    <col min="11778" max="11778" width="10" style="44" customWidth="1"/>
    <col min="11779" max="11779" width="9.85546875" style="44" customWidth="1"/>
    <col min="11780" max="11780" width="10.140625" style="44" customWidth="1"/>
    <col min="11781" max="11781" width="13.85546875" style="44" customWidth="1"/>
    <col min="11782" max="11782" width="12.5703125" style="44" customWidth="1"/>
    <col min="11783" max="12029" width="9.140625" style="44"/>
    <col min="12030" max="12030" width="10.85546875" style="44" customWidth="1"/>
    <col min="12031" max="12031" width="10.28515625" style="44" customWidth="1"/>
    <col min="12032" max="12032" width="9.85546875" style="44" customWidth="1"/>
    <col min="12033" max="12033" width="10.5703125" style="44" customWidth="1"/>
    <col min="12034" max="12034" width="10" style="44" customWidth="1"/>
    <col min="12035" max="12035" width="9.85546875" style="44" customWidth="1"/>
    <col min="12036" max="12036" width="10.140625" style="44" customWidth="1"/>
    <col min="12037" max="12037" width="13.85546875" style="44" customWidth="1"/>
    <col min="12038" max="12038" width="12.5703125" style="44" customWidth="1"/>
    <col min="12039" max="12285" width="9.140625" style="44"/>
    <col min="12286" max="12286" width="10.85546875" style="44" customWidth="1"/>
    <col min="12287" max="12287" width="10.28515625" style="44" customWidth="1"/>
    <col min="12288" max="12288" width="9.85546875" style="44" customWidth="1"/>
    <col min="12289" max="12289" width="10.5703125" style="44" customWidth="1"/>
    <col min="12290" max="12290" width="10" style="44" customWidth="1"/>
    <col min="12291" max="12291" width="9.85546875" style="44" customWidth="1"/>
    <col min="12292" max="12292" width="10.140625" style="44" customWidth="1"/>
    <col min="12293" max="12293" width="13.85546875" style="44" customWidth="1"/>
    <col min="12294" max="12294" width="12.5703125" style="44" customWidth="1"/>
    <col min="12295" max="12541" width="9.140625" style="44"/>
    <col min="12542" max="12542" width="10.85546875" style="44" customWidth="1"/>
    <col min="12543" max="12543" width="10.28515625" style="44" customWidth="1"/>
    <col min="12544" max="12544" width="9.85546875" style="44" customWidth="1"/>
    <col min="12545" max="12545" width="10.5703125" style="44" customWidth="1"/>
    <col min="12546" max="12546" width="10" style="44" customWidth="1"/>
    <col min="12547" max="12547" width="9.85546875" style="44" customWidth="1"/>
    <col min="12548" max="12548" width="10.140625" style="44" customWidth="1"/>
    <col min="12549" max="12549" width="13.85546875" style="44" customWidth="1"/>
    <col min="12550" max="12550" width="12.5703125" style="44" customWidth="1"/>
    <col min="12551" max="12797" width="9.140625" style="44"/>
    <col min="12798" max="12798" width="10.85546875" style="44" customWidth="1"/>
    <col min="12799" max="12799" width="10.28515625" style="44" customWidth="1"/>
    <col min="12800" max="12800" width="9.85546875" style="44" customWidth="1"/>
    <col min="12801" max="12801" width="10.5703125" style="44" customWidth="1"/>
    <col min="12802" max="12802" width="10" style="44" customWidth="1"/>
    <col min="12803" max="12803" width="9.85546875" style="44" customWidth="1"/>
    <col min="12804" max="12804" width="10.140625" style="44" customWidth="1"/>
    <col min="12805" max="12805" width="13.85546875" style="44" customWidth="1"/>
    <col min="12806" max="12806" width="12.5703125" style="44" customWidth="1"/>
    <col min="12807" max="13053" width="9.140625" style="44"/>
    <col min="13054" max="13054" width="10.85546875" style="44" customWidth="1"/>
    <col min="13055" max="13055" width="10.28515625" style="44" customWidth="1"/>
    <col min="13056" max="13056" width="9.85546875" style="44" customWidth="1"/>
    <col min="13057" max="13057" width="10.5703125" style="44" customWidth="1"/>
    <col min="13058" max="13058" width="10" style="44" customWidth="1"/>
    <col min="13059" max="13059" width="9.85546875" style="44" customWidth="1"/>
    <col min="13060" max="13060" width="10.140625" style="44" customWidth="1"/>
    <col min="13061" max="13061" width="13.85546875" style="44" customWidth="1"/>
    <col min="13062" max="13062" width="12.5703125" style="44" customWidth="1"/>
    <col min="13063" max="13309" width="9.140625" style="44"/>
    <col min="13310" max="13310" width="10.85546875" style="44" customWidth="1"/>
    <col min="13311" max="13311" width="10.28515625" style="44" customWidth="1"/>
    <col min="13312" max="13312" width="9.85546875" style="44" customWidth="1"/>
    <col min="13313" max="13313" width="10.5703125" style="44" customWidth="1"/>
    <col min="13314" max="13314" width="10" style="44" customWidth="1"/>
    <col min="13315" max="13315" width="9.85546875" style="44" customWidth="1"/>
    <col min="13316" max="13316" width="10.140625" style="44" customWidth="1"/>
    <col min="13317" max="13317" width="13.85546875" style="44" customWidth="1"/>
    <col min="13318" max="13318" width="12.5703125" style="44" customWidth="1"/>
    <col min="13319" max="13565" width="9.140625" style="44"/>
    <col min="13566" max="13566" width="10.85546875" style="44" customWidth="1"/>
    <col min="13567" max="13567" width="10.28515625" style="44" customWidth="1"/>
    <col min="13568" max="13568" width="9.85546875" style="44" customWidth="1"/>
    <col min="13569" max="13569" width="10.5703125" style="44" customWidth="1"/>
    <col min="13570" max="13570" width="10" style="44" customWidth="1"/>
    <col min="13571" max="13571" width="9.85546875" style="44" customWidth="1"/>
    <col min="13572" max="13572" width="10.140625" style="44" customWidth="1"/>
    <col min="13573" max="13573" width="13.85546875" style="44" customWidth="1"/>
    <col min="13574" max="13574" width="12.5703125" style="44" customWidth="1"/>
    <col min="13575" max="13821" width="9.140625" style="44"/>
    <col min="13822" max="13822" width="10.85546875" style="44" customWidth="1"/>
    <col min="13823" max="13823" width="10.28515625" style="44" customWidth="1"/>
    <col min="13824" max="13824" width="9.85546875" style="44" customWidth="1"/>
    <col min="13825" max="13825" width="10.5703125" style="44" customWidth="1"/>
    <col min="13826" max="13826" width="10" style="44" customWidth="1"/>
    <col min="13827" max="13827" width="9.85546875" style="44" customWidth="1"/>
    <col min="13828" max="13828" width="10.140625" style="44" customWidth="1"/>
    <col min="13829" max="13829" width="13.85546875" style="44" customWidth="1"/>
    <col min="13830" max="13830" width="12.5703125" style="44" customWidth="1"/>
    <col min="13831" max="14077" width="9.140625" style="44"/>
    <col min="14078" max="14078" width="10.85546875" style="44" customWidth="1"/>
    <col min="14079" max="14079" width="10.28515625" style="44" customWidth="1"/>
    <col min="14080" max="14080" width="9.85546875" style="44" customWidth="1"/>
    <col min="14081" max="14081" width="10.5703125" style="44" customWidth="1"/>
    <col min="14082" max="14082" width="10" style="44" customWidth="1"/>
    <col min="14083" max="14083" width="9.85546875" style="44" customWidth="1"/>
    <col min="14084" max="14084" width="10.140625" style="44" customWidth="1"/>
    <col min="14085" max="14085" width="13.85546875" style="44" customWidth="1"/>
    <col min="14086" max="14086" width="12.5703125" style="44" customWidth="1"/>
    <col min="14087" max="14333" width="9.140625" style="44"/>
    <col min="14334" max="14334" width="10.85546875" style="44" customWidth="1"/>
    <col min="14335" max="14335" width="10.28515625" style="44" customWidth="1"/>
    <col min="14336" max="14336" width="9.85546875" style="44" customWidth="1"/>
    <col min="14337" max="14337" width="10.5703125" style="44" customWidth="1"/>
    <col min="14338" max="14338" width="10" style="44" customWidth="1"/>
    <col min="14339" max="14339" width="9.85546875" style="44" customWidth="1"/>
    <col min="14340" max="14340" width="10.140625" style="44" customWidth="1"/>
    <col min="14341" max="14341" width="13.85546875" style="44" customWidth="1"/>
    <col min="14342" max="14342" width="12.5703125" style="44" customWidth="1"/>
    <col min="14343" max="14589" width="9.140625" style="44"/>
    <col min="14590" max="14590" width="10.85546875" style="44" customWidth="1"/>
    <col min="14591" max="14591" width="10.28515625" style="44" customWidth="1"/>
    <col min="14592" max="14592" width="9.85546875" style="44" customWidth="1"/>
    <col min="14593" max="14593" width="10.5703125" style="44" customWidth="1"/>
    <col min="14594" max="14594" width="10" style="44" customWidth="1"/>
    <col min="14595" max="14595" width="9.85546875" style="44" customWidth="1"/>
    <col min="14596" max="14596" width="10.140625" style="44" customWidth="1"/>
    <col min="14597" max="14597" width="13.85546875" style="44" customWidth="1"/>
    <col min="14598" max="14598" width="12.5703125" style="44" customWidth="1"/>
    <col min="14599" max="14845" width="9.140625" style="44"/>
    <col min="14846" max="14846" width="10.85546875" style="44" customWidth="1"/>
    <col min="14847" max="14847" width="10.28515625" style="44" customWidth="1"/>
    <col min="14848" max="14848" width="9.85546875" style="44" customWidth="1"/>
    <col min="14849" max="14849" width="10.5703125" style="44" customWidth="1"/>
    <col min="14850" max="14850" width="10" style="44" customWidth="1"/>
    <col min="14851" max="14851" width="9.85546875" style="44" customWidth="1"/>
    <col min="14852" max="14852" width="10.140625" style="44" customWidth="1"/>
    <col min="14853" max="14853" width="13.85546875" style="44" customWidth="1"/>
    <col min="14854" max="14854" width="12.5703125" style="44" customWidth="1"/>
    <col min="14855" max="15101" width="9.140625" style="44"/>
    <col min="15102" max="15102" width="10.85546875" style="44" customWidth="1"/>
    <col min="15103" max="15103" width="10.28515625" style="44" customWidth="1"/>
    <col min="15104" max="15104" width="9.85546875" style="44" customWidth="1"/>
    <col min="15105" max="15105" width="10.5703125" style="44" customWidth="1"/>
    <col min="15106" max="15106" width="10" style="44" customWidth="1"/>
    <col min="15107" max="15107" width="9.85546875" style="44" customWidth="1"/>
    <col min="15108" max="15108" width="10.140625" style="44" customWidth="1"/>
    <col min="15109" max="15109" width="13.85546875" style="44" customWidth="1"/>
    <col min="15110" max="15110" width="12.5703125" style="44" customWidth="1"/>
    <col min="15111" max="15357" width="9.140625" style="44"/>
    <col min="15358" max="15358" width="10.85546875" style="44" customWidth="1"/>
    <col min="15359" max="15359" width="10.28515625" style="44" customWidth="1"/>
    <col min="15360" max="15360" width="9.85546875" style="44" customWidth="1"/>
    <col min="15361" max="15361" width="10.5703125" style="44" customWidth="1"/>
    <col min="15362" max="15362" width="10" style="44" customWidth="1"/>
    <col min="15363" max="15363" width="9.85546875" style="44" customWidth="1"/>
    <col min="15364" max="15364" width="10.140625" style="44" customWidth="1"/>
    <col min="15365" max="15365" width="13.85546875" style="44" customWidth="1"/>
    <col min="15366" max="15366" width="12.5703125" style="44" customWidth="1"/>
    <col min="15367" max="15613" width="9.140625" style="44"/>
    <col min="15614" max="15614" width="10.85546875" style="44" customWidth="1"/>
    <col min="15615" max="15615" width="10.28515625" style="44" customWidth="1"/>
    <col min="15616" max="15616" width="9.85546875" style="44" customWidth="1"/>
    <col min="15617" max="15617" width="10.5703125" style="44" customWidth="1"/>
    <col min="15618" max="15618" width="10" style="44" customWidth="1"/>
    <col min="15619" max="15619" width="9.85546875" style="44" customWidth="1"/>
    <col min="15620" max="15620" width="10.140625" style="44" customWidth="1"/>
    <col min="15621" max="15621" width="13.85546875" style="44" customWidth="1"/>
    <col min="15622" max="15622" width="12.5703125" style="44" customWidth="1"/>
    <col min="15623" max="15869" width="9.140625" style="44"/>
    <col min="15870" max="15870" width="10.85546875" style="44" customWidth="1"/>
    <col min="15871" max="15871" width="10.28515625" style="44" customWidth="1"/>
    <col min="15872" max="15872" width="9.85546875" style="44" customWidth="1"/>
    <col min="15873" max="15873" width="10.5703125" style="44" customWidth="1"/>
    <col min="15874" max="15874" width="10" style="44" customWidth="1"/>
    <col min="15875" max="15875" width="9.85546875" style="44" customWidth="1"/>
    <col min="15876" max="15876" width="10.140625" style="44" customWidth="1"/>
    <col min="15877" max="15877" width="13.85546875" style="44" customWidth="1"/>
    <col min="15878" max="15878" width="12.5703125" style="44" customWidth="1"/>
    <col min="15879" max="16125" width="9.140625" style="44"/>
    <col min="16126" max="16126" width="10.85546875" style="44" customWidth="1"/>
    <col min="16127" max="16127" width="10.28515625" style="44" customWidth="1"/>
    <col min="16128" max="16128" width="9.85546875" style="44" customWidth="1"/>
    <col min="16129" max="16129" width="10.5703125" style="44" customWidth="1"/>
    <col min="16130" max="16130" width="10" style="44" customWidth="1"/>
    <col min="16131" max="16131" width="9.85546875" style="44" customWidth="1"/>
    <col min="16132" max="16132" width="10.140625" style="44" customWidth="1"/>
    <col min="16133" max="16133" width="13.85546875" style="44" customWidth="1"/>
    <col min="16134" max="16134" width="12.5703125" style="44" customWidth="1"/>
    <col min="16135" max="16384" width="9.140625" style="44"/>
  </cols>
  <sheetData>
    <row r="1" spans="1:23" ht="90" thickBot="1" x14ac:dyDescent="0.25">
      <c r="A1" s="40" t="s">
        <v>42</v>
      </c>
      <c r="B1" s="41" t="s">
        <v>28</v>
      </c>
      <c r="C1" s="42" t="s">
        <v>29</v>
      </c>
      <c r="D1" s="42" t="s">
        <v>30</v>
      </c>
      <c r="E1" s="42" t="s">
        <v>31</v>
      </c>
      <c r="F1" s="42" t="s">
        <v>32</v>
      </c>
      <c r="G1" s="42" t="s">
        <v>33</v>
      </c>
      <c r="H1" s="42" t="s">
        <v>34</v>
      </c>
      <c r="I1" s="43" t="s">
        <v>43</v>
      </c>
      <c r="J1" s="72" t="s">
        <v>44</v>
      </c>
      <c r="K1" s="72" t="s">
        <v>45</v>
      </c>
      <c r="L1" s="72" t="s">
        <v>46</v>
      </c>
      <c r="M1" s="73" t="s">
        <v>47</v>
      </c>
      <c r="N1" s="73" t="s">
        <v>48</v>
      </c>
      <c r="O1" s="73" t="s">
        <v>49</v>
      </c>
      <c r="P1" s="71" t="s">
        <v>50</v>
      </c>
      <c r="Q1" s="71" t="s">
        <v>51</v>
      </c>
      <c r="R1" s="71" t="s">
        <v>52</v>
      </c>
      <c r="S1" s="71" t="s">
        <v>53</v>
      </c>
      <c r="T1" s="74" t="s">
        <v>55</v>
      </c>
      <c r="U1" s="75" t="s">
        <v>56</v>
      </c>
      <c r="V1" s="75" t="s">
        <v>57</v>
      </c>
      <c r="W1" s="75" t="s">
        <v>54</v>
      </c>
    </row>
    <row r="2" spans="1:23" x14ac:dyDescent="0.2">
      <c r="A2" s="45">
        <v>44927</v>
      </c>
      <c r="B2" s="46">
        <v>104.15</v>
      </c>
      <c r="C2" s="47">
        <v>589.1</v>
      </c>
      <c r="D2" s="47">
        <v>744.89</v>
      </c>
      <c r="E2" s="47">
        <v>38.89</v>
      </c>
      <c r="F2" s="47">
        <v>1309.68</v>
      </c>
      <c r="G2" s="47">
        <v>1311.02</v>
      </c>
      <c r="H2" s="47">
        <v>731.82</v>
      </c>
      <c r="I2" s="48">
        <v>3365.9099999999994</v>
      </c>
      <c r="J2" s="49"/>
    </row>
    <row r="3" spans="1:23" x14ac:dyDescent="0.2">
      <c r="A3" s="50">
        <f t="shared" ref="A3:A30" si="0">A2+1</f>
        <v>44928</v>
      </c>
      <c r="B3" s="51">
        <v>102.7</v>
      </c>
      <c r="C3" s="52">
        <v>594.64</v>
      </c>
      <c r="D3" s="52">
        <v>806.95</v>
      </c>
      <c r="E3" s="52">
        <v>38.36</v>
      </c>
      <c r="F3" s="52">
        <v>1296.24</v>
      </c>
      <c r="G3" s="52">
        <v>1411</v>
      </c>
      <c r="H3" s="52">
        <v>880.23</v>
      </c>
      <c r="I3" s="53">
        <v>3369.6599999999994</v>
      </c>
      <c r="J3" s="49"/>
    </row>
    <row r="4" spans="1:23" x14ac:dyDescent="0.2">
      <c r="A4" s="50">
        <f t="shared" si="0"/>
        <v>44929</v>
      </c>
      <c r="B4" s="51">
        <v>103.11</v>
      </c>
      <c r="C4" s="52">
        <v>918.7</v>
      </c>
      <c r="D4" s="52">
        <v>983.56</v>
      </c>
      <c r="E4" s="52">
        <v>1076.8800000000001</v>
      </c>
      <c r="F4" s="52">
        <v>1700.78</v>
      </c>
      <c r="G4" s="52">
        <v>2070.92</v>
      </c>
      <c r="H4" s="52">
        <v>1089.3799999999999</v>
      </c>
      <c r="I4" s="53">
        <v>5764.57</v>
      </c>
      <c r="J4" s="49"/>
    </row>
    <row r="5" spans="1:23" x14ac:dyDescent="0.2">
      <c r="A5" s="50">
        <f t="shared" si="0"/>
        <v>44930</v>
      </c>
      <c r="B5" s="51">
        <v>103.49</v>
      </c>
      <c r="C5" s="52">
        <v>998.55</v>
      </c>
      <c r="D5" s="52">
        <v>1063.05</v>
      </c>
      <c r="E5" s="52">
        <v>776.04</v>
      </c>
      <c r="F5" s="52">
        <v>1873.58</v>
      </c>
      <c r="G5" s="52">
        <v>2323</v>
      </c>
      <c r="H5" s="52">
        <v>1430.2999999999997</v>
      </c>
      <c r="I5" s="53">
        <v>5707.41</v>
      </c>
      <c r="J5" s="49"/>
    </row>
    <row r="6" spans="1:23" x14ac:dyDescent="0.2">
      <c r="A6" s="50">
        <f t="shared" si="0"/>
        <v>44931</v>
      </c>
      <c r="B6" s="51">
        <v>96.2</v>
      </c>
      <c r="C6" s="52">
        <v>1011.64</v>
      </c>
      <c r="D6" s="52">
        <v>1060.77</v>
      </c>
      <c r="E6" s="52">
        <v>727.69</v>
      </c>
      <c r="F6" s="52">
        <v>1751.86</v>
      </c>
      <c r="G6" s="52">
        <v>2406.9</v>
      </c>
      <c r="H6" s="52">
        <v>1389.5300000000004</v>
      </c>
      <c r="I6" s="53">
        <v>5665.5299999999988</v>
      </c>
      <c r="J6" s="49"/>
    </row>
    <row r="7" spans="1:23" x14ac:dyDescent="0.2">
      <c r="A7" s="50">
        <f t="shared" si="0"/>
        <v>44932</v>
      </c>
      <c r="B7" s="51">
        <v>623.71</v>
      </c>
      <c r="C7" s="52">
        <v>994.88</v>
      </c>
      <c r="D7" s="52">
        <v>1051.49</v>
      </c>
      <c r="E7" s="52">
        <v>150.19</v>
      </c>
      <c r="F7" s="52">
        <v>1558.75</v>
      </c>
      <c r="G7" s="52">
        <v>2434.0300000000002</v>
      </c>
      <c r="H7" s="52">
        <v>1568.3999999999999</v>
      </c>
      <c r="I7" s="53">
        <v>5244.6500000000015</v>
      </c>
      <c r="J7" s="49"/>
    </row>
    <row r="8" spans="1:23" x14ac:dyDescent="0.2">
      <c r="A8" s="50">
        <f t="shared" si="0"/>
        <v>44933</v>
      </c>
      <c r="B8" s="51">
        <v>1152.4100000000001</v>
      </c>
      <c r="C8" s="52">
        <v>785.12</v>
      </c>
      <c r="D8" s="52">
        <v>1119.05</v>
      </c>
      <c r="E8" s="52">
        <v>142.9</v>
      </c>
      <c r="F8" s="52">
        <v>592.35</v>
      </c>
      <c r="G8" s="52">
        <v>2127.4899999999998</v>
      </c>
      <c r="H8" s="52">
        <v>1391.51</v>
      </c>
      <c r="I8" s="53">
        <v>4527.8099999999995</v>
      </c>
      <c r="J8" s="49"/>
    </row>
    <row r="9" spans="1:23" x14ac:dyDescent="0.2">
      <c r="A9" s="50">
        <f t="shared" si="0"/>
        <v>44934</v>
      </c>
      <c r="B9" s="51">
        <v>6201.41</v>
      </c>
      <c r="C9" s="52">
        <v>3758.12</v>
      </c>
      <c r="D9" s="52">
        <v>4403.45</v>
      </c>
      <c r="E9" s="52">
        <v>1908.16</v>
      </c>
      <c r="F9" s="52">
        <v>1668.15</v>
      </c>
      <c r="G9" s="52">
        <v>2553.4899999999998</v>
      </c>
      <c r="H9" s="52">
        <v>1641.9099999999999</v>
      </c>
      <c r="I9" s="53">
        <v>18850.87</v>
      </c>
      <c r="J9" s="49"/>
    </row>
    <row r="10" spans="1:23" x14ac:dyDescent="0.2">
      <c r="A10" s="50">
        <f t="shared" si="0"/>
        <v>44935</v>
      </c>
      <c r="B10" s="51">
        <v>8944.16</v>
      </c>
      <c r="C10" s="52">
        <v>4861.7700000000004</v>
      </c>
      <c r="D10" s="52">
        <v>6118.66</v>
      </c>
      <c r="E10" s="52">
        <v>2657.37</v>
      </c>
      <c r="F10" s="52">
        <v>2549.2800000000002</v>
      </c>
      <c r="G10" s="52">
        <v>5753.58</v>
      </c>
      <c r="H10" s="52">
        <v>2981.47</v>
      </c>
      <c r="I10" s="53">
        <v>27903.35</v>
      </c>
      <c r="J10" s="49"/>
    </row>
    <row r="11" spans="1:23" x14ac:dyDescent="0.2">
      <c r="A11" s="50">
        <f t="shared" si="0"/>
        <v>44936</v>
      </c>
      <c r="B11" s="51">
        <v>5137.6099999999997</v>
      </c>
      <c r="C11" s="52">
        <v>3400.9</v>
      </c>
      <c r="D11" s="52">
        <v>4942.1400000000003</v>
      </c>
      <c r="E11" s="52">
        <v>2059.88</v>
      </c>
      <c r="F11" s="52">
        <v>2688.04</v>
      </c>
      <c r="G11" s="52">
        <v>6370.72</v>
      </c>
      <c r="H11" s="52">
        <v>3217.5699999999997</v>
      </c>
      <c r="I11" s="53">
        <v>21381.720000000005</v>
      </c>
      <c r="J11" s="49"/>
    </row>
    <row r="12" spans="1:23" x14ac:dyDescent="0.2">
      <c r="A12" s="50">
        <f t="shared" si="0"/>
        <v>44937</v>
      </c>
      <c r="B12" s="51">
        <v>7920.74</v>
      </c>
      <c r="C12" s="52">
        <v>4341.42</v>
      </c>
      <c r="D12" s="52">
        <v>5835.69</v>
      </c>
      <c r="E12" s="52">
        <v>2834.85</v>
      </c>
      <c r="F12" s="52">
        <v>3379.92</v>
      </c>
      <c r="G12" s="52">
        <v>6825.52</v>
      </c>
      <c r="H12" s="52">
        <v>3044.0499999999997</v>
      </c>
      <c r="I12" s="53">
        <v>28094.089999999997</v>
      </c>
      <c r="J12" s="49"/>
    </row>
    <row r="13" spans="1:23" x14ac:dyDescent="0.2">
      <c r="A13" s="50">
        <f t="shared" si="0"/>
        <v>44938</v>
      </c>
      <c r="B13" s="51">
        <v>8614.39</v>
      </c>
      <c r="C13" s="52">
        <v>4462.82</v>
      </c>
      <c r="D13" s="52">
        <v>5845.98</v>
      </c>
      <c r="E13" s="52">
        <v>3488.72</v>
      </c>
      <c r="F13" s="52">
        <v>2249.5700000000002</v>
      </c>
      <c r="G13" s="52">
        <v>6460.68</v>
      </c>
      <c r="H13" s="52">
        <v>3060.5200000000004</v>
      </c>
      <c r="I13" s="53">
        <v>28061.64</v>
      </c>
      <c r="J13" s="49"/>
    </row>
    <row r="14" spans="1:23" x14ac:dyDescent="0.2">
      <c r="A14" s="50">
        <f t="shared" si="0"/>
        <v>44939</v>
      </c>
      <c r="B14" s="51">
        <v>8455.26</v>
      </c>
      <c r="C14" s="52">
        <v>4377.7299999999996</v>
      </c>
      <c r="D14" s="52">
        <v>5651.18</v>
      </c>
      <c r="E14" s="52">
        <v>3945.53</v>
      </c>
      <c r="F14" s="52">
        <v>1915.95</v>
      </c>
      <c r="G14" s="52">
        <v>6679.58</v>
      </c>
      <c r="H14" s="52">
        <v>3103.8599999999997</v>
      </c>
      <c r="I14" s="53">
        <v>27921.369999999995</v>
      </c>
      <c r="J14" s="49"/>
    </row>
    <row r="15" spans="1:23" x14ac:dyDescent="0.2">
      <c r="A15" s="50">
        <f t="shared" si="0"/>
        <v>44940</v>
      </c>
      <c r="B15" s="51">
        <v>4553.62</v>
      </c>
      <c r="C15" s="52">
        <v>2256.9299999999998</v>
      </c>
      <c r="D15" s="52">
        <v>3923.18</v>
      </c>
      <c r="E15" s="52">
        <v>2374.5500000000002</v>
      </c>
      <c r="F15" s="52">
        <v>844.72</v>
      </c>
      <c r="G15" s="52">
        <v>4779.83</v>
      </c>
      <c r="H15" s="52">
        <v>2228.1400000000003</v>
      </c>
      <c r="I15" s="53">
        <v>16504.689999999999</v>
      </c>
      <c r="J15" s="49"/>
    </row>
    <row r="16" spans="1:23" x14ac:dyDescent="0.2">
      <c r="A16" s="50">
        <f t="shared" si="0"/>
        <v>44941</v>
      </c>
      <c r="B16" s="51">
        <v>2147.83</v>
      </c>
      <c r="C16" s="52">
        <v>833.4</v>
      </c>
      <c r="D16" s="52">
        <v>1012.64</v>
      </c>
      <c r="E16" s="52">
        <v>1804.75</v>
      </c>
      <c r="F16" s="52">
        <v>1729.3</v>
      </c>
      <c r="G16" s="52">
        <v>3309.35</v>
      </c>
      <c r="H16" s="52">
        <v>2269.0500000000002</v>
      </c>
      <c r="I16" s="53">
        <v>8568.2200000000012</v>
      </c>
      <c r="J16" s="49"/>
    </row>
    <row r="17" spans="1:10" x14ac:dyDescent="0.2">
      <c r="A17" s="50">
        <f t="shared" si="0"/>
        <v>44942</v>
      </c>
      <c r="B17" s="51">
        <v>7766.83</v>
      </c>
      <c r="C17" s="52">
        <v>3791.03</v>
      </c>
      <c r="D17" s="52">
        <v>4272.6400000000003</v>
      </c>
      <c r="E17" s="52">
        <v>3254.17</v>
      </c>
      <c r="F17" s="52">
        <v>2100.59</v>
      </c>
      <c r="G17" s="52">
        <v>5339.59</v>
      </c>
      <c r="H17" s="52">
        <v>3023.0299999999997</v>
      </c>
      <c r="I17" s="53">
        <v>23501.82</v>
      </c>
      <c r="J17" s="49"/>
    </row>
    <row r="18" spans="1:10" x14ac:dyDescent="0.2">
      <c r="A18" s="50">
        <f t="shared" si="0"/>
        <v>44943</v>
      </c>
      <c r="B18" s="51">
        <v>8810.3700000000008</v>
      </c>
      <c r="C18" s="52">
        <v>4505.2700000000004</v>
      </c>
      <c r="D18" s="52">
        <v>5930.93</v>
      </c>
      <c r="E18" s="52">
        <v>4595.6400000000003</v>
      </c>
      <c r="F18" s="52">
        <v>2744.97</v>
      </c>
      <c r="G18" s="52">
        <v>6286.37</v>
      </c>
      <c r="H18" s="52">
        <v>3160.09</v>
      </c>
      <c r="I18" s="53">
        <v>29713.460000000003</v>
      </c>
      <c r="J18" s="49"/>
    </row>
    <row r="19" spans="1:10" x14ac:dyDescent="0.2">
      <c r="A19" s="50">
        <f t="shared" si="0"/>
        <v>44944</v>
      </c>
      <c r="B19" s="51">
        <v>8295.01</v>
      </c>
      <c r="C19" s="52">
        <v>4723.7700000000004</v>
      </c>
      <c r="D19" s="52">
        <v>5852.98</v>
      </c>
      <c r="E19" s="52">
        <v>3794.95</v>
      </c>
      <c r="F19" s="52">
        <v>1970.16</v>
      </c>
      <c r="G19" s="52">
        <v>6862.84</v>
      </c>
      <c r="H19" s="52">
        <v>3096.6</v>
      </c>
      <c r="I19" s="53">
        <v>28403.110000000004</v>
      </c>
      <c r="J19" s="49"/>
    </row>
    <row r="20" spans="1:10" x14ac:dyDescent="0.2">
      <c r="A20" s="50">
        <f t="shared" si="0"/>
        <v>44945</v>
      </c>
      <c r="B20" s="51">
        <v>8221.23</v>
      </c>
      <c r="C20" s="52">
        <v>4438.3</v>
      </c>
      <c r="D20" s="52">
        <v>5558.04</v>
      </c>
      <c r="E20" s="52">
        <v>3516.32</v>
      </c>
      <c r="F20" s="52">
        <v>2156.11</v>
      </c>
      <c r="G20" s="52">
        <v>6660.36</v>
      </c>
      <c r="H20" s="52">
        <v>3104.34</v>
      </c>
      <c r="I20" s="53">
        <v>27446.02</v>
      </c>
      <c r="J20" s="49"/>
    </row>
    <row r="21" spans="1:10" x14ac:dyDescent="0.2">
      <c r="A21" s="50">
        <f t="shared" si="0"/>
        <v>44946</v>
      </c>
      <c r="B21" s="51">
        <v>8581.23</v>
      </c>
      <c r="C21" s="52">
        <v>4173.74</v>
      </c>
      <c r="D21" s="52">
        <v>5854.2</v>
      </c>
      <c r="E21" s="52">
        <v>4048.88</v>
      </c>
      <c r="F21" s="52">
        <v>1957.04</v>
      </c>
      <c r="G21" s="52">
        <v>6336.02</v>
      </c>
      <c r="H21" s="52">
        <v>3020.15</v>
      </c>
      <c r="I21" s="53">
        <v>27930.959999999999</v>
      </c>
      <c r="J21" s="49"/>
    </row>
    <row r="22" spans="1:10" x14ac:dyDescent="0.2">
      <c r="A22" s="50">
        <f t="shared" si="0"/>
        <v>44947</v>
      </c>
      <c r="B22" s="51">
        <v>8620.1299999999992</v>
      </c>
      <c r="C22" s="52">
        <v>3898.25</v>
      </c>
      <c r="D22" s="52">
        <v>5694.48</v>
      </c>
      <c r="E22" s="52">
        <v>4669.58</v>
      </c>
      <c r="F22" s="52">
        <v>2964.23</v>
      </c>
      <c r="G22" s="52">
        <v>5493.3</v>
      </c>
      <c r="H22" s="52">
        <v>2465.91</v>
      </c>
      <c r="I22" s="53">
        <v>28874.06</v>
      </c>
      <c r="J22" s="49"/>
    </row>
    <row r="23" spans="1:10" x14ac:dyDescent="0.2">
      <c r="A23" s="50">
        <f t="shared" si="0"/>
        <v>44948</v>
      </c>
      <c r="B23" s="51">
        <v>8172.98</v>
      </c>
      <c r="C23" s="52">
        <v>3795.8</v>
      </c>
      <c r="D23" s="52">
        <v>5405.74</v>
      </c>
      <c r="E23" s="52">
        <v>4665.17</v>
      </c>
      <c r="F23" s="52">
        <v>2607.86</v>
      </c>
      <c r="G23" s="52">
        <v>4851.53</v>
      </c>
      <c r="H23" s="52">
        <v>2076.46</v>
      </c>
      <c r="I23" s="53">
        <v>27422.619999999995</v>
      </c>
      <c r="J23" s="49"/>
    </row>
    <row r="24" spans="1:10" x14ac:dyDescent="0.2">
      <c r="A24" s="50">
        <f t="shared" si="0"/>
        <v>44949</v>
      </c>
      <c r="B24" s="51">
        <v>8444.93</v>
      </c>
      <c r="C24" s="52">
        <v>4002.95</v>
      </c>
      <c r="D24" s="52">
        <v>5638.13</v>
      </c>
      <c r="E24" s="52">
        <v>4325.29</v>
      </c>
      <c r="F24" s="52">
        <v>2885</v>
      </c>
      <c r="G24" s="52">
        <v>6537.82</v>
      </c>
      <c r="H24" s="52">
        <v>2993.38</v>
      </c>
      <c r="I24" s="53">
        <v>28840.74</v>
      </c>
      <c r="J24" s="49"/>
    </row>
    <row r="25" spans="1:10" x14ac:dyDescent="0.2">
      <c r="A25" s="50">
        <f t="shared" si="0"/>
        <v>44950</v>
      </c>
      <c r="B25" s="51">
        <v>8296.2000000000007</v>
      </c>
      <c r="C25" s="52">
        <v>4064.29</v>
      </c>
      <c r="D25" s="52">
        <v>5681.91</v>
      </c>
      <c r="E25" s="52">
        <v>4255.29</v>
      </c>
      <c r="F25" s="52">
        <v>2819.39</v>
      </c>
      <c r="G25" s="52">
        <v>6275.65</v>
      </c>
      <c r="H25" s="52">
        <v>2706.95</v>
      </c>
      <c r="I25" s="53">
        <v>28685.780000000002</v>
      </c>
      <c r="J25" s="49"/>
    </row>
    <row r="26" spans="1:10" x14ac:dyDescent="0.2">
      <c r="A26" s="50">
        <f t="shared" si="0"/>
        <v>44951</v>
      </c>
      <c r="B26" s="51">
        <v>8202</v>
      </c>
      <c r="C26" s="52">
        <v>3841</v>
      </c>
      <c r="D26" s="52">
        <v>5598</v>
      </c>
      <c r="E26" s="52">
        <v>4574</v>
      </c>
      <c r="F26" s="52">
        <v>2187</v>
      </c>
      <c r="G26" s="52">
        <v>6413</v>
      </c>
      <c r="H26" s="52">
        <v>2890</v>
      </c>
      <c r="I26" s="53">
        <v>27925</v>
      </c>
      <c r="J26" s="49"/>
    </row>
    <row r="27" spans="1:10" x14ac:dyDescent="0.2">
      <c r="A27" s="50">
        <f t="shared" si="0"/>
        <v>44952</v>
      </c>
      <c r="B27" s="51">
        <v>7938.41</v>
      </c>
      <c r="C27" s="52">
        <v>3746.91</v>
      </c>
      <c r="D27" s="52">
        <v>5549.77</v>
      </c>
      <c r="E27" s="52">
        <v>4633.49</v>
      </c>
      <c r="F27" s="52">
        <v>1667.37</v>
      </c>
      <c r="G27" s="52">
        <v>6342.83</v>
      </c>
      <c r="H27" s="52">
        <v>2888.5400000000004</v>
      </c>
      <c r="I27" s="53">
        <v>26990.239999999998</v>
      </c>
      <c r="J27" s="49"/>
    </row>
    <row r="28" spans="1:10" x14ac:dyDescent="0.2">
      <c r="A28" s="50">
        <f t="shared" si="0"/>
        <v>44953</v>
      </c>
      <c r="B28" s="51">
        <v>7880.78</v>
      </c>
      <c r="C28" s="52">
        <v>3821.12</v>
      </c>
      <c r="D28" s="52">
        <v>5444.12</v>
      </c>
      <c r="E28" s="52">
        <v>5302.13</v>
      </c>
      <c r="F28" s="52">
        <v>2494.46</v>
      </c>
      <c r="G28" s="52">
        <v>6157.15</v>
      </c>
      <c r="H28" s="52">
        <v>2868.21</v>
      </c>
      <c r="I28" s="53">
        <v>28231.550000000003</v>
      </c>
      <c r="J28" s="49"/>
    </row>
    <row r="29" spans="1:10" x14ac:dyDescent="0.2">
      <c r="A29" s="50">
        <f t="shared" si="0"/>
        <v>44954</v>
      </c>
      <c r="B29" s="51">
        <v>7217.52</v>
      </c>
      <c r="C29" s="52">
        <v>3413.07</v>
      </c>
      <c r="D29" s="52">
        <v>5158.7299999999996</v>
      </c>
      <c r="E29" s="52">
        <v>3843.14</v>
      </c>
      <c r="F29" s="52">
        <v>1429.82</v>
      </c>
      <c r="G29" s="52">
        <v>4859.13</v>
      </c>
      <c r="H29" s="52">
        <v>2014.8400000000001</v>
      </c>
      <c r="I29" s="53">
        <v>23906.57</v>
      </c>
      <c r="J29" s="49"/>
    </row>
    <row r="30" spans="1:10" x14ac:dyDescent="0.2">
      <c r="A30" s="50">
        <f t="shared" si="0"/>
        <v>44955</v>
      </c>
      <c r="B30" s="51">
        <v>4098</v>
      </c>
      <c r="C30" s="52">
        <v>2643</v>
      </c>
      <c r="D30" s="52">
        <v>3615</v>
      </c>
      <c r="E30" s="52">
        <v>3998</v>
      </c>
      <c r="F30" s="52">
        <v>1516</v>
      </c>
      <c r="G30" s="52">
        <v>3561</v>
      </c>
      <c r="H30" s="52">
        <v>1718</v>
      </c>
      <c r="I30" s="53">
        <v>17713</v>
      </c>
      <c r="J30" s="49"/>
    </row>
    <row r="31" spans="1:10" x14ac:dyDescent="0.2">
      <c r="A31" s="50">
        <f>A30+1</f>
        <v>44956</v>
      </c>
      <c r="B31" s="51">
        <v>8399.4500000000007</v>
      </c>
      <c r="C31" s="52">
        <v>3570.85</v>
      </c>
      <c r="D31" s="52">
        <v>5488.78</v>
      </c>
      <c r="E31" s="52">
        <v>5321.73</v>
      </c>
      <c r="F31" s="52">
        <v>2059.4299999999998</v>
      </c>
      <c r="G31" s="52">
        <v>5342.63</v>
      </c>
      <c r="H31" s="52">
        <v>2965.5300000000007</v>
      </c>
      <c r="I31" s="53">
        <v>27217.340000000004</v>
      </c>
      <c r="J31" s="49"/>
    </row>
    <row r="32" spans="1:10" x14ac:dyDescent="0.2">
      <c r="A32" s="50">
        <f t="shared" ref="A32:A95" si="1">A31+1</f>
        <v>44957</v>
      </c>
      <c r="B32" s="51">
        <v>8584.0400000000009</v>
      </c>
      <c r="C32" s="52">
        <v>3700.48</v>
      </c>
      <c r="D32" s="52">
        <v>5892.64</v>
      </c>
      <c r="E32" s="52">
        <v>5492.63</v>
      </c>
      <c r="F32" s="52">
        <v>2236.6999999999998</v>
      </c>
      <c r="G32" s="52">
        <v>5300.93</v>
      </c>
      <c r="H32" s="52">
        <v>2655.8699999999994</v>
      </c>
      <c r="I32" s="53">
        <v>28551.550000000003</v>
      </c>
      <c r="J32" s="49"/>
    </row>
    <row r="33" spans="1:10" x14ac:dyDescent="0.2">
      <c r="A33" s="50">
        <f t="shared" si="1"/>
        <v>44958</v>
      </c>
      <c r="B33" s="51">
        <v>8655.09</v>
      </c>
      <c r="C33" s="52">
        <v>3566.74</v>
      </c>
      <c r="D33" s="52">
        <v>5684.9</v>
      </c>
      <c r="E33" s="52">
        <v>5268.74</v>
      </c>
      <c r="F33" s="52">
        <v>2141.14</v>
      </c>
      <c r="G33" s="52">
        <v>5944.74</v>
      </c>
      <c r="H33" s="52">
        <v>2666.3</v>
      </c>
      <c r="I33" s="53">
        <v>28595.05</v>
      </c>
      <c r="J33" s="49"/>
    </row>
    <row r="34" spans="1:10" x14ac:dyDescent="0.2">
      <c r="A34" s="50">
        <f t="shared" si="1"/>
        <v>44959</v>
      </c>
      <c r="B34" s="51">
        <v>8315</v>
      </c>
      <c r="C34" s="52">
        <v>3689</v>
      </c>
      <c r="D34" s="52">
        <v>5817</v>
      </c>
      <c r="E34" s="52">
        <v>4702</v>
      </c>
      <c r="F34" s="52">
        <v>1824</v>
      </c>
      <c r="G34" s="52">
        <v>6614</v>
      </c>
      <c r="H34" s="52">
        <v>3032</v>
      </c>
      <c r="I34" s="53">
        <v>27929</v>
      </c>
      <c r="J34" s="49"/>
    </row>
    <row r="35" spans="1:10" x14ac:dyDescent="0.2">
      <c r="A35" s="50">
        <f t="shared" si="1"/>
        <v>44960</v>
      </c>
      <c r="B35" s="51">
        <v>8399.52</v>
      </c>
      <c r="C35" s="52">
        <v>3785.43</v>
      </c>
      <c r="D35" s="52">
        <v>5831.59</v>
      </c>
      <c r="E35" s="52">
        <v>4041.84</v>
      </c>
      <c r="F35" s="52">
        <v>1355.93</v>
      </c>
      <c r="G35" s="52">
        <v>6277.57</v>
      </c>
      <c r="H35" s="52">
        <v>3332.8199999999997</v>
      </c>
      <c r="I35" s="53">
        <v>26359.06</v>
      </c>
      <c r="J35" s="49"/>
    </row>
    <row r="36" spans="1:10" x14ac:dyDescent="0.2">
      <c r="A36" s="50">
        <f t="shared" si="1"/>
        <v>44961</v>
      </c>
      <c r="B36" s="51">
        <v>7247.97</v>
      </c>
      <c r="C36" s="52">
        <v>3216.67</v>
      </c>
      <c r="D36" s="52">
        <v>5525.73</v>
      </c>
      <c r="E36" s="52">
        <v>3322.94</v>
      </c>
      <c r="F36" s="52">
        <v>1174.9100000000001</v>
      </c>
      <c r="G36" s="52">
        <v>3684.79</v>
      </c>
      <c r="H36" s="52">
        <v>2381.1</v>
      </c>
      <c r="I36" s="53">
        <v>21791.91</v>
      </c>
      <c r="J36" s="49"/>
    </row>
    <row r="37" spans="1:10" x14ac:dyDescent="0.2">
      <c r="A37" s="50">
        <f t="shared" si="1"/>
        <v>44962</v>
      </c>
      <c r="B37" s="51">
        <v>1444</v>
      </c>
      <c r="C37" s="52">
        <v>1006</v>
      </c>
      <c r="D37" s="52">
        <v>2692.92</v>
      </c>
      <c r="E37" s="52">
        <v>1636</v>
      </c>
      <c r="F37" s="52">
        <v>332.37</v>
      </c>
      <c r="G37" s="52">
        <v>3153.24</v>
      </c>
      <c r="H37" s="52">
        <v>1955.5</v>
      </c>
      <c r="I37" s="53">
        <v>8309.0299999999988</v>
      </c>
      <c r="J37" s="49"/>
    </row>
    <row r="38" spans="1:10" x14ac:dyDescent="0.2">
      <c r="A38" s="50">
        <f t="shared" si="1"/>
        <v>44963</v>
      </c>
      <c r="B38" s="51">
        <v>8288</v>
      </c>
      <c r="C38" s="52">
        <v>3584</v>
      </c>
      <c r="D38" s="52">
        <v>5381</v>
      </c>
      <c r="E38" s="52">
        <v>4633</v>
      </c>
      <c r="F38" s="52">
        <v>3468</v>
      </c>
      <c r="G38" s="52">
        <v>5495</v>
      </c>
      <c r="H38" s="52">
        <v>2736</v>
      </c>
      <c r="I38" s="53">
        <v>28113</v>
      </c>
      <c r="J38" s="49"/>
    </row>
    <row r="39" spans="1:10" x14ac:dyDescent="0.2">
      <c r="A39" s="50">
        <f t="shared" si="1"/>
        <v>44964</v>
      </c>
      <c r="B39" s="51">
        <v>8872.51</v>
      </c>
      <c r="C39" s="52">
        <v>3946.14</v>
      </c>
      <c r="D39" s="52">
        <v>6130.62</v>
      </c>
      <c r="E39" s="52">
        <v>4644.82</v>
      </c>
      <c r="F39" s="52">
        <v>2302.91</v>
      </c>
      <c r="G39" s="52">
        <v>6366.16</v>
      </c>
      <c r="H39" s="52">
        <v>2707.46</v>
      </c>
      <c r="I39" s="53">
        <v>29555.7</v>
      </c>
      <c r="J39" s="49"/>
    </row>
    <row r="40" spans="1:10" x14ac:dyDescent="0.2">
      <c r="A40" s="50">
        <f t="shared" si="1"/>
        <v>44965</v>
      </c>
      <c r="B40" s="51">
        <v>8210.24</v>
      </c>
      <c r="C40" s="52">
        <v>3778.93</v>
      </c>
      <c r="D40" s="52">
        <v>6042.9</v>
      </c>
      <c r="E40" s="52">
        <v>3285.1</v>
      </c>
      <c r="F40" s="52">
        <v>2553.9299999999998</v>
      </c>
      <c r="G40" s="52">
        <v>6262.21</v>
      </c>
      <c r="H40" s="52">
        <v>2693.2500000000005</v>
      </c>
      <c r="I40" s="53">
        <v>27440.059999999998</v>
      </c>
      <c r="J40" s="49"/>
    </row>
    <row r="41" spans="1:10" x14ac:dyDescent="0.2">
      <c r="A41" s="50">
        <f t="shared" si="1"/>
        <v>44966</v>
      </c>
      <c r="B41" s="51">
        <v>8961.02</v>
      </c>
      <c r="C41" s="52">
        <v>3691.4</v>
      </c>
      <c r="D41" s="52">
        <v>5952</v>
      </c>
      <c r="E41" s="52">
        <v>3654.9</v>
      </c>
      <c r="F41" s="52">
        <v>3539.58</v>
      </c>
      <c r="G41" s="52">
        <v>6029.14</v>
      </c>
      <c r="H41" s="52">
        <v>2630.83</v>
      </c>
      <c r="I41" s="53">
        <v>29197.21</v>
      </c>
      <c r="J41" s="49"/>
    </row>
    <row r="42" spans="1:10" x14ac:dyDescent="0.2">
      <c r="A42" s="50">
        <f t="shared" si="1"/>
        <v>44967</v>
      </c>
      <c r="B42" s="51">
        <v>8164</v>
      </c>
      <c r="C42" s="52">
        <v>3603</v>
      </c>
      <c r="D42" s="52">
        <v>5704</v>
      </c>
      <c r="E42" s="52">
        <v>3141</v>
      </c>
      <c r="F42" s="52">
        <v>3895</v>
      </c>
      <c r="G42" s="52">
        <v>4797</v>
      </c>
      <c r="H42" s="52">
        <v>2822</v>
      </c>
      <c r="I42" s="53">
        <v>26482</v>
      </c>
      <c r="J42" s="49"/>
    </row>
    <row r="43" spans="1:10" x14ac:dyDescent="0.2">
      <c r="A43" s="50">
        <f t="shared" si="1"/>
        <v>44968</v>
      </c>
      <c r="B43" s="51">
        <v>4077.1</v>
      </c>
      <c r="C43" s="52">
        <v>1700.97</v>
      </c>
      <c r="D43" s="52">
        <v>3808.23</v>
      </c>
      <c r="E43" s="52">
        <v>673.19</v>
      </c>
      <c r="F43" s="52">
        <v>1473.87</v>
      </c>
      <c r="G43" s="52">
        <v>3015.8</v>
      </c>
      <c r="H43" s="52">
        <v>2101.7000000000003</v>
      </c>
      <c r="I43" s="53">
        <v>12647.46</v>
      </c>
      <c r="J43" s="49"/>
    </row>
    <row r="44" spans="1:10" x14ac:dyDescent="0.2">
      <c r="A44" s="50">
        <f t="shared" si="1"/>
        <v>44969</v>
      </c>
      <c r="B44" s="51">
        <v>1256.0999999999999</v>
      </c>
      <c r="C44" s="52">
        <v>771.18</v>
      </c>
      <c r="D44" s="52">
        <v>964.23</v>
      </c>
      <c r="E44" s="52">
        <v>40.229999999999997</v>
      </c>
      <c r="F44" s="52">
        <v>239.33</v>
      </c>
      <c r="G44" s="52">
        <v>2699.47</v>
      </c>
      <c r="H44" s="52">
        <v>1659.3200000000002</v>
      </c>
      <c r="I44" s="53">
        <v>4311.2199999999993</v>
      </c>
      <c r="J44" s="49"/>
    </row>
    <row r="45" spans="1:10" x14ac:dyDescent="0.2">
      <c r="A45" s="50">
        <f t="shared" si="1"/>
        <v>44970</v>
      </c>
      <c r="B45" s="51">
        <v>8798.69</v>
      </c>
      <c r="C45" s="52">
        <v>3529.16</v>
      </c>
      <c r="D45" s="52">
        <v>5126.29</v>
      </c>
      <c r="E45" s="52">
        <v>3285.9</v>
      </c>
      <c r="F45" s="52">
        <v>3696.87</v>
      </c>
      <c r="G45" s="52">
        <v>6107.86</v>
      </c>
      <c r="H45" s="52">
        <v>3247.6500000000005</v>
      </c>
      <c r="I45" s="53">
        <v>27297.119999999999</v>
      </c>
      <c r="J45" s="49"/>
    </row>
    <row r="46" spans="1:10" x14ac:dyDescent="0.2">
      <c r="A46" s="50">
        <f t="shared" si="1"/>
        <v>44971</v>
      </c>
      <c r="B46" s="51">
        <v>8709</v>
      </c>
      <c r="C46" s="52">
        <v>4003</v>
      </c>
      <c r="D46" s="52">
        <v>6027</v>
      </c>
      <c r="E46" s="52">
        <v>3682</v>
      </c>
      <c r="F46" s="52">
        <v>4236</v>
      </c>
      <c r="G46" s="52">
        <v>6283</v>
      </c>
      <c r="H46" s="52">
        <v>2884</v>
      </c>
      <c r="I46" s="53">
        <v>30056</v>
      </c>
      <c r="J46" s="49"/>
    </row>
    <row r="47" spans="1:10" x14ac:dyDescent="0.2">
      <c r="A47" s="50">
        <f t="shared" si="1"/>
        <v>44972</v>
      </c>
      <c r="B47" s="51">
        <v>8736.2099999999991</v>
      </c>
      <c r="C47" s="52">
        <v>4070.2</v>
      </c>
      <c r="D47" s="52">
        <v>6169.79</v>
      </c>
      <c r="E47" s="52">
        <v>2812.41</v>
      </c>
      <c r="F47" s="52">
        <v>3317.53</v>
      </c>
      <c r="G47" s="52">
        <v>6348.3</v>
      </c>
      <c r="H47" s="52">
        <v>2953.4399999999996</v>
      </c>
      <c r="I47" s="53">
        <v>28501</v>
      </c>
      <c r="J47" s="49"/>
    </row>
    <row r="48" spans="1:10" x14ac:dyDescent="0.2">
      <c r="A48" s="50">
        <f t="shared" si="1"/>
        <v>44973</v>
      </c>
      <c r="B48" s="51">
        <v>8642.42</v>
      </c>
      <c r="C48" s="52">
        <v>4068.34</v>
      </c>
      <c r="D48" s="52">
        <v>6262.67</v>
      </c>
      <c r="E48" s="52">
        <v>3252.62</v>
      </c>
      <c r="F48" s="52">
        <v>3770.3</v>
      </c>
      <c r="G48" s="52">
        <v>6497.86</v>
      </c>
      <c r="H48" s="52">
        <v>2793.7000000000003</v>
      </c>
      <c r="I48" s="53">
        <v>29700.51</v>
      </c>
      <c r="J48" s="49"/>
    </row>
    <row r="49" spans="1:10" x14ac:dyDescent="0.2">
      <c r="A49" s="50">
        <f t="shared" si="1"/>
        <v>44974</v>
      </c>
      <c r="B49" s="51">
        <v>8403.8700000000008</v>
      </c>
      <c r="C49" s="52">
        <v>3831.02</v>
      </c>
      <c r="D49" s="52">
        <v>6419.38</v>
      </c>
      <c r="E49" s="52">
        <v>2596.6799999999998</v>
      </c>
      <c r="F49" s="52">
        <v>3257.06</v>
      </c>
      <c r="G49" s="52">
        <v>5609.64</v>
      </c>
      <c r="H49" s="52">
        <v>2913</v>
      </c>
      <c r="I49" s="53">
        <v>27204.65</v>
      </c>
      <c r="J49" s="49"/>
    </row>
    <row r="50" spans="1:10" x14ac:dyDescent="0.2">
      <c r="A50" s="50">
        <f t="shared" si="1"/>
        <v>44975</v>
      </c>
      <c r="B50" s="51">
        <v>7218</v>
      </c>
      <c r="C50" s="52">
        <v>3434</v>
      </c>
      <c r="D50" s="52">
        <v>6024</v>
      </c>
      <c r="E50" s="52">
        <v>2539</v>
      </c>
      <c r="F50" s="52">
        <v>3523</v>
      </c>
      <c r="G50" s="52">
        <v>3053</v>
      </c>
      <c r="H50" s="52">
        <v>1835</v>
      </c>
      <c r="I50" s="53">
        <v>23956</v>
      </c>
      <c r="J50" s="49"/>
    </row>
    <row r="51" spans="1:10" x14ac:dyDescent="0.2">
      <c r="A51" s="50">
        <f t="shared" si="1"/>
        <v>44976</v>
      </c>
      <c r="B51" s="51">
        <v>3801.78</v>
      </c>
      <c r="C51" s="52">
        <v>2731.08</v>
      </c>
      <c r="D51" s="52">
        <v>4556.37</v>
      </c>
      <c r="E51" s="52">
        <v>1340.08</v>
      </c>
      <c r="F51" s="52">
        <v>2458.14</v>
      </c>
      <c r="G51" s="52">
        <v>3402.28</v>
      </c>
      <c r="H51" s="52">
        <v>1952.1299999999997</v>
      </c>
      <c r="I51" s="53">
        <v>16337.6</v>
      </c>
      <c r="J51" s="49"/>
    </row>
    <row r="52" spans="1:10" x14ac:dyDescent="0.2">
      <c r="A52" s="50">
        <f t="shared" si="1"/>
        <v>44977</v>
      </c>
      <c r="B52" s="51">
        <v>8676.9699999999993</v>
      </c>
      <c r="C52" s="52">
        <v>3867.8</v>
      </c>
      <c r="D52" s="52">
        <v>6062.29</v>
      </c>
      <c r="E52" s="52">
        <v>3604.8</v>
      </c>
      <c r="F52" s="52">
        <v>3482.17</v>
      </c>
      <c r="G52" s="52">
        <v>6222.41</v>
      </c>
      <c r="H52" s="52">
        <v>3285.21</v>
      </c>
      <c r="I52" s="53">
        <v>28631.23</v>
      </c>
      <c r="J52" s="49"/>
    </row>
    <row r="53" spans="1:10" x14ac:dyDescent="0.2">
      <c r="A53" s="50">
        <f t="shared" si="1"/>
        <v>44978</v>
      </c>
      <c r="B53" s="51">
        <v>9276.2900000000009</v>
      </c>
      <c r="C53" s="52">
        <v>3896.3</v>
      </c>
      <c r="D53" s="52">
        <v>6394.84</v>
      </c>
      <c r="E53" s="52">
        <v>3892.62</v>
      </c>
      <c r="F53" s="52">
        <v>3470.01</v>
      </c>
      <c r="G53" s="52">
        <v>6404.38</v>
      </c>
      <c r="H53" s="52">
        <v>3081.33</v>
      </c>
      <c r="I53" s="53">
        <v>30253.109999999993</v>
      </c>
      <c r="J53" s="49"/>
    </row>
    <row r="54" spans="1:10" x14ac:dyDescent="0.2">
      <c r="A54" s="50">
        <f t="shared" si="1"/>
        <v>44979</v>
      </c>
      <c r="B54" s="51">
        <v>9105</v>
      </c>
      <c r="C54" s="52">
        <v>4111</v>
      </c>
      <c r="D54" s="52">
        <v>6159</v>
      </c>
      <c r="E54" s="52">
        <v>3610</v>
      </c>
      <c r="F54" s="52">
        <v>3906</v>
      </c>
      <c r="G54" s="52">
        <v>6100</v>
      </c>
      <c r="H54" s="52">
        <v>2819</v>
      </c>
      <c r="I54" s="53">
        <v>30172</v>
      </c>
      <c r="J54" s="49"/>
    </row>
    <row r="55" spans="1:10" x14ac:dyDescent="0.2">
      <c r="A55" s="50">
        <f t="shared" si="1"/>
        <v>44980</v>
      </c>
      <c r="B55" s="51">
        <v>8123.51</v>
      </c>
      <c r="C55" s="52">
        <v>3764.5</v>
      </c>
      <c r="D55" s="52">
        <v>5807.47</v>
      </c>
      <c r="E55" s="52">
        <v>2571.38</v>
      </c>
      <c r="F55" s="52">
        <v>3246.41</v>
      </c>
      <c r="G55" s="52">
        <v>5862.69</v>
      </c>
      <c r="H55" s="52">
        <v>2421.48</v>
      </c>
      <c r="I55" s="53">
        <v>26954.48</v>
      </c>
      <c r="J55" s="49"/>
    </row>
    <row r="56" spans="1:10" x14ac:dyDescent="0.2">
      <c r="A56" s="50">
        <f t="shared" si="1"/>
        <v>44981</v>
      </c>
      <c r="B56" s="51">
        <v>8063.85</v>
      </c>
      <c r="C56" s="52">
        <v>3471.01</v>
      </c>
      <c r="D56" s="52">
        <v>5923.53</v>
      </c>
      <c r="E56" s="52">
        <v>3472.89</v>
      </c>
      <c r="F56" s="52">
        <v>3751.54</v>
      </c>
      <c r="G56" s="52">
        <v>5466.61</v>
      </c>
      <c r="H56" s="52">
        <v>2268.7700000000004</v>
      </c>
      <c r="I56" s="53">
        <v>27880.66</v>
      </c>
      <c r="J56" s="49"/>
    </row>
    <row r="57" spans="1:10" x14ac:dyDescent="0.2">
      <c r="A57" s="50">
        <f t="shared" si="1"/>
        <v>44982</v>
      </c>
      <c r="B57" s="51">
        <v>7716.43</v>
      </c>
      <c r="C57" s="52">
        <v>3430.38</v>
      </c>
      <c r="D57" s="52">
        <v>6017.03</v>
      </c>
      <c r="E57" s="52">
        <v>2202.96</v>
      </c>
      <c r="F57" s="52">
        <v>3033.33</v>
      </c>
      <c r="G57" s="52">
        <v>4906.5</v>
      </c>
      <c r="H57" s="52">
        <v>2016.87</v>
      </c>
      <c r="I57" s="53">
        <v>25289.759999999998</v>
      </c>
      <c r="J57" s="49"/>
    </row>
    <row r="58" spans="1:10" x14ac:dyDescent="0.2">
      <c r="A58" s="50">
        <f t="shared" si="1"/>
        <v>44983</v>
      </c>
      <c r="B58" s="51">
        <v>4669</v>
      </c>
      <c r="C58" s="52">
        <v>2788</v>
      </c>
      <c r="D58" s="52">
        <v>4231</v>
      </c>
      <c r="E58" s="52">
        <v>2973</v>
      </c>
      <c r="F58" s="52">
        <v>3434</v>
      </c>
      <c r="G58" s="52">
        <v>3784</v>
      </c>
      <c r="H58" s="52">
        <v>1656</v>
      </c>
      <c r="I58" s="53">
        <v>20223</v>
      </c>
      <c r="J58" s="49"/>
    </row>
    <row r="59" spans="1:10" x14ac:dyDescent="0.2">
      <c r="A59" s="50">
        <f t="shared" si="1"/>
        <v>44984</v>
      </c>
      <c r="B59" s="51">
        <v>8169.6</v>
      </c>
      <c r="C59" s="52">
        <v>3569.92</v>
      </c>
      <c r="D59" s="52">
        <v>5408.27</v>
      </c>
      <c r="E59" s="52">
        <v>2970.32</v>
      </c>
      <c r="F59" s="52">
        <v>3617.15</v>
      </c>
      <c r="G59" s="52">
        <v>5129.26</v>
      </c>
      <c r="H59" s="52">
        <v>2775.52</v>
      </c>
      <c r="I59" s="53">
        <v>26089.000000000004</v>
      </c>
      <c r="J59" s="49"/>
    </row>
    <row r="60" spans="1:10" x14ac:dyDescent="0.2">
      <c r="A60" s="50">
        <f t="shared" si="1"/>
        <v>44985</v>
      </c>
      <c r="B60" s="51">
        <v>7942.41</v>
      </c>
      <c r="C60" s="52">
        <v>4005.85</v>
      </c>
      <c r="D60" s="52">
        <v>5948.81</v>
      </c>
      <c r="E60" s="52">
        <v>2392.8000000000002</v>
      </c>
      <c r="F60" s="52">
        <v>3309.08</v>
      </c>
      <c r="G60" s="52">
        <v>5526.54</v>
      </c>
      <c r="H60" s="52">
        <v>2968.0499999999997</v>
      </c>
      <c r="I60" s="53">
        <v>26157.439999999999</v>
      </c>
      <c r="J60" s="49"/>
    </row>
    <row r="61" spans="1:10" x14ac:dyDescent="0.2">
      <c r="A61" s="50">
        <f t="shared" si="1"/>
        <v>44986</v>
      </c>
      <c r="B61" s="51">
        <v>8014.81</v>
      </c>
      <c r="C61" s="52">
        <v>3997.65</v>
      </c>
      <c r="D61" s="52">
        <v>6010.43</v>
      </c>
      <c r="E61" s="52">
        <v>2834</v>
      </c>
      <c r="F61" s="52">
        <v>3412.94</v>
      </c>
      <c r="G61" s="52">
        <v>5712.01</v>
      </c>
      <c r="H61" s="52">
        <v>2982.7599999999993</v>
      </c>
      <c r="I61" s="53">
        <v>26999.079999999998</v>
      </c>
      <c r="J61" s="49"/>
    </row>
    <row r="62" spans="1:10" x14ac:dyDescent="0.2">
      <c r="A62" s="50">
        <f t="shared" si="1"/>
        <v>44987</v>
      </c>
      <c r="B62" s="51">
        <v>8521</v>
      </c>
      <c r="C62" s="52">
        <v>4040</v>
      </c>
      <c r="D62" s="52">
        <v>5942</v>
      </c>
      <c r="E62" s="52">
        <v>3841</v>
      </c>
      <c r="F62" s="52">
        <v>4238</v>
      </c>
      <c r="G62" s="52">
        <v>6053</v>
      </c>
      <c r="H62" s="52">
        <v>3046</v>
      </c>
      <c r="I62" s="53">
        <v>29589</v>
      </c>
      <c r="J62" s="49"/>
    </row>
    <row r="63" spans="1:10" x14ac:dyDescent="0.2">
      <c r="A63" s="50">
        <f t="shared" si="1"/>
        <v>44988</v>
      </c>
      <c r="B63" s="51">
        <v>6780</v>
      </c>
      <c r="C63" s="52">
        <v>3559.61</v>
      </c>
      <c r="D63" s="52">
        <v>5450.49</v>
      </c>
      <c r="E63" s="52">
        <v>3054.61</v>
      </c>
      <c r="F63" s="52">
        <v>3463.24</v>
      </c>
      <c r="G63" s="52">
        <v>5232.1499999999996</v>
      </c>
      <c r="H63" s="52">
        <v>3005.83</v>
      </c>
      <c r="I63" s="53">
        <v>24534.269999999997</v>
      </c>
      <c r="J63" s="49"/>
    </row>
    <row r="64" spans="1:10" x14ac:dyDescent="0.2">
      <c r="A64" s="50">
        <f t="shared" si="1"/>
        <v>44989</v>
      </c>
      <c r="B64" s="51">
        <v>2331.35</v>
      </c>
      <c r="C64" s="52">
        <v>1499.38</v>
      </c>
      <c r="D64" s="52">
        <v>3087.39</v>
      </c>
      <c r="E64" s="52">
        <v>2107.23</v>
      </c>
      <c r="F64" s="52">
        <v>1947.99</v>
      </c>
      <c r="G64" s="52">
        <v>3069.68</v>
      </c>
      <c r="H64" s="52">
        <v>2067.9500000000003</v>
      </c>
      <c r="I64" s="53">
        <v>11975.07</v>
      </c>
      <c r="J64" s="49"/>
    </row>
    <row r="65" spans="1:10" x14ac:dyDescent="0.2">
      <c r="A65" s="50">
        <f t="shared" si="1"/>
        <v>44990</v>
      </c>
      <c r="B65" s="51">
        <v>1039</v>
      </c>
      <c r="C65" s="52">
        <v>747</v>
      </c>
      <c r="D65" s="52">
        <v>1071</v>
      </c>
      <c r="E65" s="52">
        <v>41</v>
      </c>
      <c r="F65" s="52">
        <v>265</v>
      </c>
      <c r="G65" s="52">
        <v>2408</v>
      </c>
      <c r="H65" s="52">
        <v>1636</v>
      </c>
      <c r="I65" s="53">
        <v>3935</v>
      </c>
      <c r="J65" s="49"/>
    </row>
    <row r="66" spans="1:10" x14ac:dyDescent="0.2">
      <c r="A66" s="50">
        <f t="shared" si="1"/>
        <v>44991</v>
      </c>
      <c r="B66" s="51">
        <v>4633</v>
      </c>
      <c r="C66" s="52">
        <v>2887</v>
      </c>
      <c r="D66" s="52">
        <v>3378</v>
      </c>
      <c r="E66" s="52">
        <v>2618</v>
      </c>
      <c r="F66" s="52">
        <v>2816</v>
      </c>
      <c r="G66" s="52">
        <v>4998</v>
      </c>
      <c r="H66" s="52">
        <v>3011</v>
      </c>
      <c r="I66" s="53">
        <v>18319</v>
      </c>
      <c r="J66" s="49"/>
    </row>
    <row r="67" spans="1:10" x14ac:dyDescent="0.2">
      <c r="A67" s="50">
        <f t="shared" si="1"/>
        <v>44992</v>
      </c>
      <c r="B67" s="51">
        <v>5015.04</v>
      </c>
      <c r="C67" s="52">
        <v>3338.04</v>
      </c>
      <c r="D67" s="52">
        <v>4495.88</v>
      </c>
      <c r="E67" s="52">
        <v>2341.7399999999998</v>
      </c>
      <c r="F67" s="52">
        <v>3126.95</v>
      </c>
      <c r="G67" s="52">
        <v>5183.49</v>
      </c>
      <c r="H67" s="52">
        <v>3081.52</v>
      </c>
      <c r="I67" s="53">
        <v>20419.62</v>
      </c>
      <c r="J67" s="49"/>
    </row>
    <row r="68" spans="1:10" x14ac:dyDescent="0.2">
      <c r="A68" s="50">
        <f t="shared" si="1"/>
        <v>44993</v>
      </c>
      <c r="B68" s="51">
        <v>4131.08</v>
      </c>
      <c r="C68" s="52">
        <v>2867.09</v>
      </c>
      <c r="D68" s="52">
        <v>4207.6499999999996</v>
      </c>
      <c r="E68" s="52">
        <v>2674.9</v>
      </c>
      <c r="F68" s="52">
        <v>3344.39</v>
      </c>
      <c r="G68" s="52">
        <v>3191.74</v>
      </c>
      <c r="H68" s="52">
        <v>2145.9399999999996</v>
      </c>
      <c r="I68" s="53">
        <v>18270.91</v>
      </c>
      <c r="J68" s="49"/>
    </row>
    <row r="69" spans="1:10" x14ac:dyDescent="0.2">
      <c r="A69" s="50">
        <f t="shared" si="1"/>
        <v>44994</v>
      </c>
      <c r="B69" s="51">
        <v>4541.34</v>
      </c>
      <c r="C69" s="52">
        <v>2936.51</v>
      </c>
      <c r="D69" s="52">
        <v>4294.2700000000004</v>
      </c>
      <c r="E69" s="52">
        <v>2580.3200000000002</v>
      </c>
      <c r="F69" s="52">
        <v>3114.99</v>
      </c>
      <c r="G69" s="52">
        <v>5349.73</v>
      </c>
      <c r="H69" s="52">
        <v>2963.8200000000006</v>
      </c>
      <c r="I69" s="53">
        <v>19853.34</v>
      </c>
      <c r="J69" s="49"/>
    </row>
    <row r="70" spans="1:10" x14ac:dyDescent="0.2">
      <c r="A70" s="50">
        <f t="shared" si="1"/>
        <v>44995</v>
      </c>
      <c r="B70" s="51">
        <v>4178</v>
      </c>
      <c r="C70" s="52">
        <v>2940</v>
      </c>
      <c r="D70" s="52">
        <v>4098</v>
      </c>
      <c r="E70" s="52">
        <v>3042</v>
      </c>
      <c r="F70" s="52">
        <v>3065</v>
      </c>
      <c r="G70" s="52">
        <v>4969</v>
      </c>
      <c r="H70" s="52">
        <v>2976.59</v>
      </c>
      <c r="I70" s="53">
        <v>19315.41</v>
      </c>
      <c r="J70" s="49"/>
    </row>
    <row r="71" spans="1:10" x14ac:dyDescent="0.2">
      <c r="A71" s="50">
        <f t="shared" si="1"/>
        <v>44996</v>
      </c>
      <c r="B71" s="51">
        <v>2948.39</v>
      </c>
      <c r="C71" s="52">
        <v>2302.35</v>
      </c>
      <c r="D71" s="52">
        <v>3486.52</v>
      </c>
      <c r="E71" s="52">
        <v>1079.04</v>
      </c>
      <c r="F71" s="52">
        <v>2266.4699999999998</v>
      </c>
      <c r="G71" s="52">
        <v>3126.02</v>
      </c>
      <c r="H71" s="52">
        <v>2090.67</v>
      </c>
      <c r="I71" s="53">
        <v>13118.119999999999</v>
      </c>
      <c r="J71" s="49"/>
    </row>
    <row r="72" spans="1:10" x14ac:dyDescent="0.2">
      <c r="A72" s="50">
        <f t="shared" si="1"/>
        <v>44997</v>
      </c>
      <c r="B72" s="51">
        <v>2448.39</v>
      </c>
      <c r="C72" s="52">
        <v>2093.7199999999998</v>
      </c>
      <c r="D72" s="52">
        <v>3424.89</v>
      </c>
      <c r="E72" s="52">
        <v>1052.8900000000001</v>
      </c>
      <c r="F72" s="52">
        <v>1977.06</v>
      </c>
      <c r="G72" s="52">
        <v>2708.65</v>
      </c>
      <c r="H72" s="52">
        <v>1705.5000000000002</v>
      </c>
      <c r="I72" s="53">
        <v>12000.099999999999</v>
      </c>
      <c r="J72" s="49"/>
    </row>
    <row r="73" spans="1:10" x14ac:dyDescent="0.2">
      <c r="A73" s="50">
        <f t="shared" si="1"/>
        <v>44998</v>
      </c>
      <c r="B73" s="51">
        <v>4731.93</v>
      </c>
      <c r="C73" s="52">
        <v>3079.79</v>
      </c>
      <c r="D73" s="52">
        <v>4452.47</v>
      </c>
      <c r="E73" s="52">
        <v>2112.36</v>
      </c>
      <c r="F73" s="52">
        <v>2788.59</v>
      </c>
      <c r="G73" s="52">
        <v>5570.83</v>
      </c>
      <c r="H73" s="52">
        <v>3058.31</v>
      </c>
      <c r="I73" s="53">
        <v>19677.66</v>
      </c>
      <c r="J73" s="49"/>
    </row>
    <row r="74" spans="1:10" x14ac:dyDescent="0.2">
      <c r="A74" s="50">
        <f t="shared" si="1"/>
        <v>44999</v>
      </c>
      <c r="B74" s="51">
        <v>5377</v>
      </c>
      <c r="C74" s="52">
        <v>3391</v>
      </c>
      <c r="D74" s="52">
        <v>4552</v>
      </c>
      <c r="E74" s="52">
        <v>3302</v>
      </c>
      <c r="F74" s="52">
        <v>3505</v>
      </c>
      <c r="G74" s="52">
        <v>5955</v>
      </c>
      <c r="H74" s="52">
        <v>2923</v>
      </c>
      <c r="I74" s="53">
        <v>23159</v>
      </c>
      <c r="J74" s="49"/>
    </row>
    <row r="75" spans="1:10" x14ac:dyDescent="0.2">
      <c r="A75" s="50">
        <f t="shared" si="1"/>
        <v>45000</v>
      </c>
      <c r="B75" s="51">
        <v>5123.2700000000004</v>
      </c>
      <c r="C75" s="52">
        <v>3285.47</v>
      </c>
      <c r="D75" s="52">
        <v>4557.67</v>
      </c>
      <c r="E75" s="52">
        <v>2216.94</v>
      </c>
      <c r="F75" s="52">
        <v>3015.21</v>
      </c>
      <c r="G75" s="52">
        <v>5557.08</v>
      </c>
      <c r="H75" s="52">
        <v>2564.17</v>
      </c>
      <c r="I75" s="53">
        <v>21191.47</v>
      </c>
      <c r="J75" s="49"/>
    </row>
    <row r="76" spans="1:10" x14ac:dyDescent="0.2">
      <c r="A76" s="50">
        <f t="shared" si="1"/>
        <v>45001</v>
      </c>
      <c r="B76" s="51">
        <v>4976.72</v>
      </c>
      <c r="C76" s="52">
        <v>3411.06</v>
      </c>
      <c r="D76" s="52">
        <v>4330.88</v>
      </c>
      <c r="E76" s="52">
        <v>2625.62</v>
      </c>
      <c r="F76" s="52">
        <v>3452.2</v>
      </c>
      <c r="G76" s="52">
        <v>5800.26</v>
      </c>
      <c r="H76" s="52">
        <v>2829.3799999999997</v>
      </c>
      <c r="I76" s="53">
        <v>21767.359999999997</v>
      </c>
      <c r="J76" s="49"/>
    </row>
    <row r="77" spans="1:10" x14ac:dyDescent="0.2">
      <c r="A77" s="50">
        <f t="shared" si="1"/>
        <v>45002</v>
      </c>
      <c r="B77" s="51">
        <v>4564.8</v>
      </c>
      <c r="C77" s="52">
        <v>3235.63</v>
      </c>
      <c r="D77" s="52">
        <v>4077.41</v>
      </c>
      <c r="E77" s="52">
        <v>2284.27</v>
      </c>
      <c r="F77" s="52">
        <v>3138.06</v>
      </c>
      <c r="G77" s="52">
        <v>4905.8</v>
      </c>
      <c r="H77" s="52">
        <v>2807.14</v>
      </c>
      <c r="I77" s="53">
        <v>19398.830000000002</v>
      </c>
      <c r="J77" s="49"/>
    </row>
    <row r="78" spans="1:10" x14ac:dyDescent="0.2">
      <c r="A78" s="50">
        <f t="shared" si="1"/>
        <v>45003</v>
      </c>
      <c r="B78" s="51">
        <v>2660</v>
      </c>
      <c r="C78" s="52">
        <v>2376</v>
      </c>
      <c r="D78" s="52">
        <v>3576</v>
      </c>
      <c r="E78" s="52">
        <v>1238</v>
      </c>
      <c r="F78" s="52">
        <v>2093</v>
      </c>
      <c r="G78" s="52">
        <v>2601</v>
      </c>
      <c r="H78" s="52">
        <v>1729</v>
      </c>
      <c r="I78" s="53">
        <v>12815</v>
      </c>
      <c r="J78" s="49"/>
    </row>
    <row r="79" spans="1:10" x14ac:dyDescent="0.2">
      <c r="A79" s="50">
        <f t="shared" si="1"/>
        <v>45004</v>
      </c>
      <c r="B79" s="51">
        <v>2625.15</v>
      </c>
      <c r="C79" s="52">
        <v>1991.15</v>
      </c>
      <c r="D79" s="52">
        <v>3482.86</v>
      </c>
      <c r="E79" s="52">
        <v>1558.87</v>
      </c>
      <c r="F79" s="52">
        <v>2073.7800000000002</v>
      </c>
      <c r="G79" s="52">
        <v>2601.63</v>
      </c>
      <c r="H79" s="52">
        <v>1607</v>
      </c>
      <c r="I79" s="53">
        <v>12726.439999999999</v>
      </c>
      <c r="J79" s="49"/>
    </row>
    <row r="80" spans="1:10" x14ac:dyDescent="0.2">
      <c r="A80" s="50">
        <f t="shared" si="1"/>
        <v>45005</v>
      </c>
      <c r="B80" s="51">
        <v>5024.47</v>
      </c>
      <c r="C80" s="52">
        <v>3237.88</v>
      </c>
      <c r="D80" s="52">
        <v>4557.5600000000004</v>
      </c>
      <c r="E80" s="52">
        <v>2887.38</v>
      </c>
      <c r="F80" s="52">
        <v>3178.24</v>
      </c>
      <c r="G80" s="52">
        <v>5757.81</v>
      </c>
      <c r="H80" s="52">
        <v>3059.78</v>
      </c>
      <c r="I80" s="53">
        <v>21583.56</v>
      </c>
      <c r="J80" s="49"/>
    </row>
    <row r="81" spans="1:10" x14ac:dyDescent="0.2">
      <c r="A81" s="50">
        <f t="shared" si="1"/>
        <v>45006</v>
      </c>
      <c r="B81" s="51">
        <v>5917.5</v>
      </c>
      <c r="C81" s="52">
        <v>3909.51</v>
      </c>
      <c r="D81" s="52">
        <v>4557.5600000000004</v>
      </c>
      <c r="E81" s="52">
        <v>2731.6</v>
      </c>
      <c r="F81" s="52">
        <v>3353.88</v>
      </c>
      <c r="G81" s="52">
        <v>5866.36</v>
      </c>
      <c r="H81" s="52">
        <v>2840.7300000000005</v>
      </c>
      <c r="I81" s="53">
        <v>23495.68</v>
      </c>
      <c r="J81" s="49"/>
    </row>
    <row r="82" spans="1:10" x14ac:dyDescent="0.2">
      <c r="A82" s="50">
        <f t="shared" si="1"/>
        <v>45007</v>
      </c>
      <c r="B82" s="51">
        <v>5871</v>
      </c>
      <c r="C82" s="52">
        <v>3837</v>
      </c>
      <c r="D82" s="52">
        <v>4337</v>
      </c>
      <c r="E82" s="52">
        <v>3244</v>
      </c>
      <c r="F82" s="52">
        <v>3745</v>
      </c>
      <c r="G82" s="52">
        <v>5585</v>
      </c>
      <c r="H82" s="52">
        <v>2916</v>
      </c>
      <c r="I82" s="53">
        <v>23703</v>
      </c>
      <c r="J82" s="49"/>
    </row>
    <row r="83" spans="1:10" x14ac:dyDescent="0.2">
      <c r="A83" s="50">
        <f t="shared" si="1"/>
        <v>45008</v>
      </c>
      <c r="B83" s="51">
        <v>5680.24</v>
      </c>
      <c r="C83" s="52">
        <v>3873.38</v>
      </c>
      <c r="D83" s="52">
        <v>4475.1899999999996</v>
      </c>
      <c r="E83" s="52">
        <v>2816.23</v>
      </c>
      <c r="F83" s="52">
        <v>3352.97</v>
      </c>
      <c r="G83" s="52">
        <v>5391.57</v>
      </c>
      <c r="H83" s="52">
        <v>2709.2999999999997</v>
      </c>
      <c r="I83" s="53">
        <v>22880.28</v>
      </c>
      <c r="J83" s="49"/>
    </row>
    <row r="84" spans="1:10" x14ac:dyDescent="0.2">
      <c r="A84" s="50">
        <f t="shared" si="1"/>
        <v>45009</v>
      </c>
      <c r="B84" s="51">
        <v>5684.58</v>
      </c>
      <c r="C84" s="52">
        <v>3916.98</v>
      </c>
      <c r="D84" s="52">
        <v>4399.2700000000004</v>
      </c>
      <c r="E84" s="52">
        <v>3407.73</v>
      </c>
      <c r="F84" s="52">
        <v>4016.72</v>
      </c>
      <c r="G84" s="52">
        <v>5495.06</v>
      </c>
      <c r="H84" s="52">
        <v>2824.78</v>
      </c>
      <c r="I84" s="53">
        <v>24095.560000000005</v>
      </c>
      <c r="J84" s="49"/>
    </row>
    <row r="85" spans="1:10" x14ac:dyDescent="0.2">
      <c r="A85" s="50">
        <f t="shared" si="1"/>
        <v>45010</v>
      </c>
      <c r="B85" s="51">
        <v>5411.31</v>
      </c>
      <c r="C85" s="52">
        <v>3483.23</v>
      </c>
      <c r="D85" s="52">
        <v>4190.6499999999996</v>
      </c>
      <c r="E85" s="52">
        <v>3412.2</v>
      </c>
      <c r="F85" s="52">
        <v>4149.1099999999997</v>
      </c>
      <c r="G85" s="52">
        <v>4844.3</v>
      </c>
      <c r="H85" s="52">
        <v>2278.4999999999995</v>
      </c>
      <c r="I85" s="53">
        <v>23212.3</v>
      </c>
      <c r="J85" s="49"/>
    </row>
    <row r="86" spans="1:10" x14ac:dyDescent="0.2">
      <c r="A86" s="50">
        <f t="shared" si="1"/>
        <v>45011</v>
      </c>
      <c r="B86" s="51">
        <v>5190</v>
      </c>
      <c r="C86" s="52">
        <v>3546</v>
      </c>
      <c r="D86" s="52">
        <v>4018</v>
      </c>
      <c r="E86" s="52">
        <v>3516</v>
      </c>
      <c r="F86" s="52">
        <v>4339</v>
      </c>
      <c r="G86" s="52">
        <v>3908</v>
      </c>
      <c r="H86" s="52">
        <v>1831</v>
      </c>
      <c r="I86" s="53">
        <v>22686</v>
      </c>
      <c r="J86" s="49"/>
    </row>
    <row r="87" spans="1:10" x14ac:dyDescent="0.2">
      <c r="A87" s="50">
        <f t="shared" si="1"/>
        <v>45012</v>
      </c>
      <c r="B87" s="51">
        <v>5456.99</v>
      </c>
      <c r="C87" s="52">
        <v>3910.97</v>
      </c>
      <c r="D87" s="52">
        <v>4212.32</v>
      </c>
      <c r="E87" s="52">
        <v>2852.99</v>
      </c>
      <c r="F87" s="52">
        <v>4117.42</v>
      </c>
      <c r="G87" s="52">
        <v>4918.34</v>
      </c>
      <c r="H87" s="52">
        <v>2596.7200000000003</v>
      </c>
      <c r="I87" s="53">
        <v>22872.309999999994</v>
      </c>
      <c r="J87" s="49"/>
    </row>
    <row r="88" spans="1:10" x14ac:dyDescent="0.2">
      <c r="A88" s="50">
        <f t="shared" si="1"/>
        <v>45013</v>
      </c>
      <c r="B88" s="51">
        <v>5585.1</v>
      </c>
      <c r="C88" s="52">
        <v>3725.79</v>
      </c>
      <c r="D88" s="52">
        <v>4157.66</v>
      </c>
      <c r="E88" s="52">
        <v>3185.41</v>
      </c>
      <c r="F88" s="52">
        <v>3847.05</v>
      </c>
      <c r="G88" s="52">
        <v>5419.85</v>
      </c>
      <c r="H88" s="52">
        <v>2997.8499999999995</v>
      </c>
      <c r="I88" s="53">
        <v>22923.010000000002</v>
      </c>
      <c r="J88" s="49"/>
    </row>
    <row r="89" spans="1:10" x14ac:dyDescent="0.2">
      <c r="A89" s="50">
        <f t="shared" si="1"/>
        <v>45014</v>
      </c>
      <c r="B89" s="51">
        <v>5525.98</v>
      </c>
      <c r="C89" s="52">
        <v>3693.74</v>
      </c>
      <c r="D89" s="52">
        <v>4334.51</v>
      </c>
      <c r="E89" s="52">
        <v>2770.5</v>
      </c>
      <c r="F89" s="52">
        <v>3750.93</v>
      </c>
      <c r="G89" s="52">
        <v>5928.39</v>
      </c>
      <c r="H89" s="52">
        <v>3088.81</v>
      </c>
      <c r="I89" s="53">
        <v>22915.239999999998</v>
      </c>
      <c r="J89" s="49"/>
    </row>
    <row r="90" spans="1:10" x14ac:dyDescent="0.2">
      <c r="A90" s="50">
        <f t="shared" si="1"/>
        <v>45015</v>
      </c>
      <c r="B90" s="51">
        <v>5651</v>
      </c>
      <c r="C90" s="52">
        <v>3729</v>
      </c>
      <c r="D90" s="52">
        <v>4539</v>
      </c>
      <c r="E90" s="52">
        <v>3718</v>
      </c>
      <c r="F90" s="52">
        <v>3934</v>
      </c>
      <c r="G90" s="52">
        <v>6041</v>
      </c>
      <c r="H90" s="52">
        <v>3124</v>
      </c>
      <c r="I90" s="53">
        <v>24488</v>
      </c>
      <c r="J90" s="49"/>
    </row>
    <row r="91" spans="1:10" x14ac:dyDescent="0.2">
      <c r="A91" s="50">
        <f t="shared" si="1"/>
        <v>45016</v>
      </c>
      <c r="B91" s="51">
        <v>5853.09</v>
      </c>
      <c r="C91" s="52">
        <v>3709.52</v>
      </c>
      <c r="D91" s="52">
        <v>4445.9799999999996</v>
      </c>
      <c r="E91" s="52">
        <v>3137.04</v>
      </c>
      <c r="F91" s="52">
        <v>3879.86</v>
      </c>
      <c r="G91" s="52">
        <v>4968.87</v>
      </c>
      <c r="H91" s="52">
        <v>3019.2</v>
      </c>
      <c r="I91" s="53">
        <v>22975.16</v>
      </c>
      <c r="J91" s="49"/>
    </row>
    <row r="92" spans="1:10" x14ac:dyDescent="0.2">
      <c r="A92" s="50">
        <f t="shared" si="1"/>
        <v>45017</v>
      </c>
      <c r="B92" s="51">
        <v>5298.29</v>
      </c>
      <c r="C92" s="52">
        <v>3393.75</v>
      </c>
      <c r="D92" s="52">
        <v>4082.28</v>
      </c>
      <c r="E92" s="52">
        <v>2907.52</v>
      </c>
      <c r="F92" s="52">
        <v>4087.49</v>
      </c>
      <c r="G92" s="52">
        <v>2922.28</v>
      </c>
      <c r="H92" s="52">
        <v>2142.9000000000005</v>
      </c>
      <c r="I92" s="53">
        <v>20548.71</v>
      </c>
      <c r="J92" s="49"/>
    </row>
    <row r="93" spans="1:10" x14ac:dyDescent="0.2">
      <c r="A93" s="50">
        <f t="shared" si="1"/>
        <v>45018</v>
      </c>
      <c r="B93" s="51">
        <v>5247.66</v>
      </c>
      <c r="C93" s="52">
        <v>3257.44</v>
      </c>
      <c r="D93" s="52">
        <v>3791.67</v>
      </c>
      <c r="E93" s="52">
        <v>2806.32</v>
      </c>
      <c r="F93" s="52">
        <v>3682.84</v>
      </c>
      <c r="G93" s="52">
        <v>2601.96</v>
      </c>
      <c r="H93" s="52">
        <v>2014.8999999999999</v>
      </c>
      <c r="I93" s="53">
        <v>19372.989999999998</v>
      </c>
      <c r="J93" s="49"/>
    </row>
    <row r="94" spans="1:10" x14ac:dyDescent="0.2">
      <c r="A94" s="50">
        <f t="shared" si="1"/>
        <v>45019</v>
      </c>
      <c r="B94" s="51">
        <v>6188</v>
      </c>
      <c r="C94" s="52">
        <v>4271</v>
      </c>
      <c r="D94" s="52">
        <v>2563</v>
      </c>
      <c r="E94" s="52">
        <v>3144</v>
      </c>
      <c r="F94" s="52">
        <v>3896</v>
      </c>
      <c r="G94" s="52">
        <v>4980</v>
      </c>
      <c r="H94" s="52">
        <v>2986</v>
      </c>
      <c r="I94" s="53">
        <v>22056</v>
      </c>
      <c r="J94" s="49"/>
    </row>
    <row r="95" spans="1:10" x14ac:dyDescent="0.2">
      <c r="A95" s="50">
        <f t="shared" si="1"/>
        <v>45020</v>
      </c>
      <c r="B95" s="51">
        <v>6605.91</v>
      </c>
      <c r="C95" s="52">
        <v>4435.3999999999996</v>
      </c>
      <c r="D95" s="52">
        <v>2031.44</v>
      </c>
      <c r="E95" s="52">
        <v>3666.01</v>
      </c>
      <c r="F95" s="52">
        <v>3710.1</v>
      </c>
      <c r="G95" s="52">
        <v>5289.27</v>
      </c>
      <c r="H95" s="52">
        <v>2832.8499999999995</v>
      </c>
      <c r="I95" s="53">
        <v>22905.280000000002</v>
      </c>
      <c r="J95" s="49"/>
    </row>
    <row r="96" spans="1:10" x14ac:dyDescent="0.2">
      <c r="A96" s="50">
        <f t="shared" ref="A96:A159" si="2">A95+1</f>
        <v>45021</v>
      </c>
      <c r="B96" s="51">
        <v>6034.47</v>
      </c>
      <c r="C96" s="52">
        <v>4354.05</v>
      </c>
      <c r="D96" s="52">
        <v>2111.36</v>
      </c>
      <c r="E96" s="52">
        <v>2922.01</v>
      </c>
      <c r="F96" s="52">
        <v>3003.44</v>
      </c>
      <c r="G96" s="52">
        <v>5462.59</v>
      </c>
      <c r="H96" s="52">
        <v>2967.4900000000002</v>
      </c>
      <c r="I96" s="53">
        <v>20920.43</v>
      </c>
      <c r="J96" s="49"/>
    </row>
    <row r="97" spans="1:10" x14ac:dyDescent="0.2">
      <c r="A97" s="50">
        <f t="shared" si="2"/>
        <v>45022</v>
      </c>
      <c r="B97" s="51">
        <v>6522.71</v>
      </c>
      <c r="C97" s="52">
        <v>4328.8999999999996</v>
      </c>
      <c r="D97" s="52">
        <v>2096.79</v>
      </c>
      <c r="E97" s="52">
        <v>3299.6</v>
      </c>
      <c r="F97" s="52">
        <v>3766</v>
      </c>
      <c r="G97" s="52">
        <v>5289</v>
      </c>
      <c r="H97" s="52">
        <v>2706.6399999999994</v>
      </c>
      <c r="I97" s="53">
        <v>22596.36</v>
      </c>
      <c r="J97" s="49"/>
    </row>
    <row r="98" spans="1:10" x14ac:dyDescent="0.2">
      <c r="A98" s="50">
        <f t="shared" si="2"/>
        <v>45023</v>
      </c>
      <c r="B98" s="51">
        <v>5955</v>
      </c>
      <c r="C98" s="52">
        <v>4405</v>
      </c>
      <c r="D98" s="52">
        <v>2245</v>
      </c>
      <c r="E98" s="52">
        <v>2877</v>
      </c>
      <c r="F98" s="52">
        <v>3338</v>
      </c>
      <c r="G98" s="52">
        <v>5520</v>
      </c>
      <c r="H98" s="52">
        <v>3118</v>
      </c>
      <c r="I98" s="53">
        <v>21222</v>
      </c>
      <c r="J98" s="49"/>
    </row>
    <row r="99" spans="1:10" x14ac:dyDescent="0.2">
      <c r="A99" s="50">
        <f t="shared" si="2"/>
        <v>45024</v>
      </c>
      <c r="B99" s="51">
        <v>5697.12</v>
      </c>
      <c r="C99" s="52">
        <v>4112.4799999999996</v>
      </c>
      <c r="D99" s="52">
        <v>2180.1799999999998</v>
      </c>
      <c r="E99" s="52">
        <v>2385.83</v>
      </c>
      <c r="F99" s="52">
        <v>2884.52</v>
      </c>
      <c r="G99" s="52">
        <v>4644.63</v>
      </c>
      <c r="H99" s="52">
        <v>2340.9</v>
      </c>
      <c r="I99" s="53">
        <v>19563.859999999997</v>
      </c>
      <c r="J99" s="49"/>
    </row>
    <row r="100" spans="1:10" x14ac:dyDescent="0.2">
      <c r="A100" s="50">
        <f t="shared" si="2"/>
        <v>45025</v>
      </c>
      <c r="B100" s="51">
        <v>5713.71</v>
      </c>
      <c r="C100" s="52">
        <v>3960.41</v>
      </c>
      <c r="D100" s="52">
        <v>2119.48</v>
      </c>
      <c r="E100" s="52">
        <v>2701.21</v>
      </c>
      <c r="F100" s="52">
        <v>3450.47</v>
      </c>
      <c r="G100" s="52">
        <v>4176.41</v>
      </c>
      <c r="H100" s="52">
        <v>1849.23</v>
      </c>
      <c r="I100" s="53">
        <v>20272.46</v>
      </c>
      <c r="J100" s="49"/>
    </row>
    <row r="101" spans="1:10" x14ac:dyDescent="0.2">
      <c r="A101" s="50">
        <f t="shared" si="2"/>
        <v>45026</v>
      </c>
      <c r="B101" s="51">
        <v>6426.85</v>
      </c>
      <c r="C101" s="52">
        <v>4249.46</v>
      </c>
      <c r="D101" s="52">
        <v>2376.37</v>
      </c>
      <c r="E101" s="52">
        <v>3081.5</v>
      </c>
      <c r="F101" s="52">
        <v>3953.27</v>
      </c>
      <c r="G101" s="52">
        <v>5299.9</v>
      </c>
      <c r="H101" s="52">
        <v>2777.17</v>
      </c>
      <c r="I101" s="53">
        <v>22610.18</v>
      </c>
      <c r="J101" s="49"/>
    </row>
    <row r="102" spans="1:10" x14ac:dyDescent="0.2">
      <c r="A102" s="50">
        <f t="shared" si="2"/>
        <v>45027</v>
      </c>
      <c r="B102" s="51">
        <v>6399</v>
      </c>
      <c r="C102" s="52">
        <v>4474</v>
      </c>
      <c r="D102" s="52">
        <v>2386</v>
      </c>
      <c r="E102" s="52">
        <v>4189</v>
      </c>
      <c r="F102" s="52">
        <v>2881</v>
      </c>
      <c r="G102" s="52">
        <v>5560</v>
      </c>
      <c r="H102" s="52">
        <v>2983</v>
      </c>
      <c r="I102" s="53">
        <v>22906</v>
      </c>
      <c r="J102" s="49"/>
    </row>
    <row r="103" spans="1:10" x14ac:dyDescent="0.2">
      <c r="A103" s="50">
        <f t="shared" si="2"/>
        <v>45028</v>
      </c>
      <c r="B103" s="51">
        <v>8060.5</v>
      </c>
      <c r="C103" s="52">
        <v>4632.2700000000004</v>
      </c>
      <c r="D103" s="52">
        <v>3315.26</v>
      </c>
      <c r="E103" s="52">
        <v>4858.22</v>
      </c>
      <c r="F103" s="52">
        <v>2194.62</v>
      </c>
      <c r="G103" s="52">
        <v>5457.55</v>
      </c>
      <c r="H103" s="52">
        <v>2655.12</v>
      </c>
      <c r="I103" s="53">
        <v>25863.3</v>
      </c>
      <c r="J103" s="49"/>
    </row>
    <row r="104" spans="1:10" x14ac:dyDescent="0.2">
      <c r="A104" s="50">
        <f t="shared" si="2"/>
        <v>45029</v>
      </c>
      <c r="B104" s="51">
        <v>8423.5499999999993</v>
      </c>
      <c r="C104" s="52">
        <v>4752.29</v>
      </c>
      <c r="D104" s="52">
        <v>3855.64</v>
      </c>
      <c r="E104" s="52">
        <v>4536.4799999999996</v>
      </c>
      <c r="F104" s="52">
        <v>2250.5500000000002</v>
      </c>
      <c r="G104" s="52">
        <v>5375.78</v>
      </c>
      <c r="H104" s="52">
        <v>2826.6200000000003</v>
      </c>
      <c r="I104" s="53">
        <v>26367.67</v>
      </c>
      <c r="J104" s="49"/>
    </row>
    <row r="105" spans="1:10" x14ac:dyDescent="0.2">
      <c r="A105" s="50">
        <f t="shared" si="2"/>
        <v>45030</v>
      </c>
      <c r="B105" s="51">
        <v>7944.55</v>
      </c>
      <c r="C105" s="52">
        <v>4606.78</v>
      </c>
      <c r="D105" s="52">
        <v>4044.31</v>
      </c>
      <c r="E105" s="52">
        <v>5524.33</v>
      </c>
      <c r="F105" s="52">
        <v>1943.17</v>
      </c>
      <c r="G105" s="52">
        <v>6125.19</v>
      </c>
      <c r="H105" s="52">
        <v>3132.3900000000003</v>
      </c>
      <c r="I105" s="53">
        <v>27055.94</v>
      </c>
      <c r="J105" s="49"/>
    </row>
    <row r="106" spans="1:10" x14ac:dyDescent="0.2">
      <c r="A106" s="50">
        <f t="shared" si="2"/>
        <v>45031</v>
      </c>
      <c r="B106" s="51">
        <v>7563</v>
      </c>
      <c r="C106" s="52">
        <v>4256</v>
      </c>
      <c r="D106" s="52">
        <v>3857</v>
      </c>
      <c r="E106" s="52">
        <v>4580</v>
      </c>
      <c r="F106" s="52">
        <v>1712</v>
      </c>
      <c r="G106" s="52">
        <v>4916</v>
      </c>
      <c r="H106" s="52">
        <v>2344</v>
      </c>
      <c r="I106" s="53">
        <v>24540</v>
      </c>
      <c r="J106" s="49"/>
    </row>
    <row r="107" spans="1:10" x14ac:dyDescent="0.2">
      <c r="A107" s="50">
        <f t="shared" si="2"/>
        <v>45032</v>
      </c>
      <c r="B107" s="51">
        <v>7408.19</v>
      </c>
      <c r="C107" s="52">
        <v>4321.1499999999996</v>
      </c>
      <c r="D107" s="52">
        <v>3643.82</v>
      </c>
      <c r="E107" s="52">
        <v>4879.53</v>
      </c>
      <c r="F107" s="52">
        <v>1566.9</v>
      </c>
      <c r="G107" s="52">
        <v>4095.15</v>
      </c>
      <c r="H107" s="52">
        <v>2396.35</v>
      </c>
      <c r="I107" s="53">
        <v>23518.390000000003</v>
      </c>
      <c r="J107" s="49"/>
    </row>
    <row r="108" spans="1:10" x14ac:dyDescent="0.2">
      <c r="A108" s="50">
        <f t="shared" si="2"/>
        <v>45033</v>
      </c>
      <c r="B108" s="51">
        <v>7818.33</v>
      </c>
      <c r="C108" s="52">
        <v>4561.87</v>
      </c>
      <c r="D108" s="52">
        <v>3817.29</v>
      </c>
      <c r="E108" s="52">
        <v>4510.33</v>
      </c>
      <c r="F108" s="52">
        <v>2195.98</v>
      </c>
      <c r="G108" s="52">
        <v>5723.61</v>
      </c>
      <c r="H108" s="52">
        <v>3464.39</v>
      </c>
      <c r="I108" s="53">
        <v>25163.02</v>
      </c>
      <c r="J108" s="49"/>
    </row>
    <row r="109" spans="1:10" x14ac:dyDescent="0.2">
      <c r="A109" s="50">
        <f t="shared" si="2"/>
        <v>45034</v>
      </c>
      <c r="B109" s="51">
        <v>8187.77</v>
      </c>
      <c r="C109" s="52">
        <v>4212.3</v>
      </c>
      <c r="D109" s="52">
        <v>3764.38</v>
      </c>
      <c r="E109" s="52">
        <v>4578.87</v>
      </c>
      <c r="F109" s="52">
        <v>2763.44</v>
      </c>
      <c r="G109" s="52">
        <v>5719.08</v>
      </c>
      <c r="H109" s="52">
        <v>3041.5199999999995</v>
      </c>
      <c r="I109" s="53">
        <v>26184.319999999996</v>
      </c>
      <c r="J109" s="49"/>
    </row>
    <row r="110" spans="1:10" x14ac:dyDescent="0.2">
      <c r="A110" s="50">
        <f t="shared" si="2"/>
        <v>45035</v>
      </c>
      <c r="B110" s="51">
        <v>7759</v>
      </c>
      <c r="C110" s="52">
        <v>4240</v>
      </c>
      <c r="D110" s="52">
        <v>3910</v>
      </c>
      <c r="E110" s="52">
        <v>3825</v>
      </c>
      <c r="F110" s="52">
        <v>2067</v>
      </c>
      <c r="G110" s="52">
        <v>5445</v>
      </c>
      <c r="H110" s="52">
        <v>2903</v>
      </c>
      <c r="I110" s="53">
        <v>24343</v>
      </c>
      <c r="J110" s="49"/>
    </row>
    <row r="111" spans="1:10" x14ac:dyDescent="0.2">
      <c r="A111" s="50">
        <f t="shared" si="2"/>
        <v>45036</v>
      </c>
      <c r="B111" s="51">
        <v>8108.46</v>
      </c>
      <c r="C111" s="52">
        <v>4296.7299999999996</v>
      </c>
      <c r="D111" s="52">
        <v>3895.5</v>
      </c>
      <c r="E111" s="52">
        <v>3861.35</v>
      </c>
      <c r="F111" s="52">
        <v>3348.58</v>
      </c>
      <c r="G111" s="52">
        <v>5263.45</v>
      </c>
      <c r="H111" s="52">
        <v>2829.9800000000005</v>
      </c>
      <c r="I111" s="53">
        <v>25944.089999999997</v>
      </c>
      <c r="J111" s="49"/>
    </row>
    <row r="112" spans="1:10" x14ac:dyDescent="0.2">
      <c r="A112" s="50">
        <f t="shared" si="2"/>
        <v>45037</v>
      </c>
      <c r="B112" s="51">
        <v>7878.29</v>
      </c>
      <c r="C112" s="52">
        <v>4223.83</v>
      </c>
      <c r="D112" s="52">
        <v>3848.11</v>
      </c>
      <c r="E112" s="52">
        <v>3048.73</v>
      </c>
      <c r="F112" s="52">
        <v>4204.82</v>
      </c>
      <c r="G112" s="52">
        <v>4120.13</v>
      </c>
      <c r="H112" s="52">
        <v>2476.5499999999997</v>
      </c>
      <c r="I112" s="53">
        <v>24847.360000000001</v>
      </c>
      <c r="J112" s="49"/>
    </row>
    <row r="113" spans="1:10" x14ac:dyDescent="0.2">
      <c r="A113" s="50">
        <f t="shared" si="2"/>
        <v>45038</v>
      </c>
      <c r="B113" s="51">
        <v>7646.34</v>
      </c>
      <c r="C113" s="52">
        <v>3855.49</v>
      </c>
      <c r="D113" s="52">
        <v>3799.38</v>
      </c>
      <c r="E113" s="52">
        <v>2658.61</v>
      </c>
      <c r="F113" s="52">
        <v>3495.3</v>
      </c>
      <c r="G113" s="52">
        <v>3562.36</v>
      </c>
      <c r="H113" s="52">
        <v>2271.37</v>
      </c>
      <c r="I113" s="53">
        <v>22746.11</v>
      </c>
      <c r="J113" s="49"/>
    </row>
    <row r="114" spans="1:10" x14ac:dyDescent="0.2">
      <c r="A114" s="50">
        <f t="shared" si="2"/>
        <v>45039</v>
      </c>
      <c r="B114" s="51">
        <v>7588</v>
      </c>
      <c r="C114" s="52">
        <v>3834</v>
      </c>
      <c r="D114" s="52">
        <v>3845</v>
      </c>
      <c r="E114" s="52">
        <v>3232</v>
      </c>
      <c r="F114" s="52">
        <v>3354</v>
      </c>
      <c r="G114" s="52">
        <v>4700</v>
      </c>
      <c r="H114" s="52">
        <v>2302</v>
      </c>
      <c r="I114" s="53">
        <v>24251</v>
      </c>
      <c r="J114" s="49"/>
    </row>
    <row r="115" spans="1:10" x14ac:dyDescent="0.2">
      <c r="A115" s="50">
        <f t="shared" si="2"/>
        <v>45040</v>
      </c>
      <c r="B115" s="51">
        <v>7671.62</v>
      </c>
      <c r="C115" s="52">
        <v>4231.24</v>
      </c>
      <c r="D115" s="52">
        <v>3916.88</v>
      </c>
      <c r="E115" s="52">
        <v>4505.1899999999996</v>
      </c>
      <c r="F115" s="52">
        <v>2722.23</v>
      </c>
      <c r="G115" s="52">
        <v>5516.74</v>
      </c>
      <c r="H115" s="52">
        <v>2964.6099999999997</v>
      </c>
      <c r="I115" s="53">
        <v>25599.29</v>
      </c>
      <c r="J115" s="49"/>
    </row>
    <row r="116" spans="1:10" x14ac:dyDescent="0.2">
      <c r="A116" s="50">
        <f t="shared" si="2"/>
        <v>45041</v>
      </c>
      <c r="B116" s="51">
        <v>7920.13</v>
      </c>
      <c r="C116" s="52">
        <v>4481.6899999999996</v>
      </c>
      <c r="D116" s="52">
        <v>3934.73</v>
      </c>
      <c r="E116" s="52">
        <v>5063.7299999999996</v>
      </c>
      <c r="F116" s="52">
        <v>2166.67</v>
      </c>
      <c r="G116" s="52">
        <v>4863.47</v>
      </c>
      <c r="H116" s="52">
        <v>2765.7899999999995</v>
      </c>
      <c r="I116" s="53">
        <v>25664.629999999997</v>
      </c>
      <c r="J116" s="49"/>
    </row>
    <row r="117" spans="1:10" x14ac:dyDescent="0.2">
      <c r="A117" s="50">
        <f t="shared" si="2"/>
        <v>45042</v>
      </c>
      <c r="B117" s="51">
        <v>7707.18</v>
      </c>
      <c r="C117" s="52">
        <v>4414.3100000000004</v>
      </c>
      <c r="D117" s="52">
        <v>3937.39</v>
      </c>
      <c r="E117" s="52">
        <v>4950.2700000000004</v>
      </c>
      <c r="F117" s="52">
        <v>1712.81</v>
      </c>
      <c r="G117" s="52">
        <v>5790.88</v>
      </c>
      <c r="H117" s="52">
        <v>3046.92</v>
      </c>
      <c r="I117" s="53">
        <v>25465.920000000006</v>
      </c>
      <c r="J117" s="49"/>
    </row>
    <row r="118" spans="1:10" x14ac:dyDescent="0.2">
      <c r="A118" s="50">
        <f t="shared" si="2"/>
        <v>45043</v>
      </c>
      <c r="B118" s="51">
        <v>7860</v>
      </c>
      <c r="C118" s="52">
        <v>4387</v>
      </c>
      <c r="D118" s="52">
        <v>3919</v>
      </c>
      <c r="E118" s="52">
        <v>5143</v>
      </c>
      <c r="F118" s="52">
        <v>2586</v>
      </c>
      <c r="G118" s="52">
        <v>5555</v>
      </c>
      <c r="H118" s="52">
        <v>2807</v>
      </c>
      <c r="I118" s="53">
        <v>26643</v>
      </c>
      <c r="J118" s="49"/>
    </row>
    <row r="119" spans="1:10" x14ac:dyDescent="0.2">
      <c r="A119" s="50">
        <f t="shared" si="2"/>
        <v>45044</v>
      </c>
      <c r="B119" s="51">
        <v>7379.38</v>
      </c>
      <c r="C119" s="52">
        <v>4287.12</v>
      </c>
      <c r="D119" s="52">
        <v>3823.05</v>
      </c>
      <c r="E119" s="52">
        <v>2358.27</v>
      </c>
      <c r="F119" s="52">
        <v>3819.16</v>
      </c>
      <c r="G119" s="52">
        <v>4652.3100000000004</v>
      </c>
      <c r="H119" s="52">
        <v>2291.5099999999998</v>
      </c>
      <c r="I119" s="53">
        <v>24027.780000000002</v>
      </c>
      <c r="J119" s="49"/>
    </row>
    <row r="120" spans="1:10" x14ac:dyDescent="0.2">
      <c r="A120" s="50">
        <f t="shared" si="2"/>
        <v>45045</v>
      </c>
      <c r="B120" s="51">
        <v>7368.78</v>
      </c>
      <c r="C120" s="52">
        <v>4063.71</v>
      </c>
      <c r="D120" s="52">
        <v>3647.37</v>
      </c>
      <c r="E120" s="52">
        <v>1650.17</v>
      </c>
      <c r="F120" s="52">
        <v>4567.25</v>
      </c>
      <c r="G120" s="52">
        <v>3597.57</v>
      </c>
      <c r="H120" s="52">
        <v>1394.0800000000002</v>
      </c>
      <c r="I120" s="53">
        <v>23500.769999999997</v>
      </c>
      <c r="J120" s="49"/>
    </row>
    <row r="121" spans="1:10" x14ac:dyDescent="0.2">
      <c r="A121" s="50">
        <f t="shared" si="2"/>
        <v>45046</v>
      </c>
      <c r="B121" s="51">
        <v>7357.38</v>
      </c>
      <c r="C121" s="52">
        <v>3783.21</v>
      </c>
      <c r="D121" s="52">
        <v>3530.78</v>
      </c>
      <c r="E121" s="52">
        <v>2562.27</v>
      </c>
      <c r="F121" s="52">
        <v>4822.92</v>
      </c>
      <c r="G121" s="52">
        <v>4016.2</v>
      </c>
      <c r="H121" s="52">
        <v>1452.9900000000002</v>
      </c>
      <c r="I121" s="53">
        <v>24619.769999999997</v>
      </c>
      <c r="J121" s="49"/>
    </row>
    <row r="122" spans="1:10" x14ac:dyDescent="0.2">
      <c r="A122" s="50">
        <f t="shared" si="2"/>
        <v>45047</v>
      </c>
      <c r="B122" s="51">
        <v>7235</v>
      </c>
      <c r="C122" s="52">
        <v>3956</v>
      </c>
      <c r="D122" s="52">
        <v>3542</v>
      </c>
      <c r="E122" s="52">
        <v>2225</v>
      </c>
      <c r="F122" s="52">
        <v>4690</v>
      </c>
      <c r="G122" s="52">
        <v>4775</v>
      </c>
      <c r="H122" s="52">
        <v>1587</v>
      </c>
      <c r="I122" s="53">
        <v>24836</v>
      </c>
      <c r="J122" s="49"/>
    </row>
    <row r="123" spans="1:10" x14ac:dyDescent="0.2">
      <c r="A123" s="50">
        <f t="shared" si="2"/>
        <v>45048</v>
      </c>
      <c r="B123" s="51">
        <v>7519.52</v>
      </c>
      <c r="C123" s="52">
        <v>4270.71</v>
      </c>
      <c r="D123" s="52">
        <v>3492.9</v>
      </c>
      <c r="E123" s="52">
        <v>2794.05</v>
      </c>
      <c r="F123" s="52">
        <v>5415.69</v>
      </c>
      <c r="G123" s="52">
        <v>5666.96</v>
      </c>
      <c r="H123" s="52">
        <v>2222.46</v>
      </c>
      <c r="I123" s="53">
        <v>26937.37</v>
      </c>
      <c r="J123" s="49"/>
    </row>
    <row r="124" spans="1:10" x14ac:dyDescent="0.2">
      <c r="A124" s="50">
        <f t="shared" si="2"/>
        <v>45049</v>
      </c>
      <c r="B124" s="51">
        <v>7317</v>
      </c>
      <c r="C124" s="52">
        <v>4068.3</v>
      </c>
      <c r="D124" s="52">
        <v>3495.3</v>
      </c>
      <c r="E124" s="52">
        <v>3050.65</v>
      </c>
      <c r="F124" s="52">
        <v>4974.1400000000003</v>
      </c>
      <c r="G124" s="52">
        <v>5301.34</v>
      </c>
      <c r="H124" s="52">
        <v>2051.44</v>
      </c>
      <c r="I124" s="53">
        <v>26155.29</v>
      </c>
      <c r="J124" s="49"/>
    </row>
    <row r="125" spans="1:10" x14ac:dyDescent="0.2">
      <c r="A125" s="50">
        <f t="shared" si="2"/>
        <v>45050</v>
      </c>
      <c r="B125" s="51">
        <v>7230.44</v>
      </c>
      <c r="C125" s="52">
        <v>4044.11</v>
      </c>
      <c r="D125" s="52">
        <v>3511.89</v>
      </c>
      <c r="E125" s="52">
        <v>2556.2800000000002</v>
      </c>
      <c r="F125" s="52">
        <v>5036.63</v>
      </c>
      <c r="G125" s="52">
        <v>5320.73</v>
      </c>
      <c r="H125" s="52">
        <v>2021.03</v>
      </c>
      <c r="I125" s="53">
        <v>25679.05</v>
      </c>
      <c r="J125" s="49"/>
    </row>
    <row r="126" spans="1:10" x14ac:dyDescent="0.2">
      <c r="A126" s="50">
        <f t="shared" si="2"/>
        <v>45051</v>
      </c>
      <c r="B126" s="51">
        <v>6720</v>
      </c>
      <c r="C126" s="52">
        <v>3854</v>
      </c>
      <c r="D126" s="52">
        <v>3454</v>
      </c>
      <c r="E126" s="52">
        <v>1570</v>
      </c>
      <c r="F126" s="52">
        <v>4349</v>
      </c>
      <c r="G126" s="52">
        <v>5114</v>
      </c>
      <c r="H126" s="52">
        <v>1989</v>
      </c>
      <c r="I126" s="53">
        <v>23072</v>
      </c>
      <c r="J126" s="49"/>
    </row>
    <row r="127" spans="1:10" x14ac:dyDescent="0.2">
      <c r="A127" s="50">
        <f t="shared" si="2"/>
        <v>45052</v>
      </c>
      <c r="B127" s="51">
        <v>6719.95</v>
      </c>
      <c r="C127" s="52">
        <v>3513.56</v>
      </c>
      <c r="D127" s="52">
        <v>3423.41</v>
      </c>
      <c r="E127" s="52">
        <v>2655.96</v>
      </c>
      <c r="F127" s="52">
        <v>3816.27</v>
      </c>
      <c r="G127" s="52">
        <v>2997.31</v>
      </c>
      <c r="H127" s="52">
        <v>916.23</v>
      </c>
      <c r="I127" s="53">
        <v>22210.230000000003</v>
      </c>
      <c r="J127" s="49"/>
    </row>
    <row r="128" spans="1:10" x14ac:dyDescent="0.2">
      <c r="A128" s="50">
        <f t="shared" si="2"/>
        <v>45053</v>
      </c>
      <c r="B128" s="51">
        <v>6626.1</v>
      </c>
      <c r="C128" s="52">
        <v>3376.15</v>
      </c>
      <c r="D128" s="52">
        <v>3274.74</v>
      </c>
      <c r="E128" s="52">
        <v>3417.15</v>
      </c>
      <c r="F128" s="52">
        <v>3130.75</v>
      </c>
      <c r="G128" s="52">
        <v>2988.37</v>
      </c>
      <c r="H128" s="52">
        <v>1151.3499999999999</v>
      </c>
      <c r="I128" s="53">
        <v>21661.91</v>
      </c>
      <c r="J128" s="49"/>
    </row>
    <row r="129" spans="1:10" x14ac:dyDescent="0.2">
      <c r="A129" s="50">
        <f t="shared" si="2"/>
        <v>45054</v>
      </c>
      <c r="B129" s="51">
        <v>7082.03</v>
      </c>
      <c r="C129" s="52">
        <v>3253.49</v>
      </c>
      <c r="D129" s="52">
        <v>3456.72</v>
      </c>
      <c r="E129" s="52">
        <v>3396.13</v>
      </c>
      <c r="F129" s="52">
        <v>3040.06</v>
      </c>
      <c r="G129" s="52">
        <v>3077.71</v>
      </c>
      <c r="H129" s="52">
        <v>1305.2</v>
      </c>
      <c r="I129" s="53">
        <v>22000.94</v>
      </c>
      <c r="J129" s="49"/>
    </row>
    <row r="130" spans="1:10" x14ac:dyDescent="0.2">
      <c r="A130" s="50">
        <f t="shared" si="2"/>
        <v>45055</v>
      </c>
      <c r="B130" s="51">
        <v>6865</v>
      </c>
      <c r="C130" s="52">
        <v>3301</v>
      </c>
      <c r="D130" s="52">
        <v>3199</v>
      </c>
      <c r="E130" s="52">
        <v>3285</v>
      </c>
      <c r="F130" s="52">
        <v>3153</v>
      </c>
      <c r="G130" s="52">
        <v>2222</v>
      </c>
      <c r="H130" s="52">
        <v>1301</v>
      </c>
      <c r="I130" s="53">
        <v>20724</v>
      </c>
      <c r="J130" s="49"/>
    </row>
    <row r="131" spans="1:10" x14ac:dyDescent="0.2">
      <c r="A131" s="50">
        <f t="shared" si="2"/>
        <v>45056</v>
      </c>
      <c r="B131" s="51">
        <v>7154.55</v>
      </c>
      <c r="C131" s="52">
        <v>3597.46</v>
      </c>
      <c r="D131" s="52">
        <v>3632.21</v>
      </c>
      <c r="E131" s="52">
        <v>3545.01</v>
      </c>
      <c r="F131" s="52">
        <v>3238.52</v>
      </c>
      <c r="G131" s="52">
        <v>5125.9799999999996</v>
      </c>
      <c r="H131" s="52">
        <v>2047.58</v>
      </c>
      <c r="I131" s="53">
        <v>24246.15</v>
      </c>
      <c r="J131" s="49"/>
    </row>
    <row r="132" spans="1:10" x14ac:dyDescent="0.2">
      <c r="A132" s="50">
        <f t="shared" si="2"/>
        <v>45057</v>
      </c>
      <c r="B132" s="51">
        <v>7181.14</v>
      </c>
      <c r="C132" s="52">
        <v>3755.86</v>
      </c>
      <c r="D132" s="52">
        <v>3640.53</v>
      </c>
      <c r="E132" s="52">
        <v>3688.81</v>
      </c>
      <c r="F132" s="52">
        <v>3553.88</v>
      </c>
      <c r="G132" s="52">
        <v>5960.62</v>
      </c>
      <c r="H132" s="52">
        <v>2105.66</v>
      </c>
      <c r="I132" s="53">
        <v>25675.18</v>
      </c>
      <c r="J132" s="49"/>
    </row>
    <row r="133" spans="1:10" x14ac:dyDescent="0.2">
      <c r="A133" s="50">
        <f t="shared" si="2"/>
        <v>45058</v>
      </c>
      <c r="B133" s="51">
        <v>6858.98</v>
      </c>
      <c r="C133" s="52">
        <v>3539.14</v>
      </c>
      <c r="D133" s="52">
        <v>3675.55</v>
      </c>
      <c r="E133" s="52">
        <v>2712.49</v>
      </c>
      <c r="F133" s="52">
        <v>2954.74</v>
      </c>
      <c r="G133" s="52">
        <v>5767.95</v>
      </c>
      <c r="H133" s="52">
        <v>2187.11</v>
      </c>
      <c r="I133" s="53">
        <v>23321.739999999994</v>
      </c>
      <c r="J133" s="49"/>
    </row>
    <row r="134" spans="1:10" x14ac:dyDescent="0.2">
      <c r="A134" s="50">
        <f t="shared" si="2"/>
        <v>45059</v>
      </c>
      <c r="B134" s="51">
        <v>6423</v>
      </c>
      <c r="C134" s="52">
        <v>3147</v>
      </c>
      <c r="D134" s="52">
        <v>3514</v>
      </c>
      <c r="E134" s="52">
        <v>2582</v>
      </c>
      <c r="F134" s="52">
        <v>2853</v>
      </c>
      <c r="G134" s="52">
        <v>4734</v>
      </c>
      <c r="H134" s="52">
        <v>1384</v>
      </c>
      <c r="I134" s="53">
        <v>21869</v>
      </c>
      <c r="J134" s="49"/>
    </row>
    <row r="135" spans="1:10" x14ac:dyDescent="0.2">
      <c r="A135" s="50">
        <f t="shared" si="2"/>
        <v>45060</v>
      </c>
      <c r="B135" s="51">
        <v>5731.01</v>
      </c>
      <c r="C135" s="52">
        <v>3190.42</v>
      </c>
      <c r="D135" s="52">
        <v>3074</v>
      </c>
      <c r="E135" s="52">
        <v>2098.6799999999998</v>
      </c>
      <c r="F135" s="52">
        <v>2312.88</v>
      </c>
      <c r="G135" s="52">
        <v>4189.51</v>
      </c>
      <c r="H135" s="52">
        <v>1218.6499999999999</v>
      </c>
      <c r="I135" s="53">
        <v>19377.849999999999</v>
      </c>
      <c r="J135" s="49"/>
    </row>
    <row r="136" spans="1:10" x14ac:dyDescent="0.2">
      <c r="A136" s="50">
        <f t="shared" si="2"/>
        <v>45061</v>
      </c>
      <c r="B136" s="51">
        <v>6631.75</v>
      </c>
      <c r="C136" s="52">
        <v>3600.67</v>
      </c>
      <c r="D136" s="52">
        <v>3495</v>
      </c>
      <c r="E136" s="52">
        <v>3465.77</v>
      </c>
      <c r="F136" s="52">
        <v>3327.45</v>
      </c>
      <c r="G136" s="52">
        <v>5399.59</v>
      </c>
      <c r="H136" s="52">
        <v>2185.5099999999998</v>
      </c>
      <c r="I136" s="53">
        <v>23734.720000000001</v>
      </c>
      <c r="J136" s="49"/>
    </row>
    <row r="137" spans="1:10" x14ac:dyDescent="0.2">
      <c r="A137" s="50">
        <f t="shared" si="2"/>
        <v>45062</v>
      </c>
      <c r="B137" s="51">
        <v>7276.74</v>
      </c>
      <c r="C137" s="52">
        <v>3750.97</v>
      </c>
      <c r="D137" s="52">
        <v>3563.67</v>
      </c>
      <c r="E137" s="52">
        <v>3705.8</v>
      </c>
      <c r="F137" s="52">
        <v>3740.27</v>
      </c>
      <c r="G137" s="52">
        <v>5323.62</v>
      </c>
      <c r="H137" s="52">
        <v>2540.3499999999995</v>
      </c>
      <c r="I137" s="53">
        <v>24820.720000000001</v>
      </c>
      <c r="J137" s="49"/>
    </row>
    <row r="138" spans="1:10" x14ac:dyDescent="0.2">
      <c r="A138" s="50">
        <f t="shared" si="2"/>
        <v>45063</v>
      </c>
      <c r="B138" s="51">
        <v>6944</v>
      </c>
      <c r="C138" s="52">
        <v>3752</v>
      </c>
      <c r="D138" s="52">
        <v>3480</v>
      </c>
      <c r="E138" s="52">
        <v>2964</v>
      </c>
      <c r="F138" s="52">
        <v>3126</v>
      </c>
      <c r="G138" s="52">
        <v>5081</v>
      </c>
      <c r="H138" s="52">
        <v>2831</v>
      </c>
      <c r="I138" s="53">
        <v>22516</v>
      </c>
      <c r="J138" s="49"/>
    </row>
    <row r="139" spans="1:10" x14ac:dyDescent="0.2">
      <c r="A139" s="50">
        <f t="shared" si="2"/>
        <v>45064</v>
      </c>
      <c r="B139" s="51">
        <v>7144.51</v>
      </c>
      <c r="C139" s="52">
        <v>3975.98</v>
      </c>
      <c r="D139" s="52">
        <v>3623.52</v>
      </c>
      <c r="E139" s="52">
        <v>3456.66</v>
      </c>
      <c r="F139" s="52">
        <v>3326.93</v>
      </c>
      <c r="G139" s="52">
        <v>5104.5600000000004</v>
      </c>
      <c r="H139" s="52">
        <v>2730.4299999999994</v>
      </c>
      <c r="I139" s="53">
        <v>23901.73</v>
      </c>
      <c r="J139" s="49"/>
    </row>
    <row r="140" spans="1:10" x14ac:dyDescent="0.2">
      <c r="A140" s="50">
        <f t="shared" si="2"/>
        <v>45065</v>
      </c>
      <c r="B140" s="51">
        <v>6757.26</v>
      </c>
      <c r="C140" s="52">
        <v>3937.56</v>
      </c>
      <c r="D140" s="52">
        <v>3548.86</v>
      </c>
      <c r="E140" s="52">
        <v>3318.71</v>
      </c>
      <c r="F140" s="52">
        <v>3307.67</v>
      </c>
      <c r="G140" s="52">
        <v>4909.17</v>
      </c>
      <c r="H140" s="52">
        <v>2947.4800000000005</v>
      </c>
      <c r="I140" s="53">
        <v>22831.749999999996</v>
      </c>
      <c r="J140" s="49"/>
    </row>
    <row r="141" spans="1:10" x14ac:dyDescent="0.2">
      <c r="A141" s="50">
        <f t="shared" si="2"/>
        <v>45066</v>
      </c>
      <c r="B141" s="51">
        <v>6754.31</v>
      </c>
      <c r="C141" s="52">
        <v>3469.73</v>
      </c>
      <c r="D141" s="52">
        <v>3420.55</v>
      </c>
      <c r="E141" s="52">
        <v>3160.34</v>
      </c>
      <c r="F141" s="52">
        <v>3369.53</v>
      </c>
      <c r="G141" s="52">
        <v>3135.05</v>
      </c>
      <c r="H141" s="52">
        <v>2199.7299999999996</v>
      </c>
      <c r="I141" s="53">
        <v>21109.78</v>
      </c>
      <c r="J141" s="49"/>
    </row>
    <row r="142" spans="1:10" x14ac:dyDescent="0.2">
      <c r="A142" s="50">
        <f t="shared" si="2"/>
        <v>45067</v>
      </c>
      <c r="B142" s="51">
        <v>6758</v>
      </c>
      <c r="C142" s="52">
        <v>3636</v>
      </c>
      <c r="D142" s="52">
        <v>3369</v>
      </c>
      <c r="E142" s="52">
        <v>3401</v>
      </c>
      <c r="F142" s="52">
        <v>3452</v>
      </c>
      <c r="G142" s="52">
        <v>3309</v>
      </c>
      <c r="H142" s="52">
        <v>2254</v>
      </c>
      <c r="I142" s="53">
        <v>21671</v>
      </c>
      <c r="J142" s="49"/>
    </row>
    <row r="143" spans="1:10" x14ac:dyDescent="0.2">
      <c r="A143" s="50">
        <f t="shared" si="2"/>
        <v>45068</v>
      </c>
      <c r="B143" s="51">
        <v>7175.04</v>
      </c>
      <c r="C143" s="52">
        <v>4061.14</v>
      </c>
      <c r="D143" s="52">
        <v>3665.29</v>
      </c>
      <c r="E143" s="52">
        <v>3419.74</v>
      </c>
      <c r="F143" s="52">
        <v>3212.29</v>
      </c>
      <c r="G143" s="52">
        <v>5095.6099999999997</v>
      </c>
      <c r="H143" s="52">
        <v>2807.9700000000003</v>
      </c>
      <c r="I143" s="53">
        <v>23821.14</v>
      </c>
      <c r="J143" s="49"/>
    </row>
    <row r="144" spans="1:10" x14ac:dyDescent="0.2">
      <c r="A144" s="50">
        <f t="shared" si="2"/>
        <v>45069</v>
      </c>
      <c r="B144" s="51">
        <v>7202.46</v>
      </c>
      <c r="C144" s="52">
        <v>4130.21</v>
      </c>
      <c r="D144" s="52">
        <v>3627.8</v>
      </c>
      <c r="E144" s="52">
        <v>3496.01</v>
      </c>
      <c r="F144" s="52">
        <v>3659.84</v>
      </c>
      <c r="G144" s="52">
        <v>5002.41</v>
      </c>
      <c r="H144" s="52">
        <v>2705.68</v>
      </c>
      <c r="I144" s="53">
        <v>24413.050000000003</v>
      </c>
      <c r="J144" s="49"/>
    </row>
    <row r="145" spans="1:10" x14ac:dyDescent="0.2">
      <c r="A145" s="50">
        <f t="shared" si="2"/>
        <v>45070</v>
      </c>
      <c r="B145" s="51">
        <v>6864.1</v>
      </c>
      <c r="C145" s="52">
        <v>3949.83</v>
      </c>
      <c r="D145" s="52">
        <v>3507</v>
      </c>
      <c r="E145" s="52">
        <v>3162.16</v>
      </c>
      <c r="F145" s="52">
        <v>3375.83</v>
      </c>
      <c r="G145" s="52">
        <v>5107.18</v>
      </c>
      <c r="H145" s="52">
        <v>2637.84</v>
      </c>
      <c r="I145" s="53">
        <v>23328.26</v>
      </c>
      <c r="J145" s="49"/>
    </row>
    <row r="146" spans="1:10" x14ac:dyDescent="0.2">
      <c r="A146" s="50">
        <f t="shared" si="2"/>
        <v>45071</v>
      </c>
      <c r="B146" s="51">
        <v>6976</v>
      </c>
      <c r="C146" s="52">
        <v>4080</v>
      </c>
      <c r="D146" s="52">
        <v>3480</v>
      </c>
      <c r="E146" s="52">
        <v>2947</v>
      </c>
      <c r="F146" s="52">
        <v>3442</v>
      </c>
      <c r="G146" s="52">
        <v>5288</v>
      </c>
      <c r="H146" s="52">
        <v>2813</v>
      </c>
      <c r="I146" s="53">
        <v>23400</v>
      </c>
      <c r="J146" s="49"/>
    </row>
    <row r="147" spans="1:10" x14ac:dyDescent="0.2">
      <c r="A147" s="50">
        <f t="shared" si="2"/>
        <v>45072</v>
      </c>
      <c r="B147" s="51">
        <v>7091.1</v>
      </c>
      <c r="C147" s="52">
        <v>3911.28</v>
      </c>
      <c r="D147" s="52">
        <v>3503.06</v>
      </c>
      <c r="E147" s="52">
        <v>3694.76</v>
      </c>
      <c r="F147" s="52">
        <v>3564.53</v>
      </c>
      <c r="G147" s="52">
        <v>5093.33</v>
      </c>
      <c r="H147" s="52">
        <v>2712.2400000000002</v>
      </c>
      <c r="I147" s="53">
        <v>24145.819999999996</v>
      </c>
      <c r="J147" s="49"/>
    </row>
    <row r="148" spans="1:10" x14ac:dyDescent="0.2">
      <c r="A148" s="50">
        <f t="shared" si="2"/>
        <v>45073</v>
      </c>
      <c r="B148" s="51">
        <v>6718.97</v>
      </c>
      <c r="C148" s="52">
        <v>3748.28</v>
      </c>
      <c r="D148" s="52">
        <v>3424.43</v>
      </c>
      <c r="E148" s="52">
        <v>3428.9</v>
      </c>
      <c r="F148" s="52">
        <v>3417.17</v>
      </c>
      <c r="G148" s="52">
        <v>3836.69</v>
      </c>
      <c r="H148" s="52">
        <v>2102.4100000000003</v>
      </c>
      <c r="I148" s="53">
        <v>22472.03</v>
      </c>
      <c r="J148" s="49"/>
    </row>
    <row r="149" spans="1:10" x14ac:dyDescent="0.2">
      <c r="A149" s="50">
        <f t="shared" si="2"/>
        <v>45074</v>
      </c>
      <c r="B149" s="51">
        <v>6594.48</v>
      </c>
      <c r="C149" s="52">
        <v>3730.87</v>
      </c>
      <c r="D149" s="52">
        <v>3339</v>
      </c>
      <c r="E149" s="52">
        <v>3329.02</v>
      </c>
      <c r="F149" s="52">
        <v>3276.5</v>
      </c>
      <c r="G149" s="52">
        <v>3519.59</v>
      </c>
      <c r="H149" s="52">
        <v>1959.8500000000004</v>
      </c>
      <c r="I149" s="53">
        <v>21829.61</v>
      </c>
      <c r="J149" s="49"/>
    </row>
    <row r="150" spans="1:10" x14ac:dyDescent="0.2">
      <c r="A150" s="50">
        <f t="shared" si="2"/>
        <v>45075</v>
      </c>
      <c r="B150" s="51">
        <v>7120</v>
      </c>
      <c r="C150" s="52">
        <v>4332</v>
      </c>
      <c r="D150" s="52">
        <v>3278</v>
      </c>
      <c r="E150" s="52">
        <v>3552</v>
      </c>
      <c r="F150" s="52">
        <v>3584</v>
      </c>
      <c r="G150" s="52">
        <v>4883</v>
      </c>
      <c r="H150" s="52">
        <v>2787</v>
      </c>
      <c r="I150" s="53">
        <v>23962</v>
      </c>
      <c r="J150" s="49"/>
    </row>
    <row r="151" spans="1:10" x14ac:dyDescent="0.2">
      <c r="A151" s="50">
        <f t="shared" si="2"/>
        <v>45076</v>
      </c>
      <c r="B151" s="51">
        <v>7230.71</v>
      </c>
      <c r="C151" s="52">
        <v>4310.3599999999997</v>
      </c>
      <c r="D151" s="52">
        <v>3667.4</v>
      </c>
      <c r="E151" s="52">
        <v>3594.07</v>
      </c>
      <c r="F151" s="52">
        <v>3597.11</v>
      </c>
      <c r="G151" s="52">
        <v>4837.7700000000004</v>
      </c>
      <c r="H151" s="52">
        <v>2516.9499999999998</v>
      </c>
      <c r="I151" s="53">
        <v>24720.47</v>
      </c>
      <c r="J151" s="49"/>
    </row>
    <row r="152" spans="1:10" x14ac:dyDescent="0.2">
      <c r="A152" s="50">
        <f t="shared" si="2"/>
        <v>45077</v>
      </c>
      <c r="B152" s="51">
        <v>7204.36</v>
      </c>
      <c r="C152" s="52">
        <v>4334.71</v>
      </c>
      <c r="D152" s="52">
        <v>3584.85</v>
      </c>
      <c r="E152" s="52">
        <v>2799.82</v>
      </c>
      <c r="F152" s="52">
        <v>3270.8</v>
      </c>
      <c r="G152" s="52">
        <v>4778.28</v>
      </c>
      <c r="H152" s="52">
        <v>2435.56</v>
      </c>
      <c r="I152" s="53">
        <v>23537.26</v>
      </c>
      <c r="J152" s="49"/>
    </row>
    <row r="153" spans="1:10" x14ac:dyDescent="0.2">
      <c r="A153" s="50">
        <f t="shared" si="2"/>
        <v>45078</v>
      </c>
      <c r="B153" s="51">
        <v>7028.36</v>
      </c>
      <c r="C153" s="52">
        <v>4275.58</v>
      </c>
      <c r="D153" s="52">
        <v>3520.95</v>
      </c>
      <c r="E153" s="52">
        <v>2688.56</v>
      </c>
      <c r="F153" s="52">
        <v>3209.45</v>
      </c>
      <c r="G153" s="52">
        <v>4854.88</v>
      </c>
      <c r="H153" s="52">
        <v>2432.6999999999998</v>
      </c>
      <c r="I153" s="53">
        <v>23145.08</v>
      </c>
      <c r="J153" s="49"/>
    </row>
    <row r="154" spans="1:10" x14ac:dyDescent="0.2">
      <c r="A154" s="50">
        <f t="shared" si="2"/>
        <v>45079</v>
      </c>
      <c r="B154" s="51">
        <v>7043</v>
      </c>
      <c r="C154" s="52">
        <v>4334.0200000000004</v>
      </c>
      <c r="D154" s="52">
        <v>3518</v>
      </c>
      <c r="E154" s="52">
        <v>3568</v>
      </c>
      <c r="F154" s="52">
        <v>3805</v>
      </c>
      <c r="G154" s="52">
        <v>4401</v>
      </c>
      <c r="H154" s="52">
        <v>2333</v>
      </c>
      <c r="I154" s="53">
        <v>24336.02</v>
      </c>
      <c r="J154" s="49"/>
    </row>
    <row r="155" spans="1:10" x14ac:dyDescent="0.2">
      <c r="A155" s="50">
        <f t="shared" si="2"/>
        <v>45080</v>
      </c>
      <c r="B155" s="51">
        <v>6709.97</v>
      </c>
      <c r="C155" s="52">
        <v>3850.62</v>
      </c>
      <c r="D155" s="52">
        <v>3385.3</v>
      </c>
      <c r="E155" s="52">
        <v>2626.21</v>
      </c>
      <c r="F155" s="52">
        <v>3266.02</v>
      </c>
      <c r="G155" s="52">
        <v>2817.24</v>
      </c>
      <c r="H155" s="52">
        <v>1911.53</v>
      </c>
      <c r="I155" s="53">
        <v>20743.830000000002</v>
      </c>
      <c r="J155" s="49"/>
    </row>
    <row r="156" spans="1:10" x14ac:dyDescent="0.2">
      <c r="A156" s="50">
        <f t="shared" si="2"/>
        <v>45081</v>
      </c>
      <c r="B156" s="51">
        <v>6645.63</v>
      </c>
      <c r="C156" s="52">
        <v>4031.69</v>
      </c>
      <c r="D156" s="52">
        <v>3279.32</v>
      </c>
      <c r="E156" s="52">
        <v>3252</v>
      </c>
      <c r="F156" s="52">
        <v>3422.35</v>
      </c>
      <c r="G156" s="52">
        <v>2778.56</v>
      </c>
      <c r="H156" s="52">
        <v>1937.3999999999999</v>
      </c>
      <c r="I156" s="53">
        <v>21472.149999999998</v>
      </c>
      <c r="J156" s="49"/>
    </row>
    <row r="157" spans="1:10" x14ac:dyDescent="0.2">
      <c r="A157" s="50">
        <f t="shared" si="2"/>
        <v>45082</v>
      </c>
      <c r="B157" s="51">
        <v>6761.69</v>
      </c>
      <c r="C157" s="52">
        <v>4191.7700000000004</v>
      </c>
      <c r="D157" s="52">
        <v>3545.01</v>
      </c>
      <c r="E157" s="52">
        <v>2992.41</v>
      </c>
      <c r="F157" s="52">
        <v>3479.11</v>
      </c>
      <c r="G157" s="52">
        <v>4365.07</v>
      </c>
      <c r="H157" s="52">
        <v>2843.9800000000005</v>
      </c>
      <c r="I157" s="53">
        <v>22491.079999999998</v>
      </c>
      <c r="J157" s="49"/>
    </row>
    <row r="158" spans="1:10" x14ac:dyDescent="0.2">
      <c r="A158" s="50">
        <f t="shared" si="2"/>
        <v>45083</v>
      </c>
      <c r="B158" s="51">
        <v>6865.41</v>
      </c>
      <c r="C158" s="52">
        <v>4262.3</v>
      </c>
      <c r="D158" s="52">
        <v>3504.77</v>
      </c>
      <c r="E158" s="52">
        <v>3915.23</v>
      </c>
      <c r="F158" s="52">
        <v>3913.51</v>
      </c>
      <c r="G158" s="52">
        <v>4838.3</v>
      </c>
      <c r="H158" s="52">
        <v>2669.4850000000001</v>
      </c>
      <c r="I158" s="53">
        <v>24630.035</v>
      </c>
      <c r="J158" s="49"/>
    </row>
    <row r="159" spans="1:10" x14ac:dyDescent="0.2">
      <c r="A159" s="50">
        <f t="shared" si="2"/>
        <v>45084</v>
      </c>
      <c r="B159" s="51">
        <v>6832.51</v>
      </c>
      <c r="C159" s="52">
        <v>4210.03</v>
      </c>
      <c r="D159" s="52">
        <v>3710.78</v>
      </c>
      <c r="E159" s="52">
        <v>3018.29</v>
      </c>
      <c r="F159" s="52">
        <v>3050.32</v>
      </c>
      <c r="G159" s="52">
        <v>5432.76</v>
      </c>
      <c r="H159" s="52">
        <v>2791.83</v>
      </c>
      <c r="I159" s="53">
        <v>23462.86</v>
      </c>
      <c r="J159" s="49"/>
    </row>
    <row r="160" spans="1:10" x14ac:dyDescent="0.2">
      <c r="A160" s="50">
        <f t="shared" ref="A160:A223" si="3">A159+1</f>
        <v>45085</v>
      </c>
      <c r="B160" s="51">
        <v>7074.98</v>
      </c>
      <c r="C160" s="52">
        <v>4038.36</v>
      </c>
      <c r="D160" s="52">
        <v>3578</v>
      </c>
      <c r="E160" s="52">
        <v>3858.33</v>
      </c>
      <c r="F160" s="52">
        <v>3620.84</v>
      </c>
      <c r="G160" s="52">
        <v>5585.33</v>
      </c>
      <c r="H160" s="52">
        <v>2815.23</v>
      </c>
      <c r="I160" s="53">
        <v>24940.609999999997</v>
      </c>
      <c r="J160" s="49"/>
    </row>
    <row r="161" spans="1:10" x14ac:dyDescent="0.2">
      <c r="A161" s="50">
        <f t="shared" si="3"/>
        <v>45086</v>
      </c>
      <c r="B161" s="51">
        <v>6315.55</v>
      </c>
      <c r="C161" s="52">
        <v>3950.79</v>
      </c>
      <c r="D161" s="52">
        <v>3300.29</v>
      </c>
      <c r="E161" s="52">
        <v>3225.7</v>
      </c>
      <c r="F161" s="52">
        <v>3099.11</v>
      </c>
      <c r="G161" s="52">
        <v>4973.13</v>
      </c>
      <c r="H161" s="52">
        <v>2858.73</v>
      </c>
      <c r="I161" s="53">
        <v>22005.840000000004</v>
      </c>
      <c r="J161" s="49"/>
    </row>
    <row r="162" spans="1:10" x14ac:dyDescent="0.2">
      <c r="A162" s="50">
        <f t="shared" si="3"/>
        <v>45087</v>
      </c>
      <c r="B162" s="51">
        <v>5639.43</v>
      </c>
      <c r="C162" s="52">
        <v>3627</v>
      </c>
      <c r="D162" s="52">
        <v>3083.33</v>
      </c>
      <c r="E162" s="52">
        <v>3788</v>
      </c>
      <c r="F162" s="52">
        <v>3049</v>
      </c>
      <c r="G162" s="52">
        <v>2762</v>
      </c>
      <c r="H162" s="52">
        <v>2009.6100000000001</v>
      </c>
      <c r="I162" s="53">
        <v>19939.150000000001</v>
      </c>
      <c r="J162" s="49"/>
    </row>
    <row r="163" spans="1:10" x14ac:dyDescent="0.2">
      <c r="A163" s="50">
        <f t="shared" si="3"/>
        <v>45088</v>
      </c>
      <c r="B163" s="51">
        <v>5509.21</v>
      </c>
      <c r="C163" s="52">
        <v>3386.03</v>
      </c>
      <c r="D163" s="52">
        <v>2913.97</v>
      </c>
      <c r="E163" s="52">
        <v>3389.64</v>
      </c>
      <c r="F163" s="52">
        <v>2900.42</v>
      </c>
      <c r="G163" s="52">
        <v>2756.39</v>
      </c>
      <c r="H163" s="52">
        <v>1914.2099999999998</v>
      </c>
      <c r="I163" s="53">
        <v>18941.449999999997</v>
      </c>
      <c r="J163" s="49"/>
    </row>
    <row r="164" spans="1:10" x14ac:dyDescent="0.2">
      <c r="A164" s="50">
        <f t="shared" si="3"/>
        <v>45089</v>
      </c>
      <c r="B164" s="51">
        <v>6249.84</v>
      </c>
      <c r="C164" s="52">
        <v>3441.37</v>
      </c>
      <c r="D164" s="52">
        <v>3281.28</v>
      </c>
      <c r="E164" s="52">
        <v>3729.97</v>
      </c>
      <c r="F164" s="52">
        <v>3316.59</v>
      </c>
      <c r="G164" s="52">
        <v>4141.59</v>
      </c>
      <c r="H164" s="52">
        <v>2134.46</v>
      </c>
      <c r="I164" s="53">
        <v>22026.18</v>
      </c>
      <c r="J164" s="49"/>
    </row>
    <row r="165" spans="1:10" x14ac:dyDescent="0.2">
      <c r="A165" s="50">
        <f t="shared" si="3"/>
        <v>45090</v>
      </c>
      <c r="B165" s="51">
        <v>7117.57</v>
      </c>
      <c r="C165" s="52">
        <v>3846.32</v>
      </c>
      <c r="D165" s="52">
        <v>3457.49</v>
      </c>
      <c r="E165" s="52">
        <v>3189.69</v>
      </c>
      <c r="F165" s="52">
        <v>2685.44</v>
      </c>
      <c r="G165" s="52">
        <v>5425.63</v>
      </c>
      <c r="H165" s="52">
        <v>2741.7600000000007</v>
      </c>
      <c r="I165" s="53">
        <v>22980.379999999997</v>
      </c>
      <c r="J165" s="49"/>
    </row>
    <row r="166" spans="1:10" x14ac:dyDescent="0.2">
      <c r="A166" s="50">
        <f t="shared" si="3"/>
        <v>45091</v>
      </c>
      <c r="B166" s="51">
        <v>7091.71</v>
      </c>
      <c r="C166" s="52">
        <v>3859.02</v>
      </c>
      <c r="D166" s="52">
        <v>3157.81</v>
      </c>
      <c r="E166" s="52">
        <v>3114.44</v>
      </c>
      <c r="F166" s="52">
        <v>3048.04</v>
      </c>
      <c r="G166" s="52">
        <v>5481.53</v>
      </c>
      <c r="H166" s="52">
        <v>2721.6</v>
      </c>
      <c r="I166" s="53">
        <v>23030.95</v>
      </c>
      <c r="J166" s="49"/>
    </row>
    <row r="167" spans="1:10" x14ac:dyDescent="0.2">
      <c r="A167" s="50">
        <f t="shared" si="3"/>
        <v>45092</v>
      </c>
      <c r="B167" s="51">
        <v>7419.4</v>
      </c>
      <c r="C167" s="52">
        <v>3991.25</v>
      </c>
      <c r="D167" s="52">
        <v>3588.96</v>
      </c>
      <c r="E167" s="52">
        <v>3723.86</v>
      </c>
      <c r="F167" s="52">
        <v>3367.68</v>
      </c>
      <c r="G167" s="52">
        <v>5198.37</v>
      </c>
      <c r="H167" s="52">
        <v>2533.3300000000004</v>
      </c>
      <c r="I167" s="53">
        <v>24756.19</v>
      </c>
      <c r="J167" s="49"/>
    </row>
    <row r="168" spans="1:10" x14ac:dyDescent="0.2">
      <c r="A168" s="50">
        <f t="shared" si="3"/>
        <v>45093</v>
      </c>
      <c r="B168" s="51">
        <v>7337.07</v>
      </c>
      <c r="C168" s="52">
        <v>4195.3</v>
      </c>
      <c r="D168" s="52">
        <v>3568</v>
      </c>
      <c r="E168" s="52">
        <v>3447.67</v>
      </c>
      <c r="F168" s="52">
        <v>3245.23</v>
      </c>
      <c r="G168" s="52">
        <v>4645.66</v>
      </c>
      <c r="H168" s="52">
        <v>2434.87</v>
      </c>
      <c r="I168" s="53">
        <v>24004.06</v>
      </c>
      <c r="J168" s="49"/>
    </row>
    <row r="169" spans="1:10" x14ac:dyDescent="0.2">
      <c r="A169" s="50">
        <f t="shared" si="3"/>
        <v>45094</v>
      </c>
      <c r="B169" s="51">
        <v>6836.8</v>
      </c>
      <c r="C169" s="52">
        <v>3807.28</v>
      </c>
      <c r="D169" s="52">
        <v>3304.7</v>
      </c>
      <c r="E169" s="52">
        <v>3737.63</v>
      </c>
      <c r="F169" s="52">
        <v>3192.9</v>
      </c>
      <c r="G169" s="52">
        <v>3917.68</v>
      </c>
      <c r="H169" s="52">
        <v>2130.42</v>
      </c>
      <c r="I169" s="53">
        <v>22666.57</v>
      </c>
      <c r="J169" s="49"/>
    </row>
    <row r="170" spans="1:10" x14ac:dyDescent="0.2">
      <c r="A170" s="50">
        <f t="shared" si="3"/>
        <v>45095</v>
      </c>
      <c r="B170" s="51">
        <v>7152</v>
      </c>
      <c r="C170" s="52">
        <v>3798</v>
      </c>
      <c r="D170" s="52">
        <v>3401</v>
      </c>
      <c r="E170" s="52">
        <v>4115</v>
      </c>
      <c r="F170" s="52">
        <v>3742</v>
      </c>
      <c r="G170" s="52">
        <v>3705</v>
      </c>
      <c r="H170" s="52">
        <v>1922</v>
      </c>
      <c r="I170" s="53">
        <v>23991</v>
      </c>
      <c r="J170" s="49"/>
    </row>
    <row r="171" spans="1:10" x14ac:dyDescent="0.2">
      <c r="A171" s="50">
        <f t="shared" si="3"/>
        <v>45096</v>
      </c>
      <c r="B171" s="51">
        <v>7432.28</v>
      </c>
      <c r="C171" s="52">
        <v>4281.8500000000004</v>
      </c>
      <c r="D171" s="52">
        <v>3824.49</v>
      </c>
      <c r="E171" s="52">
        <v>3702.08</v>
      </c>
      <c r="F171" s="52">
        <v>3399.18</v>
      </c>
      <c r="G171" s="52">
        <v>4995.66</v>
      </c>
      <c r="H171" s="52">
        <v>2899.84</v>
      </c>
      <c r="I171" s="53">
        <v>24735.7</v>
      </c>
      <c r="J171" s="49"/>
    </row>
    <row r="172" spans="1:10" x14ac:dyDescent="0.2">
      <c r="A172" s="50">
        <f t="shared" si="3"/>
        <v>45097</v>
      </c>
      <c r="B172" s="51">
        <v>7627.3</v>
      </c>
      <c r="C172" s="52">
        <v>4085.26</v>
      </c>
      <c r="D172" s="52">
        <v>3737.8</v>
      </c>
      <c r="E172" s="52">
        <v>2040.81</v>
      </c>
      <c r="F172" s="52">
        <v>4171.79</v>
      </c>
      <c r="G172" s="52">
        <v>5212.8599999999997</v>
      </c>
      <c r="H172" s="52">
        <v>2897.95</v>
      </c>
      <c r="I172" s="53">
        <v>23977.870000000003</v>
      </c>
      <c r="J172" s="49"/>
    </row>
    <row r="173" spans="1:10" x14ac:dyDescent="0.2">
      <c r="A173" s="50">
        <f t="shared" si="3"/>
        <v>45098</v>
      </c>
      <c r="B173" s="51">
        <v>7860.46</v>
      </c>
      <c r="C173" s="52">
        <v>4095.33</v>
      </c>
      <c r="D173" s="52">
        <v>3748</v>
      </c>
      <c r="E173" s="52">
        <v>2332.0500000000002</v>
      </c>
      <c r="F173" s="52">
        <v>5559.17</v>
      </c>
      <c r="G173" s="52">
        <v>5490.83</v>
      </c>
      <c r="H173" s="52">
        <v>3039.2000000000003</v>
      </c>
      <c r="I173" s="53">
        <v>26046.640000000003</v>
      </c>
      <c r="J173" s="49"/>
    </row>
    <row r="174" spans="1:10" x14ac:dyDescent="0.2">
      <c r="A174" s="50">
        <f t="shared" si="3"/>
        <v>45099</v>
      </c>
      <c r="B174" s="51">
        <v>7956</v>
      </c>
      <c r="C174" s="52">
        <v>4218</v>
      </c>
      <c r="D174" s="52">
        <v>3720</v>
      </c>
      <c r="E174" s="52">
        <v>1794</v>
      </c>
      <c r="F174" s="52">
        <v>5711</v>
      </c>
      <c r="G174" s="52">
        <v>4782</v>
      </c>
      <c r="H174" s="52">
        <v>2660</v>
      </c>
      <c r="I174" s="53">
        <v>25521</v>
      </c>
      <c r="J174" s="49"/>
    </row>
    <row r="175" spans="1:10" x14ac:dyDescent="0.2">
      <c r="A175" s="50">
        <f t="shared" si="3"/>
        <v>45100</v>
      </c>
      <c r="B175" s="51">
        <v>7525.32</v>
      </c>
      <c r="C175" s="52">
        <v>4224.82</v>
      </c>
      <c r="D175" s="52">
        <v>3786.06</v>
      </c>
      <c r="E175" s="52">
        <v>1521.44</v>
      </c>
      <c r="F175" s="52">
        <v>5548.59</v>
      </c>
      <c r="G175" s="52">
        <v>5083.0600000000004</v>
      </c>
      <c r="H175" s="52">
        <v>2729.77</v>
      </c>
      <c r="I175" s="53">
        <v>24959.52</v>
      </c>
      <c r="J175" s="49"/>
    </row>
    <row r="176" spans="1:10" x14ac:dyDescent="0.2">
      <c r="A176" s="50">
        <f t="shared" si="3"/>
        <v>45101</v>
      </c>
      <c r="B176" s="51">
        <v>7709</v>
      </c>
      <c r="C176" s="52">
        <v>4064.46</v>
      </c>
      <c r="D176" s="52">
        <v>3615.2</v>
      </c>
      <c r="E176" s="52">
        <v>1624.85</v>
      </c>
      <c r="F176" s="52">
        <v>5627.9</v>
      </c>
      <c r="G176" s="52">
        <v>4001.68</v>
      </c>
      <c r="H176" s="52">
        <v>1862.2299999999998</v>
      </c>
      <c r="I176" s="53">
        <v>24780.859999999997</v>
      </c>
      <c r="J176" s="49"/>
    </row>
    <row r="177" spans="1:10" x14ac:dyDescent="0.2">
      <c r="A177" s="50">
        <f t="shared" si="3"/>
        <v>45102</v>
      </c>
      <c r="B177" s="51">
        <v>7505.85</v>
      </c>
      <c r="C177" s="52">
        <v>3984.48</v>
      </c>
      <c r="D177" s="52">
        <v>3458.64</v>
      </c>
      <c r="E177" s="52">
        <v>1678.03</v>
      </c>
      <c r="F177" s="52">
        <v>5567.75</v>
      </c>
      <c r="G177" s="52">
        <v>3973.49</v>
      </c>
      <c r="H177" s="52">
        <v>1895.05</v>
      </c>
      <c r="I177" s="53">
        <v>24273.19</v>
      </c>
      <c r="J177" s="49"/>
    </row>
    <row r="178" spans="1:10" x14ac:dyDescent="0.2">
      <c r="A178" s="50">
        <f t="shared" si="3"/>
        <v>45103</v>
      </c>
      <c r="B178" s="51">
        <v>7475</v>
      </c>
      <c r="C178" s="52">
        <v>4398</v>
      </c>
      <c r="D178" s="52">
        <v>3757</v>
      </c>
      <c r="E178" s="52">
        <v>1054</v>
      </c>
      <c r="F178" s="52">
        <v>5593</v>
      </c>
      <c r="G178" s="52">
        <v>5159</v>
      </c>
      <c r="H178" s="52">
        <v>2915</v>
      </c>
      <c r="I178" s="53">
        <v>24521</v>
      </c>
      <c r="J178" s="49"/>
    </row>
    <row r="179" spans="1:10" x14ac:dyDescent="0.2">
      <c r="A179" s="50">
        <f t="shared" si="3"/>
        <v>45104</v>
      </c>
      <c r="B179" s="51">
        <v>7867.07</v>
      </c>
      <c r="C179" s="52">
        <v>4407.26</v>
      </c>
      <c r="D179" s="52">
        <v>3724.9</v>
      </c>
      <c r="E179" s="52">
        <v>2255.12</v>
      </c>
      <c r="F179" s="52">
        <v>5943.45</v>
      </c>
      <c r="G179" s="52">
        <v>5055.87</v>
      </c>
      <c r="H179" s="52">
        <v>2770.8700000000003</v>
      </c>
      <c r="I179" s="53">
        <v>26482.799999999999</v>
      </c>
      <c r="J179" s="49"/>
    </row>
    <row r="180" spans="1:10" x14ac:dyDescent="0.2">
      <c r="A180" s="50">
        <f t="shared" si="3"/>
        <v>45105</v>
      </c>
      <c r="B180" s="51">
        <v>7723.56</v>
      </c>
      <c r="C180" s="52">
        <v>4607.38</v>
      </c>
      <c r="D180" s="52">
        <v>3691.41</v>
      </c>
      <c r="E180" s="52">
        <v>2173.25</v>
      </c>
      <c r="F180" s="52">
        <v>6257.16</v>
      </c>
      <c r="G180" s="52">
        <v>5034.33</v>
      </c>
      <c r="H180" s="52">
        <v>2815.42</v>
      </c>
      <c r="I180" s="53">
        <v>26671.67</v>
      </c>
      <c r="J180" s="49"/>
    </row>
    <row r="181" spans="1:10" x14ac:dyDescent="0.2">
      <c r="A181" s="50">
        <f t="shared" si="3"/>
        <v>45106</v>
      </c>
      <c r="B181" s="51">
        <v>7410.77</v>
      </c>
      <c r="C181" s="52">
        <v>4600.75</v>
      </c>
      <c r="D181" s="52">
        <v>3643.3</v>
      </c>
      <c r="E181" s="52">
        <v>990.56</v>
      </c>
      <c r="F181" s="52">
        <v>5608.43</v>
      </c>
      <c r="G181" s="52">
        <v>5106.41</v>
      </c>
      <c r="H181" s="52">
        <v>2706.01</v>
      </c>
      <c r="I181" s="53">
        <v>24654.21</v>
      </c>
      <c r="J181" s="49"/>
    </row>
    <row r="182" spans="1:10" x14ac:dyDescent="0.2">
      <c r="A182" s="50">
        <f t="shared" si="3"/>
        <v>45107</v>
      </c>
      <c r="B182" s="51">
        <v>7664</v>
      </c>
      <c r="C182" s="52">
        <v>4685</v>
      </c>
      <c r="D182" s="52">
        <v>3670</v>
      </c>
      <c r="E182" s="52">
        <v>2411</v>
      </c>
      <c r="F182" s="52">
        <v>6004</v>
      </c>
      <c r="G182" s="52">
        <v>5108</v>
      </c>
      <c r="H182" s="52">
        <v>2569</v>
      </c>
      <c r="I182" s="53">
        <v>26973</v>
      </c>
      <c r="J182" s="49"/>
    </row>
    <row r="183" spans="1:10" x14ac:dyDescent="0.2">
      <c r="A183" s="50">
        <f t="shared" si="3"/>
        <v>45108</v>
      </c>
      <c r="B183" s="51">
        <v>7557.46</v>
      </c>
      <c r="C183" s="52">
        <v>4330.5200000000004</v>
      </c>
      <c r="D183" s="52">
        <v>3440.07</v>
      </c>
      <c r="E183" s="52">
        <v>2362.4299999999998</v>
      </c>
      <c r="F183" s="52">
        <v>5800.61</v>
      </c>
      <c r="G183" s="52">
        <v>4221.13</v>
      </c>
      <c r="H183" s="52">
        <v>1791.13</v>
      </c>
      <c r="I183" s="53">
        <v>25921.09</v>
      </c>
      <c r="J183" s="49"/>
    </row>
    <row r="184" spans="1:10" x14ac:dyDescent="0.2">
      <c r="A184" s="50">
        <f t="shared" si="3"/>
        <v>45109</v>
      </c>
      <c r="B184" s="51">
        <v>7126.76</v>
      </c>
      <c r="C184" s="52">
        <v>4312.2</v>
      </c>
      <c r="D184" s="52">
        <v>3437.9</v>
      </c>
      <c r="E184" s="52">
        <v>1442.36</v>
      </c>
      <c r="F184" s="52">
        <v>5892.58</v>
      </c>
      <c r="G184" s="52">
        <v>4122.47</v>
      </c>
      <c r="H184" s="52">
        <v>1700.14</v>
      </c>
      <c r="I184" s="53">
        <v>24634.13</v>
      </c>
      <c r="J184" s="49"/>
    </row>
    <row r="185" spans="1:10" x14ac:dyDescent="0.2">
      <c r="A185" s="50">
        <f t="shared" si="3"/>
        <v>45110</v>
      </c>
      <c r="B185" s="51">
        <v>7270.86</v>
      </c>
      <c r="C185" s="52">
        <v>4492.08</v>
      </c>
      <c r="D185" s="52">
        <v>3679.5</v>
      </c>
      <c r="E185" s="52">
        <v>1174.55</v>
      </c>
      <c r="F185" s="52">
        <v>5907.97</v>
      </c>
      <c r="G185" s="52">
        <v>5315.84</v>
      </c>
      <c r="H185" s="52">
        <v>2741.7300000000005</v>
      </c>
      <c r="I185" s="53">
        <v>25099.07</v>
      </c>
      <c r="J185" s="49"/>
    </row>
    <row r="186" spans="1:10" x14ac:dyDescent="0.2">
      <c r="A186" s="50">
        <f t="shared" si="3"/>
        <v>45111</v>
      </c>
      <c r="B186" s="51">
        <v>7387</v>
      </c>
      <c r="C186" s="52">
        <v>4427</v>
      </c>
      <c r="D186" s="52">
        <v>3621</v>
      </c>
      <c r="E186" s="52">
        <v>1920</v>
      </c>
      <c r="F186" s="52">
        <v>5806</v>
      </c>
      <c r="G186" s="52">
        <v>5008</v>
      </c>
      <c r="H186" s="52">
        <v>2556</v>
      </c>
      <c r="I186" s="53">
        <v>25613</v>
      </c>
      <c r="J186" s="49"/>
    </row>
    <row r="187" spans="1:10" x14ac:dyDescent="0.2">
      <c r="A187" s="50">
        <f t="shared" si="3"/>
        <v>45112</v>
      </c>
      <c r="B187" s="51">
        <v>7653.33</v>
      </c>
      <c r="C187" s="52">
        <v>4732.1000000000004</v>
      </c>
      <c r="D187" s="52">
        <v>3592.71</v>
      </c>
      <c r="E187" s="52">
        <v>2030.09</v>
      </c>
      <c r="F187" s="52">
        <v>6105.05</v>
      </c>
      <c r="G187" s="52">
        <v>5387.61</v>
      </c>
      <c r="H187" s="52">
        <v>2903.43</v>
      </c>
      <c r="I187" s="53">
        <v>26597.46</v>
      </c>
      <c r="J187" s="49"/>
    </row>
    <row r="188" spans="1:10" x14ac:dyDescent="0.2">
      <c r="A188" s="50">
        <f t="shared" si="3"/>
        <v>45113</v>
      </c>
      <c r="B188" s="51">
        <v>7706.17</v>
      </c>
      <c r="C188" s="52">
        <v>4537.3500000000004</v>
      </c>
      <c r="D188" s="52">
        <v>3524.44</v>
      </c>
      <c r="E188" s="52">
        <v>2292.6999999999998</v>
      </c>
      <c r="F188" s="52">
        <v>6140.93</v>
      </c>
      <c r="G188" s="52">
        <v>5175.8</v>
      </c>
      <c r="H188" s="52">
        <v>2833.25</v>
      </c>
      <c r="I188" s="53">
        <v>26544.14</v>
      </c>
      <c r="J188" s="49"/>
    </row>
    <row r="189" spans="1:10" x14ac:dyDescent="0.2">
      <c r="A189" s="50">
        <f t="shared" si="3"/>
        <v>45114</v>
      </c>
      <c r="B189" s="51">
        <v>7800.67</v>
      </c>
      <c r="C189" s="52">
        <v>4753.9399999999996</v>
      </c>
      <c r="D189" s="52">
        <v>3671.33</v>
      </c>
      <c r="E189" s="52">
        <v>3034.66</v>
      </c>
      <c r="F189" s="52">
        <v>5968.02</v>
      </c>
      <c r="G189" s="52">
        <v>5255.49</v>
      </c>
      <c r="H189" s="52">
        <v>2824.6099999999997</v>
      </c>
      <c r="I189" s="53">
        <v>27659.5</v>
      </c>
      <c r="J189" s="49"/>
    </row>
    <row r="190" spans="1:10" x14ac:dyDescent="0.2">
      <c r="A190" s="50">
        <f t="shared" si="3"/>
        <v>45115</v>
      </c>
      <c r="B190" s="51">
        <v>7408</v>
      </c>
      <c r="C190" s="52">
        <v>4576</v>
      </c>
      <c r="D190" s="52">
        <v>3328</v>
      </c>
      <c r="E190" s="52">
        <v>2509</v>
      </c>
      <c r="F190" s="52">
        <v>6183</v>
      </c>
      <c r="G190" s="52">
        <v>4181</v>
      </c>
      <c r="H190" s="52">
        <v>1985</v>
      </c>
      <c r="I190" s="53">
        <v>26200</v>
      </c>
      <c r="J190" s="49"/>
    </row>
    <row r="191" spans="1:10" x14ac:dyDescent="0.2">
      <c r="A191" s="50">
        <f t="shared" si="3"/>
        <v>45116</v>
      </c>
      <c r="B191" s="51">
        <v>7435.46</v>
      </c>
      <c r="C191" s="52">
        <v>4293.3599999999997</v>
      </c>
      <c r="D191" s="52">
        <v>3347.82</v>
      </c>
      <c r="E191" s="52">
        <v>2296.65</v>
      </c>
      <c r="F191" s="52">
        <v>5833.76</v>
      </c>
      <c r="G191" s="52">
        <v>4030.46</v>
      </c>
      <c r="H191" s="52">
        <v>1767.22</v>
      </c>
      <c r="I191" s="53">
        <v>25470.29</v>
      </c>
      <c r="J191" s="49"/>
    </row>
    <row r="192" spans="1:10" x14ac:dyDescent="0.2">
      <c r="A192" s="50">
        <f t="shared" si="3"/>
        <v>45117</v>
      </c>
      <c r="B192" s="51">
        <v>7695.77</v>
      </c>
      <c r="C192" s="52">
        <v>4654.3599999999997</v>
      </c>
      <c r="D192" s="52">
        <v>3566.02</v>
      </c>
      <c r="E192" s="52">
        <v>2210.73</v>
      </c>
      <c r="F192" s="52">
        <v>6391.96</v>
      </c>
      <c r="G192" s="52">
        <v>4945.4399999999996</v>
      </c>
      <c r="H192" s="52">
        <v>2433.65</v>
      </c>
      <c r="I192" s="53">
        <v>27030.629999999997</v>
      </c>
      <c r="J192" s="49"/>
    </row>
    <row r="193" spans="1:10" x14ac:dyDescent="0.2">
      <c r="A193" s="50">
        <f t="shared" si="3"/>
        <v>45118</v>
      </c>
      <c r="B193" s="51">
        <v>7597.53</v>
      </c>
      <c r="C193" s="52">
        <v>4790.93</v>
      </c>
      <c r="D193" s="52">
        <v>3507.74</v>
      </c>
      <c r="E193" s="52">
        <v>2405.91</v>
      </c>
      <c r="F193" s="52">
        <v>6174.95</v>
      </c>
      <c r="G193" s="52">
        <v>5244.78</v>
      </c>
      <c r="H193" s="52">
        <v>2813.01</v>
      </c>
      <c r="I193" s="53">
        <v>26908.83</v>
      </c>
      <c r="J193" s="49"/>
    </row>
    <row r="194" spans="1:10" x14ac:dyDescent="0.2">
      <c r="A194" s="50">
        <f t="shared" si="3"/>
        <v>45119</v>
      </c>
      <c r="B194" s="51">
        <v>7272</v>
      </c>
      <c r="C194" s="52">
        <v>4733</v>
      </c>
      <c r="D194" s="52">
        <v>2459</v>
      </c>
      <c r="E194" s="52">
        <v>1598</v>
      </c>
      <c r="F194" s="52">
        <v>6002</v>
      </c>
      <c r="G194" s="52">
        <v>5341</v>
      </c>
      <c r="H194" s="52">
        <v>2781</v>
      </c>
      <c r="I194" s="53">
        <v>24624</v>
      </c>
      <c r="J194" s="49"/>
    </row>
    <row r="195" spans="1:10" x14ac:dyDescent="0.2">
      <c r="A195" s="50">
        <f t="shared" si="3"/>
        <v>45120</v>
      </c>
      <c r="B195" s="51">
        <v>7493.45</v>
      </c>
      <c r="C195" s="52">
        <v>4605.6899999999996</v>
      </c>
      <c r="D195" s="52">
        <v>2822.89</v>
      </c>
      <c r="E195" s="52">
        <v>1937.63</v>
      </c>
      <c r="F195" s="52">
        <v>6065.71</v>
      </c>
      <c r="G195" s="52">
        <v>5543.61</v>
      </c>
      <c r="H195" s="52">
        <v>2972.23</v>
      </c>
      <c r="I195" s="53">
        <v>25496.75</v>
      </c>
      <c r="J195" s="49"/>
    </row>
    <row r="196" spans="1:10" x14ac:dyDescent="0.2">
      <c r="A196" s="50">
        <f t="shared" si="3"/>
        <v>45121</v>
      </c>
      <c r="B196" s="51">
        <v>6617.69</v>
      </c>
      <c r="C196" s="52">
        <v>4170.93</v>
      </c>
      <c r="D196" s="52">
        <v>2929.99</v>
      </c>
      <c r="E196" s="52">
        <v>1038.75</v>
      </c>
      <c r="F196" s="52">
        <v>5573.3</v>
      </c>
      <c r="G196" s="52">
        <v>5341.76</v>
      </c>
      <c r="H196" s="52">
        <v>2734.27</v>
      </c>
      <c r="I196" s="53">
        <v>22938.149999999998</v>
      </c>
      <c r="J196" s="49"/>
    </row>
    <row r="197" spans="1:10" x14ac:dyDescent="0.2">
      <c r="A197" s="50">
        <f t="shared" si="3"/>
        <v>45122</v>
      </c>
      <c r="B197" s="51">
        <v>5904.16</v>
      </c>
      <c r="C197" s="52">
        <v>3543.42</v>
      </c>
      <c r="D197" s="52">
        <v>3113.41</v>
      </c>
      <c r="E197" s="52">
        <v>1324.27</v>
      </c>
      <c r="F197" s="52">
        <v>5235.6499999999996</v>
      </c>
      <c r="G197" s="52">
        <v>4132.59</v>
      </c>
      <c r="H197" s="52">
        <v>2131.14</v>
      </c>
      <c r="I197" s="53">
        <v>21122.36</v>
      </c>
      <c r="J197" s="49"/>
    </row>
    <row r="198" spans="1:10" x14ac:dyDescent="0.2">
      <c r="A198" s="50">
        <f t="shared" si="3"/>
        <v>45123</v>
      </c>
      <c r="B198" s="51">
        <v>5919</v>
      </c>
      <c r="C198" s="52">
        <v>3597</v>
      </c>
      <c r="D198" s="52">
        <v>3141</v>
      </c>
      <c r="E198" s="52">
        <v>1296</v>
      </c>
      <c r="F198" s="52">
        <v>5140</v>
      </c>
      <c r="G198" s="52">
        <v>3309</v>
      </c>
      <c r="H198" s="52">
        <v>2240</v>
      </c>
      <c r="I198" s="53">
        <v>20162</v>
      </c>
      <c r="J198" s="49"/>
    </row>
    <row r="199" spans="1:10" x14ac:dyDescent="0.2">
      <c r="A199" s="50">
        <f t="shared" si="3"/>
        <v>45124</v>
      </c>
      <c r="B199" s="51">
        <v>6632.79</v>
      </c>
      <c r="C199" s="52">
        <v>4119.17</v>
      </c>
      <c r="D199" s="52">
        <v>3296.59</v>
      </c>
      <c r="E199" s="52">
        <v>1860.27</v>
      </c>
      <c r="F199" s="52">
        <v>5606.35</v>
      </c>
      <c r="G199" s="52">
        <v>4070.01</v>
      </c>
      <c r="H199" s="52">
        <v>2580.2499999999995</v>
      </c>
      <c r="I199" s="53">
        <v>23004.93</v>
      </c>
      <c r="J199" s="49"/>
    </row>
    <row r="200" spans="1:10" x14ac:dyDescent="0.2">
      <c r="A200" s="50">
        <f t="shared" si="3"/>
        <v>45125</v>
      </c>
      <c r="B200" s="51">
        <v>7017.11</v>
      </c>
      <c r="C200" s="52">
        <v>4187.42</v>
      </c>
      <c r="D200" s="52">
        <v>3243.42</v>
      </c>
      <c r="E200" s="52">
        <v>1478.42</v>
      </c>
      <c r="F200" s="52">
        <v>5803.52</v>
      </c>
      <c r="G200" s="52">
        <v>4577</v>
      </c>
      <c r="H200" s="52">
        <v>2515.0200000000004</v>
      </c>
      <c r="I200" s="53">
        <v>23791.87</v>
      </c>
      <c r="J200" s="49"/>
    </row>
    <row r="201" spans="1:10" x14ac:dyDescent="0.2">
      <c r="A201" s="50">
        <f t="shared" si="3"/>
        <v>45126</v>
      </c>
      <c r="B201" s="51">
        <v>6859.41</v>
      </c>
      <c r="C201" s="52">
        <v>4109.3999999999996</v>
      </c>
      <c r="D201" s="52">
        <v>3521.3</v>
      </c>
      <c r="E201" s="52">
        <v>1352.59</v>
      </c>
      <c r="F201" s="52">
        <v>5431.8</v>
      </c>
      <c r="G201" s="52">
        <v>5017.83</v>
      </c>
      <c r="H201" s="52">
        <v>2848.6600000000003</v>
      </c>
      <c r="I201" s="53">
        <v>23443.670000000002</v>
      </c>
      <c r="J201" s="49"/>
    </row>
    <row r="202" spans="1:10" x14ac:dyDescent="0.2">
      <c r="A202" s="50">
        <f t="shared" si="3"/>
        <v>45127</v>
      </c>
      <c r="B202" s="51">
        <v>7189</v>
      </c>
      <c r="C202" s="52">
        <v>4317</v>
      </c>
      <c r="D202" s="52">
        <v>3316</v>
      </c>
      <c r="E202" s="52">
        <v>2237</v>
      </c>
      <c r="F202" s="52">
        <v>5994</v>
      </c>
      <c r="G202" s="52">
        <v>5105</v>
      </c>
      <c r="H202" s="52">
        <v>2964</v>
      </c>
      <c r="I202" s="53">
        <v>25194</v>
      </c>
      <c r="J202" s="49"/>
    </row>
    <row r="203" spans="1:10" x14ac:dyDescent="0.2">
      <c r="A203" s="50">
        <f t="shared" si="3"/>
        <v>45128</v>
      </c>
      <c r="B203" s="51">
        <v>7662.25</v>
      </c>
      <c r="C203" s="52">
        <v>4472.47</v>
      </c>
      <c r="D203" s="52">
        <v>3527.84</v>
      </c>
      <c r="E203" s="52">
        <v>2344.2199999999998</v>
      </c>
      <c r="F203" s="52">
        <v>6209.15</v>
      </c>
      <c r="G203" s="52">
        <v>4934.74</v>
      </c>
      <c r="H203" s="52">
        <v>2796.16</v>
      </c>
      <c r="I203" s="53">
        <v>26354.51</v>
      </c>
      <c r="J203" s="49"/>
    </row>
    <row r="204" spans="1:10" x14ac:dyDescent="0.2">
      <c r="A204" s="50">
        <f t="shared" si="3"/>
        <v>45129</v>
      </c>
      <c r="B204" s="51">
        <v>7717.54</v>
      </c>
      <c r="C204" s="52">
        <v>4374.3</v>
      </c>
      <c r="D204" s="52">
        <v>3396.39</v>
      </c>
      <c r="E204" s="52">
        <v>1892.24</v>
      </c>
      <c r="F204" s="52">
        <v>5868.07</v>
      </c>
      <c r="G204" s="52">
        <v>4117.18</v>
      </c>
      <c r="H204" s="52">
        <v>2280.46</v>
      </c>
      <c r="I204" s="53">
        <v>25085.260000000002</v>
      </c>
      <c r="J204" s="49"/>
    </row>
    <row r="205" spans="1:10" x14ac:dyDescent="0.2">
      <c r="A205" s="50">
        <f t="shared" si="3"/>
        <v>45130</v>
      </c>
      <c r="B205" s="51">
        <v>7780.29</v>
      </c>
      <c r="C205" s="52">
        <v>4360.79</v>
      </c>
      <c r="D205" s="52">
        <v>3335.44</v>
      </c>
      <c r="E205" s="52">
        <v>2614.64</v>
      </c>
      <c r="F205" s="52">
        <v>6336.63</v>
      </c>
      <c r="G205" s="52">
        <v>4348.67</v>
      </c>
      <c r="H205" s="52">
        <v>2083.38</v>
      </c>
      <c r="I205" s="53">
        <v>26693.079999999998</v>
      </c>
      <c r="J205" s="49"/>
    </row>
    <row r="206" spans="1:10" x14ac:dyDescent="0.2">
      <c r="A206" s="50">
        <f t="shared" si="3"/>
        <v>45131</v>
      </c>
      <c r="B206" s="51">
        <v>8107</v>
      </c>
      <c r="C206" s="52">
        <v>4695</v>
      </c>
      <c r="D206" s="52">
        <v>3496</v>
      </c>
      <c r="E206" s="52">
        <v>3415</v>
      </c>
      <c r="F206" s="52">
        <v>6793</v>
      </c>
      <c r="G206" s="52">
        <v>5020</v>
      </c>
      <c r="H206" s="52">
        <v>2668.42</v>
      </c>
      <c r="I206" s="53">
        <v>28857.58</v>
      </c>
      <c r="J206" s="49"/>
    </row>
    <row r="207" spans="1:10" x14ac:dyDescent="0.2">
      <c r="A207" s="50">
        <f t="shared" si="3"/>
        <v>45132</v>
      </c>
      <c r="B207" s="51">
        <v>7897.56</v>
      </c>
      <c r="C207" s="52">
        <v>4708.2</v>
      </c>
      <c r="D207" s="52">
        <v>3491.13</v>
      </c>
      <c r="E207" s="52">
        <v>2536.7600000000002</v>
      </c>
      <c r="F207" s="52">
        <v>6638.7</v>
      </c>
      <c r="G207" s="52">
        <v>5094.2700000000004</v>
      </c>
      <c r="H207" s="52">
        <v>2584.25</v>
      </c>
      <c r="I207" s="53">
        <v>27782.370000000003</v>
      </c>
      <c r="J207" s="49"/>
    </row>
    <row r="208" spans="1:10" x14ac:dyDescent="0.2">
      <c r="A208" s="50">
        <f t="shared" si="3"/>
        <v>45133</v>
      </c>
      <c r="B208" s="51">
        <v>7968.76</v>
      </c>
      <c r="C208" s="52">
        <v>4750.1400000000003</v>
      </c>
      <c r="D208" s="52">
        <v>3554.54</v>
      </c>
      <c r="E208" s="52">
        <v>2506.1999999999998</v>
      </c>
      <c r="F208" s="52">
        <v>6493.93</v>
      </c>
      <c r="G208" s="52">
        <v>5322.38</v>
      </c>
      <c r="H208" s="52">
        <v>2613.08</v>
      </c>
      <c r="I208" s="53">
        <v>27982.870000000003</v>
      </c>
      <c r="J208" s="49"/>
    </row>
    <row r="209" spans="1:10" x14ac:dyDescent="0.2">
      <c r="A209" s="50">
        <f t="shared" si="3"/>
        <v>45134</v>
      </c>
      <c r="B209" s="51">
        <v>7825.14</v>
      </c>
      <c r="C209" s="52">
        <v>4619.8100000000004</v>
      </c>
      <c r="D209" s="52">
        <v>3535.8</v>
      </c>
      <c r="E209" s="52">
        <v>2101.88</v>
      </c>
      <c r="F209" s="52">
        <v>6384.33</v>
      </c>
      <c r="G209" s="52">
        <v>5401.37</v>
      </c>
      <c r="H209" s="52">
        <v>2853.34</v>
      </c>
      <c r="I209" s="53">
        <v>27014.989999999998</v>
      </c>
      <c r="J209" s="49"/>
    </row>
    <row r="210" spans="1:10" x14ac:dyDescent="0.2">
      <c r="A210" s="50">
        <f t="shared" si="3"/>
        <v>45135</v>
      </c>
      <c r="B210" s="51">
        <v>7902</v>
      </c>
      <c r="C210" s="52">
        <v>4792</v>
      </c>
      <c r="D210" s="52">
        <v>3491</v>
      </c>
      <c r="E210" s="52">
        <v>2456</v>
      </c>
      <c r="F210" s="52">
        <v>6535</v>
      </c>
      <c r="G210" s="52">
        <v>4696</v>
      </c>
      <c r="H210" s="52">
        <v>2732</v>
      </c>
      <c r="I210" s="53">
        <v>27140</v>
      </c>
      <c r="J210" s="49"/>
    </row>
    <row r="211" spans="1:10" x14ac:dyDescent="0.2">
      <c r="A211" s="50">
        <f t="shared" si="3"/>
        <v>45136</v>
      </c>
      <c r="B211" s="51">
        <v>7598.76</v>
      </c>
      <c r="C211" s="52">
        <v>4367.28</v>
      </c>
      <c r="D211" s="52">
        <v>3363.98</v>
      </c>
      <c r="E211" s="52">
        <v>1354.72</v>
      </c>
      <c r="F211" s="52">
        <v>5826.32</v>
      </c>
      <c r="G211" s="52">
        <v>3746.8</v>
      </c>
      <c r="H211" s="52">
        <v>1918.45</v>
      </c>
      <c r="I211" s="53">
        <v>24339.41</v>
      </c>
      <c r="J211" s="49"/>
    </row>
    <row r="212" spans="1:10" x14ac:dyDescent="0.2">
      <c r="A212" s="50">
        <f t="shared" si="3"/>
        <v>45137</v>
      </c>
      <c r="B212" s="51">
        <v>7768.96</v>
      </c>
      <c r="C212" s="52">
        <v>4362.1000000000004</v>
      </c>
      <c r="D212" s="52">
        <v>3311</v>
      </c>
      <c r="E212" s="52">
        <v>1902.18</v>
      </c>
      <c r="F212" s="52">
        <v>6259.47</v>
      </c>
      <c r="G212" s="52">
        <v>4021.45</v>
      </c>
      <c r="H212" s="52">
        <v>1770.18</v>
      </c>
      <c r="I212" s="53">
        <v>25854.980000000003</v>
      </c>
      <c r="J212" s="49"/>
    </row>
    <row r="213" spans="1:10" x14ac:dyDescent="0.2">
      <c r="A213" s="50">
        <f t="shared" si="3"/>
        <v>45138</v>
      </c>
      <c r="B213" s="51">
        <v>8158</v>
      </c>
      <c r="C213" s="52">
        <v>4871.0200000000004</v>
      </c>
      <c r="D213" s="52">
        <v>3479.91</v>
      </c>
      <c r="E213" s="52">
        <v>2255.65</v>
      </c>
      <c r="F213" s="52">
        <v>6464.2</v>
      </c>
      <c r="G213" s="52">
        <v>5031.91</v>
      </c>
      <c r="H213" s="52">
        <v>2625.17</v>
      </c>
      <c r="I213" s="53">
        <v>27635.520000000004</v>
      </c>
      <c r="J213" s="49"/>
    </row>
    <row r="214" spans="1:10" x14ac:dyDescent="0.2">
      <c r="A214" s="50">
        <f t="shared" si="3"/>
        <v>45139</v>
      </c>
      <c r="B214" s="51">
        <v>7801</v>
      </c>
      <c r="C214" s="52">
        <v>4676</v>
      </c>
      <c r="D214" s="52">
        <v>3576</v>
      </c>
      <c r="E214" s="52">
        <v>2019</v>
      </c>
      <c r="F214" s="52">
        <v>6168</v>
      </c>
      <c r="G214" s="52">
        <v>5216</v>
      </c>
      <c r="H214" s="52">
        <v>2679</v>
      </c>
      <c r="I214" s="53">
        <v>26777</v>
      </c>
      <c r="J214" s="49"/>
    </row>
    <row r="215" spans="1:10" x14ac:dyDescent="0.2">
      <c r="A215" s="50">
        <f t="shared" si="3"/>
        <v>45140</v>
      </c>
      <c r="B215" s="51">
        <v>7780.14</v>
      </c>
      <c r="C215" s="52">
        <v>4699.29</v>
      </c>
      <c r="D215" s="52">
        <v>3431.21</v>
      </c>
      <c r="E215" s="52">
        <v>1941.09</v>
      </c>
      <c r="F215" s="52">
        <v>6161.94</v>
      </c>
      <c r="G215" s="52">
        <v>5382.16</v>
      </c>
      <c r="H215" s="52">
        <v>2643.2999999999997</v>
      </c>
      <c r="I215" s="53">
        <v>26752.53</v>
      </c>
      <c r="J215" s="49"/>
    </row>
    <row r="216" spans="1:10" x14ac:dyDescent="0.2">
      <c r="A216" s="50">
        <f t="shared" si="3"/>
        <v>45141</v>
      </c>
      <c r="B216" s="51">
        <v>8049.08</v>
      </c>
      <c r="C216" s="52">
        <v>4693.9399999999996</v>
      </c>
      <c r="D216" s="52">
        <v>3403.94</v>
      </c>
      <c r="E216" s="52">
        <v>2894.82</v>
      </c>
      <c r="F216" s="52">
        <v>6046.54</v>
      </c>
      <c r="G216" s="52">
        <v>5530</v>
      </c>
      <c r="H216" s="52">
        <v>2600.41</v>
      </c>
      <c r="I216" s="53">
        <v>28017.910000000003</v>
      </c>
      <c r="J216" s="49"/>
    </row>
    <row r="217" spans="1:10" x14ac:dyDescent="0.2">
      <c r="A217" s="50">
        <f t="shared" si="3"/>
        <v>45142</v>
      </c>
      <c r="B217" s="51">
        <v>7801.4</v>
      </c>
      <c r="C217" s="52">
        <v>4644.53</v>
      </c>
      <c r="D217" s="52">
        <v>3397.78</v>
      </c>
      <c r="E217" s="52">
        <v>3811.06</v>
      </c>
      <c r="F217" s="52">
        <v>4982.13</v>
      </c>
      <c r="G217" s="52">
        <v>5300.6</v>
      </c>
      <c r="H217" s="52">
        <v>2526.44</v>
      </c>
      <c r="I217" s="53">
        <v>27411.06</v>
      </c>
      <c r="J217" s="49"/>
    </row>
    <row r="218" spans="1:10" x14ac:dyDescent="0.2">
      <c r="A218" s="50">
        <f t="shared" si="3"/>
        <v>45143</v>
      </c>
      <c r="B218" s="51">
        <v>7514</v>
      </c>
      <c r="C218" s="52">
        <v>4409</v>
      </c>
      <c r="D218" s="52">
        <v>3316</v>
      </c>
      <c r="E218" s="52">
        <v>3324</v>
      </c>
      <c r="F218" s="52">
        <v>4839</v>
      </c>
      <c r="G218" s="52">
        <v>4599</v>
      </c>
      <c r="H218" s="52">
        <v>1958</v>
      </c>
      <c r="I218" s="53">
        <v>26043</v>
      </c>
      <c r="J218" s="49"/>
    </row>
    <row r="219" spans="1:10" x14ac:dyDescent="0.2">
      <c r="A219" s="50">
        <f t="shared" si="3"/>
        <v>45144</v>
      </c>
      <c r="B219" s="51">
        <v>7389.26</v>
      </c>
      <c r="C219" s="52">
        <v>4475.32</v>
      </c>
      <c r="D219" s="52">
        <v>3445.41</v>
      </c>
      <c r="E219" s="52">
        <v>2646.67</v>
      </c>
      <c r="F219" s="52">
        <v>4830.58</v>
      </c>
      <c r="G219" s="52">
        <v>4214.8900000000003</v>
      </c>
      <c r="H219" s="52">
        <v>1830.6</v>
      </c>
      <c r="I219" s="53">
        <v>25171.53</v>
      </c>
      <c r="J219" s="49"/>
    </row>
    <row r="220" spans="1:10" x14ac:dyDescent="0.2">
      <c r="A220" s="50">
        <f t="shared" si="3"/>
        <v>45145</v>
      </c>
      <c r="B220" s="51">
        <v>7523.87</v>
      </c>
      <c r="C220" s="52">
        <v>4801.5600000000004</v>
      </c>
      <c r="D220" s="52">
        <v>3540.3</v>
      </c>
      <c r="E220" s="52">
        <v>2429.09</v>
      </c>
      <c r="F220" s="52">
        <v>4960.08</v>
      </c>
      <c r="G220" s="52">
        <v>5352.41</v>
      </c>
      <c r="H220" s="52">
        <v>2743.83</v>
      </c>
      <c r="I220" s="53">
        <v>25863.480000000003</v>
      </c>
      <c r="J220" s="49"/>
    </row>
    <row r="221" spans="1:10" x14ac:dyDescent="0.2">
      <c r="A221" s="50">
        <f t="shared" si="3"/>
        <v>45146</v>
      </c>
      <c r="B221" s="51">
        <v>7514</v>
      </c>
      <c r="C221" s="52">
        <v>4736.4799999999996</v>
      </c>
      <c r="D221" s="52">
        <v>3664.99</v>
      </c>
      <c r="E221" s="52">
        <v>3197.49</v>
      </c>
      <c r="F221" s="52">
        <v>4382.71</v>
      </c>
      <c r="G221" s="52">
        <v>5930.57</v>
      </c>
      <c r="H221" s="52">
        <v>2953.13</v>
      </c>
      <c r="I221" s="53">
        <v>26473.109999999997</v>
      </c>
      <c r="J221" s="49"/>
    </row>
    <row r="222" spans="1:10" x14ac:dyDescent="0.2">
      <c r="A222" s="50">
        <f t="shared" si="3"/>
        <v>45147</v>
      </c>
      <c r="B222" s="51">
        <v>7820</v>
      </c>
      <c r="C222" s="52">
        <v>4725</v>
      </c>
      <c r="D222" s="52">
        <v>3640</v>
      </c>
      <c r="E222" s="52">
        <v>4266</v>
      </c>
      <c r="F222" s="52">
        <v>4985</v>
      </c>
      <c r="G222" s="52">
        <v>5768</v>
      </c>
      <c r="H222" s="52">
        <v>2829</v>
      </c>
      <c r="I222" s="53">
        <v>28375</v>
      </c>
      <c r="J222" s="49"/>
    </row>
    <row r="223" spans="1:10" x14ac:dyDescent="0.2">
      <c r="A223" s="50">
        <f t="shared" si="3"/>
        <v>45148</v>
      </c>
      <c r="B223" s="51">
        <v>7677.1</v>
      </c>
      <c r="C223" s="52">
        <v>4879.28</v>
      </c>
      <c r="D223" s="52">
        <v>3728.65</v>
      </c>
      <c r="E223" s="52">
        <v>2274.44</v>
      </c>
      <c r="F223" s="52">
        <v>4852.4399999999996</v>
      </c>
      <c r="G223" s="52">
        <v>5719.94</v>
      </c>
      <c r="H223" s="52">
        <v>2879.4</v>
      </c>
      <c r="I223" s="53">
        <v>26252.449999999997</v>
      </c>
      <c r="J223" s="49"/>
    </row>
    <row r="224" spans="1:10" x14ac:dyDescent="0.2">
      <c r="A224" s="50">
        <f t="shared" ref="A224:A287" si="4">A223+1</f>
        <v>45149</v>
      </c>
      <c r="B224" s="51">
        <v>7563.32</v>
      </c>
      <c r="C224" s="52">
        <v>4669.5200000000004</v>
      </c>
      <c r="D224" s="52">
        <v>3715.31</v>
      </c>
      <c r="E224" s="52">
        <v>3506.56</v>
      </c>
      <c r="F224" s="52">
        <v>5140.1499999999996</v>
      </c>
      <c r="G224" s="52">
        <v>5637.83</v>
      </c>
      <c r="H224" s="52">
        <v>2839.8199999999997</v>
      </c>
      <c r="I224" s="53">
        <v>27392.870000000003</v>
      </c>
      <c r="J224" s="49"/>
    </row>
    <row r="225" spans="1:10" x14ac:dyDescent="0.2">
      <c r="A225" s="50">
        <f t="shared" si="4"/>
        <v>45150</v>
      </c>
      <c r="B225" s="51">
        <v>7581.99</v>
      </c>
      <c r="C225" s="52">
        <v>4358.1400000000003</v>
      </c>
      <c r="D225" s="52">
        <v>3587.48</v>
      </c>
      <c r="E225" s="52">
        <v>3718.12</v>
      </c>
      <c r="F225" s="52">
        <v>4491.7700000000004</v>
      </c>
      <c r="G225" s="52">
        <v>4313.6899999999996</v>
      </c>
      <c r="H225" s="52">
        <v>2061.87</v>
      </c>
      <c r="I225" s="53">
        <v>25989.32</v>
      </c>
      <c r="J225" s="49"/>
    </row>
    <row r="226" spans="1:10" x14ac:dyDescent="0.2">
      <c r="A226" s="50">
        <f t="shared" si="4"/>
        <v>45151</v>
      </c>
      <c r="B226" s="51">
        <v>7059</v>
      </c>
      <c r="C226" s="52">
        <v>4210</v>
      </c>
      <c r="D226" s="52">
        <v>3557</v>
      </c>
      <c r="E226" s="52">
        <v>2944</v>
      </c>
      <c r="F226" s="52">
        <v>4223</v>
      </c>
      <c r="G226" s="52">
        <v>4002</v>
      </c>
      <c r="H226" s="52">
        <v>1784</v>
      </c>
      <c r="I226" s="53">
        <v>24211</v>
      </c>
      <c r="J226" s="49"/>
    </row>
    <row r="227" spans="1:10" x14ac:dyDescent="0.2">
      <c r="A227" s="50">
        <f t="shared" si="4"/>
        <v>45152</v>
      </c>
      <c r="B227" s="51">
        <v>7674.34</v>
      </c>
      <c r="C227" s="52">
        <v>4485.72</v>
      </c>
      <c r="D227" s="52">
        <v>3661.36</v>
      </c>
      <c r="E227" s="52">
        <v>3767.17</v>
      </c>
      <c r="F227" s="52">
        <v>4445.74</v>
      </c>
      <c r="G227" s="52">
        <v>5217.45</v>
      </c>
      <c r="H227" s="52">
        <v>2786.25</v>
      </c>
      <c r="I227" s="53">
        <v>26465.530000000002</v>
      </c>
      <c r="J227" s="49"/>
    </row>
    <row r="228" spans="1:10" x14ac:dyDescent="0.2">
      <c r="A228" s="50">
        <f t="shared" si="4"/>
        <v>45153</v>
      </c>
      <c r="B228" s="51">
        <v>7712.63</v>
      </c>
      <c r="C228" s="52">
        <v>4505.6000000000004</v>
      </c>
      <c r="D228" s="52">
        <v>3630</v>
      </c>
      <c r="E228" s="52">
        <v>3853.8</v>
      </c>
      <c r="F228" s="52">
        <v>4696.97</v>
      </c>
      <c r="G228" s="52">
        <v>5201.1400000000003</v>
      </c>
      <c r="H228" s="52">
        <v>2661.36</v>
      </c>
      <c r="I228" s="53">
        <v>26938.78</v>
      </c>
      <c r="J228" s="49"/>
    </row>
    <row r="229" spans="1:10" x14ac:dyDescent="0.2">
      <c r="A229" s="50">
        <f t="shared" si="4"/>
        <v>45154</v>
      </c>
      <c r="B229" s="51">
        <v>7716.07</v>
      </c>
      <c r="C229" s="52">
        <v>4653.9799999999996</v>
      </c>
      <c r="D229" s="52">
        <v>3548.84</v>
      </c>
      <c r="E229" s="52">
        <v>3492.98</v>
      </c>
      <c r="F229" s="52">
        <v>4616.79</v>
      </c>
      <c r="G229" s="52">
        <v>5257.45</v>
      </c>
      <c r="H229" s="52">
        <v>2803.43</v>
      </c>
      <c r="I229" s="53">
        <v>26482.68</v>
      </c>
      <c r="J229" s="49"/>
    </row>
    <row r="230" spans="1:10" x14ac:dyDescent="0.2">
      <c r="A230" s="50">
        <f t="shared" si="4"/>
        <v>45155</v>
      </c>
      <c r="B230" s="51">
        <v>7744</v>
      </c>
      <c r="C230" s="52">
        <v>4907</v>
      </c>
      <c r="D230" s="52">
        <v>3528</v>
      </c>
      <c r="E230" s="52">
        <v>3241</v>
      </c>
      <c r="F230" s="52">
        <v>4899</v>
      </c>
      <c r="G230" s="52">
        <v>5263</v>
      </c>
      <c r="H230" s="52">
        <v>2880</v>
      </c>
      <c r="I230" s="53">
        <v>26702</v>
      </c>
      <c r="J230" s="49"/>
    </row>
    <row r="231" spans="1:10" x14ac:dyDescent="0.2">
      <c r="A231" s="50">
        <f t="shared" si="4"/>
        <v>45156</v>
      </c>
      <c r="B231" s="51">
        <v>7800.46</v>
      </c>
      <c r="C231" s="52">
        <v>4954.8999999999996</v>
      </c>
      <c r="D231" s="52">
        <v>3576.52</v>
      </c>
      <c r="E231" s="52">
        <v>3516</v>
      </c>
      <c r="F231" s="52">
        <v>5031.93</v>
      </c>
      <c r="G231" s="52">
        <v>5217.5</v>
      </c>
      <c r="H231" s="52">
        <v>2699.64</v>
      </c>
      <c r="I231" s="53">
        <v>27397.670000000002</v>
      </c>
      <c r="J231" s="49"/>
    </row>
    <row r="232" spans="1:10" x14ac:dyDescent="0.2">
      <c r="A232" s="50">
        <f t="shared" si="4"/>
        <v>45157</v>
      </c>
      <c r="B232" s="51">
        <v>7586.3</v>
      </c>
      <c r="C232" s="52">
        <v>4545.4799999999996</v>
      </c>
      <c r="D232" s="52">
        <v>3274.47</v>
      </c>
      <c r="E232" s="52">
        <v>3014.53</v>
      </c>
      <c r="F232" s="52">
        <v>4844.22</v>
      </c>
      <c r="G232" s="52">
        <v>4237.75</v>
      </c>
      <c r="H232" s="52">
        <v>2007.77</v>
      </c>
      <c r="I232" s="53">
        <v>25494.98</v>
      </c>
      <c r="J232" s="49"/>
    </row>
    <row r="233" spans="1:10" x14ac:dyDescent="0.2">
      <c r="A233" s="50">
        <f t="shared" si="4"/>
        <v>45158</v>
      </c>
      <c r="B233" s="51">
        <v>7701.55</v>
      </c>
      <c r="C233" s="52">
        <v>4474.5</v>
      </c>
      <c r="D233" s="52">
        <v>3346.89</v>
      </c>
      <c r="E233" s="52">
        <v>3684.74</v>
      </c>
      <c r="F233" s="52">
        <v>4972.43</v>
      </c>
      <c r="G233" s="52">
        <v>4128.6400000000003</v>
      </c>
      <c r="H233" s="52">
        <v>1736.0900000000001</v>
      </c>
      <c r="I233" s="53">
        <v>26572.66</v>
      </c>
      <c r="J233" s="49"/>
    </row>
    <row r="234" spans="1:10" x14ac:dyDescent="0.2">
      <c r="A234" s="50">
        <f t="shared" si="4"/>
        <v>45159</v>
      </c>
      <c r="B234" s="51">
        <v>7674</v>
      </c>
      <c r="C234" s="52">
        <v>4591</v>
      </c>
      <c r="D234" s="52">
        <v>3529</v>
      </c>
      <c r="E234" s="52">
        <v>3835</v>
      </c>
      <c r="F234" s="52">
        <v>4824</v>
      </c>
      <c r="G234" s="52">
        <v>5634</v>
      </c>
      <c r="H234" s="52">
        <v>2910</v>
      </c>
      <c r="I234" s="53">
        <v>27177</v>
      </c>
      <c r="J234" s="49"/>
    </row>
    <row r="235" spans="1:10" x14ac:dyDescent="0.2">
      <c r="A235" s="50">
        <f t="shared" si="4"/>
        <v>45160</v>
      </c>
      <c r="B235" s="51">
        <v>7738.68</v>
      </c>
      <c r="C235" s="52">
        <v>4586.32</v>
      </c>
      <c r="D235" s="52">
        <v>3604.17</v>
      </c>
      <c r="E235" s="52">
        <v>3721.98</v>
      </c>
      <c r="F235" s="52">
        <v>4973.58</v>
      </c>
      <c r="G235" s="52">
        <v>5618.7</v>
      </c>
      <c r="H235" s="52">
        <v>2885.8600000000006</v>
      </c>
      <c r="I235" s="53">
        <v>27357.570000000003</v>
      </c>
      <c r="J235" s="49"/>
    </row>
    <row r="236" spans="1:10" x14ac:dyDescent="0.2">
      <c r="A236" s="50">
        <f t="shared" si="4"/>
        <v>45161</v>
      </c>
      <c r="B236" s="51">
        <v>7906.87</v>
      </c>
      <c r="C236" s="52">
        <v>4507.21</v>
      </c>
      <c r="D236" s="52">
        <v>3574.32</v>
      </c>
      <c r="E236" s="52">
        <v>3794.14</v>
      </c>
      <c r="F236" s="52">
        <v>4744.29</v>
      </c>
      <c r="G236" s="52">
        <v>5647.97</v>
      </c>
      <c r="H236" s="52">
        <v>2898.0799999999995</v>
      </c>
      <c r="I236" s="53">
        <v>27276.720000000005</v>
      </c>
      <c r="J236" s="49"/>
    </row>
    <row r="237" spans="1:10" x14ac:dyDescent="0.2">
      <c r="A237" s="50">
        <f t="shared" si="4"/>
        <v>45162</v>
      </c>
      <c r="B237" s="51">
        <v>7544.22</v>
      </c>
      <c r="C237" s="52">
        <v>4400.3999999999996</v>
      </c>
      <c r="D237" s="52">
        <v>3577.85</v>
      </c>
      <c r="E237" s="52">
        <v>3956.8</v>
      </c>
      <c r="F237" s="52">
        <v>5014.09</v>
      </c>
      <c r="G237" s="52">
        <v>5726.9</v>
      </c>
      <c r="H237" s="52">
        <v>2964.3199999999997</v>
      </c>
      <c r="I237" s="53">
        <v>27255.940000000002</v>
      </c>
      <c r="J237" s="49"/>
    </row>
    <row r="238" spans="1:10" x14ac:dyDescent="0.2">
      <c r="A238" s="50">
        <f t="shared" si="4"/>
        <v>45163</v>
      </c>
      <c r="B238" s="51">
        <v>7359</v>
      </c>
      <c r="C238" s="52">
        <v>4519</v>
      </c>
      <c r="D238" s="52">
        <v>3572</v>
      </c>
      <c r="E238" s="52">
        <v>2917</v>
      </c>
      <c r="F238" s="52">
        <v>4213</v>
      </c>
      <c r="G238" s="52">
        <v>5961</v>
      </c>
      <c r="H238" s="52">
        <v>3036</v>
      </c>
      <c r="I238" s="53">
        <v>25505</v>
      </c>
      <c r="J238" s="49"/>
    </row>
    <row r="239" spans="1:10" x14ac:dyDescent="0.2">
      <c r="A239" s="50">
        <f t="shared" si="4"/>
        <v>45164</v>
      </c>
      <c r="B239" s="51">
        <v>7557.13</v>
      </c>
      <c r="C239" s="52">
        <v>4176.76</v>
      </c>
      <c r="D239" s="52">
        <v>3466.83</v>
      </c>
      <c r="E239" s="52">
        <v>3233.45</v>
      </c>
      <c r="F239" s="52">
        <v>4564.5</v>
      </c>
      <c r="G239" s="52">
        <v>4874.72</v>
      </c>
      <c r="H239" s="52">
        <v>2269.7200000000003</v>
      </c>
      <c r="I239" s="53">
        <v>25603.67</v>
      </c>
      <c r="J239" s="49"/>
    </row>
    <row r="240" spans="1:10" x14ac:dyDescent="0.2">
      <c r="A240" s="50">
        <f t="shared" si="4"/>
        <v>45165</v>
      </c>
      <c r="B240" s="51">
        <v>7729</v>
      </c>
      <c r="C240" s="52">
        <v>4092.3</v>
      </c>
      <c r="D240" s="52">
        <v>3334.65</v>
      </c>
      <c r="E240" s="52">
        <v>3658.3</v>
      </c>
      <c r="F240" s="52">
        <v>4387</v>
      </c>
      <c r="G240" s="52">
        <v>4168.8999999999996</v>
      </c>
      <c r="H240" s="52">
        <v>1701.35</v>
      </c>
      <c r="I240" s="53">
        <v>25668.800000000003</v>
      </c>
      <c r="J240" s="49"/>
    </row>
    <row r="241" spans="1:10" x14ac:dyDescent="0.2">
      <c r="A241" s="50">
        <f t="shared" si="4"/>
        <v>45166</v>
      </c>
      <c r="B241" s="51">
        <v>7747.56</v>
      </c>
      <c r="C241" s="52">
        <v>4383.92</v>
      </c>
      <c r="D241" s="52">
        <v>3620.84</v>
      </c>
      <c r="E241" s="52">
        <v>3352.58</v>
      </c>
      <c r="F241" s="52">
        <v>4519.4399999999996</v>
      </c>
      <c r="G241" s="52">
        <v>5563.96</v>
      </c>
      <c r="H241" s="52">
        <v>2886.4200000000005</v>
      </c>
      <c r="I241" s="53">
        <v>26301.879999999997</v>
      </c>
      <c r="J241" s="49"/>
    </row>
    <row r="242" spans="1:10" x14ac:dyDescent="0.2">
      <c r="A242" s="50">
        <f t="shared" si="4"/>
        <v>45167</v>
      </c>
      <c r="B242" s="51">
        <v>7852</v>
      </c>
      <c r="C242" s="52">
        <v>4572</v>
      </c>
      <c r="D242" s="52">
        <v>3623</v>
      </c>
      <c r="E242" s="52">
        <v>3785</v>
      </c>
      <c r="F242" s="52">
        <v>4562</v>
      </c>
      <c r="G242" s="52">
        <v>6058</v>
      </c>
      <c r="H242" s="52">
        <v>3028</v>
      </c>
      <c r="I242" s="53">
        <v>27424</v>
      </c>
      <c r="J242" s="49"/>
    </row>
    <row r="243" spans="1:10" x14ac:dyDescent="0.2">
      <c r="A243" s="50">
        <f t="shared" si="4"/>
        <v>45168</v>
      </c>
      <c r="B243" s="51">
        <v>8050.52</v>
      </c>
      <c r="C243" s="52">
        <v>4596.26</v>
      </c>
      <c r="D243" s="52">
        <v>3720.26</v>
      </c>
      <c r="E243" s="52">
        <v>3327.96</v>
      </c>
      <c r="F243" s="52">
        <v>4817.3900000000003</v>
      </c>
      <c r="G243" s="52">
        <v>6120.04</v>
      </c>
      <c r="H243" s="52">
        <v>3074.0099999999998</v>
      </c>
      <c r="I243" s="53">
        <v>27558.420000000002</v>
      </c>
      <c r="J243" s="49"/>
    </row>
    <row r="244" spans="1:10" x14ac:dyDescent="0.2">
      <c r="A244" s="50">
        <f t="shared" si="4"/>
        <v>45169</v>
      </c>
      <c r="B244" s="51">
        <v>7822.22</v>
      </c>
      <c r="C244" s="52">
        <v>4566.75</v>
      </c>
      <c r="D244" s="52">
        <v>3617.61</v>
      </c>
      <c r="E244" s="52">
        <v>3253.6</v>
      </c>
      <c r="F244" s="52">
        <v>4394.6000000000004</v>
      </c>
      <c r="G244" s="52">
        <v>5972.61</v>
      </c>
      <c r="H244" s="52">
        <v>2959.9000000000005</v>
      </c>
      <c r="I244" s="53">
        <v>26667.489999999998</v>
      </c>
      <c r="J244" s="49"/>
    </row>
    <row r="245" spans="1:10" x14ac:dyDescent="0.2">
      <c r="A245" s="50">
        <f t="shared" si="4"/>
        <v>45170</v>
      </c>
      <c r="B245" s="51">
        <v>7809.34</v>
      </c>
      <c r="C245" s="52">
        <v>4332.63</v>
      </c>
      <c r="D245" s="52">
        <v>3579.38</v>
      </c>
      <c r="E245" s="52">
        <v>3109.43</v>
      </c>
      <c r="F245" s="52">
        <v>4242.3</v>
      </c>
      <c r="G245" s="52">
        <v>6001.7</v>
      </c>
      <c r="H245" s="52">
        <v>2989.86</v>
      </c>
      <c r="I245" s="53">
        <v>26084.920000000002</v>
      </c>
      <c r="J245" s="49"/>
    </row>
    <row r="246" spans="1:10" x14ac:dyDescent="0.2">
      <c r="A246" s="50">
        <f t="shared" si="4"/>
        <v>45171</v>
      </c>
      <c r="B246" s="51">
        <v>7848</v>
      </c>
      <c r="C246" s="52">
        <v>4083</v>
      </c>
      <c r="D246" s="52">
        <v>3348</v>
      </c>
      <c r="E246" s="52">
        <v>3711</v>
      </c>
      <c r="F246" s="52">
        <v>4706</v>
      </c>
      <c r="G246" s="52">
        <v>4697</v>
      </c>
      <c r="H246" s="52">
        <v>2280</v>
      </c>
      <c r="I246" s="53">
        <v>26113</v>
      </c>
      <c r="J246" s="49"/>
    </row>
    <row r="247" spans="1:10" x14ac:dyDescent="0.2">
      <c r="A247" s="50">
        <f t="shared" si="4"/>
        <v>45172</v>
      </c>
      <c r="B247" s="51">
        <v>7679.64</v>
      </c>
      <c r="C247" s="52">
        <v>4128.3500000000004</v>
      </c>
      <c r="D247" s="52">
        <v>3451.63</v>
      </c>
      <c r="E247" s="52">
        <v>3580.6</v>
      </c>
      <c r="F247" s="52">
        <v>4485.7299999999996</v>
      </c>
      <c r="G247" s="52">
        <v>4595.34</v>
      </c>
      <c r="H247" s="52">
        <v>2169.8700000000003</v>
      </c>
      <c r="I247" s="53">
        <v>25751.420000000002</v>
      </c>
      <c r="J247" s="49"/>
    </row>
    <row r="248" spans="1:10" x14ac:dyDescent="0.2">
      <c r="A248" s="50">
        <f t="shared" si="4"/>
        <v>45173</v>
      </c>
      <c r="B248" s="51">
        <v>8077.1</v>
      </c>
      <c r="C248" s="52">
        <v>4356.0200000000004</v>
      </c>
      <c r="D248" s="52">
        <v>3471.39</v>
      </c>
      <c r="E248" s="52">
        <v>3614.6</v>
      </c>
      <c r="F248" s="52">
        <v>4538.2700000000004</v>
      </c>
      <c r="G248" s="52">
        <v>5702.74</v>
      </c>
      <c r="H248" s="52">
        <v>3065.21</v>
      </c>
      <c r="I248" s="53">
        <v>26694.910000000003</v>
      </c>
      <c r="J248" s="49"/>
    </row>
    <row r="249" spans="1:10" x14ac:dyDescent="0.2">
      <c r="A249" s="50">
        <f t="shared" si="4"/>
        <v>45174</v>
      </c>
      <c r="B249" s="51">
        <v>7892.16</v>
      </c>
      <c r="C249" s="52">
        <v>4495.8</v>
      </c>
      <c r="D249" s="52">
        <v>3517.16</v>
      </c>
      <c r="E249" s="52">
        <v>3290.08</v>
      </c>
      <c r="F249" s="52">
        <v>4515.49</v>
      </c>
      <c r="G249" s="52">
        <v>5710.05</v>
      </c>
      <c r="H249" s="52">
        <v>2973.6299999999997</v>
      </c>
      <c r="I249" s="53">
        <v>26447.109999999993</v>
      </c>
      <c r="J249" s="49"/>
    </row>
    <row r="250" spans="1:10" x14ac:dyDescent="0.2">
      <c r="A250" s="50">
        <f t="shared" si="4"/>
        <v>45175</v>
      </c>
      <c r="B250" s="51">
        <v>7834</v>
      </c>
      <c r="C250" s="52">
        <v>4405</v>
      </c>
      <c r="D250" s="52">
        <v>3556</v>
      </c>
      <c r="E250" s="52">
        <v>3627</v>
      </c>
      <c r="F250" s="52">
        <v>4737</v>
      </c>
      <c r="G250" s="52">
        <v>5924</v>
      </c>
      <c r="H250" s="52">
        <v>2984</v>
      </c>
      <c r="I250" s="53">
        <v>27099</v>
      </c>
      <c r="J250" s="49"/>
    </row>
    <row r="251" spans="1:10" x14ac:dyDescent="0.2">
      <c r="A251" s="50">
        <f t="shared" si="4"/>
        <v>45176</v>
      </c>
      <c r="B251" s="51">
        <v>7769.37</v>
      </c>
      <c r="C251" s="52">
        <v>4435.2700000000004</v>
      </c>
      <c r="D251" s="52">
        <v>3472.55</v>
      </c>
      <c r="E251" s="52">
        <v>3864.84</v>
      </c>
      <c r="F251" s="52">
        <v>5008.28</v>
      </c>
      <c r="G251" s="52">
        <v>5862.84</v>
      </c>
      <c r="H251" s="52">
        <v>3129.3900000000003</v>
      </c>
      <c r="I251" s="53">
        <v>27283.759999999998</v>
      </c>
      <c r="J251" s="49"/>
    </row>
    <row r="252" spans="1:10" x14ac:dyDescent="0.2">
      <c r="A252" s="50">
        <f t="shared" si="4"/>
        <v>45177</v>
      </c>
      <c r="B252" s="51">
        <v>8234.0300000000007</v>
      </c>
      <c r="C252" s="52">
        <v>4627.42</v>
      </c>
      <c r="D252" s="52">
        <v>3478.83</v>
      </c>
      <c r="E252" s="52">
        <v>3903.44</v>
      </c>
      <c r="F252" s="52">
        <v>4980.2700000000004</v>
      </c>
      <c r="G252" s="52">
        <v>5440.12</v>
      </c>
      <c r="H252" s="52">
        <v>2929.52</v>
      </c>
      <c r="I252" s="53">
        <v>27734.59</v>
      </c>
      <c r="J252" s="49"/>
    </row>
    <row r="253" spans="1:10" x14ac:dyDescent="0.2">
      <c r="A253" s="50">
        <f t="shared" si="4"/>
        <v>45178</v>
      </c>
      <c r="B253" s="51">
        <v>7938.35</v>
      </c>
      <c r="C253" s="52">
        <v>4308.87</v>
      </c>
      <c r="D253" s="52">
        <v>3423.53</v>
      </c>
      <c r="E253" s="52">
        <v>3938</v>
      </c>
      <c r="F253" s="52">
        <v>4852.47</v>
      </c>
      <c r="G253" s="52">
        <v>4369</v>
      </c>
      <c r="H253" s="52">
        <v>2073.7399999999998</v>
      </c>
      <c r="I253" s="53">
        <v>26756.480000000003</v>
      </c>
      <c r="J253" s="49"/>
    </row>
    <row r="254" spans="1:10" x14ac:dyDescent="0.2">
      <c r="A254" s="50">
        <f t="shared" si="4"/>
        <v>45179</v>
      </c>
      <c r="B254" s="51">
        <v>7823</v>
      </c>
      <c r="C254" s="52">
        <v>4138</v>
      </c>
      <c r="D254" s="52">
        <v>3409</v>
      </c>
      <c r="E254" s="52">
        <v>3511</v>
      </c>
      <c r="F254" s="52">
        <v>4711</v>
      </c>
      <c r="G254" s="52">
        <v>4600</v>
      </c>
      <c r="H254" s="52">
        <v>2086</v>
      </c>
      <c r="I254" s="53">
        <v>26106</v>
      </c>
      <c r="J254" s="49"/>
    </row>
    <row r="255" spans="1:10" x14ac:dyDescent="0.2">
      <c r="A255" s="50">
        <f t="shared" si="4"/>
        <v>45180</v>
      </c>
      <c r="B255" s="51">
        <v>7815.89</v>
      </c>
      <c r="C255" s="52">
        <v>4428.8100000000004</v>
      </c>
      <c r="D255" s="52">
        <v>3560.95</v>
      </c>
      <c r="E255" s="52">
        <v>3519.09</v>
      </c>
      <c r="F255" s="52">
        <v>4774.95</v>
      </c>
      <c r="G255" s="52">
        <v>5963.75</v>
      </c>
      <c r="H255" s="52">
        <v>3092.1899999999996</v>
      </c>
      <c r="I255" s="53">
        <v>26971.250000000004</v>
      </c>
      <c r="J255" s="49"/>
    </row>
    <row r="256" spans="1:10" x14ac:dyDescent="0.2">
      <c r="A256" s="50">
        <f t="shared" si="4"/>
        <v>45181</v>
      </c>
      <c r="B256" s="51">
        <v>6843.55</v>
      </c>
      <c r="C256" s="52">
        <v>4479.1400000000003</v>
      </c>
      <c r="D256" s="52">
        <v>2575.44</v>
      </c>
      <c r="E256" s="52">
        <v>3780.85</v>
      </c>
      <c r="F256" s="52">
        <v>4937.63</v>
      </c>
      <c r="G256" s="52">
        <v>4681.3500000000004</v>
      </c>
      <c r="H256" s="52">
        <v>2583.19</v>
      </c>
      <c r="I256" s="53">
        <v>24714.77</v>
      </c>
      <c r="J256" s="49"/>
    </row>
    <row r="257" spans="1:10" x14ac:dyDescent="0.2">
      <c r="A257" s="50">
        <f t="shared" si="4"/>
        <v>45182</v>
      </c>
      <c r="B257" s="51">
        <v>7540.69</v>
      </c>
      <c r="C257" s="52">
        <v>4523.63</v>
      </c>
      <c r="D257" s="52">
        <v>2752.53</v>
      </c>
      <c r="E257" s="52">
        <v>4441.09</v>
      </c>
      <c r="F257" s="52">
        <v>5063.41</v>
      </c>
      <c r="G257" s="52">
        <v>5921.81</v>
      </c>
      <c r="H257" s="52">
        <v>3011.54</v>
      </c>
      <c r="I257" s="53">
        <v>27231.620000000003</v>
      </c>
      <c r="J257" s="49"/>
    </row>
    <row r="258" spans="1:10" x14ac:dyDescent="0.2">
      <c r="A258" s="50">
        <f t="shared" si="4"/>
        <v>45183</v>
      </c>
      <c r="B258" s="51">
        <v>8001</v>
      </c>
      <c r="C258" s="52">
        <v>4556</v>
      </c>
      <c r="D258" s="52">
        <v>3431</v>
      </c>
      <c r="E258" s="52">
        <v>3680</v>
      </c>
      <c r="F258" s="52">
        <v>4772</v>
      </c>
      <c r="G258" s="52">
        <v>5769</v>
      </c>
      <c r="H258" s="52">
        <v>3000</v>
      </c>
      <c r="I258" s="53">
        <v>27209</v>
      </c>
      <c r="J258" s="49"/>
    </row>
    <row r="259" spans="1:10" x14ac:dyDescent="0.2">
      <c r="A259" s="50">
        <f t="shared" si="4"/>
        <v>45184</v>
      </c>
      <c r="B259" s="51">
        <v>7849.97</v>
      </c>
      <c r="C259" s="52">
        <v>4398.7299999999996</v>
      </c>
      <c r="D259" s="52">
        <v>3352.87</v>
      </c>
      <c r="E259" s="52">
        <v>3512.38</v>
      </c>
      <c r="F259" s="52">
        <v>4560.05</v>
      </c>
      <c r="G259" s="52">
        <v>5639.35</v>
      </c>
      <c r="H259" s="52">
        <v>2943.29</v>
      </c>
      <c r="I259" s="53">
        <v>26370.059999999998</v>
      </c>
      <c r="J259" s="49"/>
    </row>
    <row r="260" spans="1:10" x14ac:dyDescent="0.2">
      <c r="A260" s="50">
        <f t="shared" si="4"/>
        <v>45185</v>
      </c>
      <c r="B260" s="51">
        <v>7169.44</v>
      </c>
      <c r="C260" s="52">
        <v>4143.68</v>
      </c>
      <c r="D260" s="52">
        <v>3066.17</v>
      </c>
      <c r="E260" s="52">
        <v>2753.93</v>
      </c>
      <c r="F260" s="52">
        <v>4058.71</v>
      </c>
      <c r="G260" s="52">
        <v>4470.88</v>
      </c>
      <c r="H260" s="52">
        <v>2023.12</v>
      </c>
      <c r="I260" s="53">
        <v>23639.69</v>
      </c>
      <c r="J260" s="49"/>
    </row>
    <row r="261" spans="1:10" x14ac:dyDescent="0.2">
      <c r="A261" s="50">
        <f t="shared" si="4"/>
        <v>45186</v>
      </c>
      <c r="B261" s="51">
        <v>7129.93</v>
      </c>
      <c r="C261" s="52">
        <v>3858.39</v>
      </c>
      <c r="D261" s="52">
        <v>3129.02</v>
      </c>
      <c r="E261" s="52">
        <v>3254.22</v>
      </c>
      <c r="F261" s="52">
        <v>4180.2</v>
      </c>
      <c r="G261" s="52">
        <v>4466.08</v>
      </c>
      <c r="H261" s="52">
        <v>1960.91</v>
      </c>
      <c r="I261" s="53">
        <v>24056.930000000004</v>
      </c>
      <c r="J261" s="49"/>
    </row>
    <row r="262" spans="1:10" x14ac:dyDescent="0.2">
      <c r="A262" s="50">
        <f t="shared" si="4"/>
        <v>45187</v>
      </c>
      <c r="B262" s="51">
        <v>7336</v>
      </c>
      <c r="C262" s="52">
        <v>4509</v>
      </c>
      <c r="D262" s="52">
        <v>3200</v>
      </c>
      <c r="E262" s="52">
        <v>3378</v>
      </c>
      <c r="F262" s="52">
        <v>3797</v>
      </c>
      <c r="G262" s="52">
        <v>5506</v>
      </c>
      <c r="H262" s="52">
        <v>3088</v>
      </c>
      <c r="I262" s="53">
        <v>24638</v>
      </c>
      <c r="J262" s="49"/>
    </row>
    <row r="263" spans="1:10" x14ac:dyDescent="0.2">
      <c r="A263" s="50">
        <f t="shared" si="4"/>
        <v>45188</v>
      </c>
      <c r="B263" s="51">
        <v>8154.73</v>
      </c>
      <c r="C263" s="52">
        <v>4441.83</v>
      </c>
      <c r="D263" s="52">
        <v>3582.2</v>
      </c>
      <c r="E263" s="52">
        <v>4585.83</v>
      </c>
      <c r="F263" s="52">
        <v>4332.1400000000003</v>
      </c>
      <c r="G263" s="52">
        <v>5945.98</v>
      </c>
      <c r="H263" s="52">
        <v>3195.94</v>
      </c>
      <c r="I263" s="53">
        <v>27846.769999999997</v>
      </c>
      <c r="J263" s="49"/>
    </row>
    <row r="264" spans="1:10" x14ac:dyDescent="0.2">
      <c r="A264" s="50">
        <f t="shared" si="4"/>
        <v>45189</v>
      </c>
      <c r="B264" s="51">
        <v>7828.06</v>
      </c>
      <c r="C264" s="52">
        <v>4490.18</v>
      </c>
      <c r="D264" s="52">
        <v>3769.84</v>
      </c>
      <c r="E264" s="52">
        <v>3500.24</v>
      </c>
      <c r="F264" s="52">
        <v>4510.1400000000003</v>
      </c>
      <c r="G264" s="52">
        <v>5956.11</v>
      </c>
      <c r="H264" s="52">
        <v>3185.6899999999996</v>
      </c>
      <c r="I264" s="53">
        <v>26868.880000000001</v>
      </c>
      <c r="J264" s="49"/>
    </row>
    <row r="265" spans="1:10" x14ac:dyDescent="0.2">
      <c r="A265" s="50">
        <f t="shared" si="4"/>
        <v>45190</v>
      </c>
      <c r="B265" s="51">
        <v>7854</v>
      </c>
      <c r="C265" s="52">
        <v>4476.8100000000004</v>
      </c>
      <c r="D265" s="52">
        <v>3774.13</v>
      </c>
      <c r="E265" s="52">
        <v>3878.7</v>
      </c>
      <c r="F265" s="52">
        <v>4698.7</v>
      </c>
      <c r="G265" s="52">
        <v>6097.64</v>
      </c>
      <c r="H265" s="52">
        <v>3153.5099999999998</v>
      </c>
      <c r="I265" s="53">
        <v>27626.470000000005</v>
      </c>
      <c r="J265" s="49"/>
    </row>
    <row r="266" spans="1:10" x14ac:dyDescent="0.2">
      <c r="A266" s="50">
        <f t="shared" si="4"/>
        <v>45191</v>
      </c>
      <c r="B266" s="51">
        <v>7780</v>
      </c>
      <c r="C266" s="52">
        <v>4540</v>
      </c>
      <c r="D266" s="52">
        <v>3725</v>
      </c>
      <c r="E266" s="52">
        <v>2952</v>
      </c>
      <c r="F266" s="52">
        <v>4319</v>
      </c>
      <c r="G266" s="52">
        <v>5374</v>
      </c>
      <c r="H266" s="52">
        <v>2946</v>
      </c>
      <c r="I266" s="53">
        <v>25744</v>
      </c>
      <c r="J266" s="49"/>
    </row>
    <row r="267" spans="1:10" x14ac:dyDescent="0.2">
      <c r="A267" s="50">
        <f t="shared" si="4"/>
        <v>45192</v>
      </c>
      <c r="B267" s="51">
        <v>7804.98</v>
      </c>
      <c r="C267" s="52">
        <v>4120.7299999999996</v>
      </c>
      <c r="D267" s="52">
        <v>3641.05</v>
      </c>
      <c r="E267" s="52">
        <v>3613.07</v>
      </c>
      <c r="F267" s="52">
        <v>4296.6099999999997</v>
      </c>
      <c r="G267" s="52">
        <v>4424.88</v>
      </c>
      <c r="H267" s="52">
        <v>2239.69</v>
      </c>
      <c r="I267" s="53">
        <v>25661.63</v>
      </c>
      <c r="J267" s="49"/>
    </row>
    <row r="268" spans="1:10" x14ac:dyDescent="0.2">
      <c r="A268" s="50">
        <f t="shared" si="4"/>
        <v>45193</v>
      </c>
      <c r="B268" s="51">
        <v>7949.76</v>
      </c>
      <c r="C268" s="52">
        <v>4149.2299999999996</v>
      </c>
      <c r="D268" s="52">
        <v>3489.25</v>
      </c>
      <c r="E268" s="52">
        <v>3735.85</v>
      </c>
      <c r="F268" s="52">
        <v>4405.26</v>
      </c>
      <c r="G268" s="52">
        <v>4354.34</v>
      </c>
      <c r="H268" s="52">
        <v>2103.38</v>
      </c>
      <c r="I268" s="53">
        <v>25980.309999999998</v>
      </c>
      <c r="J268" s="49"/>
    </row>
    <row r="269" spans="1:10" x14ac:dyDescent="0.2">
      <c r="A269" s="50">
        <f t="shared" si="4"/>
        <v>45194</v>
      </c>
      <c r="B269" s="51">
        <v>8179.33</v>
      </c>
      <c r="C269" s="52">
        <v>4503.24</v>
      </c>
      <c r="D269" s="52">
        <v>3767.54</v>
      </c>
      <c r="E269" s="52">
        <v>3914.31</v>
      </c>
      <c r="F269" s="52">
        <v>4660.54</v>
      </c>
      <c r="G269" s="52">
        <v>5604.09</v>
      </c>
      <c r="H269" s="52">
        <v>3279.5699999999997</v>
      </c>
      <c r="I269" s="53">
        <v>27349.480000000003</v>
      </c>
      <c r="J269" s="49"/>
    </row>
    <row r="270" spans="1:10" x14ac:dyDescent="0.2">
      <c r="A270" s="50">
        <f t="shared" si="4"/>
        <v>45195</v>
      </c>
      <c r="B270" s="51">
        <v>7771</v>
      </c>
      <c r="C270" s="52">
        <v>4516</v>
      </c>
      <c r="D270" s="52">
        <v>3841</v>
      </c>
      <c r="E270" s="52">
        <v>3447</v>
      </c>
      <c r="F270" s="52">
        <v>4439</v>
      </c>
      <c r="G270" s="52">
        <v>5696</v>
      </c>
      <c r="H270" s="52">
        <v>3212.6299999999997</v>
      </c>
      <c r="I270" s="53">
        <v>26497.37</v>
      </c>
      <c r="J270" s="49"/>
    </row>
    <row r="271" spans="1:10" x14ac:dyDescent="0.2">
      <c r="A271" s="50">
        <f t="shared" si="4"/>
        <v>45196</v>
      </c>
      <c r="B271" s="51">
        <v>8446.82</v>
      </c>
      <c r="C271" s="52">
        <v>4601.51</v>
      </c>
      <c r="D271" s="52">
        <v>3923.78</v>
      </c>
      <c r="E271" s="52">
        <v>4004.04</v>
      </c>
      <c r="F271" s="52">
        <v>5078.49</v>
      </c>
      <c r="G271" s="52">
        <v>5856.88</v>
      </c>
      <c r="H271" s="52">
        <v>3241.96</v>
      </c>
      <c r="I271" s="53">
        <v>28669.56</v>
      </c>
      <c r="J271" s="49"/>
    </row>
    <row r="272" spans="1:10" x14ac:dyDescent="0.2">
      <c r="A272" s="50">
        <f t="shared" si="4"/>
        <v>45197</v>
      </c>
      <c r="B272" s="51">
        <v>8405.06</v>
      </c>
      <c r="C272" s="52">
        <v>4675.43</v>
      </c>
      <c r="D272" s="52">
        <v>3862.25</v>
      </c>
      <c r="E272" s="52">
        <v>3698.49</v>
      </c>
      <c r="F272" s="52">
        <v>4766.97</v>
      </c>
      <c r="G272" s="52">
        <v>5965.02</v>
      </c>
      <c r="H272" s="52">
        <v>3160.9999999999995</v>
      </c>
      <c r="I272" s="53">
        <v>28212.219999999998</v>
      </c>
      <c r="J272" s="49"/>
    </row>
    <row r="273" spans="1:10" x14ac:dyDescent="0.2">
      <c r="A273" s="50">
        <f t="shared" si="4"/>
        <v>45198</v>
      </c>
      <c r="B273" s="51">
        <v>8314.81</v>
      </c>
      <c r="C273" s="52">
        <v>4697.17</v>
      </c>
      <c r="D273" s="52">
        <v>3881.16</v>
      </c>
      <c r="E273" s="52">
        <v>3220.26</v>
      </c>
      <c r="F273" s="52">
        <v>4686.95</v>
      </c>
      <c r="G273" s="52">
        <v>6072.02</v>
      </c>
      <c r="H273" s="52">
        <v>3300.39</v>
      </c>
      <c r="I273" s="53">
        <v>27571.980000000003</v>
      </c>
      <c r="J273" s="49"/>
    </row>
    <row r="274" spans="1:10" x14ac:dyDescent="0.2">
      <c r="A274" s="50">
        <f t="shared" si="4"/>
        <v>45199</v>
      </c>
      <c r="B274" s="51">
        <v>7880</v>
      </c>
      <c r="C274" s="52">
        <v>4611</v>
      </c>
      <c r="D274" s="52">
        <v>3746</v>
      </c>
      <c r="E274" s="52">
        <v>3674</v>
      </c>
      <c r="F274" s="52">
        <v>4816</v>
      </c>
      <c r="G274" s="52">
        <v>5257</v>
      </c>
      <c r="H274" s="52">
        <v>2525</v>
      </c>
      <c r="I274" s="53">
        <v>27459</v>
      </c>
      <c r="J274" s="49"/>
    </row>
    <row r="275" spans="1:10" x14ac:dyDescent="0.2">
      <c r="A275" s="50">
        <f t="shared" si="4"/>
        <v>45200</v>
      </c>
      <c r="B275" s="51">
        <v>8050.16</v>
      </c>
      <c r="C275" s="52">
        <v>4425.8500000000004</v>
      </c>
      <c r="D275" s="52">
        <v>3757.86</v>
      </c>
      <c r="E275" s="52">
        <v>3618.07</v>
      </c>
      <c r="F275" s="52">
        <v>4882.34</v>
      </c>
      <c r="G275" s="52">
        <v>5080.05</v>
      </c>
      <c r="H275" s="52">
        <v>2496.3000000000002</v>
      </c>
      <c r="I275" s="53">
        <v>27318.030000000002</v>
      </c>
      <c r="J275" s="49"/>
    </row>
    <row r="276" spans="1:10" x14ac:dyDescent="0.2">
      <c r="A276" s="50">
        <f t="shared" si="4"/>
        <v>45201</v>
      </c>
      <c r="B276" s="51">
        <v>8719.7099999999991</v>
      </c>
      <c r="C276" s="52">
        <v>4712.6899999999996</v>
      </c>
      <c r="D276" s="52">
        <v>3813.75</v>
      </c>
      <c r="E276" s="52">
        <v>4113.1400000000003</v>
      </c>
      <c r="F276" s="52">
        <v>5056.6499999999996</v>
      </c>
      <c r="G276" s="52">
        <v>6075.35</v>
      </c>
      <c r="H276" s="52">
        <v>3095.2900000000004</v>
      </c>
      <c r="I276" s="53">
        <v>29395.999999999993</v>
      </c>
      <c r="J276" s="49"/>
    </row>
    <row r="277" spans="1:10" x14ac:dyDescent="0.2">
      <c r="A277" s="50">
        <f t="shared" si="4"/>
        <v>45202</v>
      </c>
      <c r="B277" s="51">
        <v>8522.86</v>
      </c>
      <c r="C277" s="52">
        <v>4773.78</v>
      </c>
      <c r="D277" s="52">
        <v>3874.13</v>
      </c>
      <c r="E277" s="52">
        <v>3633.73</v>
      </c>
      <c r="F277" s="52">
        <v>4671.2700000000004</v>
      </c>
      <c r="G277" s="52">
        <v>6116.1</v>
      </c>
      <c r="H277" s="52">
        <v>3248.49</v>
      </c>
      <c r="I277" s="53">
        <v>28343.380000000005</v>
      </c>
      <c r="J277" s="49"/>
    </row>
    <row r="278" spans="1:10" x14ac:dyDescent="0.2">
      <c r="A278" s="50">
        <f t="shared" si="4"/>
        <v>45203</v>
      </c>
      <c r="B278" s="51">
        <v>8413</v>
      </c>
      <c r="C278" s="52">
        <v>4757</v>
      </c>
      <c r="D278" s="52">
        <v>3880</v>
      </c>
      <c r="E278" s="52">
        <v>3762</v>
      </c>
      <c r="F278" s="52">
        <v>4678</v>
      </c>
      <c r="G278" s="52">
        <v>6004</v>
      </c>
      <c r="H278" s="52">
        <v>3239</v>
      </c>
      <c r="I278" s="53">
        <v>28255</v>
      </c>
      <c r="J278" s="49"/>
    </row>
    <row r="279" spans="1:10" x14ac:dyDescent="0.2">
      <c r="A279" s="50">
        <f t="shared" si="4"/>
        <v>45204</v>
      </c>
      <c r="B279" s="51">
        <v>8376.5</v>
      </c>
      <c r="C279" s="52">
        <v>4679.21</v>
      </c>
      <c r="D279" s="52">
        <v>3860.63</v>
      </c>
      <c r="E279" s="52">
        <v>3316.05</v>
      </c>
      <c r="F279" s="52">
        <v>4737.28</v>
      </c>
      <c r="G279" s="52">
        <v>6106.55</v>
      </c>
      <c r="H279" s="52">
        <v>3201.1299999999997</v>
      </c>
      <c r="I279" s="53">
        <v>27875.089999999997</v>
      </c>
      <c r="J279" s="49"/>
    </row>
    <row r="280" spans="1:10" x14ac:dyDescent="0.2">
      <c r="A280" s="50">
        <f t="shared" si="4"/>
        <v>45205</v>
      </c>
      <c r="B280" s="51">
        <v>8645.59</v>
      </c>
      <c r="C280" s="52">
        <v>4801.6400000000003</v>
      </c>
      <c r="D280" s="52">
        <v>3810.61</v>
      </c>
      <c r="E280" s="52">
        <v>4456.16</v>
      </c>
      <c r="F280" s="52">
        <v>5094.63</v>
      </c>
      <c r="G280" s="52">
        <v>5936.02</v>
      </c>
      <c r="H280" s="52">
        <v>3198.9400000000005</v>
      </c>
      <c r="I280" s="53">
        <v>29545.71</v>
      </c>
      <c r="J280" s="49"/>
    </row>
    <row r="281" spans="1:10" x14ac:dyDescent="0.2">
      <c r="A281" s="50">
        <f t="shared" si="4"/>
        <v>45206</v>
      </c>
      <c r="B281" s="51">
        <v>8236.1</v>
      </c>
      <c r="C281" s="52">
        <v>4384.51</v>
      </c>
      <c r="D281" s="52">
        <v>3667.19</v>
      </c>
      <c r="E281" s="52">
        <v>3695.08</v>
      </c>
      <c r="F281" s="52">
        <v>4482.2</v>
      </c>
      <c r="G281" s="52">
        <v>5200.29</v>
      </c>
      <c r="H281" s="52">
        <v>2717.6000000000004</v>
      </c>
      <c r="I281" s="53">
        <v>26947.770000000004</v>
      </c>
      <c r="J281" s="49"/>
    </row>
    <row r="282" spans="1:10" x14ac:dyDescent="0.2">
      <c r="A282" s="50">
        <f t="shared" si="4"/>
        <v>45207</v>
      </c>
      <c r="B282" s="51">
        <v>7983</v>
      </c>
      <c r="C282" s="52">
        <v>4357</v>
      </c>
      <c r="D282" s="52">
        <v>3569</v>
      </c>
      <c r="E282" s="52">
        <v>3405</v>
      </c>
      <c r="F282" s="52">
        <v>4428</v>
      </c>
      <c r="G282" s="52">
        <v>5109</v>
      </c>
      <c r="H282" s="52">
        <v>2487</v>
      </c>
      <c r="I282" s="53">
        <v>26364</v>
      </c>
      <c r="J282" s="49"/>
    </row>
    <row r="283" spans="1:10" x14ac:dyDescent="0.2">
      <c r="A283" s="50">
        <f t="shared" si="4"/>
        <v>45208</v>
      </c>
      <c r="B283" s="51">
        <v>8261.17</v>
      </c>
      <c r="C283" s="52">
        <v>4571.76</v>
      </c>
      <c r="D283" s="52">
        <v>3863.41</v>
      </c>
      <c r="E283" s="52">
        <v>3429.63</v>
      </c>
      <c r="F283" s="52">
        <v>4460.4399999999996</v>
      </c>
      <c r="G283" s="52">
        <v>5979.5</v>
      </c>
      <c r="H283" s="52">
        <v>3382.7599999999998</v>
      </c>
      <c r="I283" s="53">
        <v>27183.15</v>
      </c>
      <c r="J283" s="49"/>
    </row>
    <row r="284" spans="1:10" x14ac:dyDescent="0.2">
      <c r="A284" s="50">
        <f t="shared" si="4"/>
        <v>45209</v>
      </c>
      <c r="B284" s="51">
        <v>8223.64</v>
      </c>
      <c r="C284" s="52">
        <v>4786.3</v>
      </c>
      <c r="D284" s="52">
        <v>4056.08</v>
      </c>
      <c r="E284" s="52">
        <v>3602.11</v>
      </c>
      <c r="F284" s="52">
        <v>4418.0200000000004</v>
      </c>
      <c r="G284" s="52">
        <v>5572.96</v>
      </c>
      <c r="H284" s="52">
        <v>3317.28</v>
      </c>
      <c r="I284" s="53">
        <v>27341.829999999998</v>
      </c>
      <c r="J284" s="49"/>
    </row>
    <row r="285" spans="1:10" x14ac:dyDescent="0.2">
      <c r="A285" s="50">
        <f t="shared" si="4"/>
        <v>45210</v>
      </c>
      <c r="B285" s="51">
        <v>8052.1</v>
      </c>
      <c r="C285" s="52">
        <v>4718.78</v>
      </c>
      <c r="D285" s="52">
        <v>4087.65</v>
      </c>
      <c r="E285" s="52">
        <v>2994.66</v>
      </c>
      <c r="F285" s="52">
        <v>3913.93</v>
      </c>
      <c r="G285" s="52">
        <v>5924.3</v>
      </c>
      <c r="H285" s="52">
        <v>3186.46</v>
      </c>
      <c r="I285" s="53">
        <v>26504.960000000003</v>
      </c>
      <c r="J285" s="49"/>
    </row>
    <row r="286" spans="1:10" x14ac:dyDescent="0.2">
      <c r="A286" s="50">
        <f t="shared" si="4"/>
        <v>45211</v>
      </c>
      <c r="B286" s="51">
        <v>7970</v>
      </c>
      <c r="C286" s="52">
        <v>4883</v>
      </c>
      <c r="D286" s="52">
        <v>4073</v>
      </c>
      <c r="E286" s="52">
        <v>2788</v>
      </c>
      <c r="F286" s="52">
        <v>3827</v>
      </c>
      <c r="G286" s="52">
        <v>6057</v>
      </c>
      <c r="H286" s="52">
        <v>3103</v>
      </c>
      <c r="I286" s="53">
        <v>26495</v>
      </c>
      <c r="J286" s="49"/>
    </row>
    <row r="287" spans="1:10" x14ac:dyDescent="0.2">
      <c r="A287" s="50">
        <f t="shared" si="4"/>
        <v>45212</v>
      </c>
      <c r="B287" s="51">
        <v>8041.01</v>
      </c>
      <c r="C287" s="52">
        <v>4638.8</v>
      </c>
      <c r="D287" s="52">
        <v>4067.64</v>
      </c>
      <c r="E287" s="52">
        <v>3623.57</v>
      </c>
      <c r="F287" s="52">
        <v>4442.66</v>
      </c>
      <c r="G287" s="52">
        <v>5838.3</v>
      </c>
      <c r="H287" s="52">
        <v>2817.12</v>
      </c>
      <c r="I287" s="53">
        <v>27834.86</v>
      </c>
      <c r="J287" s="49"/>
    </row>
    <row r="288" spans="1:10" x14ac:dyDescent="0.2">
      <c r="A288" s="50">
        <f t="shared" ref="A288:A351" si="5">A287+1</f>
        <v>45213</v>
      </c>
      <c r="B288" s="51">
        <v>7726.72</v>
      </c>
      <c r="C288" s="52">
        <v>4508.47</v>
      </c>
      <c r="D288" s="52">
        <v>3733.89</v>
      </c>
      <c r="E288" s="52">
        <v>3656.34</v>
      </c>
      <c r="F288" s="52">
        <v>4360.37</v>
      </c>
      <c r="G288" s="52">
        <v>4722.96</v>
      </c>
      <c r="H288" s="52">
        <v>2353.3500000000004</v>
      </c>
      <c r="I288" s="53">
        <v>26355.399999999994</v>
      </c>
      <c r="J288" s="49"/>
    </row>
    <row r="289" spans="1:10" x14ac:dyDescent="0.2">
      <c r="A289" s="50">
        <f t="shared" si="5"/>
        <v>45214</v>
      </c>
      <c r="B289" s="51">
        <v>7895.18</v>
      </c>
      <c r="C289" s="52">
        <v>4375.58</v>
      </c>
      <c r="D289" s="52">
        <v>3792.7</v>
      </c>
      <c r="E289" s="52">
        <v>3355.25</v>
      </c>
      <c r="F289" s="52">
        <v>4276.6499999999996</v>
      </c>
      <c r="G289" s="52">
        <v>4691.18</v>
      </c>
      <c r="H289" s="52">
        <v>2273.39</v>
      </c>
      <c r="I289" s="53">
        <v>26113.15</v>
      </c>
      <c r="J289" s="49"/>
    </row>
    <row r="290" spans="1:10" x14ac:dyDescent="0.2">
      <c r="A290" s="50">
        <f t="shared" si="5"/>
        <v>45215</v>
      </c>
      <c r="B290" s="51">
        <v>7797</v>
      </c>
      <c r="C290" s="52">
        <v>4795</v>
      </c>
      <c r="D290" s="52">
        <v>3873</v>
      </c>
      <c r="E290" s="52">
        <v>3012</v>
      </c>
      <c r="F290" s="52">
        <v>4219</v>
      </c>
      <c r="G290" s="52">
        <v>5336</v>
      </c>
      <c r="H290" s="52">
        <v>3044</v>
      </c>
      <c r="I290" s="53">
        <v>25988</v>
      </c>
      <c r="J290" s="49"/>
    </row>
    <row r="291" spans="1:10" x14ac:dyDescent="0.2">
      <c r="A291" s="50">
        <f t="shared" si="5"/>
        <v>45216</v>
      </c>
      <c r="B291" s="51">
        <v>8262.9</v>
      </c>
      <c r="C291" s="52">
        <v>4867</v>
      </c>
      <c r="D291" s="52">
        <v>4011.02</v>
      </c>
      <c r="E291" s="52">
        <v>3746.43</v>
      </c>
      <c r="F291" s="52">
        <v>4801.08</v>
      </c>
      <c r="G291" s="52">
        <v>5060.53</v>
      </c>
      <c r="H291" s="52">
        <v>2829.58</v>
      </c>
      <c r="I291" s="53">
        <v>27919.379999999997</v>
      </c>
      <c r="J291" s="49"/>
    </row>
    <row r="292" spans="1:10" x14ac:dyDescent="0.2">
      <c r="A292" s="50">
        <f t="shared" si="5"/>
        <v>45217</v>
      </c>
      <c r="B292" s="51">
        <v>8358.07</v>
      </c>
      <c r="C292" s="52">
        <v>4730.3599999999997</v>
      </c>
      <c r="D292" s="52">
        <v>3903.26</v>
      </c>
      <c r="E292" s="52">
        <v>3687.57</v>
      </c>
      <c r="F292" s="52">
        <v>5175.79</v>
      </c>
      <c r="G292" s="52">
        <v>5516.85</v>
      </c>
      <c r="H292" s="52">
        <v>3208.0099999999998</v>
      </c>
      <c r="I292" s="53">
        <v>28163.890000000003</v>
      </c>
      <c r="J292" s="49"/>
    </row>
    <row r="293" spans="1:10" x14ac:dyDescent="0.2">
      <c r="A293" s="50">
        <f t="shared" si="5"/>
        <v>45218</v>
      </c>
      <c r="B293" s="51">
        <v>7789.45</v>
      </c>
      <c r="C293" s="52">
        <v>4493.4799999999996</v>
      </c>
      <c r="D293" s="52">
        <v>3934.04</v>
      </c>
      <c r="E293" s="52">
        <v>3032.72</v>
      </c>
      <c r="F293" s="52">
        <v>3957.8</v>
      </c>
      <c r="G293" s="52">
        <v>6096.02</v>
      </c>
      <c r="H293" s="52">
        <v>3404.75</v>
      </c>
      <c r="I293" s="53">
        <v>25898.760000000002</v>
      </c>
      <c r="J293" s="49"/>
    </row>
    <row r="294" spans="1:10" x14ac:dyDescent="0.2">
      <c r="A294" s="50">
        <f t="shared" si="5"/>
        <v>45219</v>
      </c>
      <c r="B294" s="51">
        <v>8401</v>
      </c>
      <c r="C294" s="52">
        <v>4622</v>
      </c>
      <c r="D294" s="52">
        <v>4056</v>
      </c>
      <c r="E294" s="52">
        <v>3140</v>
      </c>
      <c r="F294" s="52">
        <v>4275</v>
      </c>
      <c r="G294" s="52">
        <v>5936</v>
      </c>
      <c r="H294" s="52">
        <v>3218</v>
      </c>
      <c r="I294" s="53">
        <v>27212</v>
      </c>
      <c r="J294" s="49"/>
    </row>
    <row r="295" spans="1:10" x14ac:dyDescent="0.2">
      <c r="A295" s="50">
        <f t="shared" si="5"/>
        <v>45220</v>
      </c>
      <c r="B295" s="51">
        <v>8538.1299999999992</v>
      </c>
      <c r="C295" s="52">
        <v>4329.99</v>
      </c>
      <c r="D295" s="52">
        <v>3786.63</v>
      </c>
      <c r="E295" s="52">
        <v>4428.01</v>
      </c>
      <c r="F295" s="52">
        <v>4847.88</v>
      </c>
      <c r="G295" s="52">
        <v>4787.3599999999997</v>
      </c>
      <c r="H295" s="52">
        <v>2342.2800000000002</v>
      </c>
      <c r="I295" s="53">
        <v>28375.720000000005</v>
      </c>
      <c r="J295" s="49"/>
    </row>
    <row r="296" spans="1:10" x14ac:dyDescent="0.2">
      <c r="A296" s="50">
        <f t="shared" si="5"/>
        <v>45221</v>
      </c>
      <c r="B296" s="51">
        <v>8300.42</v>
      </c>
      <c r="C296" s="52">
        <v>4158.09</v>
      </c>
      <c r="D296" s="52">
        <v>3823.71</v>
      </c>
      <c r="E296" s="52">
        <v>4233.6099999999997</v>
      </c>
      <c r="F296" s="52">
        <v>4951.24</v>
      </c>
      <c r="G296" s="52">
        <v>4653.1400000000003</v>
      </c>
      <c r="H296" s="52">
        <v>2231.4699999999998</v>
      </c>
      <c r="I296" s="53">
        <v>27888.739999999998</v>
      </c>
      <c r="J296" s="49"/>
    </row>
    <row r="297" spans="1:10" x14ac:dyDescent="0.2">
      <c r="A297" s="50">
        <f t="shared" si="5"/>
        <v>45222</v>
      </c>
      <c r="B297" s="51">
        <v>8893.07</v>
      </c>
      <c r="C297" s="52">
        <v>4573.6400000000003</v>
      </c>
      <c r="D297" s="52">
        <v>4659.75</v>
      </c>
      <c r="E297" s="52">
        <v>3757.28</v>
      </c>
      <c r="F297" s="52">
        <v>4822.3599999999997</v>
      </c>
      <c r="G297" s="52">
        <v>6084.91</v>
      </c>
      <c r="H297" s="52">
        <v>3460.95</v>
      </c>
      <c r="I297" s="53">
        <v>29330.059999999994</v>
      </c>
      <c r="J297" s="49"/>
    </row>
    <row r="298" spans="1:10" x14ac:dyDescent="0.2">
      <c r="A298" s="50">
        <f t="shared" si="5"/>
        <v>45223</v>
      </c>
      <c r="B298" s="51">
        <v>8954.48</v>
      </c>
      <c r="C298" s="52">
        <v>4719</v>
      </c>
      <c r="D298" s="52">
        <v>4525</v>
      </c>
      <c r="E298" s="52">
        <v>3769</v>
      </c>
      <c r="F298" s="52">
        <v>4976</v>
      </c>
      <c r="G298" s="52">
        <v>5963</v>
      </c>
      <c r="H298" s="52">
        <v>3312.88</v>
      </c>
      <c r="I298" s="53">
        <v>29593.599999999995</v>
      </c>
      <c r="J298" s="49"/>
    </row>
    <row r="299" spans="1:10" x14ac:dyDescent="0.2">
      <c r="A299" s="50">
        <f t="shared" si="5"/>
        <v>45224</v>
      </c>
      <c r="B299" s="51">
        <v>8252.5</v>
      </c>
      <c r="C299" s="52">
        <v>4668.1400000000003</v>
      </c>
      <c r="D299" s="52">
        <v>4398</v>
      </c>
      <c r="E299" s="52">
        <v>2671.86</v>
      </c>
      <c r="F299" s="52">
        <v>4952.01</v>
      </c>
      <c r="G299" s="52">
        <v>6108.27</v>
      </c>
      <c r="H299" s="52">
        <v>3345.0399999999995</v>
      </c>
      <c r="I299" s="53">
        <v>27705.74</v>
      </c>
      <c r="J299" s="49"/>
    </row>
    <row r="300" spans="1:10" x14ac:dyDescent="0.2">
      <c r="A300" s="50">
        <f t="shared" si="5"/>
        <v>45225</v>
      </c>
      <c r="B300" s="51">
        <v>8650.7000000000007</v>
      </c>
      <c r="C300" s="52">
        <v>4690.3</v>
      </c>
      <c r="D300" s="52">
        <v>4568.13</v>
      </c>
      <c r="E300" s="52">
        <v>4342.75</v>
      </c>
      <c r="F300" s="52">
        <v>3678.8</v>
      </c>
      <c r="G300" s="52">
        <v>6293.31</v>
      </c>
      <c r="H300" s="52">
        <v>3364.0899999999997</v>
      </c>
      <c r="I300" s="53">
        <v>28859.9</v>
      </c>
      <c r="J300" s="49"/>
    </row>
    <row r="301" spans="1:10" x14ac:dyDescent="0.2">
      <c r="A301" s="50">
        <f t="shared" si="5"/>
        <v>45226</v>
      </c>
      <c r="B301" s="51">
        <v>8643.7999999999993</v>
      </c>
      <c r="C301" s="52">
        <v>4620.3599999999997</v>
      </c>
      <c r="D301" s="52">
        <v>4627.2700000000004</v>
      </c>
      <c r="E301" s="52">
        <v>5168.08</v>
      </c>
      <c r="F301" s="52">
        <v>2746.76</v>
      </c>
      <c r="G301" s="52">
        <v>6430.92</v>
      </c>
      <c r="H301" s="52">
        <v>3261.9600000000005</v>
      </c>
      <c r="I301" s="53">
        <v>28975.230000000003</v>
      </c>
      <c r="J301" s="49"/>
    </row>
    <row r="302" spans="1:10" x14ac:dyDescent="0.2">
      <c r="A302" s="50">
        <f t="shared" si="5"/>
        <v>45227</v>
      </c>
      <c r="B302" s="51">
        <v>8242</v>
      </c>
      <c r="C302" s="52">
        <v>4411</v>
      </c>
      <c r="D302" s="52">
        <v>4513</v>
      </c>
      <c r="E302" s="52">
        <v>5475</v>
      </c>
      <c r="F302" s="52">
        <v>2996</v>
      </c>
      <c r="G302" s="52">
        <v>5575</v>
      </c>
      <c r="H302" s="52">
        <v>2319.1999999999998</v>
      </c>
      <c r="I302" s="53">
        <v>28892.799999999999</v>
      </c>
      <c r="J302" s="49"/>
    </row>
    <row r="303" spans="1:10" x14ac:dyDescent="0.2">
      <c r="A303" s="50">
        <f t="shared" si="5"/>
        <v>45228</v>
      </c>
      <c r="B303" s="51">
        <v>8005.04</v>
      </c>
      <c r="C303" s="52">
        <v>4534.9399999999996</v>
      </c>
      <c r="D303" s="52">
        <v>4073.03</v>
      </c>
      <c r="E303" s="52">
        <v>5416.93</v>
      </c>
      <c r="F303" s="52">
        <v>2925.54</v>
      </c>
      <c r="G303" s="52">
        <v>4992.54</v>
      </c>
      <c r="H303" s="52">
        <v>2226.9900000000002</v>
      </c>
      <c r="I303" s="53">
        <v>27721.03</v>
      </c>
      <c r="J303" s="49"/>
    </row>
    <row r="304" spans="1:10" x14ac:dyDescent="0.2">
      <c r="A304" s="50">
        <f t="shared" si="5"/>
        <v>45229</v>
      </c>
      <c r="B304" s="51">
        <v>7748.94</v>
      </c>
      <c r="C304" s="52">
        <v>4658.66</v>
      </c>
      <c r="D304" s="52">
        <v>3740.82</v>
      </c>
      <c r="E304" s="52">
        <v>5262.82</v>
      </c>
      <c r="F304" s="52">
        <v>2817.68</v>
      </c>
      <c r="G304" s="52">
        <v>6220.9</v>
      </c>
      <c r="H304" s="52">
        <v>3095.02</v>
      </c>
      <c r="I304" s="53">
        <v>27354.799999999999</v>
      </c>
      <c r="J304" s="49"/>
    </row>
    <row r="305" spans="1:10" x14ac:dyDescent="0.2">
      <c r="A305" s="50">
        <f t="shared" si="5"/>
        <v>45230</v>
      </c>
      <c r="B305" s="51">
        <v>7769.9</v>
      </c>
      <c r="C305" s="52">
        <v>4729.47</v>
      </c>
      <c r="D305" s="52">
        <v>3302.13</v>
      </c>
      <c r="E305" s="52">
        <v>5629.88</v>
      </c>
      <c r="F305" s="52">
        <v>3160.71</v>
      </c>
      <c r="G305" s="52">
        <v>6322.32</v>
      </c>
      <c r="H305" s="52">
        <v>3070.8599999999997</v>
      </c>
      <c r="I305" s="53">
        <v>27843.55</v>
      </c>
      <c r="J305" s="49"/>
    </row>
    <row r="306" spans="1:10" x14ac:dyDescent="0.2">
      <c r="A306" s="50">
        <f t="shared" si="5"/>
        <v>45231</v>
      </c>
      <c r="B306" s="51">
        <v>8293</v>
      </c>
      <c r="C306" s="52">
        <v>4922</v>
      </c>
      <c r="D306" s="52">
        <v>3295</v>
      </c>
      <c r="E306" s="52">
        <v>6089</v>
      </c>
      <c r="F306" s="52">
        <v>3545</v>
      </c>
      <c r="G306" s="52">
        <v>6168</v>
      </c>
      <c r="H306" s="52">
        <v>3196.8199999999997</v>
      </c>
      <c r="I306" s="53">
        <v>29115.18</v>
      </c>
      <c r="J306" s="49"/>
    </row>
    <row r="307" spans="1:10" x14ac:dyDescent="0.2">
      <c r="A307" s="50">
        <f t="shared" si="5"/>
        <v>45232</v>
      </c>
      <c r="B307" s="51">
        <v>7778.17</v>
      </c>
      <c r="C307" s="52">
        <v>4815.68</v>
      </c>
      <c r="D307" s="52">
        <v>3046.87</v>
      </c>
      <c r="E307" s="52">
        <v>5106.04</v>
      </c>
      <c r="F307" s="52">
        <v>2653.2</v>
      </c>
      <c r="G307" s="52">
        <v>5849.6</v>
      </c>
      <c r="H307" s="52">
        <v>2898.28</v>
      </c>
      <c r="I307" s="53">
        <v>26351.280000000006</v>
      </c>
      <c r="J307" s="49"/>
    </row>
    <row r="308" spans="1:10" x14ac:dyDescent="0.2">
      <c r="A308" s="50">
        <f t="shared" si="5"/>
        <v>45233</v>
      </c>
      <c r="B308" s="51">
        <v>7631.4</v>
      </c>
      <c r="C308" s="52">
        <v>4727.8500000000004</v>
      </c>
      <c r="D308" s="52">
        <v>2926.27</v>
      </c>
      <c r="E308" s="52">
        <v>5400.55</v>
      </c>
      <c r="F308" s="52">
        <v>2900.42</v>
      </c>
      <c r="G308" s="52">
        <v>5716.62</v>
      </c>
      <c r="H308" s="52">
        <v>3072.4700000000003</v>
      </c>
      <c r="I308" s="53">
        <v>26230.639999999996</v>
      </c>
      <c r="J308" s="49"/>
    </row>
    <row r="309" spans="1:10" x14ac:dyDescent="0.2">
      <c r="A309" s="50">
        <f t="shared" si="5"/>
        <v>45234</v>
      </c>
      <c r="B309" s="51">
        <v>6867.24</v>
      </c>
      <c r="C309" s="52">
        <v>4145.6499999999996</v>
      </c>
      <c r="D309" s="52">
        <v>2868.75</v>
      </c>
      <c r="E309" s="52">
        <v>5229.8999999999996</v>
      </c>
      <c r="F309" s="52">
        <v>2726.95</v>
      </c>
      <c r="G309" s="52">
        <v>4913.7700000000004</v>
      </c>
      <c r="H309" s="52">
        <v>2427.4</v>
      </c>
      <c r="I309" s="53">
        <v>24324.86</v>
      </c>
      <c r="J309" s="49"/>
    </row>
    <row r="310" spans="1:10" x14ac:dyDescent="0.2">
      <c r="A310" s="50">
        <f t="shared" si="5"/>
        <v>45235</v>
      </c>
      <c r="B310" s="51">
        <v>6695</v>
      </c>
      <c r="C310" s="52">
        <v>4188</v>
      </c>
      <c r="D310" s="52">
        <v>2844</v>
      </c>
      <c r="E310" s="52">
        <v>4717</v>
      </c>
      <c r="F310" s="52">
        <v>2251</v>
      </c>
      <c r="G310" s="52">
        <v>5287</v>
      </c>
      <c r="H310" s="52">
        <v>2444</v>
      </c>
      <c r="I310" s="53">
        <v>23538</v>
      </c>
      <c r="J310" s="49"/>
    </row>
    <row r="311" spans="1:10" x14ac:dyDescent="0.2">
      <c r="A311" s="50">
        <f t="shared" si="5"/>
        <v>45236</v>
      </c>
      <c r="B311" s="51">
        <v>6936.45</v>
      </c>
      <c r="C311" s="52">
        <v>4220.72</v>
      </c>
      <c r="D311" s="52">
        <v>2907.42</v>
      </c>
      <c r="E311" s="52">
        <v>4353.32</v>
      </c>
      <c r="F311" s="52">
        <v>1960.11</v>
      </c>
      <c r="G311" s="52">
        <v>5197.7</v>
      </c>
      <c r="H311" s="52">
        <v>2700.96</v>
      </c>
      <c r="I311" s="53">
        <v>22874.760000000002</v>
      </c>
      <c r="J311" s="49"/>
    </row>
    <row r="312" spans="1:10" x14ac:dyDescent="0.2">
      <c r="A312" s="50">
        <f t="shared" si="5"/>
        <v>45237</v>
      </c>
      <c r="B312" s="51">
        <v>7804</v>
      </c>
      <c r="C312" s="52">
        <v>4795.5</v>
      </c>
      <c r="D312" s="52">
        <v>3213.29</v>
      </c>
      <c r="E312" s="52">
        <v>4836.71</v>
      </c>
      <c r="F312" s="52">
        <v>2417.66</v>
      </c>
      <c r="G312" s="52">
        <v>6018.28</v>
      </c>
      <c r="H312" s="52">
        <v>3330.8399999999997</v>
      </c>
      <c r="I312" s="53">
        <v>25754.6</v>
      </c>
      <c r="J312" s="49"/>
    </row>
    <row r="313" spans="1:10" x14ac:dyDescent="0.2">
      <c r="A313" s="50">
        <f t="shared" si="5"/>
        <v>45238</v>
      </c>
      <c r="B313" s="51">
        <v>7917.19</v>
      </c>
      <c r="C313" s="52">
        <v>4862.0600000000004</v>
      </c>
      <c r="D313" s="52">
        <v>3267.11</v>
      </c>
      <c r="E313" s="52">
        <v>5420.31</v>
      </c>
      <c r="F313" s="52">
        <v>2929.6</v>
      </c>
      <c r="G313" s="52">
        <v>6501.85</v>
      </c>
      <c r="H313" s="52">
        <v>3316.4599999999996</v>
      </c>
      <c r="I313" s="53">
        <v>27581.660000000003</v>
      </c>
      <c r="J313" s="49"/>
    </row>
    <row r="314" spans="1:10" x14ac:dyDescent="0.2">
      <c r="A314" s="50">
        <f t="shared" si="5"/>
        <v>45239</v>
      </c>
      <c r="B314" s="51">
        <v>8933</v>
      </c>
      <c r="C314" s="52">
        <v>4957</v>
      </c>
      <c r="D314" s="52">
        <v>3153</v>
      </c>
      <c r="E314" s="52">
        <v>5261</v>
      </c>
      <c r="F314" s="52">
        <v>2778</v>
      </c>
      <c r="G314" s="52">
        <v>6396</v>
      </c>
      <c r="H314" s="52">
        <v>3335</v>
      </c>
      <c r="I314" s="53">
        <v>28143</v>
      </c>
      <c r="J314" s="49"/>
    </row>
    <row r="315" spans="1:10" x14ac:dyDescent="0.2">
      <c r="A315" s="50">
        <f t="shared" si="5"/>
        <v>45240</v>
      </c>
      <c r="B315" s="51">
        <v>8749.6200000000008</v>
      </c>
      <c r="C315" s="52">
        <v>4938.6899999999996</v>
      </c>
      <c r="D315" s="52">
        <v>3154.29</v>
      </c>
      <c r="E315" s="52">
        <v>5680.09</v>
      </c>
      <c r="F315" s="52">
        <v>3148.86</v>
      </c>
      <c r="G315" s="52">
        <v>6360.1</v>
      </c>
      <c r="H315" s="52">
        <v>3342.01</v>
      </c>
      <c r="I315" s="53">
        <v>28689.64</v>
      </c>
      <c r="J315" s="49"/>
    </row>
    <row r="316" spans="1:10" x14ac:dyDescent="0.2">
      <c r="A316" s="50">
        <f t="shared" si="5"/>
        <v>45241</v>
      </c>
      <c r="B316" s="51">
        <v>8471.1299999999992</v>
      </c>
      <c r="C316" s="52">
        <v>4612.08</v>
      </c>
      <c r="D316" s="52">
        <v>2819.89</v>
      </c>
      <c r="E316" s="52">
        <v>5212.83</v>
      </c>
      <c r="F316" s="52">
        <v>2737.53</v>
      </c>
      <c r="G316" s="52">
        <v>5089.0200000000004</v>
      </c>
      <c r="H316" s="52">
        <v>2511.1600000000003</v>
      </c>
      <c r="I316" s="53">
        <v>26431.32</v>
      </c>
      <c r="J316" s="49"/>
    </row>
    <row r="317" spans="1:10" x14ac:dyDescent="0.2">
      <c r="A317" s="50">
        <f t="shared" si="5"/>
        <v>45242</v>
      </c>
      <c r="B317" s="51">
        <v>8180.03</v>
      </c>
      <c r="C317" s="52">
        <v>4497.87</v>
      </c>
      <c r="D317" s="52">
        <v>2759.13</v>
      </c>
      <c r="E317" s="52">
        <v>5692.27</v>
      </c>
      <c r="F317" s="52">
        <v>3125.81</v>
      </c>
      <c r="G317" s="52">
        <v>4910.87</v>
      </c>
      <c r="H317" s="52">
        <v>2266.61</v>
      </c>
      <c r="I317" s="53">
        <v>26899.37</v>
      </c>
      <c r="J317" s="49"/>
    </row>
    <row r="318" spans="1:10" x14ac:dyDescent="0.2">
      <c r="A318" s="50">
        <f t="shared" si="5"/>
        <v>45243</v>
      </c>
      <c r="B318" s="51">
        <v>8057</v>
      </c>
      <c r="C318" s="52">
        <v>4951</v>
      </c>
      <c r="D318" s="52">
        <v>3246</v>
      </c>
      <c r="E318" s="52">
        <v>4951</v>
      </c>
      <c r="F318" s="52">
        <v>2536</v>
      </c>
      <c r="G318" s="52">
        <v>6266</v>
      </c>
      <c r="H318" s="52">
        <v>3242</v>
      </c>
      <c r="I318" s="53">
        <v>26765</v>
      </c>
      <c r="J318" s="49"/>
    </row>
    <row r="319" spans="1:10" x14ac:dyDescent="0.2">
      <c r="A319" s="50">
        <f t="shared" si="5"/>
        <v>45244</v>
      </c>
      <c r="B319" s="51">
        <v>8102.68</v>
      </c>
      <c r="C319" s="52">
        <v>4926.46</v>
      </c>
      <c r="D319" s="52">
        <v>3051.59</v>
      </c>
      <c r="E319" s="52">
        <v>5475.75</v>
      </c>
      <c r="F319" s="52">
        <v>2976.57</v>
      </c>
      <c r="G319" s="52">
        <v>6032.26</v>
      </c>
      <c r="H319" s="52">
        <v>3009.83</v>
      </c>
      <c r="I319" s="53">
        <v>27555.479999999996</v>
      </c>
      <c r="J319" s="49"/>
    </row>
    <row r="320" spans="1:10" x14ac:dyDescent="0.2">
      <c r="A320" s="50">
        <f t="shared" si="5"/>
        <v>45245</v>
      </c>
      <c r="B320" s="51">
        <v>8167.88</v>
      </c>
      <c r="C320" s="52">
        <v>4965.41</v>
      </c>
      <c r="D320" s="52">
        <v>3117.3</v>
      </c>
      <c r="E320" s="52">
        <v>5156.41</v>
      </c>
      <c r="F320" s="52">
        <v>2694.84</v>
      </c>
      <c r="G320" s="52">
        <v>6009</v>
      </c>
      <c r="H320" s="52">
        <v>3134.0099999999998</v>
      </c>
      <c r="I320" s="53">
        <v>26976.83</v>
      </c>
      <c r="J320" s="49"/>
    </row>
    <row r="321" spans="1:10" x14ac:dyDescent="0.2">
      <c r="A321" s="50">
        <f t="shared" si="5"/>
        <v>45246</v>
      </c>
      <c r="B321" s="51">
        <v>7143</v>
      </c>
      <c r="C321" s="52">
        <v>4652.5200000000004</v>
      </c>
      <c r="D321" s="52">
        <v>2660.63</v>
      </c>
      <c r="E321" s="52">
        <v>5070.54</v>
      </c>
      <c r="F321" s="52">
        <v>2704.94</v>
      </c>
      <c r="G321" s="52">
        <v>6058</v>
      </c>
      <c r="H321" s="52">
        <v>2921.14</v>
      </c>
      <c r="I321" s="53">
        <v>25368.49</v>
      </c>
      <c r="J321" s="49"/>
    </row>
    <row r="322" spans="1:10" x14ac:dyDescent="0.2">
      <c r="A322" s="50">
        <f t="shared" si="5"/>
        <v>45247</v>
      </c>
      <c r="B322" s="51">
        <v>8524</v>
      </c>
      <c r="C322" s="52">
        <v>4774</v>
      </c>
      <c r="D322" s="52">
        <v>3135</v>
      </c>
      <c r="E322" s="52">
        <v>5912</v>
      </c>
      <c r="F322" s="52">
        <v>3393</v>
      </c>
      <c r="G322" s="52">
        <v>6108</v>
      </c>
      <c r="H322" s="52">
        <v>3010</v>
      </c>
      <c r="I322" s="53">
        <v>28836</v>
      </c>
      <c r="J322" s="49"/>
    </row>
    <row r="323" spans="1:10" x14ac:dyDescent="0.2">
      <c r="A323" s="50">
        <f t="shared" si="5"/>
        <v>45248</v>
      </c>
      <c r="B323" s="51">
        <v>8755.5</v>
      </c>
      <c r="C323" s="52">
        <v>4514.07</v>
      </c>
      <c r="D323" s="52">
        <v>3061.78</v>
      </c>
      <c r="E323" s="52">
        <v>5287.05</v>
      </c>
      <c r="F323" s="52">
        <v>2836.78</v>
      </c>
      <c r="G323" s="52">
        <v>5250</v>
      </c>
      <c r="H323" s="52">
        <v>2426.56</v>
      </c>
      <c r="I323" s="53">
        <v>27278.62</v>
      </c>
      <c r="J323" s="49"/>
    </row>
    <row r="324" spans="1:10" x14ac:dyDescent="0.2">
      <c r="A324" s="50">
        <f t="shared" si="5"/>
        <v>45249</v>
      </c>
      <c r="B324" s="51">
        <v>7873.07</v>
      </c>
      <c r="C324" s="52">
        <v>4422.04</v>
      </c>
      <c r="D324" s="52">
        <v>3020.58</v>
      </c>
      <c r="E324" s="52">
        <v>4820.95</v>
      </c>
      <c r="F324" s="52">
        <v>2447.46</v>
      </c>
      <c r="G324" s="52">
        <v>6000</v>
      </c>
      <c r="H324" s="52">
        <v>2301.87</v>
      </c>
      <c r="I324" s="53">
        <v>26282.23</v>
      </c>
      <c r="J324" s="49"/>
    </row>
    <row r="325" spans="1:10" x14ac:dyDescent="0.2">
      <c r="A325" s="50">
        <f t="shared" si="5"/>
        <v>45250</v>
      </c>
      <c r="B325" s="51">
        <v>8462.2199999999993</v>
      </c>
      <c r="C325" s="52">
        <v>4852.91</v>
      </c>
      <c r="D325" s="52">
        <v>3874.01</v>
      </c>
      <c r="E325" s="52">
        <v>4711.57</v>
      </c>
      <c r="F325" s="52">
        <v>2377.61</v>
      </c>
      <c r="G325" s="52">
        <v>6216</v>
      </c>
      <c r="H325" s="52">
        <v>3354.22</v>
      </c>
      <c r="I325" s="53">
        <v>27140.1</v>
      </c>
      <c r="J325" s="49"/>
    </row>
    <row r="326" spans="1:10" x14ac:dyDescent="0.2">
      <c r="A326" s="50">
        <f t="shared" si="5"/>
        <v>45251</v>
      </c>
      <c r="B326" s="51">
        <v>8852</v>
      </c>
      <c r="C326" s="52">
        <v>5068</v>
      </c>
      <c r="D326" s="52">
        <v>4028</v>
      </c>
      <c r="E326" s="52">
        <v>5227</v>
      </c>
      <c r="F326" s="52">
        <v>2839</v>
      </c>
      <c r="G326" s="52">
        <v>6482</v>
      </c>
      <c r="H326" s="52">
        <v>3334</v>
      </c>
      <c r="I326" s="53">
        <v>29162</v>
      </c>
      <c r="J326" s="49"/>
    </row>
    <row r="327" spans="1:10" x14ac:dyDescent="0.2">
      <c r="A327" s="50">
        <f t="shared" si="5"/>
        <v>45252</v>
      </c>
      <c r="B327" s="51">
        <v>9267.09</v>
      </c>
      <c r="C327" s="52">
        <v>4990.7</v>
      </c>
      <c r="D327" s="52">
        <v>3935.25</v>
      </c>
      <c r="E327" s="52">
        <v>5880.7</v>
      </c>
      <c r="F327" s="52">
        <v>3397.38</v>
      </c>
      <c r="G327" s="52">
        <v>5820.18</v>
      </c>
      <c r="H327" s="52">
        <v>3044.6499999999996</v>
      </c>
      <c r="I327" s="53">
        <v>30246.65</v>
      </c>
      <c r="J327" s="49"/>
    </row>
    <row r="328" spans="1:10" x14ac:dyDescent="0.2">
      <c r="A328" s="50">
        <f t="shared" si="5"/>
        <v>45253</v>
      </c>
      <c r="B328" s="51">
        <v>9052.48</v>
      </c>
      <c r="C328" s="52">
        <v>5141.5</v>
      </c>
      <c r="D328" s="52">
        <v>3893.47</v>
      </c>
      <c r="E328" s="52">
        <v>5534.81</v>
      </c>
      <c r="F328" s="52">
        <v>3077.61</v>
      </c>
      <c r="G328" s="52">
        <v>7120.93</v>
      </c>
      <c r="H328" s="52">
        <v>3896.7700000000004</v>
      </c>
      <c r="I328" s="53">
        <v>29924.030000000002</v>
      </c>
      <c r="J328" s="49"/>
    </row>
    <row r="329" spans="1:10" x14ac:dyDescent="0.2">
      <c r="A329" s="50">
        <f t="shared" si="5"/>
        <v>45254</v>
      </c>
      <c r="B329" s="51">
        <v>8869.7900000000009</v>
      </c>
      <c r="C329" s="52">
        <v>4908.76</v>
      </c>
      <c r="D329" s="52">
        <v>4207.97</v>
      </c>
      <c r="E329" s="52">
        <v>4970</v>
      </c>
      <c r="F329" s="52">
        <v>2589.06</v>
      </c>
      <c r="G329" s="52">
        <v>7585.16</v>
      </c>
      <c r="H329" s="52">
        <v>4118.54</v>
      </c>
      <c r="I329" s="53">
        <v>29012.200000000004</v>
      </c>
      <c r="J329" s="49"/>
    </row>
    <row r="330" spans="1:10" x14ac:dyDescent="0.2">
      <c r="A330" s="50">
        <f t="shared" si="5"/>
        <v>45255</v>
      </c>
      <c r="B330" s="51">
        <v>8847</v>
      </c>
      <c r="C330" s="52">
        <v>4741</v>
      </c>
      <c r="D330" s="52">
        <v>3804</v>
      </c>
      <c r="E330" s="52">
        <v>5494</v>
      </c>
      <c r="F330" s="52">
        <v>3037</v>
      </c>
      <c r="G330" s="52">
        <v>5693</v>
      </c>
      <c r="H330" s="52">
        <v>2705</v>
      </c>
      <c r="I330" s="53">
        <v>28911</v>
      </c>
      <c r="J330" s="49"/>
    </row>
    <row r="331" spans="1:10" x14ac:dyDescent="0.2">
      <c r="A331" s="50">
        <f t="shared" si="5"/>
        <v>45256</v>
      </c>
      <c r="B331" s="51">
        <v>8603.83</v>
      </c>
      <c r="C331" s="52">
        <v>4631.8599999999997</v>
      </c>
      <c r="D331" s="52">
        <v>3533.6</v>
      </c>
      <c r="E331" s="52">
        <v>5496.55</v>
      </c>
      <c r="F331" s="52">
        <v>2985.85</v>
      </c>
      <c r="G331" s="52">
        <v>5016.96</v>
      </c>
      <c r="H331" s="52">
        <v>2526.4499999999998</v>
      </c>
      <c r="I331" s="53">
        <v>27742.199999999993</v>
      </c>
      <c r="J331" s="49"/>
    </row>
    <row r="332" spans="1:10" x14ac:dyDescent="0.2">
      <c r="A332" s="50">
        <f t="shared" si="5"/>
        <v>45257</v>
      </c>
      <c r="B332" s="51">
        <v>9182.32</v>
      </c>
      <c r="C332" s="52">
        <v>5081.8999999999996</v>
      </c>
      <c r="D332" s="52">
        <v>3636.35</v>
      </c>
      <c r="E332" s="52">
        <v>5354.79</v>
      </c>
      <c r="F332" s="52">
        <v>2882.25</v>
      </c>
      <c r="G332" s="52">
        <v>6454.37</v>
      </c>
      <c r="H332" s="52">
        <v>3247.99</v>
      </c>
      <c r="I332" s="53">
        <v>29343.989999999998</v>
      </c>
      <c r="J332" s="49"/>
    </row>
    <row r="333" spans="1:10" x14ac:dyDescent="0.2">
      <c r="A333" s="50">
        <f t="shared" si="5"/>
        <v>45258</v>
      </c>
      <c r="B333" s="51">
        <v>9235.49</v>
      </c>
      <c r="C333" s="52">
        <v>4986.55</v>
      </c>
      <c r="D333" s="52">
        <v>3514.79</v>
      </c>
      <c r="E333" s="52">
        <v>5309.09</v>
      </c>
      <c r="F333" s="52">
        <v>2845.69</v>
      </c>
      <c r="G333" s="52">
        <v>6276.93</v>
      </c>
      <c r="H333" s="52">
        <v>3201.01</v>
      </c>
      <c r="I333" s="53">
        <v>28967.53</v>
      </c>
      <c r="J333" s="49"/>
    </row>
    <row r="334" spans="1:10" x14ac:dyDescent="0.2">
      <c r="A334" s="50">
        <f t="shared" si="5"/>
        <v>45259</v>
      </c>
      <c r="B334" s="51">
        <v>9057</v>
      </c>
      <c r="C334" s="52">
        <v>5234</v>
      </c>
      <c r="D334" s="52">
        <v>3569</v>
      </c>
      <c r="E334" s="52">
        <v>5097</v>
      </c>
      <c r="F334" s="52">
        <v>2663</v>
      </c>
      <c r="G334" s="52">
        <v>6583</v>
      </c>
      <c r="H334" s="52">
        <v>3058</v>
      </c>
      <c r="I334" s="53">
        <v>29145</v>
      </c>
      <c r="J334" s="49"/>
    </row>
    <row r="335" spans="1:10" x14ac:dyDescent="0.2">
      <c r="A335" s="50">
        <f t="shared" si="5"/>
        <v>45260</v>
      </c>
      <c r="B335" s="51">
        <v>9048.48</v>
      </c>
      <c r="C335" s="52">
        <v>5135.68</v>
      </c>
      <c r="D335" s="52">
        <v>3623.81</v>
      </c>
      <c r="E335" s="52">
        <v>5299.53</v>
      </c>
      <c r="F335" s="52">
        <v>2845.06</v>
      </c>
      <c r="G335" s="52">
        <v>6539.66</v>
      </c>
      <c r="H335" s="52">
        <v>3293.5699999999997</v>
      </c>
      <c r="I335" s="53">
        <v>29198.65</v>
      </c>
      <c r="J335" s="49"/>
    </row>
    <row r="336" spans="1:10" x14ac:dyDescent="0.2">
      <c r="A336" s="50">
        <f t="shared" si="5"/>
        <v>45261</v>
      </c>
      <c r="B336" s="51">
        <v>8655.14</v>
      </c>
      <c r="C336" s="52">
        <v>4993.53</v>
      </c>
      <c r="D336" s="52">
        <v>3593.89</v>
      </c>
      <c r="E336" s="52">
        <v>5626.89</v>
      </c>
      <c r="F336" s="52">
        <v>3113.13</v>
      </c>
      <c r="G336" s="52">
        <v>6533.53</v>
      </c>
      <c r="H336" s="52">
        <v>3141.07</v>
      </c>
      <c r="I336" s="53">
        <v>29375.039999999997</v>
      </c>
      <c r="J336" s="49"/>
    </row>
    <row r="337" spans="1:10" x14ac:dyDescent="0.2">
      <c r="A337" s="50">
        <f t="shared" si="5"/>
        <v>45262</v>
      </c>
      <c r="B337" s="51">
        <v>7017.91</v>
      </c>
      <c r="C337" s="52">
        <v>4306.07</v>
      </c>
      <c r="D337" s="52">
        <v>3231.3</v>
      </c>
      <c r="E337" s="52">
        <v>4196.0600000000004</v>
      </c>
      <c r="F337" s="52">
        <v>1857.8</v>
      </c>
      <c r="G337" s="52">
        <v>5416.13</v>
      </c>
      <c r="H337" s="52">
        <v>2625.7000000000003</v>
      </c>
      <c r="I337" s="53">
        <v>23399.57</v>
      </c>
      <c r="J337" s="49"/>
    </row>
    <row r="338" spans="1:10" x14ac:dyDescent="0.2">
      <c r="A338" s="50">
        <f t="shared" si="5"/>
        <v>45263</v>
      </c>
      <c r="B338" s="51">
        <v>6242</v>
      </c>
      <c r="C338" s="52">
        <v>4086</v>
      </c>
      <c r="D338" s="52">
        <v>3274</v>
      </c>
      <c r="E338" s="52">
        <v>3730</v>
      </c>
      <c r="F338" s="52">
        <v>1491</v>
      </c>
      <c r="G338" s="52">
        <v>5664</v>
      </c>
      <c r="H338" s="52">
        <v>2385</v>
      </c>
      <c r="I338" s="53">
        <v>22102</v>
      </c>
      <c r="J338" s="49"/>
    </row>
    <row r="339" spans="1:10" x14ac:dyDescent="0.2">
      <c r="A339" s="50">
        <f t="shared" si="5"/>
        <v>45264</v>
      </c>
      <c r="B339" s="51">
        <v>8598.81</v>
      </c>
      <c r="C339" s="52">
        <v>4904.8999999999996</v>
      </c>
      <c r="D339" s="52">
        <v>3741.3</v>
      </c>
      <c r="E339" s="52">
        <v>4997.72</v>
      </c>
      <c r="F339" s="52">
        <v>2583.75</v>
      </c>
      <c r="G339" s="52">
        <v>6823.31</v>
      </c>
      <c r="H339" s="52">
        <v>3401.8999999999996</v>
      </c>
      <c r="I339" s="53">
        <v>28247.89</v>
      </c>
      <c r="J339" s="49"/>
    </row>
    <row r="340" spans="1:10" x14ac:dyDescent="0.2">
      <c r="A340" s="50">
        <f t="shared" si="5"/>
        <v>45265</v>
      </c>
      <c r="B340" s="51">
        <v>8943.16</v>
      </c>
      <c r="C340" s="52">
        <v>4964.09</v>
      </c>
      <c r="D340" s="52">
        <v>3344.82</v>
      </c>
      <c r="E340" s="52">
        <v>5030.78</v>
      </c>
      <c r="F340" s="52">
        <v>2613.66</v>
      </c>
      <c r="G340" s="52">
        <v>5946.65</v>
      </c>
      <c r="H340" s="52">
        <v>3192.9999999999995</v>
      </c>
      <c r="I340" s="53">
        <v>27650.159999999996</v>
      </c>
      <c r="J340" s="49"/>
    </row>
    <row r="341" spans="1:10" x14ac:dyDescent="0.2">
      <c r="A341" s="50">
        <f t="shared" si="5"/>
        <v>45266</v>
      </c>
      <c r="B341" s="51">
        <v>9169.1299999999992</v>
      </c>
      <c r="C341" s="52">
        <v>4953.45</v>
      </c>
      <c r="D341" s="52">
        <v>4192.1000000000004</v>
      </c>
      <c r="E341" s="52">
        <v>4932.67</v>
      </c>
      <c r="F341" s="52">
        <v>2552.6799999999998</v>
      </c>
      <c r="G341" s="52">
        <v>6679.56</v>
      </c>
      <c r="H341" s="52">
        <v>3227.81</v>
      </c>
      <c r="I341" s="53">
        <v>29251.78</v>
      </c>
      <c r="J341" s="49"/>
    </row>
    <row r="342" spans="1:10" x14ac:dyDescent="0.2">
      <c r="A342" s="50">
        <f t="shared" si="5"/>
        <v>45267</v>
      </c>
      <c r="B342" s="51">
        <v>7948</v>
      </c>
      <c r="C342" s="52">
        <v>5022</v>
      </c>
      <c r="D342" s="52">
        <v>4048</v>
      </c>
      <c r="E342" s="52">
        <v>4538</v>
      </c>
      <c r="F342" s="52">
        <v>2260</v>
      </c>
      <c r="G342" s="52">
        <v>7324</v>
      </c>
      <c r="H342" s="52">
        <v>3348.16</v>
      </c>
      <c r="I342" s="53">
        <v>27791.84</v>
      </c>
      <c r="J342" s="49"/>
    </row>
    <row r="343" spans="1:10" x14ac:dyDescent="0.2">
      <c r="A343" s="50">
        <f t="shared" si="5"/>
        <v>45268</v>
      </c>
      <c r="B343" s="51">
        <v>4337.01</v>
      </c>
      <c r="C343" s="52">
        <v>3524.44</v>
      </c>
      <c r="D343" s="52">
        <v>3351.6</v>
      </c>
      <c r="E343" s="52">
        <v>3292.77</v>
      </c>
      <c r="F343" s="52">
        <v>1173.04</v>
      </c>
      <c r="G343" s="52">
        <v>6243.46</v>
      </c>
      <c r="H343" s="52">
        <v>3306.1899999999996</v>
      </c>
      <c r="I343" s="53">
        <v>18616.13</v>
      </c>
      <c r="J343" s="49"/>
    </row>
    <row r="344" spans="1:10" x14ac:dyDescent="0.2">
      <c r="A344" s="50">
        <f t="shared" si="5"/>
        <v>45269</v>
      </c>
      <c r="B344" s="51">
        <v>2488.4899999999998</v>
      </c>
      <c r="C344" s="52">
        <v>2302.31</v>
      </c>
      <c r="D344" s="52">
        <v>2568.75</v>
      </c>
      <c r="E344" s="52">
        <v>2293.6799999999998</v>
      </c>
      <c r="F344" s="52">
        <v>243.91</v>
      </c>
      <c r="G344" s="52">
        <v>3881.22</v>
      </c>
      <c r="H344" s="52">
        <v>2425.6999999999998</v>
      </c>
      <c r="I344" s="53">
        <v>11352.66</v>
      </c>
      <c r="J344" s="49"/>
    </row>
    <row r="345" spans="1:10" x14ac:dyDescent="0.2">
      <c r="A345" s="50">
        <f t="shared" si="5"/>
        <v>45270</v>
      </c>
      <c r="B345" s="51">
        <v>2559.54</v>
      </c>
      <c r="C345" s="52">
        <v>2112.4299999999998</v>
      </c>
      <c r="D345" s="52">
        <v>2589.12</v>
      </c>
      <c r="E345" s="52">
        <v>2367.98</v>
      </c>
      <c r="F345" s="52">
        <v>308.58999999999997</v>
      </c>
      <c r="G345" s="52">
        <v>3980.34</v>
      </c>
      <c r="H345" s="52">
        <v>2573.9299999999998</v>
      </c>
      <c r="I345" s="53">
        <v>11344.07</v>
      </c>
      <c r="J345" s="49"/>
    </row>
    <row r="346" spans="1:10" x14ac:dyDescent="0.2">
      <c r="A346" s="50">
        <f t="shared" si="5"/>
        <v>45271</v>
      </c>
      <c r="B346" s="51">
        <v>3478</v>
      </c>
      <c r="C346" s="52">
        <v>2642</v>
      </c>
      <c r="D346" s="52">
        <v>2639</v>
      </c>
      <c r="E346" s="52">
        <v>3126</v>
      </c>
      <c r="F346" s="52">
        <v>994</v>
      </c>
      <c r="G346" s="52">
        <v>5177</v>
      </c>
      <c r="H346" s="52">
        <v>3105</v>
      </c>
      <c r="I346" s="53">
        <v>14951</v>
      </c>
      <c r="J346" s="49"/>
    </row>
    <row r="347" spans="1:10" x14ac:dyDescent="0.2">
      <c r="A347" s="50">
        <f t="shared" si="5"/>
        <v>45272</v>
      </c>
      <c r="B347" s="51">
        <v>7148.33</v>
      </c>
      <c r="C347" s="52">
        <v>4443.09</v>
      </c>
      <c r="D347" s="52">
        <v>3362.47</v>
      </c>
      <c r="E347" s="52">
        <v>3884.64</v>
      </c>
      <c r="F347" s="52">
        <v>1700.04</v>
      </c>
      <c r="G347" s="52">
        <v>5943.63</v>
      </c>
      <c r="H347" s="52">
        <v>3300.7399999999993</v>
      </c>
      <c r="I347" s="53">
        <v>23181.460000000003</v>
      </c>
      <c r="J347" s="49"/>
    </row>
    <row r="348" spans="1:10" x14ac:dyDescent="0.2">
      <c r="A348" s="50">
        <f t="shared" si="5"/>
        <v>45273</v>
      </c>
      <c r="B348" s="51">
        <v>10452.799999999999</v>
      </c>
      <c r="C348" s="52">
        <v>5195.6899999999996</v>
      </c>
      <c r="D348" s="52">
        <v>4838.41</v>
      </c>
      <c r="E348" s="52">
        <v>5027.58</v>
      </c>
      <c r="F348" s="52">
        <v>2677.23</v>
      </c>
      <c r="G348" s="52">
        <v>7809.69</v>
      </c>
      <c r="H348" s="52">
        <v>3628.64</v>
      </c>
      <c r="I348" s="53">
        <v>32372.759999999995</v>
      </c>
      <c r="J348" s="49"/>
    </row>
    <row r="349" spans="1:10" x14ac:dyDescent="0.2">
      <c r="A349" s="50">
        <f t="shared" si="5"/>
        <v>45274</v>
      </c>
      <c r="B349" s="51">
        <v>10379.92</v>
      </c>
      <c r="C349" s="52">
        <v>5315.1</v>
      </c>
      <c r="D349" s="52">
        <v>5338.94</v>
      </c>
      <c r="E349" s="52">
        <v>4916.1499999999996</v>
      </c>
      <c r="F349" s="52">
        <v>2568.19</v>
      </c>
      <c r="G349" s="52">
        <v>7710.53</v>
      </c>
      <c r="H349" s="52">
        <v>3309.89</v>
      </c>
      <c r="I349" s="53">
        <v>32918.94</v>
      </c>
      <c r="J349" s="49"/>
    </row>
    <row r="350" spans="1:10" x14ac:dyDescent="0.2">
      <c r="A350" s="50">
        <f t="shared" si="5"/>
        <v>45275</v>
      </c>
      <c r="B350" s="51">
        <v>9743</v>
      </c>
      <c r="C350" s="52">
        <v>5235</v>
      </c>
      <c r="D350" s="52">
        <v>5080</v>
      </c>
      <c r="E350" s="52">
        <v>4723</v>
      </c>
      <c r="F350" s="52">
        <v>2376</v>
      </c>
      <c r="G350" s="52">
        <v>7611</v>
      </c>
      <c r="H350" s="52">
        <v>3507</v>
      </c>
      <c r="I350" s="53">
        <v>31261</v>
      </c>
      <c r="J350" s="49"/>
    </row>
    <row r="351" spans="1:10" x14ac:dyDescent="0.2">
      <c r="A351" s="50">
        <f t="shared" si="5"/>
        <v>45276</v>
      </c>
      <c r="B351" s="51">
        <v>9854.81</v>
      </c>
      <c r="C351" s="52">
        <v>5257.61</v>
      </c>
      <c r="D351" s="52">
        <v>4924.42</v>
      </c>
      <c r="E351" s="52">
        <v>5264.12</v>
      </c>
      <c r="F351" s="52">
        <v>2841.86</v>
      </c>
      <c r="G351" s="52">
        <v>5698.58</v>
      </c>
      <c r="H351" s="52">
        <v>2503.1</v>
      </c>
      <c r="I351" s="53">
        <v>31338.299999999996</v>
      </c>
      <c r="J351" s="49"/>
    </row>
    <row r="352" spans="1:10" x14ac:dyDescent="0.2">
      <c r="A352" s="50">
        <f t="shared" ref="A352:A366" si="6">A351+1</f>
        <v>45277</v>
      </c>
      <c r="B352" s="51">
        <v>9353.2999999999993</v>
      </c>
      <c r="C352" s="52">
        <v>5151.9799999999996</v>
      </c>
      <c r="D352" s="52">
        <v>4498.66</v>
      </c>
      <c r="E352" s="52">
        <v>5242.3900000000003</v>
      </c>
      <c r="F352" s="52">
        <v>2813.07</v>
      </c>
      <c r="G352" s="52">
        <v>5720.77</v>
      </c>
      <c r="H352" s="52">
        <v>2066.7600000000002</v>
      </c>
      <c r="I352" s="53">
        <v>30713.409999999996</v>
      </c>
      <c r="J352" s="49"/>
    </row>
    <row r="353" spans="1:10" x14ac:dyDescent="0.2">
      <c r="A353" s="50">
        <f t="shared" si="6"/>
        <v>45278</v>
      </c>
      <c r="B353" s="51">
        <v>9220.92</v>
      </c>
      <c r="C353" s="52">
        <v>5272.05</v>
      </c>
      <c r="D353" s="52">
        <v>4598.5200000000004</v>
      </c>
      <c r="E353" s="52">
        <v>4939.75</v>
      </c>
      <c r="F353" s="52">
        <v>2577.0500000000002</v>
      </c>
      <c r="G353" s="52">
        <v>7287.94</v>
      </c>
      <c r="H353" s="52">
        <v>3332.0900000000006</v>
      </c>
      <c r="I353" s="53">
        <v>30564.140000000003</v>
      </c>
      <c r="J353" s="49"/>
    </row>
    <row r="354" spans="1:10" x14ac:dyDescent="0.2">
      <c r="A354" s="50">
        <f t="shared" si="6"/>
        <v>45279</v>
      </c>
      <c r="B354" s="51">
        <v>9701</v>
      </c>
      <c r="C354" s="52">
        <v>5427</v>
      </c>
      <c r="D354" s="52">
        <v>4343</v>
      </c>
      <c r="E354" s="52">
        <v>5643</v>
      </c>
      <c r="F354" s="52">
        <v>3143</v>
      </c>
      <c r="G354" s="52">
        <v>6462</v>
      </c>
      <c r="H354" s="52">
        <v>2898.2599999999998</v>
      </c>
      <c r="I354" s="53">
        <v>31820.74</v>
      </c>
      <c r="J354" s="49"/>
    </row>
    <row r="355" spans="1:10" x14ac:dyDescent="0.2">
      <c r="A355" s="50">
        <f t="shared" si="6"/>
        <v>45280</v>
      </c>
      <c r="B355" s="51">
        <v>9989.0499999999993</v>
      </c>
      <c r="C355" s="52">
        <v>5273.01</v>
      </c>
      <c r="D355" s="52">
        <v>4037.25</v>
      </c>
      <c r="E355" s="52">
        <v>6286.23</v>
      </c>
      <c r="F355" s="52">
        <v>3685.29</v>
      </c>
      <c r="G355" s="52">
        <v>6574.72</v>
      </c>
      <c r="H355" s="52">
        <v>3022.66</v>
      </c>
      <c r="I355" s="53">
        <v>32822.89</v>
      </c>
      <c r="J355" s="49"/>
    </row>
    <row r="356" spans="1:10" x14ac:dyDescent="0.2">
      <c r="A356" s="50">
        <f t="shared" si="6"/>
        <v>45281</v>
      </c>
      <c r="B356" s="51">
        <v>8598.17</v>
      </c>
      <c r="C356" s="52">
        <v>4914.38</v>
      </c>
      <c r="D356" s="52">
        <v>3264.12</v>
      </c>
      <c r="E356" s="52">
        <v>4046.44</v>
      </c>
      <c r="F356" s="52">
        <v>3980.89</v>
      </c>
      <c r="G356" s="52">
        <v>6475.68</v>
      </c>
      <c r="H356" s="52">
        <v>3158.29</v>
      </c>
      <c r="I356" s="53">
        <v>28121.389999999996</v>
      </c>
      <c r="J356" s="49"/>
    </row>
    <row r="357" spans="1:10" x14ac:dyDescent="0.2">
      <c r="A357" s="50">
        <f t="shared" si="6"/>
        <v>45282</v>
      </c>
      <c r="B357" s="51">
        <v>8708.33</v>
      </c>
      <c r="C357" s="52">
        <v>4980.62</v>
      </c>
      <c r="D357" s="52">
        <v>3390.65</v>
      </c>
      <c r="E357" s="52">
        <v>6266.93</v>
      </c>
      <c r="F357" s="52">
        <v>1737.43</v>
      </c>
      <c r="G357" s="52">
        <v>6215.33</v>
      </c>
      <c r="H357" s="52">
        <v>2863.63</v>
      </c>
      <c r="I357" s="53">
        <v>28435.66</v>
      </c>
      <c r="J357" s="49"/>
    </row>
    <row r="358" spans="1:10" x14ac:dyDescent="0.2">
      <c r="A358" s="50">
        <f t="shared" si="6"/>
        <v>45283</v>
      </c>
      <c r="B358" s="51">
        <v>8220.9699999999993</v>
      </c>
      <c r="C358" s="52">
        <v>4837.28</v>
      </c>
      <c r="D358" s="52">
        <v>3343.66</v>
      </c>
      <c r="E358" s="52">
        <v>5563.62</v>
      </c>
      <c r="F358" s="52">
        <v>1357.9</v>
      </c>
      <c r="G358" s="52">
        <v>4912.5600000000004</v>
      </c>
      <c r="H358" s="52">
        <v>2080.0100000000002</v>
      </c>
      <c r="I358" s="53">
        <v>26155.980000000003</v>
      </c>
      <c r="J358" s="49"/>
    </row>
    <row r="359" spans="1:10" x14ac:dyDescent="0.2">
      <c r="A359" s="50">
        <f t="shared" si="6"/>
        <v>45284</v>
      </c>
      <c r="B359" s="51">
        <v>8775.0300000000007</v>
      </c>
      <c r="C359" s="52">
        <v>5022.7</v>
      </c>
      <c r="D359" s="52">
        <v>3532.16</v>
      </c>
      <c r="E359" s="52">
        <v>6267.54</v>
      </c>
      <c r="F359" s="52">
        <v>1750.9</v>
      </c>
      <c r="G359" s="52">
        <v>5183.1099999999997</v>
      </c>
      <c r="H359" s="52">
        <v>1924.6499999999999</v>
      </c>
      <c r="I359" s="53">
        <v>28606.79</v>
      </c>
      <c r="J359" s="49"/>
    </row>
    <row r="360" spans="1:10" x14ac:dyDescent="0.2">
      <c r="A360" s="50">
        <f t="shared" si="6"/>
        <v>45285</v>
      </c>
      <c r="B360" s="51">
        <v>8578.73</v>
      </c>
      <c r="C360" s="52">
        <v>5139.0600000000004</v>
      </c>
      <c r="D360" s="52">
        <v>3360.75</v>
      </c>
      <c r="E360" s="52">
        <v>6422.23</v>
      </c>
      <c r="F360" s="52">
        <v>1852.24</v>
      </c>
      <c r="G360" s="52">
        <v>6618.21</v>
      </c>
      <c r="H360" s="52">
        <v>3221.1400000000003</v>
      </c>
      <c r="I360" s="53">
        <v>28750.080000000002</v>
      </c>
      <c r="J360" s="49"/>
    </row>
    <row r="361" spans="1:10" x14ac:dyDescent="0.2">
      <c r="A361" s="50">
        <f t="shared" si="6"/>
        <v>45286</v>
      </c>
      <c r="B361" s="51">
        <v>8346.91</v>
      </c>
      <c r="C361" s="52">
        <v>4847.99</v>
      </c>
      <c r="D361" s="52">
        <v>3610.86</v>
      </c>
      <c r="E361" s="52">
        <v>6177.76</v>
      </c>
      <c r="F361" s="52">
        <v>1731.98</v>
      </c>
      <c r="G361" s="52">
        <v>6771.94</v>
      </c>
      <c r="H361" s="52">
        <v>3556.83</v>
      </c>
      <c r="I361" s="53">
        <v>27930.609999999993</v>
      </c>
      <c r="J361" s="49"/>
    </row>
    <row r="362" spans="1:10" x14ac:dyDescent="0.2">
      <c r="A362" s="50">
        <f t="shared" si="6"/>
        <v>45287</v>
      </c>
      <c r="B362" s="51">
        <v>8401</v>
      </c>
      <c r="C362" s="52">
        <v>4776</v>
      </c>
      <c r="D362" s="52">
        <v>3386</v>
      </c>
      <c r="E362" s="52">
        <v>7111</v>
      </c>
      <c r="F362" s="52">
        <v>2242</v>
      </c>
      <c r="G362" s="52">
        <v>6530</v>
      </c>
      <c r="H362" s="52">
        <v>3428</v>
      </c>
      <c r="I362" s="53">
        <v>29018</v>
      </c>
      <c r="J362" s="49"/>
    </row>
    <row r="363" spans="1:10" x14ac:dyDescent="0.2">
      <c r="A363" s="50">
        <f t="shared" si="6"/>
        <v>45288</v>
      </c>
      <c r="B363" s="51">
        <v>8411.2999999999993</v>
      </c>
      <c r="C363" s="52">
        <v>4869.3900000000003</v>
      </c>
      <c r="D363" s="52">
        <v>3390.22</v>
      </c>
      <c r="E363" s="52">
        <v>6031.43</v>
      </c>
      <c r="F363" s="52">
        <v>1632.9</v>
      </c>
      <c r="G363" s="52">
        <v>6516.68</v>
      </c>
      <c r="H363" s="52">
        <v>3161.1500000000005</v>
      </c>
      <c r="I363" s="53">
        <v>27690.77</v>
      </c>
      <c r="J363" s="49"/>
    </row>
    <row r="364" spans="1:10" x14ac:dyDescent="0.2">
      <c r="A364" s="50">
        <f t="shared" si="6"/>
        <v>45289</v>
      </c>
      <c r="B364" s="51">
        <v>5961.26</v>
      </c>
      <c r="C364" s="52">
        <v>3710.6</v>
      </c>
      <c r="D364" s="52">
        <v>2954.6</v>
      </c>
      <c r="E364" s="52">
        <v>5741.94</v>
      </c>
      <c r="F364" s="52">
        <v>1558.46</v>
      </c>
      <c r="G364" s="52">
        <v>4714.4399999999996</v>
      </c>
      <c r="H364" s="52">
        <v>2588.9499999999994</v>
      </c>
      <c r="I364" s="53">
        <v>22052.35</v>
      </c>
      <c r="J364" s="49"/>
    </row>
    <row r="365" spans="1:10" x14ac:dyDescent="0.2">
      <c r="A365" s="50">
        <f t="shared" si="6"/>
        <v>45290</v>
      </c>
      <c r="B365" s="51">
        <v>1843.86</v>
      </c>
      <c r="C365" s="52">
        <v>1411.78</v>
      </c>
      <c r="D365" s="52">
        <v>507.7</v>
      </c>
      <c r="E365" s="52">
        <v>3078.76</v>
      </c>
      <c r="F365" s="52">
        <v>718.48</v>
      </c>
      <c r="G365" s="52">
        <v>2314.5700000000002</v>
      </c>
      <c r="H365" s="52">
        <v>1431.85</v>
      </c>
      <c r="I365" s="53">
        <v>8443.2999999999993</v>
      </c>
      <c r="J365" s="49"/>
    </row>
    <row r="366" spans="1:10" x14ac:dyDescent="0.2">
      <c r="A366" s="50">
        <f t="shared" si="6"/>
        <v>45291</v>
      </c>
      <c r="B366" s="51">
        <v>1670.94</v>
      </c>
      <c r="C366" s="52">
        <v>913.87</v>
      </c>
      <c r="D366" s="52">
        <v>227.61</v>
      </c>
      <c r="E366" s="52">
        <v>1744.24</v>
      </c>
      <c r="F366" s="52">
        <v>817.47</v>
      </c>
      <c r="G366" s="52">
        <v>1765.68</v>
      </c>
      <c r="H366" s="52">
        <v>1194.6800000000003</v>
      </c>
      <c r="I366" s="53">
        <v>5945.13</v>
      </c>
      <c r="J366" s="49"/>
    </row>
    <row r="367" spans="1:10" x14ac:dyDescent="0.2">
      <c r="A367" s="50"/>
      <c r="B367" s="51"/>
      <c r="C367" s="52"/>
      <c r="D367" s="52"/>
      <c r="E367" s="52"/>
      <c r="F367" s="52"/>
      <c r="G367" s="52"/>
      <c r="H367" s="52"/>
      <c r="I367" s="53"/>
      <c r="J367" s="49"/>
    </row>
    <row r="368" spans="1:10" x14ac:dyDescent="0.2">
      <c r="A368" s="50"/>
      <c r="B368" s="51"/>
      <c r="C368" s="52"/>
      <c r="D368" s="52"/>
      <c r="E368" s="52"/>
      <c r="F368" s="52"/>
      <c r="G368" s="52"/>
      <c r="H368" s="52"/>
      <c r="I368" s="53"/>
      <c r="J368" s="49"/>
    </row>
    <row r="369" spans="1:10" ht="13.5" thickBot="1" x14ac:dyDescent="0.25">
      <c r="A369" s="54"/>
      <c r="B369" s="55"/>
      <c r="C369" s="56"/>
      <c r="D369" s="56"/>
      <c r="E369" s="56"/>
      <c r="F369" s="56"/>
      <c r="G369" s="56"/>
      <c r="H369" s="56"/>
      <c r="I369" s="57"/>
      <c r="J369" s="49"/>
    </row>
    <row r="371" spans="1:10" x14ac:dyDescent="0.2">
      <c r="I371" s="44">
        <f>MAX(I2:I367)</f>
        <v>32918.94</v>
      </c>
    </row>
  </sheetData>
  <conditionalFormatting sqref="A31">
    <cfRule type="expression" dxfId="18" priority="3" stopIfTrue="1">
      <formula>WEEKDAY(A31:A51,2)&gt;5</formula>
    </cfRule>
  </conditionalFormatting>
  <conditionalFormatting sqref="A32:A369">
    <cfRule type="expression" dxfId="17" priority="2" stopIfTrue="1">
      <formula>WEEKDAY(A32:A52,2)&gt;5</formula>
    </cfRule>
  </conditionalFormatting>
  <conditionalFormatting sqref="A2:A30">
    <cfRule type="expression" dxfId="16" priority="1" stopIfTrue="1">
      <formula>WEEKDAY(A2:A22,2)&gt;5</formula>
    </cfRule>
  </conditionalFormatting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371"/>
  <sheetViews>
    <sheetView tabSelected="1" zoomScaleNormal="100" workbookViewId="0">
      <pane ySplit="1" topLeftCell="A2" activePane="bottomLeft" state="frozen"/>
      <selection pane="bottomLeft" activeCell="U2" sqref="U2:U367"/>
    </sheetView>
  </sheetViews>
  <sheetFormatPr defaultRowHeight="12.75" x14ac:dyDescent="0.2"/>
  <cols>
    <col min="1" max="1" width="9.140625" style="44"/>
    <col min="2" max="2" width="10.85546875" style="44" customWidth="1"/>
    <col min="3" max="3" width="10.28515625" style="44" customWidth="1"/>
    <col min="4" max="4" width="9.85546875" style="44" customWidth="1"/>
    <col min="5" max="5" width="10.5703125" style="44" customWidth="1"/>
    <col min="6" max="6" width="10" style="44" customWidth="1"/>
    <col min="7" max="7" width="9.85546875" style="44" customWidth="1"/>
    <col min="8" max="8" width="10.140625" style="44" customWidth="1"/>
    <col min="9" max="9" width="13.85546875" style="44" customWidth="1"/>
    <col min="10" max="10" width="12.5703125" style="44" customWidth="1"/>
    <col min="11" max="253" width="9.140625" style="44"/>
    <col min="254" max="254" width="10.85546875" style="44" customWidth="1"/>
    <col min="255" max="255" width="10.28515625" style="44" customWidth="1"/>
    <col min="256" max="256" width="9.85546875" style="44" customWidth="1"/>
    <col min="257" max="257" width="10.5703125" style="44" customWidth="1"/>
    <col min="258" max="258" width="10" style="44" customWidth="1"/>
    <col min="259" max="259" width="9.85546875" style="44" customWidth="1"/>
    <col min="260" max="260" width="10.140625" style="44" customWidth="1"/>
    <col min="261" max="261" width="13.85546875" style="44" customWidth="1"/>
    <col min="262" max="262" width="12.5703125" style="44" customWidth="1"/>
    <col min="263" max="509" width="9.140625" style="44"/>
    <col min="510" max="510" width="10.85546875" style="44" customWidth="1"/>
    <col min="511" max="511" width="10.28515625" style="44" customWidth="1"/>
    <col min="512" max="512" width="9.85546875" style="44" customWidth="1"/>
    <col min="513" max="513" width="10.5703125" style="44" customWidth="1"/>
    <col min="514" max="514" width="10" style="44" customWidth="1"/>
    <col min="515" max="515" width="9.85546875" style="44" customWidth="1"/>
    <col min="516" max="516" width="10.140625" style="44" customWidth="1"/>
    <col min="517" max="517" width="13.85546875" style="44" customWidth="1"/>
    <col min="518" max="518" width="12.5703125" style="44" customWidth="1"/>
    <col min="519" max="765" width="9.140625" style="44"/>
    <col min="766" max="766" width="10.85546875" style="44" customWidth="1"/>
    <col min="767" max="767" width="10.28515625" style="44" customWidth="1"/>
    <col min="768" max="768" width="9.85546875" style="44" customWidth="1"/>
    <col min="769" max="769" width="10.5703125" style="44" customWidth="1"/>
    <col min="770" max="770" width="10" style="44" customWidth="1"/>
    <col min="771" max="771" width="9.85546875" style="44" customWidth="1"/>
    <col min="772" max="772" width="10.140625" style="44" customWidth="1"/>
    <col min="773" max="773" width="13.85546875" style="44" customWidth="1"/>
    <col min="774" max="774" width="12.5703125" style="44" customWidth="1"/>
    <col min="775" max="1021" width="9.140625" style="44"/>
    <col min="1022" max="1022" width="10.85546875" style="44" customWidth="1"/>
    <col min="1023" max="1023" width="10.28515625" style="44" customWidth="1"/>
    <col min="1024" max="1024" width="9.85546875" style="44" customWidth="1"/>
    <col min="1025" max="1025" width="10.5703125" style="44" customWidth="1"/>
    <col min="1026" max="1026" width="10" style="44" customWidth="1"/>
    <col min="1027" max="1027" width="9.85546875" style="44" customWidth="1"/>
    <col min="1028" max="1028" width="10.140625" style="44" customWidth="1"/>
    <col min="1029" max="1029" width="13.85546875" style="44" customWidth="1"/>
    <col min="1030" max="1030" width="12.5703125" style="44" customWidth="1"/>
    <col min="1031" max="1277" width="9.140625" style="44"/>
    <col min="1278" max="1278" width="10.85546875" style="44" customWidth="1"/>
    <col min="1279" max="1279" width="10.28515625" style="44" customWidth="1"/>
    <col min="1280" max="1280" width="9.85546875" style="44" customWidth="1"/>
    <col min="1281" max="1281" width="10.5703125" style="44" customWidth="1"/>
    <col min="1282" max="1282" width="10" style="44" customWidth="1"/>
    <col min="1283" max="1283" width="9.85546875" style="44" customWidth="1"/>
    <col min="1284" max="1284" width="10.140625" style="44" customWidth="1"/>
    <col min="1285" max="1285" width="13.85546875" style="44" customWidth="1"/>
    <col min="1286" max="1286" width="12.5703125" style="44" customWidth="1"/>
    <col min="1287" max="1533" width="9.140625" style="44"/>
    <col min="1534" max="1534" width="10.85546875" style="44" customWidth="1"/>
    <col min="1535" max="1535" width="10.28515625" style="44" customWidth="1"/>
    <col min="1536" max="1536" width="9.85546875" style="44" customWidth="1"/>
    <col min="1537" max="1537" width="10.5703125" style="44" customWidth="1"/>
    <col min="1538" max="1538" width="10" style="44" customWidth="1"/>
    <col min="1539" max="1539" width="9.85546875" style="44" customWidth="1"/>
    <col min="1540" max="1540" width="10.140625" style="44" customWidth="1"/>
    <col min="1541" max="1541" width="13.85546875" style="44" customWidth="1"/>
    <col min="1542" max="1542" width="12.5703125" style="44" customWidth="1"/>
    <col min="1543" max="1789" width="9.140625" style="44"/>
    <col min="1790" max="1790" width="10.85546875" style="44" customWidth="1"/>
    <col min="1791" max="1791" width="10.28515625" style="44" customWidth="1"/>
    <col min="1792" max="1792" width="9.85546875" style="44" customWidth="1"/>
    <col min="1793" max="1793" width="10.5703125" style="44" customWidth="1"/>
    <col min="1794" max="1794" width="10" style="44" customWidth="1"/>
    <col min="1795" max="1795" width="9.85546875" style="44" customWidth="1"/>
    <col min="1796" max="1796" width="10.140625" style="44" customWidth="1"/>
    <col min="1797" max="1797" width="13.85546875" style="44" customWidth="1"/>
    <col min="1798" max="1798" width="12.5703125" style="44" customWidth="1"/>
    <col min="1799" max="2045" width="9.140625" style="44"/>
    <col min="2046" max="2046" width="10.85546875" style="44" customWidth="1"/>
    <col min="2047" max="2047" width="10.28515625" style="44" customWidth="1"/>
    <col min="2048" max="2048" width="9.85546875" style="44" customWidth="1"/>
    <col min="2049" max="2049" width="10.5703125" style="44" customWidth="1"/>
    <col min="2050" max="2050" width="10" style="44" customWidth="1"/>
    <col min="2051" max="2051" width="9.85546875" style="44" customWidth="1"/>
    <col min="2052" max="2052" width="10.140625" style="44" customWidth="1"/>
    <col min="2053" max="2053" width="13.85546875" style="44" customWidth="1"/>
    <col min="2054" max="2054" width="12.5703125" style="44" customWidth="1"/>
    <col min="2055" max="2301" width="9.140625" style="44"/>
    <col min="2302" max="2302" width="10.85546875" style="44" customWidth="1"/>
    <col min="2303" max="2303" width="10.28515625" style="44" customWidth="1"/>
    <col min="2304" max="2304" width="9.85546875" style="44" customWidth="1"/>
    <col min="2305" max="2305" width="10.5703125" style="44" customWidth="1"/>
    <col min="2306" max="2306" width="10" style="44" customWidth="1"/>
    <col min="2307" max="2307" width="9.85546875" style="44" customWidth="1"/>
    <col min="2308" max="2308" width="10.140625" style="44" customWidth="1"/>
    <col min="2309" max="2309" width="13.85546875" style="44" customWidth="1"/>
    <col min="2310" max="2310" width="12.5703125" style="44" customWidth="1"/>
    <col min="2311" max="2557" width="9.140625" style="44"/>
    <col min="2558" max="2558" width="10.85546875" style="44" customWidth="1"/>
    <col min="2559" max="2559" width="10.28515625" style="44" customWidth="1"/>
    <col min="2560" max="2560" width="9.85546875" style="44" customWidth="1"/>
    <col min="2561" max="2561" width="10.5703125" style="44" customWidth="1"/>
    <col min="2562" max="2562" width="10" style="44" customWidth="1"/>
    <col min="2563" max="2563" width="9.85546875" style="44" customWidth="1"/>
    <col min="2564" max="2564" width="10.140625" style="44" customWidth="1"/>
    <col min="2565" max="2565" width="13.85546875" style="44" customWidth="1"/>
    <col min="2566" max="2566" width="12.5703125" style="44" customWidth="1"/>
    <col min="2567" max="2813" width="9.140625" style="44"/>
    <col min="2814" max="2814" width="10.85546875" style="44" customWidth="1"/>
    <col min="2815" max="2815" width="10.28515625" style="44" customWidth="1"/>
    <col min="2816" max="2816" width="9.85546875" style="44" customWidth="1"/>
    <col min="2817" max="2817" width="10.5703125" style="44" customWidth="1"/>
    <col min="2818" max="2818" width="10" style="44" customWidth="1"/>
    <col min="2819" max="2819" width="9.85546875" style="44" customWidth="1"/>
    <col min="2820" max="2820" width="10.140625" style="44" customWidth="1"/>
    <col min="2821" max="2821" width="13.85546875" style="44" customWidth="1"/>
    <col min="2822" max="2822" width="12.5703125" style="44" customWidth="1"/>
    <col min="2823" max="3069" width="9.140625" style="44"/>
    <col min="3070" max="3070" width="10.85546875" style="44" customWidth="1"/>
    <col min="3071" max="3071" width="10.28515625" style="44" customWidth="1"/>
    <col min="3072" max="3072" width="9.85546875" style="44" customWidth="1"/>
    <col min="3073" max="3073" width="10.5703125" style="44" customWidth="1"/>
    <col min="3074" max="3074" width="10" style="44" customWidth="1"/>
    <col min="3075" max="3075" width="9.85546875" style="44" customWidth="1"/>
    <col min="3076" max="3076" width="10.140625" style="44" customWidth="1"/>
    <col min="3077" max="3077" width="13.85546875" style="44" customWidth="1"/>
    <col min="3078" max="3078" width="12.5703125" style="44" customWidth="1"/>
    <col min="3079" max="3325" width="9.140625" style="44"/>
    <col min="3326" max="3326" width="10.85546875" style="44" customWidth="1"/>
    <col min="3327" max="3327" width="10.28515625" style="44" customWidth="1"/>
    <col min="3328" max="3328" width="9.85546875" style="44" customWidth="1"/>
    <col min="3329" max="3329" width="10.5703125" style="44" customWidth="1"/>
    <col min="3330" max="3330" width="10" style="44" customWidth="1"/>
    <col min="3331" max="3331" width="9.85546875" style="44" customWidth="1"/>
    <col min="3332" max="3332" width="10.140625" style="44" customWidth="1"/>
    <col min="3333" max="3333" width="13.85546875" style="44" customWidth="1"/>
    <col min="3334" max="3334" width="12.5703125" style="44" customWidth="1"/>
    <col min="3335" max="3581" width="9.140625" style="44"/>
    <col min="3582" max="3582" width="10.85546875" style="44" customWidth="1"/>
    <col min="3583" max="3583" width="10.28515625" style="44" customWidth="1"/>
    <col min="3584" max="3584" width="9.85546875" style="44" customWidth="1"/>
    <col min="3585" max="3585" width="10.5703125" style="44" customWidth="1"/>
    <col min="3586" max="3586" width="10" style="44" customWidth="1"/>
    <col min="3587" max="3587" width="9.85546875" style="44" customWidth="1"/>
    <col min="3588" max="3588" width="10.140625" style="44" customWidth="1"/>
    <col min="3589" max="3589" width="13.85546875" style="44" customWidth="1"/>
    <col min="3590" max="3590" width="12.5703125" style="44" customWidth="1"/>
    <col min="3591" max="3837" width="9.140625" style="44"/>
    <col min="3838" max="3838" width="10.85546875" style="44" customWidth="1"/>
    <col min="3839" max="3839" width="10.28515625" style="44" customWidth="1"/>
    <col min="3840" max="3840" width="9.85546875" style="44" customWidth="1"/>
    <col min="3841" max="3841" width="10.5703125" style="44" customWidth="1"/>
    <col min="3842" max="3842" width="10" style="44" customWidth="1"/>
    <col min="3843" max="3843" width="9.85546875" style="44" customWidth="1"/>
    <col min="3844" max="3844" width="10.140625" style="44" customWidth="1"/>
    <col min="3845" max="3845" width="13.85546875" style="44" customWidth="1"/>
    <col min="3846" max="3846" width="12.5703125" style="44" customWidth="1"/>
    <col min="3847" max="4093" width="9.140625" style="44"/>
    <col min="4094" max="4094" width="10.85546875" style="44" customWidth="1"/>
    <col min="4095" max="4095" width="10.28515625" style="44" customWidth="1"/>
    <col min="4096" max="4096" width="9.85546875" style="44" customWidth="1"/>
    <col min="4097" max="4097" width="10.5703125" style="44" customWidth="1"/>
    <col min="4098" max="4098" width="10" style="44" customWidth="1"/>
    <col min="4099" max="4099" width="9.85546875" style="44" customWidth="1"/>
    <col min="4100" max="4100" width="10.140625" style="44" customWidth="1"/>
    <col min="4101" max="4101" width="13.85546875" style="44" customWidth="1"/>
    <col min="4102" max="4102" width="12.5703125" style="44" customWidth="1"/>
    <col min="4103" max="4349" width="9.140625" style="44"/>
    <col min="4350" max="4350" width="10.85546875" style="44" customWidth="1"/>
    <col min="4351" max="4351" width="10.28515625" style="44" customWidth="1"/>
    <col min="4352" max="4352" width="9.85546875" style="44" customWidth="1"/>
    <col min="4353" max="4353" width="10.5703125" style="44" customWidth="1"/>
    <col min="4354" max="4354" width="10" style="44" customWidth="1"/>
    <col min="4355" max="4355" width="9.85546875" style="44" customWidth="1"/>
    <col min="4356" max="4356" width="10.140625" style="44" customWidth="1"/>
    <col min="4357" max="4357" width="13.85546875" style="44" customWidth="1"/>
    <col min="4358" max="4358" width="12.5703125" style="44" customWidth="1"/>
    <col min="4359" max="4605" width="9.140625" style="44"/>
    <col min="4606" max="4606" width="10.85546875" style="44" customWidth="1"/>
    <col min="4607" max="4607" width="10.28515625" style="44" customWidth="1"/>
    <col min="4608" max="4608" width="9.85546875" style="44" customWidth="1"/>
    <col min="4609" max="4609" width="10.5703125" style="44" customWidth="1"/>
    <col min="4610" max="4610" width="10" style="44" customWidth="1"/>
    <col min="4611" max="4611" width="9.85546875" style="44" customWidth="1"/>
    <col min="4612" max="4612" width="10.140625" style="44" customWidth="1"/>
    <col min="4613" max="4613" width="13.85546875" style="44" customWidth="1"/>
    <col min="4614" max="4614" width="12.5703125" style="44" customWidth="1"/>
    <col min="4615" max="4861" width="9.140625" style="44"/>
    <col min="4862" max="4862" width="10.85546875" style="44" customWidth="1"/>
    <col min="4863" max="4863" width="10.28515625" style="44" customWidth="1"/>
    <col min="4864" max="4864" width="9.85546875" style="44" customWidth="1"/>
    <col min="4865" max="4865" width="10.5703125" style="44" customWidth="1"/>
    <col min="4866" max="4866" width="10" style="44" customWidth="1"/>
    <col min="4867" max="4867" width="9.85546875" style="44" customWidth="1"/>
    <col min="4868" max="4868" width="10.140625" style="44" customWidth="1"/>
    <col min="4869" max="4869" width="13.85546875" style="44" customWidth="1"/>
    <col min="4870" max="4870" width="12.5703125" style="44" customWidth="1"/>
    <col min="4871" max="5117" width="9.140625" style="44"/>
    <col min="5118" max="5118" width="10.85546875" style="44" customWidth="1"/>
    <col min="5119" max="5119" width="10.28515625" style="44" customWidth="1"/>
    <col min="5120" max="5120" width="9.85546875" style="44" customWidth="1"/>
    <col min="5121" max="5121" width="10.5703125" style="44" customWidth="1"/>
    <col min="5122" max="5122" width="10" style="44" customWidth="1"/>
    <col min="5123" max="5123" width="9.85546875" style="44" customWidth="1"/>
    <col min="5124" max="5124" width="10.140625" style="44" customWidth="1"/>
    <col min="5125" max="5125" width="13.85546875" style="44" customWidth="1"/>
    <col min="5126" max="5126" width="12.5703125" style="44" customWidth="1"/>
    <col min="5127" max="5373" width="9.140625" style="44"/>
    <col min="5374" max="5374" width="10.85546875" style="44" customWidth="1"/>
    <col min="5375" max="5375" width="10.28515625" style="44" customWidth="1"/>
    <col min="5376" max="5376" width="9.85546875" style="44" customWidth="1"/>
    <col min="5377" max="5377" width="10.5703125" style="44" customWidth="1"/>
    <col min="5378" max="5378" width="10" style="44" customWidth="1"/>
    <col min="5379" max="5379" width="9.85546875" style="44" customWidth="1"/>
    <col min="5380" max="5380" width="10.140625" style="44" customWidth="1"/>
    <col min="5381" max="5381" width="13.85546875" style="44" customWidth="1"/>
    <col min="5382" max="5382" width="12.5703125" style="44" customWidth="1"/>
    <col min="5383" max="5629" width="9.140625" style="44"/>
    <col min="5630" max="5630" width="10.85546875" style="44" customWidth="1"/>
    <col min="5631" max="5631" width="10.28515625" style="44" customWidth="1"/>
    <col min="5632" max="5632" width="9.85546875" style="44" customWidth="1"/>
    <col min="5633" max="5633" width="10.5703125" style="44" customWidth="1"/>
    <col min="5634" max="5634" width="10" style="44" customWidth="1"/>
    <col min="5635" max="5635" width="9.85546875" style="44" customWidth="1"/>
    <col min="5636" max="5636" width="10.140625" style="44" customWidth="1"/>
    <col min="5637" max="5637" width="13.85546875" style="44" customWidth="1"/>
    <col min="5638" max="5638" width="12.5703125" style="44" customWidth="1"/>
    <col min="5639" max="5885" width="9.140625" style="44"/>
    <col min="5886" max="5886" width="10.85546875" style="44" customWidth="1"/>
    <col min="5887" max="5887" width="10.28515625" style="44" customWidth="1"/>
    <col min="5888" max="5888" width="9.85546875" style="44" customWidth="1"/>
    <col min="5889" max="5889" width="10.5703125" style="44" customWidth="1"/>
    <col min="5890" max="5890" width="10" style="44" customWidth="1"/>
    <col min="5891" max="5891" width="9.85546875" style="44" customWidth="1"/>
    <col min="5892" max="5892" width="10.140625" style="44" customWidth="1"/>
    <col min="5893" max="5893" width="13.85546875" style="44" customWidth="1"/>
    <col min="5894" max="5894" width="12.5703125" style="44" customWidth="1"/>
    <col min="5895" max="6141" width="9.140625" style="44"/>
    <col min="6142" max="6142" width="10.85546875" style="44" customWidth="1"/>
    <col min="6143" max="6143" width="10.28515625" style="44" customWidth="1"/>
    <col min="6144" max="6144" width="9.85546875" style="44" customWidth="1"/>
    <col min="6145" max="6145" width="10.5703125" style="44" customWidth="1"/>
    <col min="6146" max="6146" width="10" style="44" customWidth="1"/>
    <col min="6147" max="6147" width="9.85546875" style="44" customWidth="1"/>
    <col min="6148" max="6148" width="10.140625" style="44" customWidth="1"/>
    <col min="6149" max="6149" width="13.85546875" style="44" customWidth="1"/>
    <col min="6150" max="6150" width="12.5703125" style="44" customWidth="1"/>
    <col min="6151" max="6397" width="9.140625" style="44"/>
    <col min="6398" max="6398" width="10.85546875" style="44" customWidth="1"/>
    <col min="6399" max="6399" width="10.28515625" style="44" customWidth="1"/>
    <col min="6400" max="6400" width="9.85546875" style="44" customWidth="1"/>
    <col min="6401" max="6401" width="10.5703125" style="44" customWidth="1"/>
    <col min="6402" max="6402" width="10" style="44" customWidth="1"/>
    <col min="6403" max="6403" width="9.85546875" style="44" customWidth="1"/>
    <col min="6404" max="6404" width="10.140625" style="44" customWidth="1"/>
    <col min="6405" max="6405" width="13.85546875" style="44" customWidth="1"/>
    <col min="6406" max="6406" width="12.5703125" style="44" customWidth="1"/>
    <col min="6407" max="6653" width="9.140625" style="44"/>
    <col min="6654" max="6654" width="10.85546875" style="44" customWidth="1"/>
    <col min="6655" max="6655" width="10.28515625" style="44" customWidth="1"/>
    <col min="6656" max="6656" width="9.85546875" style="44" customWidth="1"/>
    <col min="6657" max="6657" width="10.5703125" style="44" customWidth="1"/>
    <col min="6658" max="6658" width="10" style="44" customWidth="1"/>
    <col min="6659" max="6659" width="9.85546875" style="44" customWidth="1"/>
    <col min="6660" max="6660" width="10.140625" style="44" customWidth="1"/>
    <col min="6661" max="6661" width="13.85546875" style="44" customWidth="1"/>
    <col min="6662" max="6662" width="12.5703125" style="44" customWidth="1"/>
    <col min="6663" max="6909" width="9.140625" style="44"/>
    <col min="6910" max="6910" width="10.85546875" style="44" customWidth="1"/>
    <col min="6911" max="6911" width="10.28515625" style="44" customWidth="1"/>
    <col min="6912" max="6912" width="9.85546875" style="44" customWidth="1"/>
    <col min="6913" max="6913" width="10.5703125" style="44" customWidth="1"/>
    <col min="6914" max="6914" width="10" style="44" customWidth="1"/>
    <col min="6915" max="6915" width="9.85546875" style="44" customWidth="1"/>
    <col min="6916" max="6916" width="10.140625" style="44" customWidth="1"/>
    <col min="6917" max="6917" width="13.85546875" style="44" customWidth="1"/>
    <col min="6918" max="6918" width="12.5703125" style="44" customWidth="1"/>
    <col min="6919" max="7165" width="9.140625" style="44"/>
    <col min="7166" max="7166" width="10.85546875" style="44" customWidth="1"/>
    <col min="7167" max="7167" width="10.28515625" style="44" customWidth="1"/>
    <col min="7168" max="7168" width="9.85546875" style="44" customWidth="1"/>
    <col min="7169" max="7169" width="10.5703125" style="44" customWidth="1"/>
    <col min="7170" max="7170" width="10" style="44" customWidth="1"/>
    <col min="7171" max="7171" width="9.85546875" style="44" customWidth="1"/>
    <col min="7172" max="7172" width="10.140625" style="44" customWidth="1"/>
    <col min="7173" max="7173" width="13.85546875" style="44" customWidth="1"/>
    <col min="7174" max="7174" width="12.5703125" style="44" customWidth="1"/>
    <col min="7175" max="7421" width="9.140625" style="44"/>
    <col min="7422" max="7422" width="10.85546875" style="44" customWidth="1"/>
    <col min="7423" max="7423" width="10.28515625" style="44" customWidth="1"/>
    <col min="7424" max="7424" width="9.85546875" style="44" customWidth="1"/>
    <col min="7425" max="7425" width="10.5703125" style="44" customWidth="1"/>
    <col min="7426" max="7426" width="10" style="44" customWidth="1"/>
    <col min="7427" max="7427" width="9.85546875" style="44" customWidth="1"/>
    <col min="7428" max="7428" width="10.140625" style="44" customWidth="1"/>
    <col min="7429" max="7429" width="13.85546875" style="44" customWidth="1"/>
    <col min="7430" max="7430" width="12.5703125" style="44" customWidth="1"/>
    <col min="7431" max="7677" width="9.140625" style="44"/>
    <col min="7678" max="7678" width="10.85546875" style="44" customWidth="1"/>
    <col min="7679" max="7679" width="10.28515625" style="44" customWidth="1"/>
    <col min="7680" max="7680" width="9.85546875" style="44" customWidth="1"/>
    <col min="7681" max="7681" width="10.5703125" style="44" customWidth="1"/>
    <col min="7682" max="7682" width="10" style="44" customWidth="1"/>
    <col min="7683" max="7683" width="9.85546875" style="44" customWidth="1"/>
    <col min="7684" max="7684" width="10.140625" style="44" customWidth="1"/>
    <col min="7685" max="7685" width="13.85546875" style="44" customWidth="1"/>
    <col min="7686" max="7686" width="12.5703125" style="44" customWidth="1"/>
    <col min="7687" max="7933" width="9.140625" style="44"/>
    <col min="7934" max="7934" width="10.85546875" style="44" customWidth="1"/>
    <col min="7935" max="7935" width="10.28515625" style="44" customWidth="1"/>
    <col min="7936" max="7936" width="9.85546875" style="44" customWidth="1"/>
    <col min="7937" max="7937" width="10.5703125" style="44" customWidth="1"/>
    <col min="7938" max="7938" width="10" style="44" customWidth="1"/>
    <col min="7939" max="7939" width="9.85546875" style="44" customWidth="1"/>
    <col min="7940" max="7940" width="10.140625" style="44" customWidth="1"/>
    <col min="7941" max="7941" width="13.85546875" style="44" customWidth="1"/>
    <col min="7942" max="7942" width="12.5703125" style="44" customWidth="1"/>
    <col min="7943" max="8189" width="9.140625" style="44"/>
    <col min="8190" max="8190" width="10.85546875" style="44" customWidth="1"/>
    <col min="8191" max="8191" width="10.28515625" style="44" customWidth="1"/>
    <col min="8192" max="8192" width="9.85546875" style="44" customWidth="1"/>
    <col min="8193" max="8193" width="10.5703125" style="44" customWidth="1"/>
    <col min="8194" max="8194" width="10" style="44" customWidth="1"/>
    <col min="8195" max="8195" width="9.85546875" style="44" customWidth="1"/>
    <col min="8196" max="8196" width="10.140625" style="44" customWidth="1"/>
    <col min="8197" max="8197" width="13.85546875" style="44" customWidth="1"/>
    <col min="8198" max="8198" width="12.5703125" style="44" customWidth="1"/>
    <col min="8199" max="8445" width="9.140625" style="44"/>
    <col min="8446" max="8446" width="10.85546875" style="44" customWidth="1"/>
    <col min="8447" max="8447" width="10.28515625" style="44" customWidth="1"/>
    <col min="8448" max="8448" width="9.85546875" style="44" customWidth="1"/>
    <col min="8449" max="8449" width="10.5703125" style="44" customWidth="1"/>
    <col min="8450" max="8450" width="10" style="44" customWidth="1"/>
    <col min="8451" max="8451" width="9.85546875" style="44" customWidth="1"/>
    <col min="8452" max="8452" width="10.140625" style="44" customWidth="1"/>
    <col min="8453" max="8453" width="13.85546875" style="44" customWidth="1"/>
    <col min="8454" max="8454" width="12.5703125" style="44" customWidth="1"/>
    <col min="8455" max="8701" width="9.140625" style="44"/>
    <col min="8702" max="8702" width="10.85546875" style="44" customWidth="1"/>
    <col min="8703" max="8703" width="10.28515625" style="44" customWidth="1"/>
    <col min="8704" max="8704" width="9.85546875" style="44" customWidth="1"/>
    <col min="8705" max="8705" width="10.5703125" style="44" customWidth="1"/>
    <col min="8706" max="8706" width="10" style="44" customWidth="1"/>
    <col min="8707" max="8707" width="9.85546875" style="44" customWidth="1"/>
    <col min="8708" max="8708" width="10.140625" style="44" customWidth="1"/>
    <col min="8709" max="8709" width="13.85546875" style="44" customWidth="1"/>
    <col min="8710" max="8710" width="12.5703125" style="44" customWidth="1"/>
    <col min="8711" max="8957" width="9.140625" style="44"/>
    <col min="8958" max="8958" width="10.85546875" style="44" customWidth="1"/>
    <col min="8959" max="8959" width="10.28515625" style="44" customWidth="1"/>
    <col min="8960" max="8960" width="9.85546875" style="44" customWidth="1"/>
    <col min="8961" max="8961" width="10.5703125" style="44" customWidth="1"/>
    <col min="8962" max="8962" width="10" style="44" customWidth="1"/>
    <col min="8963" max="8963" width="9.85546875" style="44" customWidth="1"/>
    <col min="8964" max="8964" width="10.140625" style="44" customWidth="1"/>
    <col min="8965" max="8965" width="13.85546875" style="44" customWidth="1"/>
    <col min="8966" max="8966" width="12.5703125" style="44" customWidth="1"/>
    <col min="8967" max="9213" width="9.140625" style="44"/>
    <col min="9214" max="9214" width="10.85546875" style="44" customWidth="1"/>
    <col min="9215" max="9215" width="10.28515625" style="44" customWidth="1"/>
    <col min="9216" max="9216" width="9.85546875" style="44" customWidth="1"/>
    <col min="9217" max="9217" width="10.5703125" style="44" customWidth="1"/>
    <col min="9218" max="9218" width="10" style="44" customWidth="1"/>
    <col min="9219" max="9219" width="9.85546875" style="44" customWidth="1"/>
    <col min="9220" max="9220" width="10.140625" style="44" customWidth="1"/>
    <col min="9221" max="9221" width="13.85546875" style="44" customWidth="1"/>
    <col min="9222" max="9222" width="12.5703125" style="44" customWidth="1"/>
    <col min="9223" max="9469" width="9.140625" style="44"/>
    <col min="9470" max="9470" width="10.85546875" style="44" customWidth="1"/>
    <col min="9471" max="9471" width="10.28515625" style="44" customWidth="1"/>
    <col min="9472" max="9472" width="9.85546875" style="44" customWidth="1"/>
    <col min="9473" max="9473" width="10.5703125" style="44" customWidth="1"/>
    <col min="9474" max="9474" width="10" style="44" customWidth="1"/>
    <col min="9475" max="9475" width="9.85546875" style="44" customWidth="1"/>
    <col min="9476" max="9476" width="10.140625" style="44" customWidth="1"/>
    <col min="9477" max="9477" width="13.85546875" style="44" customWidth="1"/>
    <col min="9478" max="9478" width="12.5703125" style="44" customWidth="1"/>
    <col min="9479" max="9725" width="9.140625" style="44"/>
    <col min="9726" max="9726" width="10.85546875" style="44" customWidth="1"/>
    <col min="9727" max="9727" width="10.28515625" style="44" customWidth="1"/>
    <col min="9728" max="9728" width="9.85546875" style="44" customWidth="1"/>
    <col min="9729" max="9729" width="10.5703125" style="44" customWidth="1"/>
    <col min="9730" max="9730" width="10" style="44" customWidth="1"/>
    <col min="9731" max="9731" width="9.85546875" style="44" customWidth="1"/>
    <col min="9732" max="9732" width="10.140625" style="44" customWidth="1"/>
    <col min="9733" max="9733" width="13.85546875" style="44" customWidth="1"/>
    <col min="9734" max="9734" width="12.5703125" style="44" customWidth="1"/>
    <col min="9735" max="9981" width="9.140625" style="44"/>
    <col min="9982" max="9982" width="10.85546875" style="44" customWidth="1"/>
    <col min="9983" max="9983" width="10.28515625" style="44" customWidth="1"/>
    <col min="9984" max="9984" width="9.85546875" style="44" customWidth="1"/>
    <col min="9985" max="9985" width="10.5703125" style="44" customWidth="1"/>
    <col min="9986" max="9986" width="10" style="44" customWidth="1"/>
    <col min="9987" max="9987" width="9.85546875" style="44" customWidth="1"/>
    <col min="9988" max="9988" width="10.140625" style="44" customWidth="1"/>
    <col min="9989" max="9989" width="13.85546875" style="44" customWidth="1"/>
    <col min="9990" max="9990" width="12.5703125" style="44" customWidth="1"/>
    <col min="9991" max="10237" width="9.140625" style="44"/>
    <col min="10238" max="10238" width="10.85546875" style="44" customWidth="1"/>
    <col min="10239" max="10239" width="10.28515625" style="44" customWidth="1"/>
    <col min="10240" max="10240" width="9.85546875" style="44" customWidth="1"/>
    <col min="10241" max="10241" width="10.5703125" style="44" customWidth="1"/>
    <col min="10242" max="10242" width="10" style="44" customWidth="1"/>
    <col min="10243" max="10243" width="9.85546875" style="44" customWidth="1"/>
    <col min="10244" max="10244" width="10.140625" style="44" customWidth="1"/>
    <col min="10245" max="10245" width="13.85546875" style="44" customWidth="1"/>
    <col min="10246" max="10246" width="12.5703125" style="44" customWidth="1"/>
    <col min="10247" max="10493" width="9.140625" style="44"/>
    <col min="10494" max="10494" width="10.85546875" style="44" customWidth="1"/>
    <col min="10495" max="10495" width="10.28515625" style="44" customWidth="1"/>
    <col min="10496" max="10496" width="9.85546875" style="44" customWidth="1"/>
    <col min="10497" max="10497" width="10.5703125" style="44" customWidth="1"/>
    <col min="10498" max="10498" width="10" style="44" customWidth="1"/>
    <col min="10499" max="10499" width="9.85546875" style="44" customWidth="1"/>
    <col min="10500" max="10500" width="10.140625" style="44" customWidth="1"/>
    <col min="10501" max="10501" width="13.85546875" style="44" customWidth="1"/>
    <col min="10502" max="10502" width="12.5703125" style="44" customWidth="1"/>
    <col min="10503" max="10749" width="9.140625" style="44"/>
    <col min="10750" max="10750" width="10.85546875" style="44" customWidth="1"/>
    <col min="10751" max="10751" width="10.28515625" style="44" customWidth="1"/>
    <col min="10752" max="10752" width="9.85546875" style="44" customWidth="1"/>
    <col min="10753" max="10753" width="10.5703125" style="44" customWidth="1"/>
    <col min="10754" max="10754" width="10" style="44" customWidth="1"/>
    <col min="10755" max="10755" width="9.85546875" style="44" customWidth="1"/>
    <col min="10756" max="10756" width="10.140625" style="44" customWidth="1"/>
    <col min="10757" max="10757" width="13.85546875" style="44" customWidth="1"/>
    <col min="10758" max="10758" width="12.5703125" style="44" customWidth="1"/>
    <col min="10759" max="11005" width="9.140625" style="44"/>
    <col min="11006" max="11006" width="10.85546875" style="44" customWidth="1"/>
    <col min="11007" max="11007" width="10.28515625" style="44" customWidth="1"/>
    <col min="11008" max="11008" width="9.85546875" style="44" customWidth="1"/>
    <col min="11009" max="11009" width="10.5703125" style="44" customWidth="1"/>
    <col min="11010" max="11010" width="10" style="44" customWidth="1"/>
    <col min="11011" max="11011" width="9.85546875" style="44" customWidth="1"/>
    <col min="11012" max="11012" width="10.140625" style="44" customWidth="1"/>
    <col min="11013" max="11013" width="13.85546875" style="44" customWidth="1"/>
    <col min="11014" max="11014" width="12.5703125" style="44" customWidth="1"/>
    <col min="11015" max="11261" width="9.140625" style="44"/>
    <col min="11262" max="11262" width="10.85546875" style="44" customWidth="1"/>
    <col min="11263" max="11263" width="10.28515625" style="44" customWidth="1"/>
    <col min="11264" max="11264" width="9.85546875" style="44" customWidth="1"/>
    <col min="11265" max="11265" width="10.5703125" style="44" customWidth="1"/>
    <col min="11266" max="11266" width="10" style="44" customWidth="1"/>
    <col min="11267" max="11267" width="9.85546875" style="44" customWidth="1"/>
    <col min="11268" max="11268" width="10.140625" style="44" customWidth="1"/>
    <col min="11269" max="11269" width="13.85546875" style="44" customWidth="1"/>
    <col min="11270" max="11270" width="12.5703125" style="44" customWidth="1"/>
    <col min="11271" max="11517" width="9.140625" style="44"/>
    <col min="11518" max="11518" width="10.85546875" style="44" customWidth="1"/>
    <col min="11519" max="11519" width="10.28515625" style="44" customWidth="1"/>
    <col min="11520" max="11520" width="9.85546875" style="44" customWidth="1"/>
    <col min="11521" max="11521" width="10.5703125" style="44" customWidth="1"/>
    <col min="11522" max="11522" width="10" style="44" customWidth="1"/>
    <col min="11523" max="11523" width="9.85546875" style="44" customWidth="1"/>
    <col min="11524" max="11524" width="10.140625" style="44" customWidth="1"/>
    <col min="11525" max="11525" width="13.85546875" style="44" customWidth="1"/>
    <col min="11526" max="11526" width="12.5703125" style="44" customWidth="1"/>
    <col min="11527" max="11773" width="9.140625" style="44"/>
    <col min="11774" max="11774" width="10.85546875" style="44" customWidth="1"/>
    <col min="11775" max="11775" width="10.28515625" style="44" customWidth="1"/>
    <col min="11776" max="11776" width="9.85546875" style="44" customWidth="1"/>
    <col min="11777" max="11777" width="10.5703125" style="44" customWidth="1"/>
    <col min="11778" max="11778" width="10" style="44" customWidth="1"/>
    <col min="11779" max="11779" width="9.85546875" style="44" customWidth="1"/>
    <col min="11780" max="11780" width="10.140625" style="44" customWidth="1"/>
    <col min="11781" max="11781" width="13.85546875" style="44" customWidth="1"/>
    <col min="11782" max="11782" width="12.5703125" style="44" customWidth="1"/>
    <col min="11783" max="12029" width="9.140625" style="44"/>
    <col min="12030" max="12030" width="10.85546875" style="44" customWidth="1"/>
    <col min="12031" max="12031" width="10.28515625" style="44" customWidth="1"/>
    <col min="12032" max="12032" width="9.85546875" style="44" customWidth="1"/>
    <col min="12033" max="12033" width="10.5703125" style="44" customWidth="1"/>
    <col min="12034" max="12034" width="10" style="44" customWidth="1"/>
    <col min="12035" max="12035" width="9.85546875" style="44" customWidth="1"/>
    <col min="12036" max="12036" width="10.140625" style="44" customWidth="1"/>
    <col min="12037" max="12037" width="13.85546875" style="44" customWidth="1"/>
    <col min="12038" max="12038" width="12.5703125" style="44" customWidth="1"/>
    <col min="12039" max="12285" width="9.140625" style="44"/>
    <col min="12286" max="12286" width="10.85546875" style="44" customWidth="1"/>
    <col min="12287" max="12287" width="10.28515625" style="44" customWidth="1"/>
    <col min="12288" max="12288" width="9.85546875" style="44" customWidth="1"/>
    <col min="12289" max="12289" width="10.5703125" style="44" customWidth="1"/>
    <col min="12290" max="12290" width="10" style="44" customWidth="1"/>
    <col min="12291" max="12291" width="9.85546875" style="44" customWidth="1"/>
    <col min="12292" max="12292" width="10.140625" style="44" customWidth="1"/>
    <col min="12293" max="12293" width="13.85546875" style="44" customWidth="1"/>
    <col min="12294" max="12294" width="12.5703125" style="44" customWidth="1"/>
    <col min="12295" max="12541" width="9.140625" style="44"/>
    <col min="12542" max="12542" width="10.85546875" style="44" customWidth="1"/>
    <col min="12543" max="12543" width="10.28515625" style="44" customWidth="1"/>
    <col min="12544" max="12544" width="9.85546875" style="44" customWidth="1"/>
    <col min="12545" max="12545" width="10.5703125" style="44" customWidth="1"/>
    <col min="12546" max="12546" width="10" style="44" customWidth="1"/>
    <col min="12547" max="12547" width="9.85546875" style="44" customWidth="1"/>
    <col min="12548" max="12548" width="10.140625" style="44" customWidth="1"/>
    <col min="12549" max="12549" width="13.85546875" style="44" customWidth="1"/>
    <col min="12550" max="12550" width="12.5703125" style="44" customWidth="1"/>
    <col min="12551" max="12797" width="9.140625" style="44"/>
    <col min="12798" max="12798" width="10.85546875" style="44" customWidth="1"/>
    <col min="12799" max="12799" width="10.28515625" style="44" customWidth="1"/>
    <col min="12800" max="12800" width="9.85546875" style="44" customWidth="1"/>
    <col min="12801" max="12801" width="10.5703125" style="44" customWidth="1"/>
    <col min="12802" max="12802" width="10" style="44" customWidth="1"/>
    <col min="12803" max="12803" width="9.85546875" style="44" customWidth="1"/>
    <col min="12804" max="12804" width="10.140625" style="44" customWidth="1"/>
    <col min="12805" max="12805" width="13.85546875" style="44" customWidth="1"/>
    <col min="12806" max="12806" width="12.5703125" style="44" customWidth="1"/>
    <col min="12807" max="13053" width="9.140625" style="44"/>
    <col min="13054" max="13054" width="10.85546875" style="44" customWidth="1"/>
    <col min="13055" max="13055" width="10.28515625" style="44" customWidth="1"/>
    <col min="13056" max="13056" width="9.85546875" style="44" customWidth="1"/>
    <col min="13057" max="13057" width="10.5703125" style="44" customWidth="1"/>
    <col min="13058" max="13058" width="10" style="44" customWidth="1"/>
    <col min="13059" max="13059" width="9.85546875" style="44" customWidth="1"/>
    <col min="13060" max="13060" width="10.140625" style="44" customWidth="1"/>
    <col min="13061" max="13061" width="13.85546875" style="44" customWidth="1"/>
    <col min="13062" max="13062" width="12.5703125" style="44" customWidth="1"/>
    <col min="13063" max="13309" width="9.140625" style="44"/>
    <col min="13310" max="13310" width="10.85546875" style="44" customWidth="1"/>
    <col min="13311" max="13311" width="10.28515625" style="44" customWidth="1"/>
    <col min="13312" max="13312" width="9.85546875" style="44" customWidth="1"/>
    <col min="13313" max="13313" width="10.5703125" style="44" customWidth="1"/>
    <col min="13314" max="13314" width="10" style="44" customWidth="1"/>
    <col min="13315" max="13315" width="9.85546875" style="44" customWidth="1"/>
    <col min="13316" max="13316" width="10.140625" style="44" customWidth="1"/>
    <col min="13317" max="13317" width="13.85546875" style="44" customWidth="1"/>
    <col min="13318" max="13318" width="12.5703125" style="44" customWidth="1"/>
    <col min="13319" max="13565" width="9.140625" style="44"/>
    <col min="13566" max="13566" width="10.85546875" style="44" customWidth="1"/>
    <col min="13567" max="13567" width="10.28515625" style="44" customWidth="1"/>
    <col min="13568" max="13568" width="9.85546875" style="44" customWidth="1"/>
    <col min="13569" max="13569" width="10.5703125" style="44" customWidth="1"/>
    <col min="13570" max="13570" width="10" style="44" customWidth="1"/>
    <col min="13571" max="13571" width="9.85546875" style="44" customWidth="1"/>
    <col min="13572" max="13572" width="10.140625" style="44" customWidth="1"/>
    <col min="13573" max="13573" width="13.85546875" style="44" customWidth="1"/>
    <col min="13574" max="13574" width="12.5703125" style="44" customWidth="1"/>
    <col min="13575" max="13821" width="9.140625" style="44"/>
    <col min="13822" max="13822" width="10.85546875" style="44" customWidth="1"/>
    <col min="13823" max="13823" width="10.28515625" style="44" customWidth="1"/>
    <col min="13824" max="13824" width="9.85546875" style="44" customWidth="1"/>
    <col min="13825" max="13825" width="10.5703125" style="44" customWidth="1"/>
    <col min="13826" max="13826" width="10" style="44" customWidth="1"/>
    <col min="13827" max="13827" width="9.85546875" style="44" customWidth="1"/>
    <col min="13828" max="13828" width="10.140625" style="44" customWidth="1"/>
    <col min="13829" max="13829" width="13.85546875" style="44" customWidth="1"/>
    <col min="13830" max="13830" width="12.5703125" style="44" customWidth="1"/>
    <col min="13831" max="14077" width="9.140625" style="44"/>
    <col min="14078" max="14078" width="10.85546875" style="44" customWidth="1"/>
    <col min="14079" max="14079" width="10.28515625" style="44" customWidth="1"/>
    <col min="14080" max="14080" width="9.85546875" style="44" customWidth="1"/>
    <col min="14081" max="14081" width="10.5703125" style="44" customWidth="1"/>
    <col min="14082" max="14082" width="10" style="44" customWidth="1"/>
    <col min="14083" max="14083" width="9.85546875" style="44" customWidth="1"/>
    <col min="14084" max="14084" width="10.140625" style="44" customWidth="1"/>
    <col min="14085" max="14085" width="13.85546875" style="44" customWidth="1"/>
    <col min="14086" max="14086" width="12.5703125" style="44" customWidth="1"/>
    <col min="14087" max="14333" width="9.140625" style="44"/>
    <col min="14334" max="14334" width="10.85546875" style="44" customWidth="1"/>
    <col min="14335" max="14335" width="10.28515625" style="44" customWidth="1"/>
    <col min="14336" max="14336" width="9.85546875" style="44" customWidth="1"/>
    <col min="14337" max="14337" width="10.5703125" style="44" customWidth="1"/>
    <col min="14338" max="14338" width="10" style="44" customWidth="1"/>
    <col min="14339" max="14339" width="9.85546875" style="44" customWidth="1"/>
    <col min="14340" max="14340" width="10.140625" style="44" customWidth="1"/>
    <col min="14341" max="14341" width="13.85546875" style="44" customWidth="1"/>
    <col min="14342" max="14342" width="12.5703125" style="44" customWidth="1"/>
    <col min="14343" max="14589" width="9.140625" style="44"/>
    <col min="14590" max="14590" width="10.85546875" style="44" customWidth="1"/>
    <col min="14591" max="14591" width="10.28515625" style="44" customWidth="1"/>
    <col min="14592" max="14592" width="9.85546875" style="44" customWidth="1"/>
    <col min="14593" max="14593" width="10.5703125" style="44" customWidth="1"/>
    <col min="14594" max="14594" width="10" style="44" customWidth="1"/>
    <col min="14595" max="14595" width="9.85546875" style="44" customWidth="1"/>
    <col min="14596" max="14596" width="10.140625" style="44" customWidth="1"/>
    <col min="14597" max="14597" width="13.85546875" style="44" customWidth="1"/>
    <col min="14598" max="14598" width="12.5703125" style="44" customWidth="1"/>
    <col min="14599" max="14845" width="9.140625" style="44"/>
    <col min="14846" max="14846" width="10.85546875" style="44" customWidth="1"/>
    <col min="14847" max="14847" width="10.28515625" style="44" customWidth="1"/>
    <col min="14848" max="14848" width="9.85546875" style="44" customWidth="1"/>
    <col min="14849" max="14849" width="10.5703125" style="44" customWidth="1"/>
    <col min="14850" max="14850" width="10" style="44" customWidth="1"/>
    <col min="14851" max="14851" width="9.85546875" style="44" customWidth="1"/>
    <col min="14852" max="14852" width="10.140625" style="44" customWidth="1"/>
    <col min="14853" max="14853" width="13.85546875" style="44" customWidth="1"/>
    <col min="14854" max="14854" width="12.5703125" style="44" customWidth="1"/>
    <col min="14855" max="15101" width="9.140625" style="44"/>
    <col min="15102" max="15102" width="10.85546875" style="44" customWidth="1"/>
    <col min="15103" max="15103" width="10.28515625" style="44" customWidth="1"/>
    <col min="15104" max="15104" width="9.85546875" style="44" customWidth="1"/>
    <col min="15105" max="15105" width="10.5703125" style="44" customWidth="1"/>
    <col min="15106" max="15106" width="10" style="44" customWidth="1"/>
    <col min="15107" max="15107" width="9.85546875" style="44" customWidth="1"/>
    <col min="15108" max="15108" width="10.140625" style="44" customWidth="1"/>
    <col min="15109" max="15109" width="13.85546875" style="44" customWidth="1"/>
    <col min="15110" max="15110" width="12.5703125" style="44" customWidth="1"/>
    <col min="15111" max="15357" width="9.140625" style="44"/>
    <col min="15358" max="15358" width="10.85546875" style="44" customWidth="1"/>
    <col min="15359" max="15359" width="10.28515625" style="44" customWidth="1"/>
    <col min="15360" max="15360" width="9.85546875" style="44" customWidth="1"/>
    <col min="15361" max="15361" width="10.5703125" style="44" customWidth="1"/>
    <col min="15362" max="15362" width="10" style="44" customWidth="1"/>
    <col min="15363" max="15363" width="9.85546875" style="44" customWidth="1"/>
    <col min="15364" max="15364" width="10.140625" style="44" customWidth="1"/>
    <col min="15365" max="15365" width="13.85546875" style="44" customWidth="1"/>
    <col min="15366" max="15366" width="12.5703125" style="44" customWidth="1"/>
    <col min="15367" max="15613" width="9.140625" style="44"/>
    <col min="15614" max="15614" width="10.85546875" style="44" customWidth="1"/>
    <col min="15615" max="15615" width="10.28515625" style="44" customWidth="1"/>
    <col min="15616" max="15616" width="9.85546875" style="44" customWidth="1"/>
    <col min="15617" max="15617" width="10.5703125" style="44" customWidth="1"/>
    <col min="15618" max="15618" width="10" style="44" customWidth="1"/>
    <col min="15619" max="15619" width="9.85546875" style="44" customWidth="1"/>
    <col min="15620" max="15620" width="10.140625" style="44" customWidth="1"/>
    <col min="15621" max="15621" width="13.85546875" style="44" customWidth="1"/>
    <col min="15622" max="15622" width="12.5703125" style="44" customWidth="1"/>
    <col min="15623" max="15869" width="9.140625" style="44"/>
    <col min="15870" max="15870" width="10.85546875" style="44" customWidth="1"/>
    <col min="15871" max="15871" width="10.28515625" style="44" customWidth="1"/>
    <col min="15872" max="15872" width="9.85546875" style="44" customWidth="1"/>
    <col min="15873" max="15873" width="10.5703125" style="44" customWidth="1"/>
    <col min="15874" max="15874" width="10" style="44" customWidth="1"/>
    <col min="15875" max="15875" width="9.85546875" style="44" customWidth="1"/>
    <col min="15876" max="15876" width="10.140625" style="44" customWidth="1"/>
    <col min="15877" max="15877" width="13.85546875" style="44" customWidth="1"/>
    <col min="15878" max="15878" width="12.5703125" style="44" customWidth="1"/>
    <col min="15879" max="16125" width="9.140625" style="44"/>
    <col min="16126" max="16126" width="10.85546875" style="44" customWidth="1"/>
    <col min="16127" max="16127" width="10.28515625" style="44" customWidth="1"/>
    <col min="16128" max="16128" width="9.85546875" style="44" customWidth="1"/>
    <col min="16129" max="16129" width="10.5703125" style="44" customWidth="1"/>
    <col min="16130" max="16130" width="10" style="44" customWidth="1"/>
    <col min="16131" max="16131" width="9.85546875" style="44" customWidth="1"/>
    <col min="16132" max="16132" width="10.140625" style="44" customWidth="1"/>
    <col min="16133" max="16133" width="13.85546875" style="44" customWidth="1"/>
    <col min="16134" max="16134" width="12.5703125" style="44" customWidth="1"/>
    <col min="16135" max="16384" width="9.140625" style="44"/>
  </cols>
  <sheetData>
    <row r="1" spans="1:23" ht="90" thickBot="1" x14ac:dyDescent="0.25">
      <c r="A1" s="40" t="s">
        <v>42</v>
      </c>
      <c r="B1" s="41" t="s">
        <v>28</v>
      </c>
      <c r="C1" s="42" t="s">
        <v>29</v>
      </c>
      <c r="D1" s="42" t="s">
        <v>30</v>
      </c>
      <c r="E1" s="42" t="s">
        <v>31</v>
      </c>
      <c r="F1" s="42" t="s">
        <v>32</v>
      </c>
      <c r="G1" s="42" t="s">
        <v>33</v>
      </c>
      <c r="H1" s="42" t="s">
        <v>34</v>
      </c>
      <c r="I1" s="43" t="s">
        <v>43</v>
      </c>
      <c r="J1" s="72" t="s">
        <v>44</v>
      </c>
      <c r="K1" s="72" t="s">
        <v>45</v>
      </c>
      <c r="L1" s="72" t="s">
        <v>46</v>
      </c>
      <c r="M1" s="73" t="s">
        <v>47</v>
      </c>
      <c r="N1" s="73" t="s">
        <v>48</v>
      </c>
      <c r="O1" s="73" t="s">
        <v>49</v>
      </c>
      <c r="P1" s="71" t="s">
        <v>50</v>
      </c>
      <c r="Q1" s="71" t="s">
        <v>51</v>
      </c>
      <c r="R1" s="71" t="s">
        <v>52</v>
      </c>
      <c r="S1" s="71" t="s">
        <v>53</v>
      </c>
      <c r="T1" s="74" t="s">
        <v>55</v>
      </c>
      <c r="U1" s="75" t="s">
        <v>56</v>
      </c>
      <c r="V1" s="75" t="s">
        <v>57</v>
      </c>
      <c r="W1" s="75" t="s">
        <v>54</v>
      </c>
    </row>
    <row r="2" spans="1:23" x14ac:dyDescent="0.2">
      <c r="A2" s="45">
        <v>45292</v>
      </c>
      <c r="B2" s="46">
        <v>1740.15</v>
      </c>
      <c r="C2" s="47">
        <v>831.09</v>
      </c>
      <c r="D2" s="47">
        <v>247.83</v>
      </c>
      <c r="E2" s="47">
        <v>1412.8</v>
      </c>
      <c r="F2" s="47">
        <v>1057.8499999999999</v>
      </c>
      <c r="G2" s="47">
        <v>1456.07</v>
      </c>
      <c r="H2" s="47">
        <v>913.67000000000019</v>
      </c>
      <c r="I2" s="48">
        <v>5832.119999999999</v>
      </c>
      <c r="J2" s="49"/>
      <c r="R2" s="44">
        <v>122</v>
      </c>
      <c r="S2" s="44">
        <v>41.9</v>
      </c>
      <c r="T2" s="44">
        <v>159</v>
      </c>
      <c r="U2" s="44">
        <v>5233</v>
      </c>
      <c r="V2" s="44">
        <v>5233</v>
      </c>
      <c r="W2" s="44">
        <v>0</v>
      </c>
    </row>
    <row r="3" spans="1:23" x14ac:dyDescent="0.2">
      <c r="A3" s="50">
        <f t="shared" ref="A3:A66" si="0">A2+1</f>
        <v>45293</v>
      </c>
      <c r="B3" s="51">
        <v>1755.28</v>
      </c>
      <c r="C3" s="52">
        <v>847.82</v>
      </c>
      <c r="D3" s="52">
        <v>248</v>
      </c>
      <c r="E3" s="52">
        <v>1377.41</v>
      </c>
      <c r="F3" s="52">
        <v>1028.53</v>
      </c>
      <c r="G3" s="52">
        <v>1824.18</v>
      </c>
      <c r="H3" s="52">
        <v>1259.6399999999999</v>
      </c>
      <c r="I3" s="53">
        <v>5821.58</v>
      </c>
      <c r="J3" s="49"/>
      <c r="R3" s="44">
        <v>126</v>
      </c>
      <c r="S3" s="44">
        <v>43.5</v>
      </c>
      <c r="T3" s="44">
        <v>170</v>
      </c>
      <c r="U3" s="44">
        <v>5744</v>
      </c>
      <c r="V3" s="44">
        <v>10977</v>
      </c>
      <c r="W3" s="44">
        <v>0</v>
      </c>
    </row>
    <row r="4" spans="1:23" x14ac:dyDescent="0.2">
      <c r="A4" s="50">
        <f t="shared" si="0"/>
        <v>45294</v>
      </c>
      <c r="B4" s="51">
        <v>2206.4899999999998</v>
      </c>
      <c r="C4" s="52">
        <v>1199.5</v>
      </c>
      <c r="D4" s="52">
        <v>1168.2</v>
      </c>
      <c r="E4" s="52">
        <v>2411.12</v>
      </c>
      <c r="F4" s="52">
        <v>515.26</v>
      </c>
      <c r="G4" s="52">
        <v>2674.47</v>
      </c>
      <c r="H4" s="52">
        <v>1618.0800000000002</v>
      </c>
      <c r="I4" s="53">
        <v>8556.9599999999991</v>
      </c>
      <c r="J4" s="49"/>
      <c r="R4" s="44">
        <v>141</v>
      </c>
      <c r="S4" s="44">
        <v>45.8</v>
      </c>
      <c r="T4" s="44">
        <v>176</v>
      </c>
      <c r="U4" s="44">
        <v>5881</v>
      </c>
      <c r="V4" s="44">
        <v>16858</v>
      </c>
      <c r="W4" s="44">
        <v>0</v>
      </c>
    </row>
    <row r="5" spans="1:23" x14ac:dyDescent="0.2">
      <c r="A5" s="50">
        <f t="shared" si="0"/>
        <v>45295</v>
      </c>
      <c r="B5" s="51">
        <v>2661.73</v>
      </c>
      <c r="C5" s="52">
        <v>1212.01</v>
      </c>
      <c r="D5" s="52">
        <v>1464.23</v>
      </c>
      <c r="E5" s="52">
        <v>2639.1</v>
      </c>
      <c r="F5" s="52">
        <v>274.55</v>
      </c>
      <c r="G5" s="52">
        <v>2654.3</v>
      </c>
      <c r="H5" s="52">
        <v>1675.6200000000001</v>
      </c>
      <c r="I5" s="53">
        <v>9230.2999999999975</v>
      </c>
      <c r="J5" s="49"/>
      <c r="R5" s="44">
        <v>149</v>
      </c>
      <c r="S5" s="44">
        <v>53.7</v>
      </c>
      <c r="T5" s="44">
        <v>206</v>
      </c>
      <c r="U5" s="44">
        <v>7177</v>
      </c>
      <c r="V5" s="44">
        <v>24035</v>
      </c>
      <c r="W5" s="44">
        <v>0</v>
      </c>
    </row>
    <row r="6" spans="1:23" x14ac:dyDescent="0.2">
      <c r="A6" s="50">
        <f t="shared" si="0"/>
        <v>45296</v>
      </c>
      <c r="B6" s="51">
        <v>2757.67</v>
      </c>
      <c r="C6" s="52">
        <v>1146.42</v>
      </c>
      <c r="D6" s="52">
        <v>1487.62</v>
      </c>
      <c r="E6" s="52">
        <v>2680.03</v>
      </c>
      <c r="F6" s="52">
        <v>256.04000000000002</v>
      </c>
      <c r="G6" s="52">
        <v>2928.47</v>
      </c>
      <c r="H6" s="52">
        <v>1869.4599999999998</v>
      </c>
      <c r="I6" s="53">
        <v>9386.7900000000009</v>
      </c>
      <c r="J6" s="49"/>
      <c r="R6" s="44">
        <v>175.66</v>
      </c>
      <c r="S6" s="44">
        <v>54.5</v>
      </c>
      <c r="T6" s="44">
        <v>208</v>
      </c>
      <c r="U6" s="44">
        <v>7295</v>
      </c>
      <c r="V6" s="44">
        <v>31330</v>
      </c>
      <c r="W6" s="44">
        <v>0</v>
      </c>
    </row>
    <row r="7" spans="1:23" x14ac:dyDescent="0.2">
      <c r="A7" s="50">
        <f t="shared" si="0"/>
        <v>45297</v>
      </c>
      <c r="B7" s="51">
        <v>2520.87</v>
      </c>
      <c r="C7" s="52">
        <v>1257.45</v>
      </c>
      <c r="D7" s="52">
        <v>1490.01</v>
      </c>
      <c r="E7" s="52">
        <v>2789.9</v>
      </c>
      <c r="F7" s="52">
        <v>311.97000000000003</v>
      </c>
      <c r="G7" s="52">
        <v>2952.3</v>
      </c>
      <c r="H7" s="52">
        <v>1917.1399999999999</v>
      </c>
      <c r="I7" s="53">
        <v>9405.36</v>
      </c>
      <c r="J7" s="49"/>
      <c r="R7" s="44">
        <v>161.24</v>
      </c>
      <c r="S7" s="44">
        <v>57.099999999999994</v>
      </c>
      <c r="T7" s="44">
        <v>209</v>
      </c>
      <c r="U7" s="44">
        <v>7463</v>
      </c>
      <c r="V7" s="44">
        <v>38793</v>
      </c>
      <c r="W7" s="44">
        <v>0</v>
      </c>
    </row>
    <row r="8" spans="1:23" x14ac:dyDescent="0.2">
      <c r="A8" s="50">
        <f t="shared" si="0"/>
        <v>45298</v>
      </c>
      <c r="B8" s="51">
        <v>2153.8000000000002</v>
      </c>
      <c r="C8" s="52">
        <v>1023.97</v>
      </c>
      <c r="D8" s="52">
        <v>1246.74</v>
      </c>
      <c r="E8" s="52">
        <v>2665.95</v>
      </c>
      <c r="F8" s="52">
        <v>331.14</v>
      </c>
      <c r="G8" s="52">
        <v>2307.79</v>
      </c>
      <c r="H8" s="52">
        <v>1493.5700000000002</v>
      </c>
      <c r="I8" s="53">
        <v>8235.82</v>
      </c>
      <c r="J8" s="49"/>
      <c r="R8" s="44">
        <v>206</v>
      </c>
      <c r="S8" s="44">
        <v>59</v>
      </c>
      <c r="T8" s="44">
        <v>226</v>
      </c>
      <c r="U8" s="44">
        <v>8171</v>
      </c>
      <c r="V8" s="44">
        <v>46720</v>
      </c>
      <c r="W8" s="44">
        <v>244</v>
      </c>
    </row>
    <row r="9" spans="1:23" x14ac:dyDescent="0.2">
      <c r="A9" s="50">
        <f t="shared" si="0"/>
        <v>45299</v>
      </c>
      <c r="B9" s="51">
        <v>6986.79</v>
      </c>
      <c r="C9" s="52">
        <v>3748.2</v>
      </c>
      <c r="D9" s="52">
        <v>3606</v>
      </c>
      <c r="E9" s="52">
        <v>4445</v>
      </c>
      <c r="F9" s="52">
        <v>939</v>
      </c>
      <c r="G9" s="52">
        <v>4482</v>
      </c>
      <c r="H9" s="52">
        <v>2082</v>
      </c>
      <c r="I9" s="53">
        <v>22124.989999999998</v>
      </c>
      <c r="J9" s="49"/>
      <c r="R9" s="44">
        <v>300</v>
      </c>
      <c r="S9" s="44">
        <v>106.80000000000001</v>
      </c>
      <c r="T9" s="44">
        <v>390</v>
      </c>
      <c r="U9" s="44">
        <v>16057</v>
      </c>
      <c r="V9" s="44">
        <v>61135</v>
      </c>
      <c r="W9" s="44">
        <v>1642</v>
      </c>
    </row>
    <row r="10" spans="1:23" x14ac:dyDescent="0.2">
      <c r="A10" s="50">
        <f t="shared" si="0"/>
        <v>45300</v>
      </c>
      <c r="B10" s="51">
        <v>10718.26</v>
      </c>
      <c r="C10" s="52">
        <v>4923.7299999999996</v>
      </c>
      <c r="D10" s="52">
        <v>5033.18</v>
      </c>
      <c r="E10" s="52">
        <v>5465.25</v>
      </c>
      <c r="F10" s="52">
        <v>1379.03</v>
      </c>
      <c r="G10" s="52">
        <v>7112.42</v>
      </c>
      <c r="H10" s="52">
        <v>3193.3700000000003</v>
      </c>
      <c r="I10" s="53">
        <v>31438.499999999996</v>
      </c>
      <c r="J10" s="49"/>
      <c r="R10" s="44">
        <v>295.94</v>
      </c>
      <c r="S10" s="44">
        <v>101.79999999999998</v>
      </c>
      <c r="T10" s="44">
        <v>376</v>
      </c>
      <c r="U10" s="44">
        <v>14476</v>
      </c>
      <c r="V10" s="44">
        <v>74343</v>
      </c>
      <c r="W10" s="44">
        <v>1268</v>
      </c>
    </row>
    <row r="11" spans="1:23" x14ac:dyDescent="0.2">
      <c r="A11" s="50">
        <f t="shared" si="0"/>
        <v>45301</v>
      </c>
      <c r="B11" s="51">
        <v>11303.63</v>
      </c>
      <c r="C11" s="52">
        <v>4781.8100000000004</v>
      </c>
      <c r="D11" s="52">
        <v>5292.28</v>
      </c>
      <c r="E11" s="52">
        <v>5510.63</v>
      </c>
      <c r="F11" s="52">
        <v>1417.9</v>
      </c>
      <c r="G11" s="52">
        <v>7339.71</v>
      </c>
      <c r="H11" s="52">
        <v>3411.1400000000003</v>
      </c>
      <c r="I11" s="53">
        <v>32234.82</v>
      </c>
      <c r="J11" s="49"/>
      <c r="R11" s="44">
        <v>305.83999999999997</v>
      </c>
      <c r="S11" s="44">
        <v>108.8</v>
      </c>
      <c r="T11" s="44">
        <v>385</v>
      </c>
      <c r="U11" s="44">
        <v>15387</v>
      </c>
      <c r="V11" s="44">
        <v>88595</v>
      </c>
      <c r="W11" s="44">
        <v>1135</v>
      </c>
    </row>
    <row r="12" spans="1:23" x14ac:dyDescent="0.2">
      <c r="A12" s="50">
        <f t="shared" si="0"/>
        <v>45302</v>
      </c>
      <c r="B12" s="51">
        <v>11059.39</v>
      </c>
      <c r="C12" s="52">
        <v>4696.8900000000003</v>
      </c>
      <c r="D12" s="52">
        <v>5455.01</v>
      </c>
      <c r="E12" s="52">
        <v>5519.56</v>
      </c>
      <c r="F12" s="52">
        <v>1416.88</v>
      </c>
      <c r="G12" s="52">
        <v>7678.08</v>
      </c>
      <c r="H12" s="52">
        <v>3695.8700000000003</v>
      </c>
      <c r="I12" s="53">
        <v>32129.940000000006</v>
      </c>
      <c r="J12" s="49"/>
      <c r="R12" s="44">
        <v>303.58</v>
      </c>
      <c r="S12" s="44">
        <v>107.5</v>
      </c>
      <c r="T12" s="44">
        <v>388</v>
      </c>
      <c r="U12" s="44">
        <v>15718</v>
      </c>
      <c r="V12" s="44">
        <v>103268</v>
      </c>
      <c r="W12" s="44">
        <v>1045</v>
      </c>
    </row>
    <row r="13" spans="1:23" x14ac:dyDescent="0.2">
      <c r="A13" s="50">
        <f t="shared" si="0"/>
        <v>45303</v>
      </c>
      <c r="B13" s="51">
        <v>10974</v>
      </c>
      <c r="C13" s="52">
        <v>4723</v>
      </c>
      <c r="D13" s="52">
        <v>5079.1899999999996</v>
      </c>
      <c r="E13" s="52">
        <v>5475</v>
      </c>
      <c r="F13" s="52">
        <v>1393.06</v>
      </c>
      <c r="G13" s="52">
        <v>7171.85</v>
      </c>
      <c r="H13" s="52">
        <v>3281.7599999999998</v>
      </c>
      <c r="I13" s="53">
        <v>31534.34</v>
      </c>
      <c r="J13" s="49"/>
      <c r="R13" s="44">
        <v>302</v>
      </c>
      <c r="S13" s="44">
        <v>105.8</v>
      </c>
      <c r="T13" s="44">
        <v>380</v>
      </c>
      <c r="U13" s="44">
        <v>14726</v>
      </c>
      <c r="V13" s="44">
        <v>116961</v>
      </c>
      <c r="W13" s="44">
        <v>1033</v>
      </c>
    </row>
    <row r="14" spans="1:23" x14ac:dyDescent="0.2">
      <c r="A14" s="50">
        <f t="shared" si="0"/>
        <v>45304</v>
      </c>
      <c r="B14" s="51">
        <v>10279.379999999999</v>
      </c>
      <c r="C14" s="52">
        <v>4441.29</v>
      </c>
      <c r="D14" s="52">
        <v>4663.2</v>
      </c>
      <c r="E14" s="52">
        <v>5263.72</v>
      </c>
      <c r="F14" s="52">
        <v>1258.1199999999999</v>
      </c>
      <c r="G14" s="52">
        <v>5156.46</v>
      </c>
      <c r="H14" s="52">
        <v>2108.46</v>
      </c>
      <c r="I14" s="53">
        <v>28953.71</v>
      </c>
      <c r="J14" s="49"/>
      <c r="R14" s="44">
        <v>268</v>
      </c>
      <c r="S14" s="44">
        <v>100</v>
      </c>
      <c r="T14" s="44">
        <v>364</v>
      </c>
      <c r="U14" s="44">
        <v>14531</v>
      </c>
      <c r="V14" s="44">
        <v>130112</v>
      </c>
      <c r="W14" s="44">
        <v>1380</v>
      </c>
    </row>
    <row r="15" spans="1:23" x14ac:dyDescent="0.2">
      <c r="A15" s="50">
        <f t="shared" si="0"/>
        <v>45305</v>
      </c>
      <c r="B15" s="51">
        <v>10128.14</v>
      </c>
      <c r="C15" s="52">
        <v>4602.96</v>
      </c>
      <c r="D15" s="52">
        <v>4509.8100000000004</v>
      </c>
      <c r="E15" s="52">
        <v>5855.5</v>
      </c>
      <c r="F15" s="52">
        <v>1611.41</v>
      </c>
      <c r="G15" s="52">
        <v>5774.69</v>
      </c>
      <c r="H15" s="52">
        <v>2244.6600000000003</v>
      </c>
      <c r="I15" s="53">
        <v>30237.85</v>
      </c>
      <c r="J15" s="49"/>
      <c r="R15" s="44">
        <v>302</v>
      </c>
      <c r="S15" s="44">
        <v>111</v>
      </c>
      <c r="T15" s="44">
        <v>382</v>
      </c>
      <c r="U15" s="44">
        <v>15411</v>
      </c>
      <c r="V15" s="44">
        <v>144096</v>
      </c>
      <c r="W15" s="44">
        <v>1427</v>
      </c>
    </row>
    <row r="16" spans="1:23" x14ac:dyDescent="0.2">
      <c r="A16" s="50">
        <f t="shared" si="0"/>
        <v>45306</v>
      </c>
      <c r="B16" s="51">
        <v>9703.6</v>
      </c>
      <c r="C16" s="52">
        <v>4592.2</v>
      </c>
      <c r="D16" s="52">
        <v>4643.17</v>
      </c>
      <c r="E16" s="52">
        <v>6229.68</v>
      </c>
      <c r="F16" s="52">
        <v>1803.06</v>
      </c>
      <c r="G16" s="52">
        <v>7415.97</v>
      </c>
      <c r="H16" s="52">
        <v>3778.08</v>
      </c>
      <c r="I16" s="53">
        <v>30609.599999999999</v>
      </c>
      <c r="J16" s="49"/>
      <c r="R16" s="44">
        <v>287.2</v>
      </c>
      <c r="S16" s="44">
        <v>104</v>
      </c>
      <c r="T16" s="44">
        <v>378</v>
      </c>
      <c r="U16" s="44">
        <v>14465</v>
      </c>
      <c r="V16" s="44">
        <v>157433</v>
      </c>
      <c r="W16" s="44">
        <v>1128</v>
      </c>
    </row>
    <row r="17" spans="1:23" x14ac:dyDescent="0.2">
      <c r="A17" s="50">
        <f t="shared" si="0"/>
        <v>45307</v>
      </c>
      <c r="B17" s="51">
        <v>10327</v>
      </c>
      <c r="C17" s="52">
        <v>4715</v>
      </c>
      <c r="D17" s="52">
        <v>4862</v>
      </c>
      <c r="E17" s="52">
        <v>7032</v>
      </c>
      <c r="F17" s="52">
        <v>2266</v>
      </c>
      <c r="G17" s="52">
        <v>7292</v>
      </c>
      <c r="H17" s="52">
        <v>3849</v>
      </c>
      <c r="I17" s="53">
        <v>32645</v>
      </c>
      <c r="J17" s="49"/>
      <c r="R17" s="44">
        <v>298</v>
      </c>
      <c r="S17" s="44">
        <v>106.69999999999999</v>
      </c>
      <c r="T17" s="44">
        <v>393</v>
      </c>
      <c r="U17" s="44">
        <v>15435</v>
      </c>
      <c r="V17" s="44">
        <v>171764</v>
      </c>
      <c r="W17" s="44">
        <v>1104</v>
      </c>
    </row>
    <row r="18" spans="1:23" x14ac:dyDescent="0.2">
      <c r="A18" s="50">
        <f t="shared" si="0"/>
        <v>45308</v>
      </c>
      <c r="B18" s="51">
        <v>9926.8700000000008</v>
      </c>
      <c r="C18" s="52">
        <v>4509.3100000000004</v>
      </c>
      <c r="D18" s="52">
        <v>4936.68</v>
      </c>
      <c r="E18" s="52">
        <v>6298.24</v>
      </c>
      <c r="F18" s="52">
        <v>1849.63</v>
      </c>
      <c r="G18" s="52">
        <v>7224.35</v>
      </c>
      <c r="H18" s="52">
        <v>3852.9500000000003</v>
      </c>
      <c r="I18" s="53">
        <v>30892.13</v>
      </c>
      <c r="J18" s="49"/>
      <c r="R18" s="44">
        <v>292.42</v>
      </c>
      <c r="S18" s="44">
        <v>106.5</v>
      </c>
      <c r="T18" s="44">
        <v>386</v>
      </c>
      <c r="U18" s="44">
        <v>15782</v>
      </c>
      <c r="V18" s="44">
        <v>186313</v>
      </c>
      <c r="W18" s="44">
        <v>1233</v>
      </c>
    </row>
    <row r="19" spans="1:23" x14ac:dyDescent="0.2">
      <c r="A19" s="50">
        <f t="shared" si="0"/>
        <v>45309</v>
      </c>
      <c r="B19" s="51">
        <v>10176.370000000001</v>
      </c>
      <c r="C19" s="52">
        <v>4624.76</v>
      </c>
      <c r="D19" s="52">
        <v>4578.2299999999996</v>
      </c>
      <c r="E19" s="52">
        <v>6195.92</v>
      </c>
      <c r="F19" s="52">
        <v>1799.03</v>
      </c>
      <c r="G19" s="52">
        <v>6901.5</v>
      </c>
      <c r="H19" s="52">
        <v>3763.17</v>
      </c>
      <c r="I19" s="53">
        <v>30512.639999999999</v>
      </c>
      <c r="J19" s="49"/>
      <c r="R19" s="44">
        <v>293.85000000000002</v>
      </c>
      <c r="S19" s="44">
        <v>108.9</v>
      </c>
      <c r="T19" s="44">
        <v>390</v>
      </c>
      <c r="U19" s="44">
        <v>15174</v>
      </c>
      <c r="V19" s="44">
        <v>200148</v>
      </c>
      <c r="W19" s="44">
        <v>1339</v>
      </c>
    </row>
    <row r="20" spans="1:23" x14ac:dyDescent="0.2">
      <c r="A20" s="50">
        <f t="shared" si="0"/>
        <v>45310</v>
      </c>
      <c r="B20" s="51">
        <v>10563.22</v>
      </c>
      <c r="C20" s="52">
        <v>4686.49</v>
      </c>
      <c r="D20" s="52">
        <v>4974.1899999999996</v>
      </c>
      <c r="E20" s="52">
        <v>6188.16</v>
      </c>
      <c r="F20" s="52">
        <v>1796.46</v>
      </c>
      <c r="G20" s="52">
        <v>7259.53</v>
      </c>
      <c r="H20" s="52">
        <v>3671.91</v>
      </c>
      <c r="I20" s="53">
        <v>31796.139999999996</v>
      </c>
      <c r="J20" s="49"/>
      <c r="R20" s="44">
        <v>307.02</v>
      </c>
      <c r="S20" s="44">
        <v>109</v>
      </c>
      <c r="T20" s="44">
        <v>395</v>
      </c>
      <c r="U20" s="44">
        <v>15428</v>
      </c>
      <c r="V20" s="44">
        <v>214340</v>
      </c>
      <c r="W20" s="44">
        <v>1236</v>
      </c>
    </row>
    <row r="21" spans="1:23" x14ac:dyDescent="0.2">
      <c r="A21" s="50">
        <f t="shared" si="0"/>
        <v>45311</v>
      </c>
      <c r="B21" s="51">
        <v>10224</v>
      </c>
      <c r="C21" s="52">
        <v>4165</v>
      </c>
      <c r="D21" s="52">
        <v>4281</v>
      </c>
      <c r="E21" s="52">
        <v>6433</v>
      </c>
      <c r="F21" s="52">
        <v>1908</v>
      </c>
      <c r="G21" s="52">
        <v>6043</v>
      </c>
      <c r="H21" s="52">
        <v>2832</v>
      </c>
      <c r="I21" s="53">
        <v>30222</v>
      </c>
      <c r="J21" s="49"/>
      <c r="R21" s="44">
        <v>305</v>
      </c>
      <c r="S21" s="44">
        <v>100.8</v>
      </c>
      <c r="T21" s="44">
        <v>380</v>
      </c>
      <c r="U21" s="44">
        <v>14775</v>
      </c>
      <c r="V21" s="44">
        <v>227894</v>
      </c>
      <c r="W21" s="44">
        <v>1221</v>
      </c>
    </row>
    <row r="22" spans="1:23" x14ac:dyDescent="0.2">
      <c r="A22" s="50">
        <f t="shared" si="0"/>
        <v>45312</v>
      </c>
      <c r="B22" s="51">
        <v>9945.2000000000007</v>
      </c>
      <c r="C22" s="52">
        <v>4187.54</v>
      </c>
      <c r="D22" s="52">
        <v>3968.33</v>
      </c>
      <c r="E22" s="52">
        <v>5439.35</v>
      </c>
      <c r="F22" s="52">
        <v>1306.46</v>
      </c>
      <c r="G22" s="52">
        <v>5658.62</v>
      </c>
      <c r="H22" s="52">
        <v>2494.37</v>
      </c>
      <c r="I22" s="53">
        <v>28011.129999999997</v>
      </c>
      <c r="J22" s="49"/>
      <c r="R22" s="44">
        <v>278.5</v>
      </c>
      <c r="S22" s="44">
        <v>97.700000000000017</v>
      </c>
      <c r="T22" s="44">
        <v>362</v>
      </c>
      <c r="U22" s="44">
        <v>14182</v>
      </c>
      <c r="V22" s="44">
        <v>240591</v>
      </c>
      <c r="W22" s="44">
        <v>1485</v>
      </c>
    </row>
    <row r="23" spans="1:23" x14ac:dyDescent="0.2">
      <c r="A23" s="50">
        <f t="shared" si="0"/>
        <v>45313</v>
      </c>
      <c r="B23" s="51">
        <v>10312.86</v>
      </c>
      <c r="C23" s="52">
        <v>4412.8</v>
      </c>
      <c r="D23" s="52">
        <v>4086.82</v>
      </c>
      <c r="E23" s="52">
        <v>5959.54</v>
      </c>
      <c r="F23" s="52">
        <v>1611.41</v>
      </c>
      <c r="G23" s="52">
        <v>7130.45</v>
      </c>
      <c r="H23" s="52">
        <v>3574.4699999999993</v>
      </c>
      <c r="I23" s="53">
        <v>29939.409999999996</v>
      </c>
      <c r="J23" s="49"/>
      <c r="R23" s="44">
        <v>301.83</v>
      </c>
      <c r="S23" s="44">
        <v>106.89999999999999</v>
      </c>
      <c r="T23" s="44">
        <v>381</v>
      </c>
      <c r="U23" s="44">
        <v>15282</v>
      </c>
      <c r="V23" s="44">
        <v>254381</v>
      </c>
      <c r="W23" s="44">
        <v>1492</v>
      </c>
    </row>
    <row r="24" spans="1:23" x14ac:dyDescent="0.2">
      <c r="A24" s="50">
        <f t="shared" si="0"/>
        <v>45314</v>
      </c>
      <c r="B24" s="51">
        <v>10294.040000000001</v>
      </c>
      <c r="C24" s="52">
        <v>4557.34</v>
      </c>
      <c r="D24" s="52">
        <v>4710.41</v>
      </c>
      <c r="E24" s="52">
        <v>5898.06</v>
      </c>
      <c r="F24" s="52">
        <v>1603.7</v>
      </c>
      <c r="G24" s="52">
        <v>7526.52</v>
      </c>
      <c r="H24" s="52">
        <v>3702.34</v>
      </c>
      <c r="I24" s="53">
        <v>30887.730000000007</v>
      </c>
      <c r="J24" s="49"/>
      <c r="R24" s="44">
        <v>273.8</v>
      </c>
      <c r="S24" s="44">
        <v>102.3</v>
      </c>
      <c r="T24" s="44">
        <v>376</v>
      </c>
      <c r="U24" s="44">
        <v>14301</v>
      </c>
      <c r="V24" s="44">
        <v>267532</v>
      </c>
      <c r="W24" s="44">
        <v>1150</v>
      </c>
    </row>
    <row r="25" spans="1:23" x14ac:dyDescent="0.2">
      <c r="A25" s="50">
        <f t="shared" si="0"/>
        <v>45315</v>
      </c>
      <c r="B25" s="51">
        <v>9243</v>
      </c>
      <c r="C25" s="52">
        <v>4476</v>
      </c>
      <c r="D25" s="52">
        <v>4341</v>
      </c>
      <c r="E25" s="52">
        <v>7092</v>
      </c>
      <c r="F25" s="52">
        <v>2272</v>
      </c>
      <c r="G25" s="52">
        <v>7281</v>
      </c>
      <c r="H25" s="52">
        <v>3393.97</v>
      </c>
      <c r="I25" s="53">
        <v>31311.03</v>
      </c>
      <c r="J25" s="49"/>
      <c r="R25" s="44">
        <v>251</v>
      </c>
      <c r="S25" s="44">
        <v>89</v>
      </c>
      <c r="T25" s="44">
        <v>339</v>
      </c>
      <c r="U25" s="44">
        <v>13221</v>
      </c>
      <c r="V25" s="44">
        <v>279649</v>
      </c>
      <c r="W25" s="44">
        <v>1104</v>
      </c>
    </row>
    <row r="26" spans="1:23" x14ac:dyDescent="0.2">
      <c r="A26" s="50">
        <f t="shared" si="0"/>
        <v>45316</v>
      </c>
      <c r="B26" s="51">
        <v>9749</v>
      </c>
      <c r="C26" s="52">
        <v>4777.49</v>
      </c>
      <c r="D26" s="52">
        <v>4437.9399999999996</v>
      </c>
      <c r="E26" s="52">
        <v>6050.21</v>
      </c>
      <c r="F26" s="52">
        <v>1665.57</v>
      </c>
      <c r="G26" s="52">
        <v>7464.1</v>
      </c>
      <c r="H26" s="52">
        <v>3666.76</v>
      </c>
      <c r="I26" s="53">
        <v>30477.549999999996</v>
      </c>
      <c r="J26" s="49"/>
      <c r="R26" s="44">
        <v>308.52999999999997</v>
      </c>
      <c r="S26" s="44">
        <v>104.6</v>
      </c>
      <c r="T26" s="44">
        <v>382</v>
      </c>
      <c r="U26" s="44">
        <v>15022</v>
      </c>
      <c r="V26" s="44">
        <v>293275</v>
      </c>
      <c r="W26" s="44">
        <v>1396</v>
      </c>
    </row>
    <row r="27" spans="1:23" x14ac:dyDescent="0.2">
      <c r="A27" s="50">
        <f t="shared" si="0"/>
        <v>45317</v>
      </c>
      <c r="B27" s="51">
        <v>10145.5</v>
      </c>
      <c r="C27" s="52">
        <v>4613.84</v>
      </c>
      <c r="D27" s="52">
        <v>4699.71</v>
      </c>
      <c r="E27" s="52">
        <v>6971.81</v>
      </c>
      <c r="F27" s="52">
        <v>2199.1999999999998</v>
      </c>
      <c r="G27" s="52">
        <v>7115.49</v>
      </c>
      <c r="H27" s="52">
        <v>3417.26</v>
      </c>
      <c r="I27" s="53">
        <v>32328.29</v>
      </c>
      <c r="J27" s="49"/>
      <c r="R27" s="44">
        <v>302.18</v>
      </c>
      <c r="S27" s="44">
        <v>104.2</v>
      </c>
      <c r="T27" s="44">
        <v>384</v>
      </c>
      <c r="U27" s="44">
        <v>14882</v>
      </c>
      <c r="V27" s="44">
        <v>306810</v>
      </c>
      <c r="W27" s="44">
        <v>1347</v>
      </c>
    </row>
    <row r="28" spans="1:23" x14ac:dyDescent="0.2">
      <c r="A28" s="50">
        <f t="shared" si="0"/>
        <v>45318</v>
      </c>
      <c r="B28" s="51">
        <v>10175.02</v>
      </c>
      <c r="C28" s="52">
        <v>4072</v>
      </c>
      <c r="D28" s="52">
        <v>4450.0600000000004</v>
      </c>
      <c r="E28" s="52">
        <v>6595.32</v>
      </c>
      <c r="F28" s="52">
        <v>1968.21</v>
      </c>
      <c r="G28" s="52">
        <v>5991.19</v>
      </c>
      <c r="H28" s="52">
        <v>2842.09</v>
      </c>
      <c r="I28" s="53">
        <v>30409.710000000003</v>
      </c>
      <c r="J28" s="49"/>
      <c r="R28" s="44">
        <v>278.37</v>
      </c>
      <c r="S28" s="44">
        <v>99.9</v>
      </c>
      <c r="T28" s="44">
        <v>376</v>
      </c>
      <c r="U28" s="44">
        <v>14394</v>
      </c>
      <c r="V28" s="44">
        <v>319863</v>
      </c>
      <c r="W28" s="44">
        <v>1341</v>
      </c>
    </row>
    <row r="29" spans="1:23" x14ac:dyDescent="0.2">
      <c r="A29" s="50">
        <f t="shared" si="0"/>
        <v>45319</v>
      </c>
      <c r="B29" s="51">
        <v>9833</v>
      </c>
      <c r="C29" s="52">
        <v>4064.71</v>
      </c>
      <c r="D29" s="52">
        <v>4299</v>
      </c>
      <c r="E29" s="52">
        <v>6122</v>
      </c>
      <c r="F29" s="52">
        <v>1691</v>
      </c>
      <c r="G29" s="52">
        <v>5809</v>
      </c>
      <c r="H29" s="52">
        <v>2727</v>
      </c>
      <c r="I29" s="53">
        <v>29091.71</v>
      </c>
      <c r="J29" s="49"/>
      <c r="R29" s="44">
        <v>272</v>
      </c>
      <c r="S29" s="44">
        <v>98.1</v>
      </c>
      <c r="T29" s="44">
        <v>358</v>
      </c>
      <c r="U29" s="44">
        <v>13969</v>
      </c>
      <c r="V29" s="44">
        <v>332337</v>
      </c>
      <c r="W29" s="44">
        <v>1495</v>
      </c>
    </row>
    <row r="30" spans="1:23" x14ac:dyDescent="0.2">
      <c r="A30" s="50">
        <f t="shared" si="0"/>
        <v>45320</v>
      </c>
      <c r="B30" s="51">
        <v>9594.4599999999991</v>
      </c>
      <c r="C30" s="52">
        <v>4437.01</v>
      </c>
      <c r="D30" s="52">
        <v>4258.67</v>
      </c>
      <c r="E30" s="52">
        <v>6219.34</v>
      </c>
      <c r="F30" s="52">
        <v>1745.82</v>
      </c>
      <c r="G30" s="52">
        <v>7188.87</v>
      </c>
      <c r="H30" s="52">
        <v>3523.3299999999995</v>
      </c>
      <c r="I30" s="53">
        <v>29920.84</v>
      </c>
      <c r="J30" s="49"/>
      <c r="R30" s="44">
        <v>278.08</v>
      </c>
      <c r="S30" s="44">
        <v>97.600000000000009</v>
      </c>
      <c r="T30" s="44">
        <v>361</v>
      </c>
      <c r="U30" s="44">
        <v>14236</v>
      </c>
      <c r="V30" s="44">
        <v>344978</v>
      </c>
      <c r="W30" s="44">
        <v>1595</v>
      </c>
    </row>
    <row r="31" spans="1:23" x14ac:dyDescent="0.2">
      <c r="A31" s="50">
        <f t="shared" si="0"/>
        <v>45321</v>
      </c>
      <c r="B31" s="51">
        <v>9685.11</v>
      </c>
      <c r="C31" s="52">
        <v>4385.7700000000004</v>
      </c>
      <c r="D31" s="52">
        <v>3939.86</v>
      </c>
      <c r="E31" s="52">
        <v>6792.58</v>
      </c>
      <c r="F31" s="52">
        <v>2106.4299999999998</v>
      </c>
      <c r="G31" s="52">
        <v>6897.14</v>
      </c>
      <c r="H31" s="52">
        <v>3384.8700000000003</v>
      </c>
      <c r="I31" s="53">
        <v>30422.02</v>
      </c>
      <c r="J31" s="49"/>
      <c r="R31" s="44">
        <v>284.7</v>
      </c>
      <c r="S31" s="44">
        <v>101.7</v>
      </c>
      <c r="T31" s="44">
        <v>366</v>
      </c>
      <c r="U31" s="44">
        <v>14564</v>
      </c>
      <c r="V31" s="44">
        <v>358037</v>
      </c>
      <c r="W31" s="44">
        <v>1505</v>
      </c>
    </row>
    <row r="32" spans="1:23" x14ac:dyDescent="0.2">
      <c r="A32" s="50">
        <f t="shared" si="0"/>
        <v>45322</v>
      </c>
      <c r="B32" s="51">
        <v>9458.3799999999992</v>
      </c>
      <c r="C32" s="52">
        <v>4252.32</v>
      </c>
      <c r="D32" s="52">
        <v>4195.96</v>
      </c>
      <c r="E32" s="52">
        <v>7197.94</v>
      </c>
      <c r="F32" s="52">
        <v>447.82</v>
      </c>
      <c r="G32" s="52">
        <v>7042.45</v>
      </c>
      <c r="H32" s="52">
        <v>3524.8599999999997</v>
      </c>
      <c r="I32" s="53">
        <v>29070.01</v>
      </c>
      <c r="J32" s="49"/>
      <c r="R32" s="44">
        <v>292.93</v>
      </c>
      <c r="S32" s="44">
        <v>98.1</v>
      </c>
      <c r="T32" s="44">
        <v>361</v>
      </c>
      <c r="U32" s="44">
        <v>13729</v>
      </c>
      <c r="V32" s="44">
        <v>370332</v>
      </c>
      <c r="W32" s="44">
        <v>1434</v>
      </c>
    </row>
    <row r="33" spans="1:23" x14ac:dyDescent="0.2">
      <c r="A33" s="50">
        <f t="shared" si="0"/>
        <v>45323</v>
      </c>
      <c r="B33" s="51">
        <v>9371</v>
      </c>
      <c r="C33" s="52">
        <v>4406</v>
      </c>
      <c r="D33" s="52">
        <v>3798</v>
      </c>
      <c r="E33" s="52">
        <v>7994</v>
      </c>
      <c r="F33" s="52">
        <v>0</v>
      </c>
      <c r="G33" s="52">
        <v>6625</v>
      </c>
      <c r="H33" s="52">
        <v>3501</v>
      </c>
      <c r="I33" s="53">
        <v>28693</v>
      </c>
      <c r="J33" s="49"/>
      <c r="R33" s="44">
        <v>271</v>
      </c>
      <c r="S33" s="44">
        <v>95.6</v>
      </c>
      <c r="T33" s="44">
        <v>361</v>
      </c>
      <c r="U33" s="44">
        <v>13735</v>
      </c>
      <c r="V33" s="44">
        <v>12166</v>
      </c>
      <c r="W33" s="44">
        <v>1569</v>
      </c>
    </row>
    <row r="34" spans="1:23" x14ac:dyDescent="0.2">
      <c r="A34" s="50">
        <f t="shared" si="0"/>
        <v>45324</v>
      </c>
      <c r="B34" s="51">
        <v>9469.01</v>
      </c>
      <c r="C34" s="52">
        <v>4365.53</v>
      </c>
      <c r="D34" s="52">
        <v>3898.14</v>
      </c>
      <c r="E34" s="52">
        <v>8139.49</v>
      </c>
      <c r="F34" s="52">
        <v>0</v>
      </c>
      <c r="G34" s="52">
        <v>7146.36</v>
      </c>
      <c r="H34" s="52">
        <v>3410.47</v>
      </c>
      <c r="I34" s="53">
        <v>29608.059999999998</v>
      </c>
      <c r="J34" s="49"/>
      <c r="R34" s="44">
        <v>282.89999999999998</v>
      </c>
      <c r="S34" s="44">
        <v>96.699999999999989</v>
      </c>
      <c r="T34" s="44">
        <v>365</v>
      </c>
      <c r="U34" s="44">
        <v>13910</v>
      </c>
      <c r="V34" s="44">
        <v>24395</v>
      </c>
      <c r="W34" s="44">
        <v>1681</v>
      </c>
    </row>
    <row r="35" spans="1:23" x14ac:dyDescent="0.2">
      <c r="A35" s="50">
        <f t="shared" si="0"/>
        <v>45325</v>
      </c>
      <c r="B35" s="51">
        <v>9432.7000000000007</v>
      </c>
      <c r="C35" s="52">
        <v>4070.3</v>
      </c>
      <c r="D35" s="52">
        <v>3497.96</v>
      </c>
      <c r="E35" s="52">
        <v>8030.7</v>
      </c>
      <c r="F35" s="52">
        <v>0</v>
      </c>
      <c r="G35" s="52">
        <v>6514.73</v>
      </c>
      <c r="H35" s="52">
        <v>2913.76</v>
      </c>
      <c r="I35" s="53">
        <v>28632.629999999997</v>
      </c>
      <c r="J35" s="49"/>
      <c r="R35" s="44">
        <v>294.7</v>
      </c>
      <c r="S35" s="44">
        <v>103.19999999999999</v>
      </c>
      <c r="T35" s="44">
        <v>370</v>
      </c>
      <c r="U35" s="44">
        <v>14531</v>
      </c>
      <c r="V35" s="44">
        <v>37237</v>
      </c>
      <c r="W35" s="44">
        <v>1689</v>
      </c>
    </row>
    <row r="36" spans="1:23" x14ac:dyDescent="0.2">
      <c r="A36" s="50">
        <f t="shared" si="0"/>
        <v>45326</v>
      </c>
      <c r="B36" s="51">
        <v>8714.52</v>
      </c>
      <c r="C36" s="52">
        <v>3962.15</v>
      </c>
      <c r="D36" s="52">
        <v>3707.82</v>
      </c>
      <c r="E36" s="52">
        <v>8196.19</v>
      </c>
      <c r="F36" s="52">
        <v>0</v>
      </c>
      <c r="G36" s="52">
        <v>6525.49</v>
      </c>
      <c r="H36" s="52">
        <v>3041.6400000000003</v>
      </c>
      <c r="I36" s="53">
        <v>28064.53</v>
      </c>
      <c r="J36" s="49"/>
      <c r="R36" s="44">
        <v>276.99599999999998</v>
      </c>
      <c r="S36" s="44">
        <v>96.9</v>
      </c>
      <c r="T36" s="44">
        <v>372</v>
      </c>
      <c r="U36" s="44">
        <v>14995</v>
      </c>
      <c r="V36" s="44">
        <v>50755</v>
      </c>
      <c r="W36" s="44">
        <v>1477</v>
      </c>
    </row>
    <row r="37" spans="1:23" x14ac:dyDescent="0.2">
      <c r="A37" s="50">
        <f t="shared" si="0"/>
        <v>45327</v>
      </c>
      <c r="B37" s="51">
        <v>9149.59</v>
      </c>
      <c r="C37" s="52">
        <v>4339.6000000000004</v>
      </c>
      <c r="D37" s="52">
        <v>3975.68</v>
      </c>
      <c r="E37" s="52">
        <v>7539.2</v>
      </c>
      <c r="F37" s="52">
        <v>0</v>
      </c>
      <c r="G37" s="52">
        <v>7273.33</v>
      </c>
      <c r="H37" s="52">
        <v>3812.0800000000004</v>
      </c>
      <c r="I37" s="53">
        <v>28465.32</v>
      </c>
      <c r="J37" s="49"/>
      <c r="R37" s="44">
        <v>262.95999999999998</v>
      </c>
      <c r="S37" s="44">
        <v>96.4</v>
      </c>
      <c r="T37" s="44">
        <v>347</v>
      </c>
      <c r="U37" s="44">
        <v>13604</v>
      </c>
      <c r="V37" s="44">
        <v>63070</v>
      </c>
      <c r="W37" s="44">
        <v>1289</v>
      </c>
    </row>
    <row r="38" spans="1:23" x14ac:dyDescent="0.2">
      <c r="A38" s="50">
        <f t="shared" si="0"/>
        <v>45328</v>
      </c>
      <c r="B38" s="51">
        <v>8952.39</v>
      </c>
      <c r="C38" s="52">
        <v>4431.1400000000003</v>
      </c>
      <c r="D38" s="52">
        <v>3688.17</v>
      </c>
      <c r="E38" s="52">
        <v>7401.1</v>
      </c>
      <c r="F38" s="52">
        <v>0</v>
      </c>
      <c r="G38" s="52">
        <v>7362.65</v>
      </c>
      <c r="H38" s="52">
        <v>3760.21</v>
      </c>
      <c r="I38" s="53">
        <v>28075.239999999998</v>
      </c>
      <c r="J38" s="49"/>
      <c r="R38" s="44">
        <v>251.91</v>
      </c>
      <c r="S38" s="44">
        <v>89.899999999999991</v>
      </c>
      <c r="T38" s="44">
        <v>337</v>
      </c>
      <c r="U38" s="44">
        <v>12705</v>
      </c>
      <c r="V38" s="44">
        <v>74162</v>
      </c>
      <c r="W38" s="44">
        <v>1613</v>
      </c>
    </row>
    <row r="39" spans="1:23" x14ac:dyDescent="0.2">
      <c r="A39" s="50">
        <f t="shared" si="0"/>
        <v>45329</v>
      </c>
      <c r="B39" s="51">
        <v>9026.83</v>
      </c>
      <c r="C39" s="52">
        <v>4753.91</v>
      </c>
      <c r="D39" s="52">
        <v>3810</v>
      </c>
      <c r="E39" s="52">
        <v>7804.96</v>
      </c>
      <c r="F39" s="52">
        <v>23.23</v>
      </c>
      <c r="G39" s="52">
        <v>7151.8</v>
      </c>
      <c r="H39" s="52">
        <v>3857.23</v>
      </c>
      <c r="I39" s="53">
        <v>28713.499999999996</v>
      </c>
      <c r="J39" s="49"/>
      <c r="R39" s="44">
        <v>258.26</v>
      </c>
      <c r="S39" s="44">
        <v>90.1</v>
      </c>
      <c r="T39" s="44">
        <v>333</v>
      </c>
      <c r="U39" s="44">
        <v>12486</v>
      </c>
      <c r="V39" s="44">
        <v>85114</v>
      </c>
      <c r="W39" s="44">
        <v>1534</v>
      </c>
    </row>
    <row r="40" spans="1:23" x14ac:dyDescent="0.2">
      <c r="A40" s="50">
        <f t="shared" si="0"/>
        <v>45330</v>
      </c>
      <c r="B40" s="51">
        <v>8895.57</v>
      </c>
      <c r="C40" s="52">
        <v>4527.41</v>
      </c>
      <c r="D40" s="52">
        <v>4137.6400000000003</v>
      </c>
      <c r="E40" s="52">
        <v>6223.97</v>
      </c>
      <c r="F40" s="52">
        <v>2207.41</v>
      </c>
      <c r="G40" s="52">
        <v>7410.13</v>
      </c>
      <c r="H40" s="52">
        <v>3718.25</v>
      </c>
      <c r="I40" s="53">
        <v>29683.879999999997</v>
      </c>
      <c r="J40" s="49"/>
      <c r="R40" s="44">
        <v>253.04</v>
      </c>
      <c r="S40" s="44">
        <v>89</v>
      </c>
      <c r="T40" s="44">
        <v>337</v>
      </c>
      <c r="U40" s="44">
        <v>13726</v>
      </c>
      <c r="V40" s="44">
        <v>97460</v>
      </c>
      <c r="W40" s="44">
        <v>1380</v>
      </c>
    </row>
    <row r="41" spans="1:23" x14ac:dyDescent="0.2">
      <c r="A41" s="50">
        <f t="shared" si="0"/>
        <v>45331</v>
      </c>
      <c r="B41" s="51">
        <v>8953</v>
      </c>
      <c r="C41" s="52">
        <v>4700</v>
      </c>
      <c r="D41" s="52">
        <v>4127</v>
      </c>
      <c r="E41" s="52">
        <v>3856</v>
      </c>
      <c r="F41" s="52">
        <v>3819</v>
      </c>
      <c r="G41" s="52">
        <v>7771</v>
      </c>
      <c r="H41" s="52">
        <v>3895.49</v>
      </c>
      <c r="I41" s="53">
        <v>29330.510000000002</v>
      </c>
      <c r="J41" s="49"/>
      <c r="R41" s="44">
        <v>264.5</v>
      </c>
      <c r="S41" s="44">
        <v>89.199999999999989</v>
      </c>
      <c r="T41" s="44">
        <v>337</v>
      </c>
      <c r="U41" s="44">
        <v>13175</v>
      </c>
      <c r="V41" s="44">
        <v>109352</v>
      </c>
      <c r="W41" s="44">
        <v>1283</v>
      </c>
    </row>
    <row r="42" spans="1:23" x14ac:dyDescent="0.2">
      <c r="A42" s="50">
        <f t="shared" si="0"/>
        <v>45332</v>
      </c>
      <c r="B42" s="51">
        <v>7981.13</v>
      </c>
      <c r="C42" s="52">
        <v>4230.07</v>
      </c>
      <c r="D42" s="52">
        <v>4013.26</v>
      </c>
      <c r="E42" s="52">
        <v>3586.02</v>
      </c>
      <c r="F42" s="52">
        <v>3537.5</v>
      </c>
      <c r="G42" s="52">
        <v>6337.67</v>
      </c>
      <c r="H42" s="52">
        <v>2898.4399999999996</v>
      </c>
      <c r="I42" s="53">
        <v>26787.210000000003</v>
      </c>
      <c r="J42" s="49"/>
      <c r="R42" s="44">
        <v>231</v>
      </c>
      <c r="S42" s="44">
        <v>83.1</v>
      </c>
      <c r="T42" s="44">
        <v>310</v>
      </c>
      <c r="U42" s="44">
        <v>12489</v>
      </c>
      <c r="V42" s="44">
        <v>120413</v>
      </c>
      <c r="W42" s="44">
        <v>1428</v>
      </c>
    </row>
    <row r="43" spans="1:23" x14ac:dyDescent="0.2">
      <c r="A43" s="50">
        <f t="shared" si="0"/>
        <v>45333</v>
      </c>
      <c r="B43" s="51">
        <v>8223.51</v>
      </c>
      <c r="C43" s="52">
        <v>4414.83</v>
      </c>
      <c r="D43" s="52">
        <v>3782.76</v>
      </c>
      <c r="E43" s="52">
        <v>3398.6</v>
      </c>
      <c r="F43" s="52">
        <v>3353.15</v>
      </c>
      <c r="G43" s="52">
        <v>6189.65</v>
      </c>
      <c r="H43" s="52">
        <v>2823.2</v>
      </c>
      <c r="I43" s="53">
        <v>26539.3</v>
      </c>
      <c r="J43" s="49"/>
      <c r="R43" s="44">
        <v>255</v>
      </c>
      <c r="S43" s="44">
        <v>91.3</v>
      </c>
      <c r="T43" s="44">
        <v>334</v>
      </c>
      <c r="U43" s="44">
        <v>13336</v>
      </c>
      <c r="V43" s="44">
        <v>132360</v>
      </c>
      <c r="W43" s="44">
        <v>1389</v>
      </c>
    </row>
    <row r="44" spans="1:23" x14ac:dyDescent="0.2">
      <c r="A44" s="50">
        <f t="shared" si="0"/>
        <v>45334</v>
      </c>
      <c r="B44" s="51">
        <v>8526.9</v>
      </c>
      <c r="C44" s="52">
        <v>4589.3599999999997</v>
      </c>
      <c r="D44" s="52">
        <v>4169.33</v>
      </c>
      <c r="E44" s="52">
        <v>2958.67</v>
      </c>
      <c r="F44" s="52">
        <v>2925.58</v>
      </c>
      <c r="G44" s="52">
        <v>7236.67</v>
      </c>
      <c r="H44" s="52">
        <v>3838.81</v>
      </c>
      <c r="I44" s="53">
        <v>26567.699999999993</v>
      </c>
      <c r="J44" s="49"/>
      <c r="R44" s="44">
        <v>278.31</v>
      </c>
      <c r="S44" s="44">
        <v>97.8</v>
      </c>
      <c r="T44" s="44">
        <v>367</v>
      </c>
      <c r="U44" s="44">
        <v>14734</v>
      </c>
      <c r="V44" s="44">
        <v>145623</v>
      </c>
      <c r="W44" s="44">
        <v>1471</v>
      </c>
    </row>
    <row r="45" spans="1:23" x14ac:dyDescent="0.2">
      <c r="A45" s="50">
        <f t="shared" si="0"/>
        <v>45335</v>
      </c>
      <c r="B45" s="51">
        <v>8970</v>
      </c>
      <c r="C45" s="52">
        <v>4849</v>
      </c>
      <c r="D45" s="52">
        <v>4194</v>
      </c>
      <c r="E45" s="52">
        <v>3541</v>
      </c>
      <c r="F45" s="52">
        <v>3492</v>
      </c>
      <c r="G45" s="52">
        <v>7349</v>
      </c>
      <c r="H45" s="52">
        <v>3699</v>
      </c>
      <c r="I45" s="53">
        <v>28696</v>
      </c>
      <c r="J45" s="49"/>
      <c r="R45" s="44">
        <v>296.39999999999998</v>
      </c>
      <c r="S45" s="44">
        <v>97.700000000000017</v>
      </c>
      <c r="T45" s="44">
        <v>367</v>
      </c>
      <c r="U45" s="44">
        <v>15144</v>
      </c>
      <c r="V45" s="44">
        <v>159463</v>
      </c>
      <c r="W45" s="44">
        <v>1304</v>
      </c>
    </row>
    <row r="46" spans="1:23" x14ac:dyDescent="0.2">
      <c r="A46" s="50">
        <f t="shared" si="0"/>
        <v>45336</v>
      </c>
      <c r="B46" s="51">
        <v>9402.41</v>
      </c>
      <c r="C46" s="52">
        <v>4701.3</v>
      </c>
      <c r="D46" s="52">
        <v>4269.87</v>
      </c>
      <c r="E46" s="52">
        <v>4038.05</v>
      </c>
      <c r="F46" s="52">
        <v>3992.12</v>
      </c>
      <c r="G46" s="52">
        <v>7156.4</v>
      </c>
      <c r="H46" s="52">
        <v>3578.1200000000003</v>
      </c>
      <c r="I46" s="53">
        <v>29982.029999999995</v>
      </c>
      <c r="J46" s="49"/>
      <c r="R46" s="44">
        <v>251.92</v>
      </c>
      <c r="S46" s="44">
        <v>97</v>
      </c>
      <c r="T46" s="44">
        <v>362</v>
      </c>
      <c r="U46" s="44">
        <v>14212</v>
      </c>
      <c r="V46" s="44">
        <v>172181</v>
      </c>
      <c r="W46" s="44">
        <v>1494</v>
      </c>
    </row>
    <row r="47" spans="1:23" x14ac:dyDescent="0.2">
      <c r="A47" s="50">
        <f t="shared" si="0"/>
        <v>45337</v>
      </c>
      <c r="B47" s="51">
        <v>9137.23</v>
      </c>
      <c r="C47" s="52">
        <v>4756.3500000000004</v>
      </c>
      <c r="D47" s="52">
        <v>4403.8</v>
      </c>
      <c r="E47" s="52">
        <v>3660.38</v>
      </c>
      <c r="F47" s="52">
        <v>3607.8</v>
      </c>
      <c r="G47" s="52">
        <v>7641.36</v>
      </c>
      <c r="H47" s="52">
        <v>3710.25</v>
      </c>
      <c r="I47" s="53">
        <v>29496.67</v>
      </c>
      <c r="J47" s="49"/>
      <c r="R47" s="44">
        <v>278.77999999999997</v>
      </c>
      <c r="S47" s="44">
        <v>108</v>
      </c>
      <c r="T47" s="44">
        <v>396</v>
      </c>
      <c r="U47" s="44">
        <v>15835</v>
      </c>
      <c r="V47" s="44">
        <v>186432</v>
      </c>
      <c r="W47" s="44">
        <v>1584</v>
      </c>
    </row>
    <row r="48" spans="1:23" x14ac:dyDescent="0.2">
      <c r="A48" s="50">
        <f t="shared" si="0"/>
        <v>45338</v>
      </c>
      <c r="B48" s="51">
        <v>9244.58</v>
      </c>
      <c r="C48" s="52">
        <v>4560.38</v>
      </c>
      <c r="D48" s="52">
        <v>4395.3</v>
      </c>
      <c r="E48" s="52">
        <v>4059.66</v>
      </c>
      <c r="F48" s="52">
        <v>4113.76</v>
      </c>
      <c r="G48" s="52">
        <v>7948.21</v>
      </c>
      <c r="H48" s="52">
        <v>3844.53</v>
      </c>
      <c r="I48" s="53">
        <v>30477.360000000001</v>
      </c>
      <c r="J48" s="49"/>
      <c r="R48" s="44">
        <v>277.85000000000002</v>
      </c>
      <c r="S48" s="44">
        <v>102.7</v>
      </c>
      <c r="T48" s="44">
        <v>388</v>
      </c>
      <c r="U48" s="44">
        <v>15157</v>
      </c>
      <c r="V48" s="44">
        <v>200125</v>
      </c>
      <c r="W48" s="44">
        <v>1464</v>
      </c>
    </row>
    <row r="49" spans="1:23" x14ac:dyDescent="0.2">
      <c r="A49" s="50">
        <f t="shared" si="0"/>
        <v>45339</v>
      </c>
      <c r="B49" s="51">
        <v>8390</v>
      </c>
      <c r="C49" s="52">
        <v>4092</v>
      </c>
      <c r="D49" s="52">
        <v>3784</v>
      </c>
      <c r="E49" s="52">
        <v>3659</v>
      </c>
      <c r="F49" s="52">
        <v>3622</v>
      </c>
      <c r="G49" s="52">
        <v>6962</v>
      </c>
      <c r="H49" s="52">
        <v>3135</v>
      </c>
      <c r="I49" s="53">
        <v>27374</v>
      </c>
      <c r="J49" s="49"/>
      <c r="R49" s="44">
        <v>261.82</v>
      </c>
      <c r="S49" s="44">
        <v>95.6</v>
      </c>
      <c r="T49" s="44">
        <v>355</v>
      </c>
      <c r="U49" s="44">
        <v>13541</v>
      </c>
      <c r="V49" s="44">
        <v>212320</v>
      </c>
      <c r="W49" s="44">
        <v>1346</v>
      </c>
    </row>
    <row r="50" spans="1:23" x14ac:dyDescent="0.2">
      <c r="A50" s="50">
        <f t="shared" si="0"/>
        <v>45340</v>
      </c>
      <c r="B50" s="51">
        <v>8017.26</v>
      </c>
      <c r="C50" s="52">
        <v>4177.95</v>
      </c>
      <c r="D50" s="52">
        <v>3951.62</v>
      </c>
      <c r="E50" s="52">
        <v>3420.61</v>
      </c>
      <c r="F50" s="52">
        <v>3380.59</v>
      </c>
      <c r="G50" s="52">
        <v>6564.6</v>
      </c>
      <c r="H50" s="52">
        <v>2863.84</v>
      </c>
      <c r="I50" s="53">
        <v>26648.789999999997</v>
      </c>
      <c r="J50" s="49"/>
      <c r="R50" s="44">
        <v>256</v>
      </c>
      <c r="S50" s="44">
        <v>93.199999999999989</v>
      </c>
      <c r="T50" s="44">
        <v>351</v>
      </c>
      <c r="U50" s="44">
        <v>13866</v>
      </c>
      <c r="V50" s="44">
        <v>224744</v>
      </c>
      <c r="W50" s="44">
        <v>1442</v>
      </c>
    </row>
    <row r="51" spans="1:23" x14ac:dyDescent="0.2">
      <c r="A51" s="50">
        <f t="shared" si="0"/>
        <v>45341</v>
      </c>
      <c r="B51" s="51">
        <v>7714.43</v>
      </c>
      <c r="C51" s="52">
        <v>5156.04</v>
      </c>
      <c r="D51" s="52">
        <v>4594.5</v>
      </c>
      <c r="E51" s="52">
        <v>3466.57</v>
      </c>
      <c r="F51" s="52">
        <v>3428.1</v>
      </c>
      <c r="G51" s="52">
        <v>7100.55</v>
      </c>
      <c r="H51" s="52">
        <v>3859.2999999999997</v>
      </c>
      <c r="I51" s="53">
        <v>27600.89</v>
      </c>
      <c r="J51" s="49"/>
      <c r="R51" s="44">
        <v>291.89999999999998</v>
      </c>
      <c r="S51" s="44">
        <v>103.39999999999999</v>
      </c>
      <c r="T51" s="44">
        <v>381</v>
      </c>
      <c r="U51" s="44">
        <v>15026</v>
      </c>
      <c r="V51" s="44">
        <v>238331</v>
      </c>
      <c r="W51" s="44">
        <v>1439</v>
      </c>
    </row>
    <row r="52" spans="1:23" x14ac:dyDescent="0.2">
      <c r="A52" s="50">
        <f t="shared" si="0"/>
        <v>45342</v>
      </c>
      <c r="B52" s="51">
        <v>8042.67</v>
      </c>
      <c r="C52" s="52">
        <v>5233.8999999999996</v>
      </c>
      <c r="D52" s="52">
        <v>4700.2</v>
      </c>
      <c r="E52" s="52">
        <v>3751.31</v>
      </c>
      <c r="F52" s="52">
        <v>3704.74</v>
      </c>
      <c r="G52" s="52">
        <v>7333.57</v>
      </c>
      <c r="H52" s="52">
        <v>3960.16</v>
      </c>
      <c r="I52" s="53">
        <v>28806.23</v>
      </c>
      <c r="J52" s="49"/>
      <c r="R52" s="44">
        <v>303.8</v>
      </c>
      <c r="S52" s="44">
        <v>112.69999999999999</v>
      </c>
      <c r="T52" s="44">
        <v>400</v>
      </c>
      <c r="U52" s="44">
        <v>16180</v>
      </c>
      <c r="V52" s="44">
        <v>253039</v>
      </c>
      <c r="W52" s="44">
        <v>1472</v>
      </c>
    </row>
    <row r="53" spans="1:23" x14ac:dyDescent="0.2">
      <c r="A53" s="50">
        <f t="shared" si="0"/>
        <v>45343</v>
      </c>
      <c r="B53" s="51">
        <v>8437</v>
      </c>
      <c r="C53" s="52">
        <v>5309</v>
      </c>
      <c r="D53" s="52">
        <v>4765</v>
      </c>
      <c r="E53" s="52">
        <v>3782</v>
      </c>
      <c r="F53" s="52">
        <v>3741</v>
      </c>
      <c r="G53" s="52">
        <v>7386</v>
      </c>
      <c r="H53" s="52">
        <v>3630</v>
      </c>
      <c r="I53" s="53">
        <v>29790</v>
      </c>
      <c r="J53" s="49"/>
      <c r="R53" s="44">
        <v>291</v>
      </c>
      <c r="S53" s="44">
        <v>106.10000000000001</v>
      </c>
      <c r="T53" s="44">
        <v>387</v>
      </c>
      <c r="U53" s="44">
        <v>16959</v>
      </c>
      <c r="V53" s="44">
        <v>268644</v>
      </c>
      <c r="W53" s="44">
        <v>1354</v>
      </c>
    </row>
    <row r="54" spans="1:23" x14ac:dyDescent="0.2">
      <c r="A54" s="50">
        <f t="shared" si="0"/>
        <v>45344</v>
      </c>
      <c r="B54" s="51">
        <v>7129.81</v>
      </c>
      <c r="C54" s="52">
        <v>4942.18</v>
      </c>
      <c r="D54" s="52">
        <v>4598</v>
      </c>
      <c r="E54" s="52">
        <v>2832.52</v>
      </c>
      <c r="F54" s="52">
        <v>2804.74</v>
      </c>
      <c r="G54" s="52">
        <v>7000.28</v>
      </c>
      <c r="H54" s="52">
        <v>3700.77</v>
      </c>
      <c r="I54" s="53">
        <v>25606.76</v>
      </c>
      <c r="J54" s="49"/>
      <c r="R54" s="44">
        <v>237.03</v>
      </c>
      <c r="S54" s="44">
        <v>87.1</v>
      </c>
      <c r="T54" s="44">
        <v>322</v>
      </c>
      <c r="U54" s="44">
        <v>12847</v>
      </c>
      <c r="V54" s="44">
        <v>280182</v>
      </c>
      <c r="W54" s="44">
        <v>1309</v>
      </c>
    </row>
    <row r="55" spans="1:23" x14ac:dyDescent="0.2">
      <c r="A55" s="50">
        <f t="shared" si="0"/>
        <v>45345</v>
      </c>
      <c r="B55" s="51">
        <v>2809.2</v>
      </c>
      <c r="C55" s="52">
        <v>2089.1</v>
      </c>
      <c r="D55" s="52">
        <v>2450.5</v>
      </c>
      <c r="E55" s="52">
        <v>1872.1</v>
      </c>
      <c r="F55" s="52">
        <v>1850.64</v>
      </c>
      <c r="G55" s="52">
        <v>4222.8500000000004</v>
      </c>
      <c r="H55" s="52">
        <v>3014.9799999999996</v>
      </c>
      <c r="I55" s="53">
        <v>12279.41</v>
      </c>
      <c r="J55" s="49"/>
      <c r="R55" s="44">
        <v>159.75</v>
      </c>
      <c r="S55" s="44">
        <v>58.2</v>
      </c>
      <c r="T55" s="44">
        <v>211</v>
      </c>
      <c r="U55" s="44">
        <v>8105</v>
      </c>
      <c r="V55" s="44">
        <v>288287</v>
      </c>
      <c r="W55" s="44">
        <v>0</v>
      </c>
    </row>
    <row r="56" spans="1:23" x14ac:dyDescent="0.2">
      <c r="A56" s="50">
        <f t="shared" si="0"/>
        <v>45346</v>
      </c>
      <c r="B56" s="51">
        <v>3926.37</v>
      </c>
      <c r="C56" s="52">
        <v>2436.29</v>
      </c>
      <c r="D56" s="52">
        <v>2620.69</v>
      </c>
      <c r="E56" s="52">
        <v>1921.85</v>
      </c>
      <c r="F56" s="52">
        <v>1896.99</v>
      </c>
      <c r="G56" s="52">
        <v>4031.73</v>
      </c>
      <c r="H56" s="52">
        <v>2840.1699999999996</v>
      </c>
      <c r="I56" s="53">
        <v>13993.750000000002</v>
      </c>
      <c r="J56" s="49"/>
      <c r="R56" s="44">
        <v>238</v>
      </c>
      <c r="S56" s="44">
        <v>85.3</v>
      </c>
      <c r="T56" s="44">
        <v>309</v>
      </c>
      <c r="U56" s="44">
        <v>11961</v>
      </c>
      <c r="V56" s="44">
        <v>299659</v>
      </c>
      <c r="W56" s="44">
        <v>589</v>
      </c>
    </row>
    <row r="57" spans="1:23" x14ac:dyDescent="0.2">
      <c r="A57" s="50">
        <f t="shared" si="0"/>
        <v>45347</v>
      </c>
      <c r="B57" s="51">
        <v>7140</v>
      </c>
      <c r="C57" s="52">
        <v>4502</v>
      </c>
      <c r="D57" s="52">
        <v>4404</v>
      </c>
      <c r="E57" s="52">
        <v>3279</v>
      </c>
      <c r="F57" s="52">
        <v>3240</v>
      </c>
      <c r="G57" s="52">
        <v>5333</v>
      </c>
      <c r="H57" s="52">
        <v>2472</v>
      </c>
      <c r="I57" s="53">
        <v>25426</v>
      </c>
      <c r="J57" s="49"/>
      <c r="R57" s="44">
        <v>258</v>
      </c>
      <c r="S57" s="44">
        <v>91.5</v>
      </c>
      <c r="T57" s="44">
        <v>343</v>
      </c>
      <c r="U57" s="44">
        <v>14238</v>
      </c>
      <c r="V57" s="44">
        <v>312438</v>
      </c>
      <c r="W57" s="44">
        <v>1459</v>
      </c>
    </row>
    <row r="58" spans="1:23" x14ac:dyDescent="0.2">
      <c r="A58" s="50">
        <f t="shared" si="0"/>
        <v>45348</v>
      </c>
      <c r="B58" s="51">
        <v>7294.59</v>
      </c>
      <c r="C58" s="52">
        <v>4828.2700000000004</v>
      </c>
      <c r="D58" s="52">
        <v>4647.26</v>
      </c>
      <c r="E58" s="52">
        <v>3170.39</v>
      </c>
      <c r="F58" s="52">
        <v>3138.52</v>
      </c>
      <c r="G58" s="52">
        <v>6674.28</v>
      </c>
      <c r="H58" s="52">
        <v>3445.42</v>
      </c>
      <c r="I58" s="53">
        <v>26307.89</v>
      </c>
      <c r="J58" s="49"/>
      <c r="R58" s="44">
        <v>254.9</v>
      </c>
      <c r="S58" s="44">
        <v>91.1</v>
      </c>
      <c r="T58" s="44">
        <v>340</v>
      </c>
      <c r="U58" s="44">
        <v>13216</v>
      </c>
      <c r="V58" s="44">
        <v>324165</v>
      </c>
      <c r="W58" s="44">
        <v>1489</v>
      </c>
    </row>
    <row r="59" spans="1:23" x14ac:dyDescent="0.2">
      <c r="A59" s="50">
        <f t="shared" si="0"/>
        <v>45349</v>
      </c>
      <c r="B59" s="51">
        <v>7671.13</v>
      </c>
      <c r="C59" s="52">
        <v>4882.5</v>
      </c>
      <c r="D59" s="52">
        <v>4470.3599999999997</v>
      </c>
      <c r="E59" s="52">
        <v>4225.1099999999997</v>
      </c>
      <c r="F59" s="52">
        <v>4170.3999999999996</v>
      </c>
      <c r="G59" s="52">
        <v>6693.9</v>
      </c>
      <c r="H59" s="52">
        <v>3567.4999999999995</v>
      </c>
      <c r="I59" s="53">
        <v>28545.9</v>
      </c>
      <c r="J59" s="49"/>
      <c r="R59" s="44">
        <v>265.89999999999998</v>
      </c>
      <c r="S59" s="44">
        <v>93.199999999999989</v>
      </c>
      <c r="T59" s="44">
        <v>351</v>
      </c>
      <c r="U59" s="44">
        <v>13217</v>
      </c>
      <c r="V59" s="44">
        <v>336002</v>
      </c>
      <c r="W59" s="44">
        <v>1380</v>
      </c>
    </row>
    <row r="60" spans="1:23" x14ac:dyDescent="0.2">
      <c r="A60" s="50">
        <f t="shared" si="0"/>
        <v>45350</v>
      </c>
      <c r="B60" s="51">
        <v>7379.61</v>
      </c>
      <c r="C60" s="52">
        <v>4857.62</v>
      </c>
      <c r="D60" s="52">
        <v>4614.72</v>
      </c>
      <c r="E60" s="52">
        <v>3680.46</v>
      </c>
      <c r="F60" s="52">
        <v>3646.97</v>
      </c>
      <c r="G60" s="52">
        <v>6213.4</v>
      </c>
      <c r="H60" s="52">
        <v>3481.04</v>
      </c>
      <c r="I60" s="53">
        <v>26911.739999999998</v>
      </c>
      <c r="J60" s="49"/>
      <c r="R60" s="44">
        <v>262.3</v>
      </c>
      <c r="S60" s="44">
        <v>91.1</v>
      </c>
      <c r="T60" s="44">
        <v>346</v>
      </c>
      <c r="U60" s="44">
        <v>12984</v>
      </c>
      <c r="V60" s="44">
        <v>347667</v>
      </c>
      <c r="W60" s="44">
        <v>1319</v>
      </c>
    </row>
    <row r="61" spans="1:23" x14ac:dyDescent="0.2">
      <c r="A61" s="50">
        <f t="shared" si="0"/>
        <v>45351</v>
      </c>
      <c r="B61" s="51">
        <v>7338</v>
      </c>
      <c r="C61" s="52">
        <v>4676</v>
      </c>
      <c r="D61" s="52">
        <v>4548</v>
      </c>
      <c r="E61" s="52">
        <v>3534</v>
      </c>
      <c r="F61" s="52">
        <v>3495</v>
      </c>
      <c r="G61" s="52">
        <v>6383</v>
      </c>
      <c r="H61" s="52">
        <v>3398</v>
      </c>
      <c r="I61" s="53">
        <v>26576</v>
      </c>
      <c r="J61" s="49"/>
      <c r="R61" s="44">
        <v>268.7</v>
      </c>
      <c r="S61" s="44">
        <v>91.1</v>
      </c>
      <c r="T61" s="44">
        <v>342</v>
      </c>
      <c r="U61" s="44">
        <v>12714</v>
      </c>
      <c r="V61" s="44">
        <v>359139</v>
      </c>
      <c r="W61" s="44">
        <v>1242</v>
      </c>
    </row>
    <row r="62" spans="1:23" x14ac:dyDescent="0.2">
      <c r="A62" s="50">
        <f t="shared" si="0"/>
        <v>45352</v>
      </c>
      <c r="B62" s="51">
        <v>6727.02</v>
      </c>
      <c r="C62" s="52">
        <v>4689.49</v>
      </c>
      <c r="D62" s="52">
        <v>4538.88</v>
      </c>
      <c r="E62" s="52">
        <v>2985.08</v>
      </c>
      <c r="F62" s="52">
        <v>2952.32</v>
      </c>
      <c r="G62" s="52">
        <v>6723.51</v>
      </c>
      <c r="H62" s="52">
        <v>3703.05</v>
      </c>
      <c r="I62" s="53">
        <v>24913.250000000004</v>
      </c>
      <c r="J62" s="49"/>
      <c r="R62" s="44">
        <v>267.2</v>
      </c>
      <c r="S62" s="44">
        <v>91.199999999999989</v>
      </c>
      <c r="T62" s="44">
        <v>348</v>
      </c>
      <c r="U62" s="44">
        <v>13319</v>
      </c>
      <c r="V62" s="44">
        <v>12011</v>
      </c>
      <c r="W62" s="44">
        <v>1308</v>
      </c>
    </row>
    <row r="63" spans="1:23" x14ac:dyDescent="0.2">
      <c r="A63" s="50">
        <f t="shared" si="0"/>
        <v>45353</v>
      </c>
      <c r="B63" s="51">
        <v>6567.36</v>
      </c>
      <c r="C63" s="52">
        <v>4583.8</v>
      </c>
      <c r="D63" s="52">
        <v>4385.6400000000003</v>
      </c>
      <c r="E63" s="52">
        <v>2685.3</v>
      </c>
      <c r="F63" s="52">
        <v>2661.06</v>
      </c>
      <c r="G63" s="52">
        <v>5864</v>
      </c>
      <c r="H63" s="52">
        <v>2754.83</v>
      </c>
      <c r="I63" s="53">
        <v>23992.33</v>
      </c>
      <c r="J63" s="49"/>
      <c r="R63" s="44">
        <v>268.95999999999998</v>
      </c>
      <c r="S63" s="44">
        <v>91.1</v>
      </c>
      <c r="T63" s="44">
        <v>347</v>
      </c>
      <c r="U63" s="44">
        <v>13127</v>
      </c>
      <c r="V63" s="44">
        <v>23780</v>
      </c>
      <c r="W63" s="44">
        <v>1358</v>
      </c>
    </row>
    <row r="64" spans="1:23" x14ac:dyDescent="0.2">
      <c r="A64" s="50">
        <f t="shared" si="0"/>
        <v>45354</v>
      </c>
      <c r="B64" s="51">
        <v>6876.2</v>
      </c>
      <c r="C64" s="52">
        <v>4679.5</v>
      </c>
      <c r="D64" s="52">
        <v>4505.8100000000004</v>
      </c>
      <c r="E64" s="52">
        <v>3427.11</v>
      </c>
      <c r="F64" s="52">
        <v>3385.4</v>
      </c>
      <c r="G64" s="52">
        <v>5152.82</v>
      </c>
      <c r="H64" s="52">
        <v>2361.0200000000004</v>
      </c>
      <c r="I64" s="53">
        <v>25665.820000000003</v>
      </c>
      <c r="J64" s="49"/>
      <c r="R64" s="44">
        <v>268</v>
      </c>
      <c r="S64" s="44">
        <v>90.5</v>
      </c>
      <c r="T64" s="44">
        <v>353</v>
      </c>
      <c r="U64" s="44">
        <v>13297</v>
      </c>
      <c r="V64" s="44">
        <v>35769</v>
      </c>
      <c r="W64" s="44">
        <v>1308</v>
      </c>
    </row>
    <row r="65" spans="1:23" x14ac:dyDescent="0.2">
      <c r="A65" s="50">
        <f t="shared" si="0"/>
        <v>45355</v>
      </c>
      <c r="B65" s="51">
        <v>7720</v>
      </c>
      <c r="C65" s="52">
        <v>5095</v>
      </c>
      <c r="D65" s="52">
        <v>4806</v>
      </c>
      <c r="E65" s="52">
        <v>3478</v>
      </c>
      <c r="F65" s="52">
        <v>3431</v>
      </c>
      <c r="G65" s="52">
        <v>6540</v>
      </c>
      <c r="H65" s="52">
        <v>3594</v>
      </c>
      <c r="I65" s="53">
        <v>27476</v>
      </c>
      <c r="J65" s="49"/>
      <c r="R65" s="44">
        <v>278.57</v>
      </c>
      <c r="S65" s="44">
        <v>93.4</v>
      </c>
      <c r="T65" s="44">
        <v>356</v>
      </c>
      <c r="U65" s="44">
        <v>13183</v>
      </c>
      <c r="V65" s="44">
        <v>47700</v>
      </c>
      <c r="W65" s="44">
        <v>1252</v>
      </c>
    </row>
    <row r="66" spans="1:23" x14ac:dyDescent="0.2">
      <c r="A66" s="50">
        <f t="shared" si="0"/>
        <v>45356</v>
      </c>
      <c r="B66" s="51">
        <v>8172.14</v>
      </c>
      <c r="C66" s="52">
        <v>5168.43</v>
      </c>
      <c r="D66" s="52">
        <v>4735.84</v>
      </c>
      <c r="E66" s="52">
        <v>4269.82</v>
      </c>
      <c r="F66" s="52">
        <v>4222.45</v>
      </c>
      <c r="G66" s="52">
        <v>6961.57</v>
      </c>
      <c r="H66" s="52">
        <v>3635.3700000000003</v>
      </c>
      <c r="I66" s="53">
        <v>29894.880000000001</v>
      </c>
      <c r="J66" s="49"/>
      <c r="R66" s="44">
        <v>265.7</v>
      </c>
      <c r="S66" s="44">
        <v>90.800000000000011</v>
      </c>
      <c r="T66" s="44">
        <v>345</v>
      </c>
      <c r="U66" s="44">
        <v>13264</v>
      </c>
      <c r="V66" s="44">
        <v>59462</v>
      </c>
      <c r="W66" s="44">
        <v>1502</v>
      </c>
    </row>
    <row r="67" spans="1:23" x14ac:dyDescent="0.2">
      <c r="A67" s="50">
        <f t="shared" ref="A67:A130" si="1">A66+1</f>
        <v>45357</v>
      </c>
      <c r="B67" s="51">
        <v>8130.54</v>
      </c>
      <c r="C67" s="52">
        <v>5201.33</v>
      </c>
      <c r="D67" s="52">
        <v>4627.7700000000004</v>
      </c>
      <c r="E67" s="52">
        <v>4263.3999999999996</v>
      </c>
      <c r="F67" s="52">
        <v>4205.2299999999996</v>
      </c>
      <c r="G67" s="52">
        <v>6985.15</v>
      </c>
      <c r="H67" s="52">
        <v>3711.21</v>
      </c>
      <c r="I67" s="53">
        <v>29702.21</v>
      </c>
      <c r="J67" s="49"/>
      <c r="R67" s="44">
        <v>291.2</v>
      </c>
      <c r="S67" s="44">
        <v>98.199999999999989</v>
      </c>
      <c r="T67" s="44">
        <v>362</v>
      </c>
      <c r="U67" s="44">
        <v>14224</v>
      </c>
      <c r="V67" s="44">
        <v>72329</v>
      </c>
      <c r="W67" s="44">
        <v>1357</v>
      </c>
    </row>
    <row r="68" spans="1:23" x14ac:dyDescent="0.2">
      <c r="A68" s="50">
        <f t="shared" si="1"/>
        <v>45358</v>
      </c>
      <c r="B68" s="51">
        <v>8102.26</v>
      </c>
      <c r="C68" s="52">
        <v>4939.05</v>
      </c>
      <c r="D68" s="52">
        <v>5091.47</v>
      </c>
      <c r="E68" s="52">
        <v>3628.68</v>
      </c>
      <c r="F68" s="52">
        <v>3592.84</v>
      </c>
      <c r="G68" s="52">
        <v>7354.76</v>
      </c>
      <c r="H68" s="52">
        <v>3651.98</v>
      </c>
      <c r="I68" s="53">
        <v>29057.080000000005</v>
      </c>
      <c r="J68" s="49"/>
      <c r="R68" s="44">
        <v>282.69</v>
      </c>
      <c r="S68" s="44">
        <v>97.9</v>
      </c>
      <c r="T68" s="44">
        <v>363</v>
      </c>
      <c r="U68" s="44">
        <v>14276</v>
      </c>
      <c r="V68" s="44">
        <v>85184</v>
      </c>
      <c r="W68" s="44">
        <v>1421</v>
      </c>
    </row>
    <row r="69" spans="1:23" x14ac:dyDescent="0.2">
      <c r="A69" s="50">
        <f t="shared" si="1"/>
        <v>45359</v>
      </c>
      <c r="B69" s="51">
        <v>7189</v>
      </c>
      <c r="C69" s="52">
        <v>4903</v>
      </c>
      <c r="D69" s="52">
        <v>4389</v>
      </c>
      <c r="E69" s="52">
        <v>3615</v>
      </c>
      <c r="F69" s="52">
        <v>3580</v>
      </c>
      <c r="G69" s="52">
        <v>5934</v>
      </c>
      <c r="H69" s="52">
        <v>2766</v>
      </c>
      <c r="I69" s="53">
        <v>26844</v>
      </c>
      <c r="J69" s="49"/>
      <c r="R69" s="44">
        <v>260.39999999999998</v>
      </c>
      <c r="S69" s="44">
        <v>93.7</v>
      </c>
      <c r="T69" s="44">
        <v>349</v>
      </c>
      <c r="U69" s="44">
        <v>13387</v>
      </c>
      <c r="V69" s="44">
        <v>97076</v>
      </c>
      <c r="W69" s="44">
        <v>1495</v>
      </c>
    </row>
    <row r="70" spans="1:23" x14ac:dyDescent="0.2">
      <c r="A70" s="50">
        <f t="shared" si="1"/>
        <v>45360</v>
      </c>
      <c r="B70" s="51">
        <v>7934.68</v>
      </c>
      <c r="C70" s="52">
        <v>4804.1899999999996</v>
      </c>
      <c r="D70" s="52">
        <v>4450.1000000000004</v>
      </c>
      <c r="E70" s="52">
        <v>3752.92</v>
      </c>
      <c r="F70" s="52">
        <v>3705.91</v>
      </c>
      <c r="G70" s="52">
        <v>5304.78</v>
      </c>
      <c r="H70" s="52">
        <v>2224.23</v>
      </c>
      <c r="I70" s="53">
        <v>27728.35</v>
      </c>
      <c r="J70" s="49"/>
      <c r="R70" s="44">
        <v>269</v>
      </c>
      <c r="S70" s="44">
        <v>93.3</v>
      </c>
      <c r="T70" s="44">
        <v>355</v>
      </c>
      <c r="U70" s="44">
        <v>13653</v>
      </c>
      <c r="V70" s="44">
        <v>109280</v>
      </c>
      <c r="W70" s="44">
        <v>1449</v>
      </c>
    </row>
    <row r="71" spans="1:23" x14ac:dyDescent="0.2">
      <c r="A71" s="50">
        <f t="shared" si="1"/>
        <v>45361</v>
      </c>
      <c r="B71" s="51">
        <v>7465.1</v>
      </c>
      <c r="C71" s="52">
        <v>4841.26</v>
      </c>
      <c r="D71" s="52">
        <v>4471.8</v>
      </c>
      <c r="E71" s="52">
        <v>3746.2</v>
      </c>
      <c r="F71" s="52">
        <v>3714.1</v>
      </c>
      <c r="G71" s="52">
        <v>5715.23</v>
      </c>
      <c r="H71" s="52">
        <v>2497.5500000000002</v>
      </c>
      <c r="I71" s="53">
        <v>27456.14</v>
      </c>
      <c r="J71" s="49"/>
      <c r="R71" s="44">
        <v>288.5</v>
      </c>
      <c r="S71" s="44">
        <v>98.2</v>
      </c>
      <c r="T71" s="44">
        <v>360</v>
      </c>
      <c r="U71" s="44">
        <v>14110</v>
      </c>
      <c r="V71" s="44">
        <v>122141</v>
      </c>
      <c r="W71" s="44">
        <v>1249</v>
      </c>
    </row>
    <row r="72" spans="1:23" x14ac:dyDescent="0.2">
      <c r="A72" s="50">
        <f t="shared" si="1"/>
        <v>45362</v>
      </c>
      <c r="B72" s="51">
        <v>7551.15</v>
      </c>
      <c r="C72" s="52">
        <v>4859.68</v>
      </c>
      <c r="D72" s="52">
        <v>4839.2</v>
      </c>
      <c r="E72" s="52">
        <v>3553.32</v>
      </c>
      <c r="F72" s="52">
        <v>3516.71</v>
      </c>
      <c r="G72" s="52">
        <v>6798.87</v>
      </c>
      <c r="H72" s="52">
        <v>3421.12</v>
      </c>
      <c r="I72" s="53">
        <v>27697.809999999998</v>
      </c>
      <c r="J72" s="49"/>
      <c r="R72" s="44">
        <v>275.36</v>
      </c>
      <c r="S72" s="44">
        <v>90.6</v>
      </c>
      <c r="T72" s="44">
        <v>355</v>
      </c>
      <c r="U72" s="44">
        <v>13553</v>
      </c>
      <c r="V72" s="44">
        <v>134405</v>
      </c>
      <c r="W72" s="44">
        <v>1289</v>
      </c>
    </row>
    <row r="73" spans="1:23" x14ac:dyDescent="0.2">
      <c r="A73" s="50">
        <f t="shared" si="1"/>
        <v>45363</v>
      </c>
      <c r="B73" s="51">
        <v>8586</v>
      </c>
      <c r="C73" s="52">
        <v>5184</v>
      </c>
      <c r="D73" s="52">
        <v>4656</v>
      </c>
      <c r="E73" s="52">
        <v>4262</v>
      </c>
      <c r="F73" s="52">
        <v>4206</v>
      </c>
      <c r="G73" s="52">
        <v>6706</v>
      </c>
      <c r="H73" s="52">
        <v>3501.2000000000003</v>
      </c>
      <c r="I73" s="53">
        <v>30098.799999999999</v>
      </c>
      <c r="J73" s="49"/>
      <c r="R73" s="44">
        <v>277.5</v>
      </c>
      <c r="S73" s="44">
        <v>93.2</v>
      </c>
      <c r="T73" s="44">
        <v>356</v>
      </c>
      <c r="U73" s="44">
        <v>14296</v>
      </c>
      <c r="V73" s="44">
        <v>147378</v>
      </c>
      <c r="W73" s="44">
        <v>1323</v>
      </c>
    </row>
    <row r="74" spans="1:23" x14ac:dyDescent="0.2">
      <c r="A74" s="50">
        <f t="shared" si="1"/>
        <v>45364</v>
      </c>
      <c r="B74" s="51">
        <v>8180.4</v>
      </c>
      <c r="C74" s="52">
        <v>5169.34</v>
      </c>
      <c r="D74" s="52">
        <v>4823.28</v>
      </c>
      <c r="E74" s="52">
        <v>3710.57</v>
      </c>
      <c r="F74" s="52">
        <v>3679.04</v>
      </c>
      <c r="G74" s="52">
        <v>6866.6</v>
      </c>
      <c r="H74" s="52">
        <v>3420.0899999999997</v>
      </c>
      <c r="I74" s="53">
        <v>29009.140000000003</v>
      </c>
      <c r="J74" s="49"/>
      <c r="R74" s="44">
        <v>277</v>
      </c>
      <c r="S74" s="44">
        <v>96.9</v>
      </c>
      <c r="T74" s="44">
        <v>362</v>
      </c>
      <c r="U74" s="44">
        <v>14005</v>
      </c>
      <c r="V74" s="44">
        <v>159940</v>
      </c>
      <c r="W74" s="44">
        <v>1443</v>
      </c>
    </row>
    <row r="75" spans="1:23" x14ac:dyDescent="0.2">
      <c r="A75" s="50">
        <f t="shared" si="1"/>
        <v>45365</v>
      </c>
      <c r="B75" s="51">
        <v>8367.77</v>
      </c>
      <c r="C75" s="52">
        <v>5182.16</v>
      </c>
      <c r="D75" s="52">
        <v>4707.6000000000004</v>
      </c>
      <c r="E75" s="52">
        <v>3928.4</v>
      </c>
      <c r="F75" s="52">
        <v>3885.5</v>
      </c>
      <c r="G75" s="52">
        <v>6805.4</v>
      </c>
      <c r="H75" s="52">
        <v>3414.0099999999998</v>
      </c>
      <c r="I75" s="53">
        <v>29462.820000000003</v>
      </c>
      <c r="J75" s="49"/>
      <c r="R75" s="44">
        <v>276.8</v>
      </c>
      <c r="S75" s="44">
        <v>96.6</v>
      </c>
      <c r="T75" s="44">
        <v>358</v>
      </c>
      <c r="U75" s="44">
        <v>13878</v>
      </c>
      <c r="V75" s="44">
        <v>172573</v>
      </c>
      <c r="W75" s="44">
        <v>1245</v>
      </c>
    </row>
    <row r="76" spans="1:23" x14ac:dyDescent="0.2">
      <c r="A76" s="50">
        <f t="shared" si="1"/>
        <v>45366</v>
      </c>
      <c r="B76" s="51">
        <v>8435.64</v>
      </c>
      <c r="C76" s="52">
        <v>4956.58</v>
      </c>
      <c r="D76" s="52">
        <v>4967.76</v>
      </c>
      <c r="E76" s="52">
        <v>3783.56</v>
      </c>
      <c r="F76" s="52">
        <v>3740.15</v>
      </c>
      <c r="G76" s="52">
        <v>6921.45</v>
      </c>
      <c r="H76" s="52">
        <v>3645.48</v>
      </c>
      <c r="I76" s="53">
        <v>29159.66</v>
      </c>
      <c r="J76" s="49"/>
      <c r="R76" s="44">
        <v>272.95</v>
      </c>
      <c r="S76" s="44">
        <v>93.4</v>
      </c>
      <c r="T76" s="44">
        <v>358</v>
      </c>
      <c r="U76" s="44">
        <v>13514</v>
      </c>
      <c r="V76" s="44">
        <v>184739</v>
      </c>
      <c r="W76" s="44">
        <v>1348</v>
      </c>
    </row>
    <row r="77" spans="1:23" x14ac:dyDescent="0.2">
      <c r="A77" s="50">
        <f t="shared" si="1"/>
        <v>45367</v>
      </c>
      <c r="B77" s="51">
        <v>8007</v>
      </c>
      <c r="C77" s="52">
        <v>4670</v>
      </c>
      <c r="D77" s="52">
        <v>4410</v>
      </c>
      <c r="E77" s="52">
        <v>3894</v>
      </c>
      <c r="F77" s="52">
        <v>3854</v>
      </c>
      <c r="G77" s="52">
        <v>5441</v>
      </c>
      <c r="H77" s="52">
        <v>2554</v>
      </c>
      <c r="I77" s="53">
        <v>27722</v>
      </c>
      <c r="J77" s="49"/>
      <c r="R77" s="44">
        <v>263</v>
      </c>
      <c r="S77" s="44">
        <v>93.1</v>
      </c>
      <c r="T77" s="44">
        <v>352</v>
      </c>
      <c r="U77" s="44">
        <v>13120</v>
      </c>
      <c r="V77" s="44">
        <v>196546</v>
      </c>
      <c r="W77" s="44">
        <v>1313</v>
      </c>
    </row>
    <row r="78" spans="1:23" x14ac:dyDescent="0.2">
      <c r="A78" s="50">
        <f t="shared" si="1"/>
        <v>45368</v>
      </c>
      <c r="B78" s="51">
        <v>8138.26</v>
      </c>
      <c r="C78" s="52">
        <v>4852.7</v>
      </c>
      <c r="D78" s="52">
        <v>4500.97</v>
      </c>
      <c r="E78" s="52">
        <v>3637.87</v>
      </c>
      <c r="F78" s="52">
        <v>3593.28</v>
      </c>
      <c r="G78" s="52">
        <v>5086.84</v>
      </c>
      <c r="H78" s="52">
        <v>2158.25</v>
      </c>
      <c r="I78" s="53">
        <v>27651.67</v>
      </c>
      <c r="J78" s="49"/>
      <c r="R78" s="44">
        <v>247.22</v>
      </c>
      <c r="S78" s="44">
        <v>91.699999999999989</v>
      </c>
      <c r="T78" s="44">
        <v>343</v>
      </c>
      <c r="U78" s="44">
        <v>12933</v>
      </c>
      <c r="V78" s="44">
        <v>208143</v>
      </c>
      <c r="W78" s="44">
        <v>1336</v>
      </c>
    </row>
    <row r="79" spans="1:23" x14ac:dyDescent="0.2">
      <c r="A79" s="50">
        <f t="shared" si="1"/>
        <v>45369</v>
      </c>
      <c r="B79" s="51">
        <v>7799.3</v>
      </c>
      <c r="C79" s="52">
        <v>4888.3</v>
      </c>
      <c r="D79" s="52">
        <v>4261.3999999999996</v>
      </c>
      <c r="E79" s="52">
        <v>3523.5</v>
      </c>
      <c r="F79" s="52">
        <v>3476.8</v>
      </c>
      <c r="G79" s="52">
        <v>6571</v>
      </c>
      <c r="H79" s="52">
        <v>3309.7999999999997</v>
      </c>
      <c r="I79" s="53">
        <v>27210.5</v>
      </c>
      <c r="J79" s="49"/>
      <c r="R79" s="44">
        <v>254.72</v>
      </c>
      <c r="S79" s="44">
        <v>93.9</v>
      </c>
      <c r="T79" s="44">
        <v>344</v>
      </c>
      <c r="U79" s="44">
        <v>12818</v>
      </c>
      <c r="V79" s="44">
        <v>219837</v>
      </c>
      <c r="W79" s="44">
        <v>1124</v>
      </c>
    </row>
    <row r="80" spans="1:23" x14ac:dyDescent="0.2">
      <c r="A80" s="50">
        <f t="shared" si="1"/>
        <v>45370</v>
      </c>
      <c r="B80" s="51">
        <v>8475.75</v>
      </c>
      <c r="C80" s="52">
        <v>5053.88</v>
      </c>
      <c r="D80" s="52">
        <v>4762.54</v>
      </c>
      <c r="E80" s="52">
        <v>3756.05</v>
      </c>
      <c r="F80" s="52">
        <v>3716.2</v>
      </c>
      <c r="G80" s="52">
        <v>6704.22</v>
      </c>
      <c r="H80" s="52">
        <v>3291.0299999999997</v>
      </c>
      <c r="I80" s="53">
        <v>29177.610000000004</v>
      </c>
      <c r="J80" s="49"/>
      <c r="R80" s="44">
        <v>265.43</v>
      </c>
      <c r="S80" s="44">
        <v>91.8</v>
      </c>
      <c r="T80" s="44">
        <v>359</v>
      </c>
      <c r="U80" s="44">
        <v>13301</v>
      </c>
      <c r="V80" s="44">
        <v>231732</v>
      </c>
      <c r="W80" s="44">
        <v>1406</v>
      </c>
    </row>
    <row r="81" spans="1:23" x14ac:dyDescent="0.2">
      <c r="A81" s="50">
        <f t="shared" si="1"/>
        <v>45371</v>
      </c>
      <c r="B81" s="51">
        <v>8414</v>
      </c>
      <c r="C81" s="52">
        <v>5136</v>
      </c>
      <c r="D81" s="52">
        <v>4384</v>
      </c>
      <c r="E81" s="52">
        <v>3914</v>
      </c>
      <c r="F81" s="52">
        <v>3855</v>
      </c>
      <c r="G81" s="52">
        <v>6720</v>
      </c>
      <c r="H81" s="52">
        <v>3483.19</v>
      </c>
      <c r="I81" s="53">
        <v>28939.81</v>
      </c>
      <c r="J81" s="49"/>
      <c r="R81" s="44">
        <v>292.5</v>
      </c>
      <c r="S81" s="44">
        <v>94.800000000000011</v>
      </c>
      <c r="T81" s="44">
        <v>379</v>
      </c>
      <c r="U81" s="44">
        <v>13704</v>
      </c>
      <c r="V81" s="44">
        <v>243967</v>
      </c>
      <c r="W81" s="44">
        <v>1469</v>
      </c>
    </row>
    <row r="82" spans="1:23" x14ac:dyDescent="0.2">
      <c r="A82" s="50">
        <f t="shared" si="1"/>
        <v>45372</v>
      </c>
      <c r="B82" s="51">
        <v>8316.34</v>
      </c>
      <c r="C82" s="52">
        <v>5176.1099999999997</v>
      </c>
      <c r="D82" s="52">
        <v>4381.29</v>
      </c>
      <c r="E82" s="52">
        <v>4149.62</v>
      </c>
      <c r="F82" s="52">
        <v>4080.27</v>
      </c>
      <c r="G82" s="52">
        <v>6304.24</v>
      </c>
      <c r="H82" s="52">
        <v>3178.6399999999994</v>
      </c>
      <c r="I82" s="53">
        <v>29229.230000000003</v>
      </c>
      <c r="J82" s="49"/>
      <c r="R82" s="44">
        <v>254.74</v>
      </c>
      <c r="S82" s="44">
        <v>86.9</v>
      </c>
      <c r="T82" s="44">
        <v>331</v>
      </c>
      <c r="U82" s="44">
        <v>12804</v>
      </c>
      <c r="V82" s="44">
        <v>255216</v>
      </c>
      <c r="W82" s="44">
        <v>1555</v>
      </c>
    </row>
    <row r="83" spans="1:23" x14ac:dyDescent="0.2">
      <c r="A83" s="50">
        <f t="shared" si="1"/>
        <v>45373</v>
      </c>
      <c r="B83" s="51">
        <v>8393.9</v>
      </c>
      <c r="C83" s="52">
        <v>4966.3</v>
      </c>
      <c r="D83" s="52">
        <v>4526.6000000000004</v>
      </c>
      <c r="E83" s="52">
        <v>4044.3</v>
      </c>
      <c r="F83" s="52">
        <v>3980.9</v>
      </c>
      <c r="G83" s="52">
        <v>6350.9</v>
      </c>
      <c r="H83" s="52">
        <v>3210</v>
      </c>
      <c r="I83" s="53">
        <v>29052.9</v>
      </c>
      <c r="J83" s="49"/>
      <c r="R83" s="44">
        <v>247</v>
      </c>
      <c r="S83" s="44">
        <v>91.100000000000009</v>
      </c>
      <c r="T83" s="44">
        <v>338</v>
      </c>
      <c r="U83" s="44">
        <v>12723</v>
      </c>
      <c r="V83" s="44">
        <v>266703</v>
      </c>
      <c r="W83" s="44">
        <v>1236</v>
      </c>
    </row>
    <row r="84" spans="1:23" x14ac:dyDescent="0.2">
      <c r="A84" s="50">
        <f t="shared" si="1"/>
        <v>45374</v>
      </c>
      <c r="B84" s="51">
        <v>8395.2999999999993</v>
      </c>
      <c r="C84" s="52">
        <v>4674.12</v>
      </c>
      <c r="D84" s="52">
        <v>4429.46</v>
      </c>
      <c r="E84" s="52">
        <v>4169.8999999999996</v>
      </c>
      <c r="F84" s="52">
        <v>4107.6499999999996</v>
      </c>
      <c r="G84" s="52">
        <v>5405.94</v>
      </c>
      <c r="H84" s="52">
        <v>2563.02</v>
      </c>
      <c r="I84" s="53">
        <v>28619.35</v>
      </c>
      <c r="J84" s="49"/>
      <c r="R84" s="44">
        <v>233</v>
      </c>
      <c r="S84" s="44">
        <v>82.7</v>
      </c>
      <c r="T84" s="44">
        <v>309</v>
      </c>
      <c r="U84" s="44">
        <v>12070</v>
      </c>
      <c r="V84" s="44">
        <v>277388</v>
      </c>
      <c r="W84" s="44">
        <v>1385</v>
      </c>
    </row>
    <row r="85" spans="1:23" x14ac:dyDescent="0.2">
      <c r="A85" s="50">
        <f t="shared" si="1"/>
        <v>45375</v>
      </c>
      <c r="B85" s="51">
        <v>7680</v>
      </c>
      <c r="C85" s="52">
        <v>4721</v>
      </c>
      <c r="D85" s="52">
        <v>4268</v>
      </c>
      <c r="E85" s="52">
        <v>4020</v>
      </c>
      <c r="F85" s="52">
        <v>3952</v>
      </c>
      <c r="G85" s="52">
        <v>5017</v>
      </c>
      <c r="H85" s="52">
        <v>2225.27</v>
      </c>
      <c r="I85" s="53">
        <v>27432.73</v>
      </c>
      <c r="J85" s="49"/>
      <c r="R85" s="44">
        <v>228.8</v>
      </c>
      <c r="S85" s="44">
        <v>82.8</v>
      </c>
      <c r="T85" s="44">
        <v>305</v>
      </c>
      <c r="U85" s="44">
        <v>11733</v>
      </c>
      <c r="V85" s="44">
        <v>287925</v>
      </c>
      <c r="W85" s="44">
        <v>1196</v>
      </c>
    </row>
    <row r="86" spans="1:23" x14ac:dyDescent="0.2">
      <c r="A86" s="50">
        <f t="shared" si="1"/>
        <v>45376</v>
      </c>
      <c r="B86" s="51">
        <v>8012.57</v>
      </c>
      <c r="C86" s="52">
        <v>4974.3599999999997</v>
      </c>
      <c r="D86" s="52">
        <v>4481.32</v>
      </c>
      <c r="E86" s="52">
        <v>3801.98</v>
      </c>
      <c r="F86" s="52">
        <v>3737.98</v>
      </c>
      <c r="G86" s="52">
        <v>6306.31</v>
      </c>
      <c r="H86" s="52">
        <v>3315.89</v>
      </c>
      <c r="I86" s="53">
        <v>27998.63</v>
      </c>
      <c r="J86" s="49"/>
      <c r="R86" s="44">
        <v>253.45</v>
      </c>
      <c r="S86" s="44">
        <v>86.4</v>
      </c>
      <c r="T86" s="44">
        <v>324</v>
      </c>
      <c r="U86" s="44">
        <v>12271</v>
      </c>
      <c r="V86" s="44">
        <v>298758</v>
      </c>
      <c r="W86" s="44">
        <v>1438</v>
      </c>
    </row>
    <row r="87" spans="1:23" x14ac:dyDescent="0.2">
      <c r="A87" s="50">
        <f t="shared" si="1"/>
        <v>45377</v>
      </c>
      <c r="B87" s="51">
        <v>8341.4</v>
      </c>
      <c r="C87" s="52">
        <v>5238.3</v>
      </c>
      <c r="D87" s="52">
        <v>4612</v>
      </c>
      <c r="E87" s="52">
        <v>4199.8</v>
      </c>
      <c r="F87" s="52">
        <v>4137.3999999999996</v>
      </c>
      <c r="G87" s="52">
        <v>6357.4</v>
      </c>
      <c r="H87" s="52">
        <v>3236.7599999999998</v>
      </c>
      <c r="I87" s="53">
        <v>29649.540000000005</v>
      </c>
      <c r="J87" s="49"/>
      <c r="R87" s="44">
        <v>242</v>
      </c>
      <c r="S87" s="44">
        <v>88.5</v>
      </c>
      <c r="T87" s="44">
        <v>328</v>
      </c>
      <c r="U87" s="44">
        <v>12330</v>
      </c>
      <c r="V87" s="44">
        <v>309729</v>
      </c>
      <c r="W87" s="44">
        <v>1359</v>
      </c>
    </row>
    <row r="88" spans="1:23" x14ac:dyDescent="0.2">
      <c r="A88" s="50">
        <f t="shared" si="1"/>
        <v>45378</v>
      </c>
      <c r="B88" s="51">
        <v>8294.7800000000007</v>
      </c>
      <c r="C88" s="52">
        <v>5138.41</v>
      </c>
      <c r="D88" s="52">
        <v>4744.76</v>
      </c>
      <c r="E88" s="52">
        <v>3949.9</v>
      </c>
      <c r="F88" s="52">
        <v>3888.84</v>
      </c>
      <c r="G88" s="52">
        <v>6500.74</v>
      </c>
      <c r="H88" s="52">
        <v>3521.5299999999997</v>
      </c>
      <c r="I88" s="53">
        <v>28995.9</v>
      </c>
      <c r="J88" s="49"/>
      <c r="R88" s="44">
        <v>260.99</v>
      </c>
      <c r="S88" s="44">
        <v>90.100000000000009</v>
      </c>
      <c r="T88" s="44">
        <v>340</v>
      </c>
      <c r="U88" s="44">
        <v>12880</v>
      </c>
      <c r="V88" s="44">
        <v>321269</v>
      </c>
      <c r="W88" s="44">
        <v>1340</v>
      </c>
    </row>
    <row r="89" spans="1:23" x14ac:dyDescent="0.2">
      <c r="A89" s="50">
        <f t="shared" si="1"/>
        <v>45379</v>
      </c>
      <c r="B89" s="51">
        <v>8168</v>
      </c>
      <c r="C89" s="52">
        <v>5372</v>
      </c>
      <c r="D89" s="52">
        <v>4441</v>
      </c>
      <c r="E89" s="52">
        <v>3938</v>
      </c>
      <c r="F89" s="52">
        <v>3882</v>
      </c>
      <c r="G89" s="52">
        <v>6267</v>
      </c>
      <c r="H89" s="52">
        <v>3240</v>
      </c>
      <c r="I89" s="53">
        <v>28828</v>
      </c>
      <c r="J89" s="49"/>
      <c r="R89" s="44">
        <v>237.6</v>
      </c>
      <c r="S89" s="44">
        <v>87.4</v>
      </c>
      <c r="T89" s="44">
        <v>320</v>
      </c>
      <c r="U89" s="44">
        <v>12335</v>
      </c>
      <c r="V89" s="44">
        <v>332191</v>
      </c>
      <c r="W89" s="44">
        <v>1413</v>
      </c>
    </row>
    <row r="90" spans="1:23" x14ac:dyDescent="0.2">
      <c r="A90" s="50">
        <f t="shared" si="1"/>
        <v>45380</v>
      </c>
      <c r="B90" s="51">
        <v>8175.36</v>
      </c>
      <c r="C90" s="52">
        <v>5073.18</v>
      </c>
      <c r="D90" s="52">
        <v>4743.1400000000003</v>
      </c>
      <c r="E90" s="52">
        <v>4212.1000000000004</v>
      </c>
      <c r="F90" s="52">
        <v>4135.7</v>
      </c>
      <c r="G90" s="52">
        <v>6527.63</v>
      </c>
      <c r="H90" s="52">
        <v>3202.9300000000003</v>
      </c>
      <c r="I90" s="53">
        <v>29664.18</v>
      </c>
      <c r="J90" s="49"/>
      <c r="R90" s="44">
        <v>257.5</v>
      </c>
      <c r="S90" s="44">
        <v>89.7</v>
      </c>
      <c r="T90" s="44">
        <v>328</v>
      </c>
      <c r="U90" s="44">
        <v>12949</v>
      </c>
      <c r="V90" s="44">
        <v>343669</v>
      </c>
      <c r="W90" s="44">
        <v>1471</v>
      </c>
    </row>
    <row r="91" spans="1:23" x14ac:dyDescent="0.2">
      <c r="A91" s="50">
        <f t="shared" si="1"/>
        <v>45381</v>
      </c>
      <c r="B91" s="51">
        <v>8103.84</v>
      </c>
      <c r="C91" s="52">
        <v>5023.7</v>
      </c>
      <c r="D91" s="52">
        <v>4449.5</v>
      </c>
      <c r="E91" s="52">
        <v>4139.6000000000004</v>
      </c>
      <c r="F91" s="52">
        <v>4066.1</v>
      </c>
      <c r="G91" s="52">
        <v>5315.9</v>
      </c>
      <c r="H91" s="52">
        <v>2480.5100000000002</v>
      </c>
      <c r="I91" s="53">
        <v>28618.129999999997</v>
      </c>
      <c r="J91" s="49"/>
      <c r="R91" s="44">
        <v>235</v>
      </c>
      <c r="S91" s="44">
        <v>86.6</v>
      </c>
      <c r="T91" s="44">
        <v>325</v>
      </c>
      <c r="U91" s="44">
        <v>12353</v>
      </c>
      <c r="V91" s="44">
        <v>354619</v>
      </c>
      <c r="W91" s="44">
        <v>1403</v>
      </c>
    </row>
    <row r="92" spans="1:23" x14ac:dyDescent="0.2">
      <c r="A92" s="50">
        <f t="shared" si="1"/>
        <v>45382</v>
      </c>
      <c r="B92" s="51">
        <v>7780.29</v>
      </c>
      <c r="C92" s="52">
        <v>4831.99</v>
      </c>
      <c r="D92" s="52">
        <v>4331.47</v>
      </c>
      <c r="E92" s="52">
        <v>3818.55</v>
      </c>
      <c r="F92" s="52">
        <v>3750.57</v>
      </c>
      <c r="G92" s="52">
        <v>5302.88</v>
      </c>
      <c r="H92" s="52">
        <v>2502.71</v>
      </c>
      <c r="I92" s="53">
        <v>27313.040000000001</v>
      </c>
      <c r="J92" s="49"/>
      <c r="R92" s="44">
        <v>255.37</v>
      </c>
      <c r="S92" s="44">
        <v>88.100000000000009</v>
      </c>
      <c r="T92" s="44">
        <v>338</v>
      </c>
      <c r="U92" s="44">
        <v>12339</v>
      </c>
      <c r="V92" s="44">
        <v>365746</v>
      </c>
      <c r="W92" s="44">
        <v>1212</v>
      </c>
    </row>
    <row r="93" spans="1:23" x14ac:dyDescent="0.2">
      <c r="A93" s="50">
        <f t="shared" si="1"/>
        <v>45383</v>
      </c>
      <c r="B93" s="51">
        <v>7312</v>
      </c>
      <c r="C93" s="52">
        <v>5230</v>
      </c>
      <c r="D93" s="52">
        <v>4514</v>
      </c>
      <c r="E93" s="52">
        <v>3771</v>
      </c>
      <c r="F93" s="52">
        <v>3710</v>
      </c>
      <c r="G93" s="52">
        <v>6533</v>
      </c>
      <c r="H93" s="52">
        <v>3580</v>
      </c>
      <c r="I93" s="53">
        <v>27490</v>
      </c>
      <c r="J93" s="49"/>
      <c r="R93" s="44">
        <v>242.3</v>
      </c>
      <c r="S93" s="44">
        <v>83.9</v>
      </c>
      <c r="T93" s="44">
        <v>320</v>
      </c>
      <c r="U93" s="44">
        <v>11337</v>
      </c>
      <c r="V93" s="44">
        <v>10202</v>
      </c>
      <c r="W93" s="44">
        <v>1135</v>
      </c>
    </row>
    <row r="94" spans="1:23" x14ac:dyDescent="0.2">
      <c r="A94" s="50">
        <f t="shared" si="1"/>
        <v>45384</v>
      </c>
      <c r="B94" s="51">
        <v>7920.9</v>
      </c>
      <c r="C94" s="52">
        <v>5215.8100000000004</v>
      </c>
      <c r="D94" s="52">
        <v>4379.3599999999997</v>
      </c>
      <c r="E94" s="52">
        <v>3945.13</v>
      </c>
      <c r="F94" s="52">
        <v>3888.24</v>
      </c>
      <c r="G94" s="52">
        <v>5848.45</v>
      </c>
      <c r="H94" s="52">
        <v>3407.4199999999996</v>
      </c>
      <c r="I94" s="53">
        <v>27790.470000000005</v>
      </c>
      <c r="J94" s="49"/>
      <c r="R94" s="44">
        <v>257.8</v>
      </c>
      <c r="S94" s="44">
        <v>87.2</v>
      </c>
      <c r="T94" s="44">
        <v>331</v>
      </c>
      <c r="U94" s="44">
        <v>12122</v>
      </c>
      <c r="V94" s="44">
        <v>20933</v>
      </c>
      <c r="W94" s="44">
        <v>1391</v>
      </c>
    </row>
    <row r="95" spans="1:23" x14ac:dyDescent="0.2">
      <c r="A95" s="50">
        <f t="shared" si="1"/>
        <v>45385</v>
      </c>
      <c r="B95" s="51">
        <v>7535</v>
      </c>
      <c r="C95" s="52">
        <v>5404.7</v>
      </c>
      <c r="D95" s="52">
        <v>4533.7</v>
      </c>
      <c r="E95" s="52">
        <v>3592.3</v>
      </c>
      <c r="F95" s="52">
        <v>3539.8</v>
      </c>
      <c r="G95" s="52">
        <v>5400.8</v>
      </c>
      <c r="H95" s="52">
        <v>3041.03</v>
      </c>
      <c r="I95" s="53">
        <v>26965.27</v>
      </c>
      <c r="J95" s="49"/>
      <c r="R95" s="44">
        <v>256</v>
      </c>
      <c r="S95" s="44">
        <v>88.8</v>
      </c>
      <c r="T95" s="44">
        <v>339</v>
      </c>
      <c r="U95" s="44">
        <v>12511</v>
      </c>
      <c r="V95" s="44">
        <v>32185</v>
      </c>
      <c r="W95" s="44">
        <v>1259</v>
      </c>
    </row>
    <row r="96" spans="1:23" x14ac:dyDescent="0.2">
      <c r="A96" s="50">
        <f t="shared" si="1"/>
        <v>45386</v>
      </c>
      <c r="B96" s="51">
        <v>7363.44</v>
      </c>
      <c r="C96" s="52">
        <v>5207.5200000000004</v>
      </c>
      <c r="D96" s="52">
        <v>4628.45</v>
      </c>
      <c r="E96" s="52">
        <v>3665.15</v>
      </c>
      <c r="F96" s="52">
        <v>3602.64</v>
      </c>
      <c r="G96" s="52">
        <v>5856.66</v>
      </c>
      <c r="H96" s="52">
        <v>3301.18</v>
      </c>
      <c r="I96" s="53">
        <v>27022.68</v>
      </c>
      <c r="J96" s="49"/>
      <c r="R96" s="44">
        <v>251.7</v>
      </c>
      <c r="S96" s="44">
        <v>86.2</v>
      </c>
      <c r="T96" s="44">
        <v>332</v>
      </c>
      <c r="U96" s="44">
        <v>12216</v>
      </c>
      <c r="V96" s="44">
        <v>43092</v>
      </c>
      <c r="W96" s="44">
        <v>1309</v>
      </c>
    </row>
    <row r="97" spans="1:23" x14ac:dyDescent="0.2">
      <c r="A97" s="50">
        <f t="shared" si="1"/>
        <v>45387</v>
      </c>
      <c r="B97" s="51">
        <v>7638.25</v>
      </c>
      <c r="C97" s="52">
        <v>5100.6000000000004</v>
      </c>
      <c r="D97" s="52">
        <v>4569</v>
      </c>
      <c r="E97" s="52">
        <v>4645.2</v>
      </c>
      <c r="F97" s="52">
        <v>4544.2299999999996</v>
      </c>
      <c r="G97" s="52">
        <v>5292.62</v>
      </c>
      <c r="H97" s="52">
        <v>2867.19</v>
      </c>
      <c r="I97" s="53">
        <v>28922.71</v>
      </c>
      <c r="J97" s="49"/>
      <c r="R97" s="44">
        <v>240.9</v>
      </c>
      <c r="S97" s="44">
        <v>87</v>
      </c>
      <c r="T97" s="44">
        <v>331</v>
      </c>
      <c r="U97" s="44">
        <v>12199</v>
      </c>
      <c r="V97" s="44">
        <v>53966</v>
      </c>
      <c r="W97" s="44">
        <v>1325</v>
      </c>
    </row>
    <row r="98" spans="1:23" x14ac:dyDescent="0.2">
      <c r="A98" s="50">
        <f t="shared" si="1"/>
        <v>45388</v>
      </c>
      <c r="B98" s="51">
        <v>7249.78</v>
      </c>
      <c r="C98" s="52">
        <v>4941.45</v>
      </c>
      <c r="D98" s="52">
        <v>4575.34</v>
      </c>
      <c r="E98" s="52">
        <v>3657.5</v>
      </c>
      <c r="F98" s="52">
        <v>3606.66</v>
      </c>
      <c r="G98" s="52">
        <v>4881.4799999999996</v>
      </c>
      <c r="H98" s="52">
        <v>2396.39</v>
      </c>
      <c r="I98" s="53">
        <v>26515.82</v>
      </c>
      <c r="J98" s="49"/>
      <c r="R98" s="44">
        <v>239.3</v>
      </c>
      <c r="S98" s="44">
        <v>83.8</v>
      </c>
      <c r="T98" s="44">
        <v>321</v>
      </c>
      <c r="U98" s="44">
        <v>11893</v>
      </c>
      <c r="V98" s="44">
        <v>64612</v>
      </c>
      <c r="W98" s="44">
        <v>1247</v>
      </c>
    </row>
    <row r="99" spans="1:23" x14ac:dyDescent="0.2">
      <c r="A99" s="50">
        <f t="shared" si="1"/>
        <v>45389</v>
      </c>
      <c r="B99" s="51">
        <v>6780.5</v>
      </c>
      <c r="C99" s="52">
        <v>4855.8</v>
      </c>
      <c r="D99" s="52">
        <v>4511.2</v>
      </c>
      <c r="E99" s="52">
        <v>3390.5</v>
      </c>
      <c r="F99" s="52">
        <v>3336</v>
      </c>
      <c r="G99" s="52">
        <v>4895.7</v>
      </c>
      <c r="H99" s="52">
        <v>2187.61</v>
      </c>
      <c r="I99" s="53">
        <v>25582.09</v>
      </c>
      <c r="J99" s="49"/>
      <c r="R99" s="44">
        <v>225</v>
      </c>
      <c r="S99" s="44">
        <v>78.900000000000006</v>
      </c>
      <c r="T99" s="44">
        <v>297</v>
      </c>
      <c r="U99" s="44">
        <v>11206</v>
      </c>
      <c r="V99" s="44">
        <v>74135</v>
      </c>
      <c r="W99" s="44">
        <v>1683</v>
      </c>
    </row>
    <row r="100" spans="1:23" x14ac:dyDescent="0.2">
      <c r="A100" s="50">
        <f t="shared" si="1"/>
        <v>45390</v>
      </c>
      <c r="B100" s="51">
        <v>7352.78</v>
      </c>
      <c r="C100" s="52">
        <v>5003.7</v>
      </c>
      <c r="D100" s="52">
        <v>4825.1099999999997</v>
      </c>
      <c r="E100" s="52">
        <v>3374.46</v>
      </c>
      <c r="F100" s="52">
        <v>3330.99</v>
      </c>
      <c r="G100" s="52">
        <v>6050.11</v>
      </c>
      <c r="H100" s="52">
        <v>3285.99</v>
      </c>
      <c r="I100" s="53">
        <v>26651.160000000003</v>
      </c>
      <c r="J100" s="49"/>
      <c r="R100" s="44">
        <v>242.91</v>
      </c>
      <c r="S100" s="44">
        <v>83</v>
      </c>
      <c r="T100" s="44">
        <v>323</v>
      </c>
      <c r="U100" s="44">
        <v>11858</v>
      </c>
      <c r="V100" s="44">
        <v>85075</v>
      </c>
      <c r="W100" s="44">
        <v>918</v>
      </c>
    </row>
    <row r="101" spans="1:23" x14ac:dyDescent="0.2">
      <c r="A101" s="50">
        <f t="shared" si="1"/>
        <v>45391</v>
      </c>
      <c r="B101" s="51">
        <v>7452</v>
      </c>
      <c r="C101" s="52">
        <v>5213</v>
      </c>
      <c r="D101" s="52">
        <v>4746</v>
      </c>
      <c r="E101" s="52">
        <v>3693</v>
      </c>
      <c r="F101" s="52">
        <v>3627</v>
      </c>
      <c r="G101" s="52">
        <v>5624</v>
      </c>
      <c r="H101" s="52">
        <v>3010.65</v>
      </c>
      <c r="I101" s="53">
        <v>27344.35</v>
      </c>
      <c r="J101" s="49"/>
      <c r="R101" s="44">
        <v>255.2</v>
      </c>
      <c r="S101" s="44">
        <v>84.5</v>
      </c>
      <c r="T101" s="44">
        <v>335</v>
      </c>
      <c r="U101" s="44">
        <v>12064</v>
      </c>
      <c r="V101" s="44">
        <v>95861</v>
      </c>
      <c r="W101" s="44">
        <v>1278</v>
      </c>
    </row>
    <row r="102" spans="1:23" x14ac:dyDescent="0.2">
      <c r="A102" s="50">
        <f t="shared" si="1"/>
        <v>45392</v>
      </c>
      <c r="B102" s="51">
        <v>7748.3</v>
      </c>
      <c r="C102" s="52">
        <v>5381.74</v>
      </c>
      <c r="D102" s="52">
        <v>4588.6099999999997</v>
      </c>
      <c r="E102" s="52">
        <v>3815.13</v>
      </c>
      <c r="F102" s="52">
        <v>3759.07</v>
      </c>
      <c r="G102" s="52">
        <v>6409.4</v>
      </c>
      <c r="H102" s="52">
        <v>3292.1299999999997</v>
      </c>
      <c r="I102" s="53">
        <v>28410.12</v>
      </c>
      <c r="J102" s="49"/>
      <c r="R102" s="44">
        <v>243.9</v>
      </c>
      <c r="S102" s="44">
        <v>84</v>
      </c>
      <c r="T102" s="44">
        <v>323</v>
      </c>
      <c r="U102" s="44">
        <v>12187</v>
      </c>
      <c r="V102" s="44">
        <v>106767</v>
      </c>
      <c r="W102" s="44">
        <v>1281</v>
      </c>
    </row>
    <row r="103" spans="1:23" x14ac:dyDescent="0.2">
      <c r="A103" s="50">
        <f t="shared" si="1"/>
        <v>45393</v>
      </c>
      <c r="B103" s="51">
        <v>7963.27</v>
      </c>
      <c r="C103" s="52">
        <v>5311.78</v>
      </c>
      <c r="D103" s="52">
        <v>4820.3</v>
      </c>
      <c r="E103" s="52">
        <v>3775.3</v>
      </c>
      <c r="F103" s="52">
        <v>3697.4</v>
      </c>
      <c r="G103" s="52">
        <v>6176.8</v>
      </c>
      <c r="H103" s="52">
        <v>3279.83</v>
      </c>
      <c r="I103" s="53">
        <v>28465.019999999997</v>
      </c>
      <c r="J103" s="49"/>
      <c r="R103" s="44">
        <v>213</v>
      </c>
      <c r="S103" s="44">
        <v>78.900000000000006</v>
      </c>
      <c r="T103" s="44">
        <v>288</v>
      </c>
      <c r="U103" s="44">
        <v>11526</v>
      </c>
      <c r="V103" s="44">
        <v>117052</v>
      </c>
      <c r="W103" s="44">
        <v>1241</v>
      </c>
    </row>
    <row r="104" spans="1:23" x14ac:dyDescent="0.2">
      <c r="A104" s="50">
        <f t="shared" si="1"/>
        <v>45394</v>
      </c>
      <c r="B104" s="51">
        <v>7504.82</v>
      </c>
      <c r="C104" s="52">
        <v>5311.31</v>
      </c>
      <c r="D104" s="52">
        <v>4625.97</v>
      </c>
      <c r="E104" s="52">
        <v>3561.5</v>
      </c>
      <c r="F104" s="52">
        <v>3336.92</v>
      </c>
      <c r="G104" s="52">
        <v>5978.66</v>
      </c>
      <c r="H104" s="52">
        <v>3440.88</v>
      </c>
      <c r="I104" s="53">
        <v>26878.300000000003</v>
      </c>
      <c r="J104" s="49"/>
      <c r="R104" s="44">
        <v>241.6</v>
      </c>
      <c r="S104" s="44">
        <v>78.900000000000006</v>
      </c>
      <c r="T104" s="44">
        <v>325</v>
      </c>
      <c r="U104" s="44">
        <v>11789</v>
      </c>
      <c r="V104" s="44">
        <v>127660</v>
      </c>
      <c r="W104" s="44">
        <v>1181</v>
      </c>
    </row>
    <row r="105" spans="1:23" x14ac:dyDescent="0.2">
      <c r="A105" s="50">
        <f t="shared" si="1"/>
        <v>45395</v>
      </c>
      <c r="B105" s="51">
        <v>7791</v>
      </c>
      <c r="C105" s="52">
        <v>4968</v>
      </c>
      <c r="D105" s="52">
        <v>4437</v>
      </c>
      <c r="E105" s="52">
        <v>4515</v>
      </c>
      <c r="F105" s="52">
        <v>4132</v>
      </c>
      <c r="G105" s="52">
        <v>4912</v>
      </c>
      <c r="H105" s="52">
        <v>2625</v>
      </c>
      <c r="I105" s="53">
        <v>28130</v>
      </c>
      <c r="J105" s="49"/>
      <c r="R105" s="44">
        <v>245</v>
      </c>
      <c r="S105" s="44">
        <v>79</v>
      </c>
      <c r="T105" s="44">
        <v>314</v>
      </c>
      <c r="U105" s="44">
        <v>11783</v>
      </c>
      <c r="V105" s="44">
        <v>138174</v>
      </c>
      <c r="W105" s="44">
        <v>1269</v>
      </c>
    </row>
    <row r="106" spans="1:23" x14ac:dyDescent="0.2">
      <c r="A106" s="50">
        <f t="shared" si="1"/>
        <v>45396</v>
      </c>
      <c r="B106" s="51">
        <v>7620.58</v>
      </c>
      <c r="C106" s="52">
        <v>5055.68</v>
      </c>
      <c r="D106" s="52">
        <v>4330.33</v>
      </c>
      <c r="E106" s="52">
        <v>4128.28</v>
      </c>
      <c r="F106" s="52">
        <v>3890.94</v>
      </c>
      <c r="G106" s="52">
        <v>4445.0600000000004</v>
      </c>
      <c r="H106" s="52">
        <v>2220.7599999999998</v>
      </c>
      <c r="I106" s="53">
        <v>27250.11</v>
      </c>
      <c r="J106" s="49"/>
      <c r="R106" s="44">
        <v>211</v>
      </c>
      <c r="S106" s="44">
        <v>73</v>
      </c>
      <c r="T106" s="44">
        <v>302</v>
      </c>
      <c r="U106" s="44">
        <v>10995</v>
      </c>
      <c r="V106" s="44">
        <v>147874</v>
      </c>
      <c r="W106" s="44">
        <v>1295</v>
      </c>
    </row>
    <row r="107" spans="1:23" x14ac:dyDescent="0.2">
      <c r="A107" s="50">
        <f t="shared" si="1"/>
        <v>45397</v>
      </c>
      <c r="B107" s="51">
        <v>7578.3</v>
      </c>
      <c r="C107" s="52">
        <v>5329.15</v>
      </c>
      <c r="D107" s="52">
        <v>4739.7</v>
      </c>
      <c r="E107" s="52">
        <v>3773.4</v>
      </c>
      <c r="F107" s="52">
        <v>3854.5</v>
      </c>
      <c r="G107" s="52">
        <v>5287.8</v>
      </c>
      <c r="H107" s="52">
        <v>2947.3</v>
      </c>
      <c r="I107" s="53">
        <v>27615.550000000003</v>
      </c>
      <c r="J107" s="49"/>
      <c r="R107" s="44">
        <v>231.6</v>
      </c>
      <c r="S107" s="44">
        <v>79.400000000000006</v>
      </c>
      <c r="T107" s="44">
        <v>315</v>
      </c>
      <c r="U107" s="44">
        <v>11576</v>
      </c>
      <c r="V107" s="44">
        <v>158247</v>
      </c>
      <c r="W107" s="44">
        <v>1203</v>
      </c>
    </row>
    <row r="108" spans="1:23" x14ac:dyDescent="0.2">
      <c r="A108" s="50">
        <f t="shared" si="1"/>
        <v>45398</v>
      </c>
      <c r="B108" s="51">
        <v>7842.48</v>
      </c>
      <c r="C108" s="52">
        <v>5300.54</v>
      </c>
      <c r="D108" s="52">
        <v>4838.55</v>
      </c>
      <c r="E108" s="52">
        <v>3948</v>
      </c>
      <c r="F108" s="52">
        <v>3892.93</v>
      </c>
      <c r="G108" s="52">
        <v>5370.39</v>
      </c>
      <c r="H108" s="52">
        <v>3247.5</v>
      </c>
      <c r="I108" s="53">
        <v>27945.39</v>
      </c>
      <c r="J108" s="49"/>
      <c r="R108" s="44">
        <v>231.6</v>
      </c>
      <c r="S108" s="44">
        <v>77.599999999999994</v>
      </c>
      <c r="T108" s="44">
        <v>317</v>
      </c>
      <c r="U108" s="44">
        <v>11781</v>
      </c>
      <c r="V108" s="44">
        <v>168684</v>
      </c>
      <c r="W108" s="44">
        <v>1344</v>
      </c>
    </row>
    <row r="109" spans="1:23" x14ac:dyDescent="0.2">
      <c r="A109" s="50">
        <f t="shared" si="1"/>
        <v>45399</v>
      </c>
      <c r="B109" s="51">
        <v>7379</v>
      </c>
      <c r="C109" s="52">
        <v>5045</v>
      </c>
      <c r="D109" s="52">
        <v>3884</v>
      </c>
      <c r="E109" s="52">
        <v>3842</v>
      </c>
      <c r="F109" s="52">
        <v>3777</v>
      </c>
      <c r="G109" s="52">
        <v>5241</v>
      </c>
      <c r="H109" s="52">
        <v>3123</v>
      </c>
      <c r="I109" s="53">
        <v>26045</v>
      </c>
      <c r="J109" s="49"/>
      <c r="R109" s="44">
        <v>219.7</v>
      </c>
      <c r="S109" s="44">
        <v>67.2</v>
      </c>
      <c r="T109" s="44">
        <v>307</v>
      </c>
      <c r="U109" s="44">
        <v>10320</v>
      </c>
      <c r="V109" s="44">
        <v>177676</v>
      </c>
      <c r="W109" s="44">
        <v>1328</v>
      </c>
    </row>
    <row r="110" spans="1:23" x14ac:dyDescent="0.2">
      <c r="A110" s="50">
        <f t="shared" si="1"/>
        <v>45400</v>
      </c>
      <c r="B110" s="51">
        <v>7267.28</v>
      </c>
      <c r="C110" s="52">
        <v>4934.1400000000003</v>
      </c>
      <c r="D110" s="52">
        <v>3233.32</v>
      </c>
      <c r="E110" s="52">
        <v>4187.63</v>
      </c>
      <c r="F110" s="52">
        <v>4076.65</v>
      </c>
      <c r="G110" s="52">
        <v>5477.53</v>
      </c>
      <c r="H110" s="52">
        <v>3444.1499999999996</v>
      </c>
      <c r="I110" s="53">
        <v>25732.400000000001</v>
      </c>
      <c r="J110" s="49"/>
      <c r="R110" s="44">
        <v>190.86</v>
      </c>
      <c r="S110" s="44">
        <v>59.4</v>
      </c>
      <c r="T110" s="44">
        <v>264</v>
      </c>
      <c r="U110" s="44">
        <v>9468</v>
      </c>
      <c r="V110" s="44">
        <v>185750</v>
      </c>
      <c r="W110" s="44">
        <v>1394</v>
      </c>
    </row>
    <row r="111" spans="1:23" x14ac:dyDescent="0.2">
      <c r="A111" s="50">
        <f t="shared" si="1"/>
        <v>45401</v>
      </c>
      <c r="B111" s="51">
        <v>7167.84</v>
      </c>
      <c r="C111" s="52">
        <v>4847.2700000000004</v>
      </c>
      <c r="D111" s="52">
        <v>3210</v>
      </c>
      <c r="E111" s="52">
        <v>4013.14</v>
      </c>
      <c r="F111" s="52">
        <v>3493.35</v>
      </c>
      <c r="G111" s="52">
        <v>5190.34</v>
      </c>
      <c r="H111" s="52">
        <v>3093.3500000000004</v>
      </c>
      <c r="I111" s="53">
        <v>24828.589999999997</v>
      </c>
      <c r="J111" s="49"/>
      <c r="R111" s="44">
        <v>180.15</v>
      </c>
      <c r="S111" s="44">
        <v>62.8</v>
      </c>
      <c r="T111" s="44">
        <v>271</v>
      </c>
      <c r="U111" s="44">
        <v>9335</v>
      </c>
      <c r="V111" s="44">
        <v>193927</v>
      </c>
      <c r="W111" s="44">
        <v>1158</v>
      </c>
    </row>
    <row r="112" spans="1:23" x14ac:dyDescent="0.2">
      <c r="A112" s="50">
        <f t="shared" si="1"/>
        <v>45402</v>
      </c>
      <c r="B112" s="51">
        <v>7345.24</v>
      </c>
      <c r="C112" s="52">
        <v>4658.75</v>
      </c>
      <c r="D112" s="52">
        <v>2978.22</v>
      </c>
      <c r="E112" s="52">
        <v>3807.5</v>
      </c>
      <c r="F112" s="52">
        <v>3696.23</v>
      </c>
      <c r="G112" s="52">
        <v>4598.33</v>
      </c>
      <c r="H112" s="52">
        <v>2707.87</v>
      </c>
      <c r="I112" s="53">
        <v>24376.399999999998</v>
      </c>
      <c r="J112" s="49"/>
      <c r="R112" s="44">
        <v>181.95500000000001</v>
      </c>
      <c r="S112" s="44">
        <v>55.9</v>
      </c>
      <c r="T112" s="44">
        <v>258</v>
      </c>
      <c r="U112" s="44">
        <v>8711</v>
      </c>
      <c r="V112" s="44">
        <v>201542</v>
      </c>
      <c r="W112" s="44">
        <v>1096</v>
      </c>
    </row>
    <row r="113" spans="1:23" x14ac:dyDescent="0.2">
      <c r="A113" s="50">
        <f t="shared" si="1"/>
        <v>45403</v>
      </c>
      <c r="B113" s="51">
        <v>7084</v>
      </c>
      <c r="C113" s="52">
        <v>4762</v>
      </c>
      <c r="D113" s="52">
        <v>3011</v>
      </c>
      <c r="E113" s="52">
        <v>4359</v>
      </c>
      <c r="F113" s="52">
        <v>3980</v>
      </c>
      <c r="G113" s="52">
        <v>4038</v>
      </c>
      <c r="H113" s="52">
        <v>2307</v>
      </c>
      <c r="I113" s="53">
        <v>24927</v>
      </c>
      <c r="J113" s="49"/>
      <c r="R113" s="44">
        <v>196</v>
      </c>
      <c r="S113" s="44">
        <v>60.9</v>
      </c>
      <c r="T113" s="44">
        <v>274</v>
      </c>
      <c r="U113" s="44">
        <v>9381</v>
      </c>
      <c r="V113" s="44">
        <v>209730</v>
      </c>
      <c r="W113" s="44">
        <v>1193</v>
      </c>
    </row>
    <row r="114" spans="1:23" x14ac:dyDescent="0.2">
      <c r="A114" s="50">
        <f t="shared" si="1"/>
        <v>45404</v>
      </c>
      <c r="B114" s="51">
        <v>7349.32</v>
      </c>
      <c r="C114" s="52">
        <v>5084.41</v>
      </c>
      <c r="D114" s="52">
        <v>3390.38</v>
      </c>
      <c r="E114" s="52">
        <v>3823.58</v>
      </c>
      <c r="F114" s="52">
        <v>3686.7</v>
      </c>
      <c r="G114" s="52">
        <v>4961.07</v>
      </c>
      <c r="H114" s="52">
        <v>3310.4399999999996</v>
      </c>
      <c r="I114" s="53">
        <v>24985.020000000004</v>
      </c>
      <c r="J114" s="49"/>
      <c r="R114" s="44">
        <v>210</v>
      </c>
      <c r="S114" s="44">
        <v>64.099999999999994</v>
      </c>
      <c r="T114" s="44">
        <v>279</v>
      </c>
      <c r="U114" s="44">
        <v>10048</v>
      </c>
      <c r="V114" s="44">
        <v>218380</v>
      </c>
      <c r="W114" s="44">
        <v>1398</v>
      </c>
    </row>
    <row r="115" spans="1:23" x14ac:dyDescent="0.2">
      <c r="A115" s="50">
        <f t="shared" si="1"/>
        <v>45405</v>
      </c>
      <c r="B115" s="51">
        <v>7548.7</v>
      </c>
      <c r="C115" s="52">
        <v>5060.3</v>
      </c>
      <c r="D115" s="52">
        <v>3296.2</v>
      </c>
      <c r="E115" s="52">
        <v>3855.6</v>
      </c>
      <c r="F115" s="52">
        <v>3719.3</v>
      </c>
      <c r="G115" s="52">
        <v>5658</v>
      </c>
      <c r="H115" s="52">
        <v>3278.72</v>
      </c>
      <c r="I115" s="53">
        <v>25859.379999999997</v>
      </c>
      <c r="J115" s="49"/>
      <c r="R115" s="44">
        <v>192.8</v>
      </c>
      <c r="S115" s="44">
        <v>61.900000000000006</v>
      </c>
      <c r="T115" s="44">
        <v>271</v>
      </c>
      <c r="U115" s="44">
        <v>9429</v>
      </c>
      <c r="V115" s="44">
        <v>226518</v>
      </c>
      <c r="W115" s="44">
        <v>1291</v>
      </c>
    </row>
    <row r="116" spans="1:23" x14ac:dyDescent="0.2">
      <c r="A116" s="50">
        <f t="shared" si="1"/>
        <v>45406</v>
      </c>
      <c r="B116" s="51">
        <v>7558.98</v>
      </c>
      <c r="C116" s="52">
        <v>5186.1499999999996</v>
      </c>
      <c r="D116" s="52">
        <v>4147.5200000000004</v>
      </c>
      <c r="E116" s="52">
        <v>3409.32</v>
      </c>
      <c r="F116" s="52">
        <v>3309.95</v>
      </c>
      <c r="G116" s="52">
        <v>6768.87</v>
      </c>
      <c r="H116" s="52">
        <v>3810.6100000000006</v>
      </c>
      <c r="I116" s="53">
        <v>26570.18</v>
      </c>
      <c r="J116" s="49"/>
      <c r="R116" s="44">
        <v>213.12</v>
      </c>
      <c r="S116" s="44">
        <v>66.5</v>
      </c>
      <c r="T116" s="44">
        <v>289</v>
      </c>
      <c r="U116" s="44">
        <v>10378</v>
      </c>
      <c r="V116" s="44">
        <v>235468</v>
      </c>
      <c r="W116" s="44">
        <v>1428</v>
      </c>
    </row>
    <row r="117" spans="1:23" x14ac:dyDescent="0.2">
      <c r="A117" s="50">
        <f t="shared" si="1"/>
        <v>45407</v>
      </c>
      <c r="B117" s="51">
        <v>7412</v>
      </c>
      <c r="C117" s="52">
        <v>5196</v>
      </c>
      <c r="D117" s="52">
        <v>3731</v>
      </c>
      <c r="E117" s="52">
        <v>4096</v>
      </c>
      <c r="F117" s="52">
        <v>3406</v>
      </c>
      <c r="G117" s="52">
        <v>6978</v>
      </c>
      <c r="H117" s="52">
        <v>3686.7000000000003</v>
      </c>
      <c r="I117" s="53">
        <v>27132.3</v>
      </c>
      <c r="J117" s="49"/>
      <c r="R117" s="44">
        <v>186</v>
      </c>
      <c r="S117" s="44">
        <v>60.3</v>
      </c>
      <c r="T117" s="44">
        <v>265</v>
      </c>
      <c r="U117" s="44">
        <v>9565</v>
      </c>
      <c r="V117" s="44">
        <v>243631</v>
      </c>
      <c r="W117" s="44">
        <v>1402</v>
      </c>
    </row>
    <row r="118" spans="1:23" x14ac:dyDescent="0.2">
      <c r="A118" s="50">
        <f t="shared" si="1"/>
        <v>45408</v>
      </c>
      <c r="B118" s="51">
        <v>6783.77</v>
      </c>
      <c r="C118" s="52">
        <v>5040.33</v>
      </c>
      <c r="D118" s="52">
        <v>3534.27</v>
      </c>
      <c r="E118" s="52">
        <v>3931.05</v>
      </c>
      <c r="F118" s="52">
        <v>3249.01</v>
      </c>
      <c r="G118" s="52">
        <v>6854.37</v>
      </c>
      <c r="H118" s="52">
        <v>3855.39</v>
      </c>
      <c r="I118" s="53">
        <v>25537.41</v>
      </c>
      <c r="J118" s="49"/>
      <c r="R118" s="44">
        <v>201.37</v>
      </c>
      <c r="S118" s="44">
        <v>63.100000000000009</v>
      </c>
      <c r="T118" s="44">
        <v>281</v>
      </c>
      <c r="U118" s="44">
        <v>9988</v>
      </c>
      <c r="V118" s="44">
        <v>252162</v>
      </c>
      <c r="W118" s="44">
        <v>1457</v>
      </c>
    </row>
    <row r="119" spans="1:23" x14ac:dyDescent="0.2">
      <c r="A119" s="50">
        <f t="shared" si="1"/>
        <v>45409</v>
      </c>
      <c r="B119" s="51">
        <v>6135.8</v>
      </c>
      <c r="C119" s="52">
        <v>4866.5</v>
      </c>
      <c r="D119" s="52">
        <v>2955.6</v>
      </c>
      <c r="E119" s="52">
        <v>3841.4</v>
      </c>
      <c r="F119" s="52">
        <v>3378.7</v>
      </c>
      <c r="G119" s="52">
        <v>6149.7</v>
      </c>
      <c r="H119" s="52">
        <v>3341.8</v>
      </c>
      <c r="I119" s="53">
        <v>23985.9</v>
      </c>
      <c r="J119" s="49"/>
      <c r="R119" s="44">
        <v>207.95</v>
      </c>
      <c r="S119" s="44">
        <v>66</v>
      </c>
      <c r="T119" s="44">
        <v>292</v>
      </c>
      <c r="U119" s="44">
        <v>10147</v>
      </c>
      <c r="V119" s="44">
        <v>260916</v>
      </c>
      <c r="W119" s="44">
        <v>1393</v>
      </c>
    </row>
    <row r="120" spans="1:23" x14ac:dyDescent="0.2">
      <c r="A120" s="50">
        <f t="shared" si="1"/>
        <v>45410</v>
      </c>
      <c r="B120" s="51">
        <v>5999.94</v>
      </c>
      <c r="C120" s="52">
        <v>4425.82</v>
      </c>
      <c r="D120" s="52">
        <v>2838.21</v>
      </c>
      <c r="E120" s="52">
        <v>4056.57</v>
      </c>
      <c r="F120" s="52">
        <v>3942.2</v>
      </c>
      <c r="G120" s="52">
        <v>4439.71</v>
      </c>
      <c r="H120" s="52">
        <v>2424.69</v>
      </c>
      <c r="I120" s="53">
        <v>23277.759999999998</v>
      </c>
      <c r="J120" s="49"/>
      <c r="R120" s="44">
        <v>169</v>
      </c>
      <c r="S120" s="44">
        <v>55</v>
      </c>
      <c r="T120" s="44">
        <v>245</v>
      </c>
      <c r="U120" s="44">
        <v>8660</v>
      </c>
      <c r="V120" s="44">
        <v>268204</v>
      </c>
      <c r="W120" s="44">
        <v>1372</v>
      </c>
    </row>
    <row r="121" spans="1:23" x14ac:dyDescent="0.2">
      <c r="A121" s="50">
        <f t="shared" si="1"/>
        <v>45411</v>
      </c>
      <c r="B121" s="51">
        <v>5786</v>
      </c>
      <c r="C121" s="52">
        <v>4488</v>
      </c>
      <c r="D121" s="52">
        <v>3029</v>
      </c>
      <c r="E121" s="52">
        <v>3573</v>
      </c>
      <c r="F121" s="52">
        <v>3289</v>
      </c>
      <c r="G121" s="52">
        <v>4781</v>
      </c>
      <c r="H121" s="52">
        <v>2553</v>
      </c>
      <c r="I121" s="53">
        <v>22393</v>
      </c>
      <c r="J121" s="49"/>
      <c r="R121" s="44">
        <v>208</v>
      </c>
      <c r="S121" s="44">
        <v>64.3</v>
      </c>
      <c r="T121" s="44">
        <v>283</v>
      </c>
      <c r="U121" s="44">
        <v>9992</v>
      </c>
      <c r="V121" s="44">
        <v>276867</v>
      </c>
      <c r="W121" s="44">
        <v>1329</v>
      </c>
    </row>
    <row r="122" spans="1:23" x14ac:dyDescent="0.2">
      <c r="A122" s="50">
        <f t="shared" si="1"/>
        <v>45412</v>
      </c>
      <c r="B122" s="51">
        <v>6137.77</v>
      </c>
      <c r="C122" s="52">
        <v>4588.1099999999997</v>
      </c>
      <c r="D122" s="52">
        <v>3267.28</v>
      </c>
      <c r="E122" s="52">
        <v>3620.28</v>
      </c>
      <c r="F122" s="52">
        <v>3428.82</v>
      </c>
      <c r="G122" s="52">
        <v>5276.17</v>
      </c>
      <c r="H122" s="52">
        <v>2681.8699999999994</v>
      </c>
      <c r="I122" s="53">
        <v>23636.560000000001</v>
      </c>
      <c r="J122" s="49"/>
      <c r="R122" s="44">
        <v>214.03</v>
      </c>
      <c r="S122" s="44">
        <v>65.400000000000006</v>
      </c>
      <c r="T122" s="44">
        <v>280</v>
      </c>
      <c r="U122" s="44">
        <v>10164</v>
      </c>
      <c r="V122" s="44">
        <v>285491</v>
      </c>
      <c r="W122" s="44">
        <v>1540</v>
      </c>
    </row>
    <row r="123" spans="1:23" x14ac:dyDescent="0.2">
      <c r="A123" s="50">
        <f t="shared" si="1"/>
        <v>45413</v>
      </c>
      <c r="B123" s="51">
        <v>5870.6</v>
      </c>
      <c r="C123" s="52">
        <v>4593.3</v>
      </c>
      <c r="D123" s="52">
        <v>3769.7</v>
      </c>
      <c r="E123" s="52">
        <v>3580.7</v>
      </c>
      <c r="F123" s="52">
        <v>3236.2</v>
      </c>
      <c r="G123" s="52">
        <v>4935.7</v>
      </c>
      <c r="H123" s="52">
        <v>2400.6999999999998</v>
      </c>
      <c r="I123" s="53">
        <v>23585.500000000004</v>
      </c>
      <c r="J123" s="49"/>
      <c r="R123" s="44">
        <v>176.78</v>
      </c>
      <c r="S123" s="44">
        <v>59.3</v>
      </c>
      <c r="T123" s="44">
        <v>261</v>
      </c>
      <c r="U123" s="44">
        <v>9143</v>
      </c>
      <c r="V123" s="44">
        <v>7753</v>
      </c>
      <c r="W123" s="44">
        <v>1390</v>
      </c>
    </row>
    <row r="124" spans="1:23" x14ac:dyDescent="0.2">
      <c r="A124" s="50">
        <f t="shared" si="1"/>
        <v>45414</v>
      </c>
      <c r="B124" s="51">
        <v>5890.08</v>
      </c>
      <c r="C124" s="52">
        <v>4716.07</v>
      </c>
      <c r="D124" s="52">
        <v>3399.17</v>
      </c>
      <c r="E124" s="52">
        <v>3318.81</v>
      </c>
      <c r="F124" s="52">
        <v>3195.85</v>
      </c>
      <c r="G124" s="52">
        <v>6006.7</v>
      </c>
      <c r="H124" s="52">
        <v>2795.47</v>
      </c>
      <c r="I124" s="53">
        <v>23731.21</v>
      </c>
      <c r="J124" s="49"/>
      <c r="R124" s="44">
        <v>184.85</v>
      </c>
      <c r="S124" s="44">
        <v>57.900000000000006</v>
      </c>
      <c r="T124" s="44">
        <v>257</v>
      </c>
      <c r="U124" s="44">
        <v>9198</v>
      </c>
      <c r="V124" s="44">
        <v>15480</v>
      </c>
      <c r="W124" s="44">
        <v>1471</v>
      </c>
    </row>
    <row r="125" spans="1:23" x14ac:dyDescent="0.2">
      <c r="A125" s="50">
        <f t="shared" si="1"/>
        <v>45415</v>
      </c>
      <c r="B125" s="51">
        <v>5595</v>
      </c>
      <c r="C125" s="52">
        <v>4485</v>
      </c>
      <c r="D125" s="52">
        <v>3094</v>
      </c>
      <c r="E125" s="52">
        <v>3015</v>
      </c>
      <c r="F125" s="52">
        <v>3026</v>
      </c>
      <c r="G125" s="52">
        <v>6212</v>
      </c>
      <c r="H125" s="52">
        <v>3475</v>
      </c>
      <c r="I125" s="53">
        <v>21952</v>
      </c>
      <c r="J125" s="49"/>
      <c r="R125" s="44">
        <v>160</v>
      </c>
      <c r="S125" s="44">
        <v>51.4</v>
      </c>
      <c r="T125" s="44">
        <v>235</v>
      </c>
      <c r="U125" s="44">
        <v>8350</v>
      </c>
      <c r="V125" s="44">
        <v>22410</v>
      </c>
      <c r="W125" s="44">
        <v>1420</v>
      </c>
    </row>
    <row r="126" spans="1:23" x14ac:dyDescent="0.2">
      <c r="A126" s="50">
        <f t="shared" si="1"/>
        <v>45416</v>
      </c>
      <c r="B126" s="51">
        <v>5610.36</v>
      </c>
      <c r="C126" s="52">
        <v>4355.91</v>
      </c>
      <c r="D126" s="52">
        <v>3090.56</v>
      </c>
      <c r="E126" s="52">
        <v>3353.25</v>
      </c>
      <c r="F126" s="52">
        <v>2918.53</v>
      </c>
      <c r="G126" s="52">
        <v>5690.05</v>
      </c>
      <c r="H126" s="52">
        <v>3201.58</v>
      </c>
      <c r="I126" s="53">
        <v>21817.08</v>
      </c>
      <c r="J126" s="49"/>
      <c r="R126" s="44">
        <v>191.31</v>
      </c>
      <c r="S126" s="44">
        <v>61.1</v>
      </c>
      <c r="T126" s="44">
        <v>279</v>
      </c>
      <c r="U126" s="44">
        <v>9770</v>
      </c>
      <c r="V126" s="44">
        <v>30604</v>
      </c>
      <c r="W126" s="44">
        <v>1576</v>
      </c>
    </row>
    <row r="127" spans="1:23" x14ac:dyDescent="0.2">
      <c r="A127" s="50">
        <f t="shared" si="1"/>
        <v>45417</v>
      </c>
      <c r="B127" s="51">
        <v>5530.6</v>
      </c>
      <c r="C127" s="52">
        <v>4423.8</v>
      </c>
      <c r="D127" s="52">
        <v>3111</v>
      </c>
      <c r="E127" s="52">
        <v>2970.4</v>
      </c>
      <c r="F127" s="52">
        <v>2357.8000000000002</v>
      </c>
      <c r="G127" s="52">
        <v>5853.7</v>
      </c>
      <c r="H127" s="52">
        <v>2986.7799999999997</v>
      </c>
      <c r="I127" s="53">
        <v>21260.520000000004</v>
      </c>
      <c r="J127" s="49"/>
      <c r="R127" s="44">
        <v>203</v>
      </c>
      <c r="S127" s="44">
        <v>60.5</v>
      </c>
      <c r="T127" s="44">
        <v>272</v>
      </c>
      <c r="U127" s="44">
        <v>9464</v>
      </c>
      <c r="V127" s="44">
        <v>38607</v>
      </c>
      <c r="W127" s="44">
        <v>1461</v>
      </c>
    </row>
    <row r="128" spans="1:23" x14ac:dyDescent="0.2">
      <c r="A128" s="50">
        <f t="shared" si="1"/>
        <v>45418</v>
      </c>
      <c r="B128" s="51">
        <v>6028.01</v>
      </c>
      <c r="C128" s="52">
        <v>4635.88</v>
      </c>
      <c r="D128" s="52">
        <v>3287.89</v>
      </c>
      <c r="E128" s="52">
        <v>3718.64</v>
      </c>
      <c r="F128" s="52">
        <v>3339.75</v>
      </c>
      <c r="G128" s="52">
        <v>7123.11</v>
      </c>
      <c r="H128" s="52">
        <v>3610.9999999999995</v>
      </c>
      <c r="I128" s="53">
        <v>24522.28</v>
      </c>
      <c r="J128" s="49"/>
      <c r="R128" s="44">
        <v>174.1</v>
      </c>
      <c r="S128" s="44">
        <v>56.7</v>
      </c>
      <c r="T128" s="44">
        <v>252</v>
      </c>
      <c r="U128" s="44">
        <v>8865</v>
      </c>
      <c r="V128" s="44">
        <v>46203</v>
      </c>
      <c r="W128" s="44">
        <v>1269</v>
      </c>
    </row>
    <row r="129" spans="1:23" x14ac:dyDescent="0.2">
      <c r="A129" s="50">
        <f t="shared" si="1"/>
        <v>45419</v>
      </c>
      <c r="B129" s="51">
        <v>6119</v>
      </c>
      <c r="C129" s="52">
        <v>5078</v>
      </c>
      <c r="D129" s="52">
        <v>3240</v>
      </c>
      <c r="E129" s="52">
        <v>3590</v>
      </c>
      <c r="F129" s="52">
        <v>3359</v>
      </c>
      <c r="G129" s="52">
        <v>6604</v>
      </c>
      <c r="H129" s="52">
        <v>3426</v>
      </c>
      <c r="I129" s="53">
        <v>24564</v>
      </c>
      <c r="J129" s="49"/>
      <c r="R129" s="44">
        <v>190.2</v>
      </c>
      <c r="S129" s="44">
        <v>59.1</v>
      </c>
      <c r="T129" s="44">
        <v>263</v>
      </c>
      <c r="U129" s="44">
        <v>9291</v>
      </c>
      <c r="V129" s="44">
        <v>54048</v>
      </c>
      <c r="W129" s="44">
        <v>1446</v>
      </c>
    </row>
    <row r="130" spans="1:23" x14ac:dyDescent="0.2">
      <c r="A130" s="50">
        <f t="shared" si="1"/>
        <v>45420</v>
      </c>
      <c r="B130" s="51">
        <v>5478.72</v>
      </c>
      <c r="C130" s="52">
        <v>4369.47</v>
      </c>
      <c r="D130" s="52">
        <v>3018.57</v>
      </c>
      <c r="E130" s="52">
        <v>3100.71</v>
      </c>
      <c r="F130" s="52">
        <v>3140.66</v>
      </c>
      <c r="G130" s="52">
        <v>5319.25</v>
      </c>
      <c r="H130" s="52">
        <v>3112.6700000000005</v>
      </c>
      <c r="I130" s="53">
        <v>21314.71</v>
      </c>
      <c r="J130" s="49"/>
      <c r="R130" s="44">
        <v>123.57</v>
      </c>
      <c r="S130" s="44">
        <v>43.5</v>
      </c>
      <c r="T130" s="44">
        <v>198</v>
      </c>
      <c r="U130" s="44">
        <v>6932</v>
      </c>
      <c r="V130" s="44">
        <v>59920</v>
      </c>
      <c r="W130" s="44">
        <v>1060</v>
      </c>
    </row>
    <row r="131" spans="1:23" x14ac:dyDescent="0.2">
      <c r="A131" s="50">
        <f t="shared" ref="A131:A194" si="2">A130+1</f>
        <v>45421</v>
      </c>
      <c r="B131" s="51">
        <v>1969.7</v>
      </c>
      <c r="C131" s="52">
        <v>1627.5</v>
      </c>
      <c r="D131" s="52">
        <v>1384.8</v>
      </c>
      <c r="E131" s="52">
        <v>1242.0999999999999</v>
      </c>
      <c r="F131" s="52">
        <v>1107.6400000000001</v>
      </c>
      <c r="G131" s="52">
        <v>3227.1</v>
      </c>
      <c r="H131" s="52">
        <v>2245.6400000000003</v>
      </c>
      <c r="I131" s="53">
        <v>8313.2000000000007</v>
      </c>
      <c r="J131" s="49"/>
      <c r="R131" s="44">
        <v>69</v>
      </c>
      <c r="S131" s="44">
        <v>24.4</v>
      </c>
      <c r="T131" s="44">
        <v>114</v>
      </c>
      <c r="U131" s="44">
        <v>3208</v>
      </c>
      <c r="V131" s="44">
        <v>63038</v>
      </c>
      <c r="W131" s="44">
        <v>90</v>
      </c>
    </row>
    <row r="132" spans="1:23" x14ac:dyDescent="0.2">
      <c r="A132" s="50">
        <f t="shared" si="2"/>
        <v>45422</v>
      </c>
      <c r="B132" s="51">
        <v>3166.2</v>
      </c>
      <c r="C132" s="52">
        <v>3413.18</v>
      </c>
      <c r="D132" s="52">
        <v>1763.49</v>
      </c>
      <c r="E132" s="52">
        <v>2443.88</v>
      </c>
      <c r="F132" s="52">
        <v>1994.34</v>
      </c>
      <c r="G132" s="52">
        <v>3641.74</v>
      </c>
      <c r="H132" s="52">
        <v>2244.0299999999997</v>
      </c>
      <c r="I132" s="53">
        <v>14178.800000000003</v>
      </c>
      <c r="J132" s="49"/>
      <c r="R132" s="44">
        <v>165</v>
      </c>
      <c r="S132" s="44">
        <v>51.2</v>
      </c>
      <c r="T132" s="44">
        <v>223</v>
      </c>
      <c r="U132" s="44">
        <v>7739</v>
      </c>
      <c r="V132" s="44">
        <v>70003</v>
      </c>
      <c r="W132" s="44">
        <v>774</v>
      </c>
    </row>
    <row r="133" spans="1:23" x14ac:dyDescent="0.2">
      <c r="A133" s="50">
        <f t="shared" si="2"/>
        <v>45423</v>
      </c>
      <c r="B133" s="51">
        <v>5298</v>
      </c>
      <c r="C133" s="52">
        <v>4436</v>
      </c>
      <c r="D133" s="52">
        <v>2998</v>
      </c>
      <c r="E133" s="52">
        <v>3161</v>
      </c>
      <c r="F133" s="52">
        <v>2829</v>
      </c>
      <c r="G133" s="52">
        <v>5595</v>
      </c>
      <c r="H133" s="52">
        <v>2411</v>
      </c>
      <c r="I133" s="53">
        <v>21906</v>
      </c>
      <c r="J133" s="49"/>
      <c r="R133" s="44">
        <v>169</v>
      </c>
      <c r="S133" s="44">
        <v>55.5</v>
      </c>
      <c r="T133" s="44">
        <v>247</v>
      </c>
      <c r="U133" s="44">
        <v>8961</v>
      </c>
      <c r="V133" s="44">
        <v>77432</v>
      </c>
      <c r="W133" s="44">
        <v>1532</v>
      </c>
    </row>
    <row r="134" spans="1:23" x14ac:dyDescent="0.2">
      <c r="A134" s="50">
        <f t="shared" si="2"/>
        <v>45424</v>
      </c>
      <c r="B134" s="51">
        <v>5519.71</v>
      </c>
      <c r="C134" s="52">
        <v>4148.68</v>
      </c>
      <c r="D134" s="52">
        <v>2939.88</v>
      </c>
      <c r="E134" s="52">
        <v>3453.1</v>
      </c>
      <c r="F134" s="52">
        <v>3316.05</v>
      </c>
      <c r="G134" s="52">
        <v>5340</v>
      </c>
      <c r="H134" s="52">
        <v>2616.8700000000003</v>
      </c>
      <c r="I134" s="53">
        <v>22100.550000000003</v>
      </c>
      <c r="J134" s="49"/>
      <c r="R134" s="44">
        <v>164.88</v>
      </c>
      <c r="S134" s="44">
        <v>54.2</v>
      </c>
      <c r="T134" s="44">
        <v>243</v>
      </c>
      <c r="U134" s="44">
        <v>8949</v>
      </c>
      <c r="V134" s="44">
        <v>84823</v>
      </c>
      <c r="W134" s="44">
        <v>1558</v>
      </c>
    </row>
    <row r="135" spans="1:23" x14ac:dyDescent="0.2">
      <c r="A135" s="50">
        <f t="shared" si="2"/>
        <v>45425</v>
      </c>
      <c r="B135" s="51">
        <v>6148.7</v>
      </c>
      <c r="C135" s="52">
        <v>4425.3</v>
      </c>
      <c r="D135" s="52">
        <v>3326.6</v>
      </c>
      <c r="E135" s="52">
        <v>3326.5</v>
      </c>
      <c r="F135" s="52">
        <v>2955.4</v>
      </c>
      <c r="G135" s="52">
        <v>6772.5</v>
      </c>
      <c r="H135" s="52">
        <v>3314.6000000000004</v>
      </c>
      <c r="I135" s="53">
        <v>23640.400000000001</v>
      </c>
      <c r="J135" s="49"/>
      <c r="R135" s="44">
        <v>161.44</v>
      </c>
      <c r="S135" s="44">
        <v>55.8</v>
      </c>
      <c r="T135" s="44">
        <v>236</v>
      </c>
      <c r="U135" s="44">
        <v>8910</v>
      </c>
      <c r="V135" s="44">
        <v>92163</v>
      </c>
      <c r="W135" s="44">
        <v>1570</v>
      </c>
    </row>
    <row r="136" spans="1:23" x14ac:dyDescent="0.2">
      <c r="A136" s="50">
        <f t="shared" si="2"/>
        <v>45426</v>
      </c>
      <c r="B136" s="51">
        <v>6520.33</v>
      </c>
      <c r="C136" s="52">
        <v>4533.2</v>
      </c>
      <c r="D136" s="52">
        <v>3356.5</v>
      </c>
      <c r="E136" s="52">
        <v>3830.54</v>
      </c>
      <c r="F136" s="52">
        <v>3761.37</v>
      </c>
      <c r="G136" s="52">
        <v>6331.54</v>
      </c>
      <c r="H136" s="52">
        <v>2984.85</v>
      </c>
      <c r="I136" s="53">
        <v>25348.63</v>
      </c>
      <c r="J136" s="49"/>
      <c r="R136" s="44">
        <v>184.91</v>
      </c>
      <c r="S136" s="44">
        <v>59.7</v>
      </c>
      <c r="T136" s="44">
        <v>263</v>
      </c>
      <c r="U136" s="44">
        <v>9458</v>
      </c>
      <c r="V136" s="44">
        <v>100081</v>
      </c>
      <c r="W136" s="44">
        <v>1540</v>
      </c>
    </row>
    <row r="137" spans="1:23" x14ac:dyDescent="0.2">
      <c r="A137" s="50">
        <f t="shared" si="2"/>
        <v>45427</v>
      </c>
      <c r="B137" s="51">
        <v>6556</v>
      </c>
      <c r="C137" s="52">
        <v>4876</v>
      </c>
      <c r="D137" s="52">
        <v>3056</v>
      </c>
      <c r="E137" s="52">
        <v>3342</v>
      </c>
      <c r="F137" s="52">
        <v>3118</v>
      </c>
      <c r="G137" s="52">
        <v>6725</v>
      </c>
      <c r="H137" s="52">
        <v>3347</v>
      </c>
      <c r="I137" s="53">
        <v>24326</v>
      </c>
      <c r="J137" s="49"/>
      <c r="R137" s="44">
        <v>217.5</v>
      </c>
      <c r="S137" s="44">
        <v>66.300000000000011</v>
      </c>
      <c r="T137" s="44">
        <v>288</v>
      </c>
      <c r="U137" s="44">
        <v>10415</v>
      </c>
      <c r="V137" s="44">
        <v>108919</v>
      </c>
      <c r="W137" s="44">
        <v>1577</v>
      </c>
    </row>
    <row r="138" spans="1:23" x14ac:dyDescent="0.2">
      <c r="A138" s="50">
        <f t="shared" si="2"/>
        <v>45428</v>
      </c>
      <c r="B138" s="51">
        <v>6042.8</v>
      </c>
      <c r="C138" s="52">
        <v>4903.3599999999997</v>
      </c>
      <c r="D138" s="52">
        <v>2722.09</v>
      </c>
      <c r="E138" s="52">
        <v>3163.62</v>
      </c>
      <c r="F138" s="52">
        <v>3255.52</v>
      </c>
      <c r="G138" s="52">
        <v>6579.74</v>
      </c>
      <c r="H138" s="52">
        <v>3409.4500000000003</v>
      </c>
      <c r="I138" s="53">
        <v>23257.679999999997</v>
      </c>
      <c r="J138" s="49"/>
      <c r="R138" s="44">
        <v>197.76</v>
      </c>
      <c r="S138" s="44">
        <v>63.199999999999996</v>
      </c>
      <c r="T138" s="44">
        <v>280</v>
      </c>
      <c r="U138" s="44">
        <v>9914</v>
      </c>
      <c r="V138" s="44">
        <v>117327</v>
      </c>
      <c r="W138" s="44">
        <v>1506</v>
      </c>
    </row>
    <row r="139" spans="1:23" x14ac:dyDescent="0.2">
      <c r="A139" s="50">
        <f t="shared" si="2"/>
        <v>45429</v>
      </c>
      <c r="B139" s="51">
        <v>6302.7</v>
      </c>
      <c r="C139" s="52">
        <v>4672.7</v>
      </c>
      <c r="D139" s="52">
        <v>2515.1999999999998</v>
      </c>
      <c r="E139" s="52">
        <v>3335.5</v>
      </c>
      <c r="F139" s="52">
        <v>3729.5</v>
      </c>
      <c r="G139" s="52">
        <v>6030.2</v>
      </c>
      <c r="H139" s="52">
        <v>2944.6000000000008</v>
      </c>
      <c r="I139" s="53">
        <v>23641.199999999997</v>
      </c>
      <c r="J139" s="49"/>
      <c r="R139" s="44">
        <v>193.19</v>
      </c>
      <c r="S139" s="44">
        <v>64.3</v>
      </c>
      <c r="T139" s="44">
        <v>273</v>
      </c>
      <c r="U139" s="44">
        <v>9703</v>
      </c>
      <c r="V139" s="44">
        <v>125678</v>
      </c>
      <c r="W139" s="44">
        <v>1352</v>
      </c>
    </row>
    <row r="140" spans="1:23" x14ac:dyDescent="0.2">
      <c r="A140" s="50">
        <f t="shared" si="2"/>
        <v>45430</v>
      </c>
      <c r="B140" s="51">
        <v>6064.42</v>
      </c>
      <c r="C140" s="52">
        <v>4324.63</v>
      </c>
      <c r="D140" s="52">
        <v>2488.3000000000002</v>
      </c>
      <c r="E140" s="52">
        <v>3614.4</v>
      </c>
      <c r="F140" s="52">
        <v>3582.94</v>
      </c>
      <c r="G140" s="52">
        <v>5298.22</v>
      </c>
      <c r="H140" s="52">
        <v>2761.1699999999996</v>
      </c>
      <c r="I140" s="53">
        <v>22611.74</v>
      </c>
      <c r="J140" s="49"/>
      <c r="R140" s="44">
        <v>186</v>
      </c>
      <c r="S140" s="44">
        <v>59.800000000000004</v>
      </c>
      <c r="T140" s="44">
        <v>263</v>
      </c>
      <c r="U140" s="44">
        <v>9276</v>
      </c>
      <c r="V140" s="44">
        <v>133544</v>
      </c>
      <c r="W140" s="44">
        <v>1410</v>
      </c>
    </row>
    <row r="141" spans="1:23" x14ac:dyDescent="0.2">
      <c r="A141" s="50">
        <f t="shared" si="2"/>
        <v>45431</v>
      </c>
      <c r="B141" s="51">
        <v>6040</v>
      </c>
      <c r="C141" s="52">
        <v>4424</v>
      </c>
      <c r="D141" s="52">
        <v>2320</v>
      </c>
      <c r="E141" s="52">
        <v>4481</v>
      </c>
      <c r="F141" s="52">
        <v>3094</v>
      </c>
      <c r="G141" s="52">
        <v>5678</v>
      </c>
      <c r="H141" s="52">
        <v>2631.6</v>
      </c>
      <c r="I141" s="53">
        <v>23405.4</v>
      </c>
      <c r="J141" s="49"/>
      <c r="R141" s="44">
        <v>188</v>
      </c>
      <c r="S141" s="44">
        <v>59.199999999999996</v>
      </c>
      <c r="T141" s="44">
        <v>289</v>
      </c>
      <c r="U141" s="44">
        <v>9178</v>
      </c>
      <c r="V141" s="44">
        <v>141449</v>
      </c>
      <c r="W141" s="44">
        <v>1273</v>
      </c>
    </row>
    <row r="142" spans="1:23" x14ac:dyDescent="0.2">
      <c r="A142" s="50">
        <f t="shared" si="2"/>
        <v>45432</v>
      </c>
      <c r="B142" s="51">
        <v>6049.2</v>
      </c>
      <c r="C142" s="52">
        <v>4630.25</v>
      </c>
      <c r="D142" s="52">
        <v>2488.21</v>
      </c>
      <c r="E142" s="52">
        <v>3085.98</v>
      </c>
      <c r="F142" s="52">
        <v>3664.95</v>
      </c>
      <c r="G142" s="52">
        <v>6553.12</v>
      </c>
      <c r="H142" s="52">
        <v>3553.09</v>
      </c>
      <c r="I142" s="53">
        <v>22918.62</v>
      </c>
      <c r="J142" s="49"/>
      <c r="R142" s="44">
        <v>189.7</v>
      </c>
      <c r="S142" s="44">
        <v>59.5</v>
      </c>
      <c r="T142" s="44">
        <v>260</v>
      </c>
      <c r="U142" s="44">
        <v>9228</v>
      </c>
      <c r="V142" s="44">
        <v>149258</v>
      </c>
      <c r="W142" s="44">
        <v>1419</v>
      </c>
    </row>
    <row r="143" spans="1:23" x14ac:dyDescent="0.2">
      <c r="A143" s="50">
        <f t="shared" si="2"/>
        <v>45433</v>
      </c>
      <c r="B143" s="51">
        <v>6225.15</v>
      </c>
      <c r="C143" s="52">
        <v>4736.24</v>
      </c>
      <c r="D143" s="52">
        <v>2551.08</v>
      </c>
      <c r="E143" s="52">
        <v>3880.54</v>
      </c>
      <c r="F143" s="52">
        <v>4262.6899999999996</v>
      </c>
      <c r="G143" s="52">
        <v>6108.81</v>
      </c>
      <c r="H143" s="52">
        <v>3280.9500000000003</v>
      </c>
      <c r="I143" s="53">
        <v>24483.559999999998</v>
      </c>
      <c r="J143" s="49"/>
      <c r="R143" s="44">
        <v>175.56</v>
      </c>
      <c r="S143" s="44">
        <v>57.6</v>
      </c>
      <c r="T143" s="44">
        <v>260</v>
      </c>
      <c r="U143" s="44">
        <v>9210</v>
      </c>
      <c r="V143" s="44">
        <v>157054</v>
      </c>
      <c r="W143" s="44">
        <v>1414</v>
      </c>
    </row>
    <row r="144" spans="1:23" x14ac:dyDescent="0.2">
      <c r="A144" s="50">
        <f t="shared" si="2"/>
        <v>45434</v>
      </c>
      <c r="B144" s="51">
        <v>6268.66</v>
      </c>
      <c r="C144" s="52">
        <v>4531.03</v>
      </c>
      <c r="D144" s="52">
        <v>2448</v>
      </c>
      <c r="E144" s="52">
        <v>4129.8</v>
      </c>
      <c r="F144" s="52">
        <v>3569.47</v>
      </c>
      <c r="G144" s="52">
        <v>1242.17</v>
      </c>
      <c r="H144" s="52">
        <v>3289.51</v>
      </c>
      <c r="I144" s="53">
        <v>18899.619999999995</v>
      </c>
      <c r="J144" s="49"/>
      <c r="R144" s="44">
        <v>184.85</v>
      </c>
      <c r="S144" s="44">
        <v>58.5</v>
      </c>
      <c r="T144" s="44">
        <v>257</v>
      </c>
      <c r="U144" s="44">
        <v>9167</v>
      </c>
      <c r="V144" s="44">
        <v>164832</v>
      </c>
      <c r="W144" s="44">
        <v>1389</v>
      </c>
    </row>
    <row r="145" spans="1:23" x14ac:dyDescent="0.2">
      <c r="A145" s="50">
        <f t="shared" si="2"/>
        <v>45435</v>
      </c>
      <c r="B145" s="51">
        <v>6305</v>
      </c>
      <c r="C145" s="52">
        <v>4632</v>
      </c>
      <c r="D145" s="52">
        <v>2497</v>
      </c>
      <c r="E145" s="52">
        <v>4481</v>
      </c>
      <c r="F145" s="52">
        <v>2928</v>
      </c>
      <c r="G145" s="52">
        <v>6510.2</v>
      </c>
      <c r="H145" s="52">
        <v>3332</v>
      </c>
      <c r="I145" s="53">
        <v>24021.200000000001</v>
      </c>
      <c r="J145" s="49"/>
      <c r="R145" s="44">
        <v>192.3</v>
      </c>
      <c r="S145" s="44">
        <v>59.2</v>
      </c>
      <c r="T145" s="44">
        <v>259</v>
      </c>
      <c r="U145" s="44">
        <v>9613</v>
      </c>
      <c r="V145" s="44">
        <v>172933</v>
      </c>
      <c r="W145" s="44">
        <v>1512</v>
      </c>
    </row>
    <row r="146" spans="1:23" x14ac:dyDescent="0.2">
      <c r="A146" s="50">
        <f t="shared" si="2"/>
        <v>45436</v>
      </c>
      <c r="B146" s="51">
        <v>6454.79</v>
      </c>
      <c r="C146" s="52">
        <v>4579.7</v>
      </c>
      <c r="D146" s="52">
        <v>2602.62</v>
      </c>
      <c r="E146" s="52">
        <v>4406.0600000000004</v>
      </c>
      <c r="F146" s="52">
        <v>3004.13</v>
      </c>
      <c r="G146" s="52">
        <v>4293.6000000000004</v>
      </c>
      <c r="H146" s="52">
        <v>3109.86</v>
      </c>
      <c r="I146" s="53">
        <v>22231.040000000001</v>
      </c>
      <c r="J146" s="49"/>
      <c r="R146" s="44">
        <v>204.28</v>
      </c>
      <c r="S146" s="44">
        <v>63.1</v>
      </c>
      <c r="T146" s="44">
        <v>270</v>
      </c>
      <c r="U146" s="44">
        <v>9821</v>
      </c>
      <c r="V146" s="44">
        <v>181281</v>
      </c>
      <c r="W146" s="44">
        <v>1473</v>
      </c>
    </row>
    <row r="147" spans="1:23" x14ac:dyDescent="0.2">
      <c r="A147" s="50">
        <f t="shared" si="2"/>
        <v>45437</v>
      </c>
      <c r="B147" s="51">
        <v>6543.5</v>
      </c>
      <c r="C147" s="52">
        <v>4283.9799999999996</v>
      </c>
      <c r="D147" s="52">
        <v>2221.23</v>
      </c>
      <c r="E147" s="52">
        <v>4511.24</v>
      </c>
      <c r="F147" s="52">
        <v>3552.02</v>
      </c>
      <c r="G147" s="52">
        <v>5700.87</v>
      </c>
      <c r="H147" s="52">
        <v>2844.67</v>
      </c>
      <c r="I147" s="53">
        <v>23968.17</v>
      </c>
      <c r="J147" s="49"/>
      <c r="R147" s="44">
        <v>178.79</v>
      </c>
      <c r="S147" s="44">
        <v>57.3</v>
      </c>
      <c r="T147" s="44">
        <v>255</v>
      </c>
      <c r="U147" s="44">
        <v>8948</v>
      </c>
      <c r="V147" s="44">
        <v>188844</v>
      </c>
      <c r="W147" s="44">
        <v>1385</v>
      </c>
    </row>
    <row r="148" spans="1:23" x14ac:dyDescent="0.2">
      <c r="A148" s="50">
        <f t="shared" si="2"/>
        <v>45438</v>
      </c>
      <c r="B148" s="51">
        <v>5602.02</v>
      </c>
      <c r="C148" s="52">
        <v>4238</v>
      </c>
      <c r="D148" s="52">
        <v>2225.7600000000002</v>
      </c>
      <c r="E148" s="52">
        <v>3518.11</v>
      </c>
      <c r="F148" s="52">
        <v>2522.08</v>
      </c>
      <c r="G148" s="52">
        <v>5217.59</v>
      </c>
      <c r="H148" s="52">
        <v>2670.8399999999997</v>
      </c>
      <c r="I148" s="53">
        <v>20652.72</v>
      </c>
      <c r="J148" s="49"/>
      <c r="R148" s="44">
        <v>166</v>
      </c>
      <c r="S148" s="44">
        <v>54</v>
      </c>
      <c r="T148" s="44">
        <v>242</v>
      </c>
      <c r="U148" s="44">
        <v>8714</v>
      </c>
      <c r="V148" s="44">
        <v>196105</v>
      </c>
      <c r="W148" s="44">
        <v>1453</v>
      </c>
    </row>
    <row r="149" spans="1:23" x14ac:dyDescent="0.2">
      <c r="A149" s="50">
        <f t="shared" si="2"/>
        <v>45439</v>
      </c>
      <c r="B149" s="51">
        <v>6562</v>
      </c>
      <c r="C149" s="52">
        <v>4557</v>
      </c>
      <c r="D149" s="52">
        <v>2464</v>
      </c>
      <c r="E149" s="52">
        <v>4144</v>
      </c>
      <c r="F149" s="52">
        <v>2861</v>
      </c>
      <c r="G149" s="52">
        <v>6763</v>
      </c>
      <c r="H149" s="52">
        <v>3780</v>
      </c>
      <c r="I149" s="53">
        <v>23571</v>
      </c>
      <c r="J149" s="49"/>
      <c r="R149" s="44">
        <v>194.3</v>
      </c>
      <c r="S149" s="44">
        <v>60.2</v>
      </c>
      <c r="T149" s="44">
        <v>262</v>
      </c>
      <c r="U149" s="44">
        <v>9499</v>
      </c>
      <c r="V149" s="44">
        <v>204195</v>
      </c>
      <c r="W149" s="44">
        <v>1409</v>
      </c>
    </row>
    <row r="150" spans="1:23" x14ac:dyDescent="0.2">
      <c r="A150" s="50">
        <f t="shared" si="2"/>
        <v>45440</v>
      </c>
      <c r="B150" s="51">
        <v>6287.31</v>
      </c>
      <c r="C150" s="52">
        <v>4684.1000000000004</v>
      </c>
      <c r="D150" s="52">
        <v>2443.2199999999998</v>
      </c>
      <c r="E150" s="52">
        <v>3972.2</v>
      </c>
      <c r="F150" s="52">
        <v>3742.86</v>
      </c>
      <c r="G150" s="52">
        <v>6615.42</v>
      </c>
      <c r="H150" s="52">
        <v>3685.79</v>
      </c>
      <c r="I150" s="53">
        <v>24059.32</v>
      </c>
      <c r="J150" s="49"/>
      <c r="R150" s="44">
        <v>182.6</v>
      </c>
      <c r="S150" s="44">
        <v>58.599999999999994</v>
      </c>
      <c r="T150" s="44">
        <v>259</v>
      </c>
      <c r="U150" s="44">
        <v>9143</v>
      </c>
      <c r="V150" s="44">
        <v>211959</v>
      </c>
      <c r="W150" s="44">
        <v>1379</v>
      </c>
    </row>
    <row r="151" spans="1:23" x14ac:dyDescent="0.2">
      <c r="A151" s="50">
        <f t="shared" si="2"/>
        <v>45441</v>
      </c>
      <c r="B151" s="51">
        <v>6237.4</v>
      </c>
      <c r="C151" s="52">
        <v>4665.91</v>
      </c>
      <c r="D151" s="52">
        <v>2431.92</v>
      </c>
      <c r="E151" s="52">
        <v>4455.6000000000004</v>
      </c>
      <c r="F151" s="52">
        <v>3574.6</v>
      </c>
      <c r="G151" s="52">
        <v>6306.23</v>
      </c>
      <c r="H151" s="52">
        <v>3517.7500000000005</v>
      </c>
      <c r="I151" s="53">
        <v>24153.91</v>
      </c>
      <c r="J151" s="49"/>
      <c r="R151" s="44">
        <v>196.6</v>
      </c>
      <c r="S151" s="44">
        <v>62</v>
      </c>
      <c r="T151" s="44">
        <v>271</v>
      </c>
      <c r="U151" s="44">
        <v>9704</v>
      </c>
      <c r="V151" s="44">
        <v>220108</v>
      </c>
      <c r="W151" s="44">
        <v>1555</v>
      </c>
    </row>
    <row r="152" spans="1:23" x14ac:dyDescent="0.2">
      <c r="A152" s="50">
        <f t="shared" si="2"/>
        <v>45442</v>
      </c>
      <c r="B152" s="51">
        <v>5646.51</v>
      </c>
      <c r="C152" s="52">
        <v>4554.2</v>
      </c>
      <c r="D152" s="52">
        <v>2619.71</v>
      </c>
      <c r="E152" s="52">
        <v>4164.3999999999996</v>
      </c>
      <c r="F152" s="52">
        <v>2737.36</v>
      </c>
      <c r="G152" s="52">
        <v>6999.22</v>
      </c>
      <c r="H152" s="52">
        <v>3518.79</v>
      </c>
      <c r="I152" s="53">
        <v>23202.61</v>
      </c>
      <c r="J152" s="49"/>
      <c r="R152" s="44">
        <v>197</v>
      </c>
      <c r="S152" s="44">
        <v>60.3</v>
      </c>
      <c r="T152" s="44">
        <v>262</v>
      </c>
      <c r="U152" s="44">
        <v>9641</v>
      </c>
      <c r="V152" s="44">
        <v>228171</v>
      </c>
      <c r="W152" s="44">
        <v>1578</v>
      </c>
    </row>
    <row r="153" spans="1:23" x14ac:dyDescent="0.2">
      <c r="A153" s="50">
        <f t="shared" si="2"/>
        <v>45443</v>
      </c>
      <c r="B153" s="51">
        <v>6074</v>
      </c>
      <c r="C153" s="52">
        <v>4409</v>
      </c>
      <c r="D153" s="52">
        <v>2507</v>
      </c>
      <c r="E153" s="52">
        <v>3723</v>
      </c>
      <c r="F153" s="52">
        <v>3608</v>
      </c>
      <c r="G153" s="52">
        <v>1610.7</v>
      </c>
      <c r="H153" s="52">
        <v>3206.51</v>
      </c>
      <c r="I153" s="53">
        <v>18725.190000000002</v>
      </c>
      <c r="J153" s="49"/>
      <c r="R153" s="44">
        <v>176.9</v>
      </c>
      <c r="S153" s="44">
        <v>57.9</v>
      </c>
      <c r="T153" s="44">
        <v>256</v>
      </c>
      <c r="U153" s="44">
        <v>9038</v>
      </c>
      <c r="V153" s="44">
        <v>235837</v>
      </c>
      <c r="W153" s="44">
        <v>1372</v>
      </c>
    </row>
    <row r="154" spans="1:23" x14ac:dyDescent="0.2">
      <c r="A154" s="50">
        <f t="shared" si="2"/>
        <v>45444</v>
      </c>
      <c r="B154" s="51">
        <v>5435.13</v>
      </c>
      <c r="C154" s="52">
        <v>4117.6000000000004</v>
      </c>
      <c r="D154" s="52">
        <v>2618.44</v>
      </c>
      <c r="E154" s="52">
        <v>2668.1</v>
      </c>
      <c r="F154" s="52">
        <v>3742.65</v>
      </c>
      <c r="G154" s="52">
        <v>1610</v>
      </c>
      <c r="H154" s="52">
        <v>2302.23</v>
      </c>
      <c r="I154" s="53">
        <v>17889.690000000002</v>
      </c>
      <c r="J154" s="49"/>
      <c r="R154" s="44">
        <v>153.1</v>
      </c>
      <c r="S154" s="44">
        <v>50.7</v>
      </c>
      <c r="T154" s="44">
        <v>219</v>
      </c>
      <c r="U154" s="44">
        <v>8220</v>
      </c>
      <c r="V154" s="44">
        <v>6749</v>
      </c>
      <c r="W154" s="44">
        <v>1471</v>
      </c>
    </row>
    <row r="155" spans="1:23" x14ac:dyDescent="0.2">
      <c r="A155" s="50">
        <f t="shared" si="2"/>
        <v>45445</v>
      </c>
      <c r="B155" s="51">
        <v>5674.09</v>
      </c>
      <c r="C155" s="52">
        <v>4245.45</v>
      </c>
      <c r="D155" s="52">
        <v>2434.61</v>
      </c>
      <c r="E155" s="52">
        <v>3406.77</v>
      </c>
      <c r="F155" s="52">
        <v>4234.7700000000004</v>
      </c>
      <c r="G155" s="52">
        <v>3395</v>
      </c>
      <c r="H155" s="52">
        <v>2327.9399999999996</v>
      </c>
      <c r="I155" s="53">
        <v>21062.750000000004</v>
      </c>
      <c r="J155" s="49"/>
      <c r="R155" s="44">
        <v>149.80000000000001</v>
      </c>
      <c r="S155" s="44">
        <v>48.5</v>
      </c>
      <c r="T155" s="44">
        <v>218</v>
      </c>
      <c r="U155" s="44">
        <v>8060</v>
      </c>
      <c r="V155" s="44">
        <v>13324</v>
      </c>
      <c r="W155" s="44">
        <v>1485</v>
      </c>
    </row>
    <row r="156" spans="1:23" x14ac:dyDescent="0.2">
      <c r="A156" s="50">
        <f t="shared" si="2"/>
        <v>45446</v>
      </c>
      <c r="B156" s="51">
        <v>5809.05</v>
      </c>
      <c r="C156" s="52">
        <v>4515.51</v>
      </c>
      <c r="D156" s="52">
        <v>2634.9</v>
      </c>
      <c r="E156" s="52">
        <v>2829.94</v>
      </c>
      <c r="F156" s="52">
        <v>4575.09</v>
      </c>
      <c r="G156" s="52">
        <v>6092.06</v>
      </c>
      <c r="H156" s="52">
        <v>3380.2200000000003</v>
      </c>
      <c r="I156" s="53">
        <v>23076.33</v>
      </c>
      <c r="J156" s="49"/>
      <c r="R156" s="44">
        <v>164.3</v>
      </c>
      <c r="S156" s="44">
        <v>51.099999999999994</v>
      </c>
      <c r="T156" s="44">
        <v>240</v>
      </c>
      <c r="U156" s="44">
        <v>8171</v>
      </c>
      <c r="V156" s="44">
        <v>20182</v>
      </c>
      <c r="W156" s="44">
        <v>1313</v>
      </c>
    </row>
    <row r="157" spans="1:23" x14ac:dyDescent="0.2">
      <c r="A157" s="50">
        <f t="shared" si="2"/>
        <v>45447</v>
      </c>
      <c r="B157" s="51">
        <v>5985</v>
      </c>
      <c r="C157" s="52">
        <v>4660</v>
      </c>
      <c r="D157" s="52">
        <v>2575</v>
      </c>
      <c r="E157" s="52">
        <v>3351</v>
      </c>
      <c r="F157" s="52">
        <v>4751</v>
      </c>
      <c r="G157" s="52">
        <v>6034</v>
      </c>
      <c r="H157" s="52">
        <v>3447</v>
      </c>
      <c r="I157" s="53">
        <v>23909</v>
      </c>
      <c r="J157" s="49"/>
      <c r="R157" s="44">
        <v>161.13</v>
      </c>
      <c r="S157" s="44">
        <v>49.6</v>
      </c>
      <c r="T157" s="44">
        <v>227</v>
      </c>
      <c r="U157" s="44">
        <v>7888</v>
      </c>
      <c r="V157" s="44">
        <v>26794</v>
      </c>
      <c r="W157" s="44">
        <v>1276</v>
      </c>
    </row>
    <row r="158" spans="1:23" x14ac:dyDescent="0.2">
      <c r="A158" s="50">
        <f t="shared" si="2"/>
        <v>45448</v>
      </c>
      <c r="B158" s="51">
        <v>5711.22</v>
      </c>
      <c r="C158" s="52">
        <v>4852.84</v>
      </c>
      <c r="D158" s="52">
        <v>2693.63</v>
      </c>
      <c r="E158" s="52">
        <v>3280.78</v>
      </c>
      <c r="F158" s="52">
        <v>4180.6499999999996</v>
      </c>
      <c r="G158" s="52">
        <v>6103.02</v>
      </c>
      <c r="H158" s="52">
        <v>3391.23</v>
      </c>
      <c r="I158" s="53">
        <v>23430.910000000003</v>
      </c>
      <c r="J158" s="49"/>
      <c r="R158" s="44">
        <v>155.32</v>
      </c>
      <c r="S158" s="44">
        <v>50.1</v>
      </c>
      <c r="T158" s="44">
        <v>228</v>
      </c>
      <c r="U158" s="44">
        <v>8079</v>
      </c>
      <c r="V158" s="44">
        <v>33574</v>
      </c>
      <c r="W158" s="44">
        <v>1299</v>
      </c>
    </row>
    <row r="159" spans="1:23" x14ac:dyDescent="0.2">
      <c r="A159" s="50">
        <f t="shared" si="2"/>
        <v>45449</v>
      </c>
      <c r="B159" s="51">
        <v>5689.77</v>
      </c>
      <c r="C159" s="52">
        <v>4887.67</v>
      </c>
      <c r="D159" s="52">
        <v>2804.55</v>
      </c>
      <c r="E159" s="52">
        <v>3435.28</v>
      </c>
      <c r="F159" s="52">
        <v>4425</v>
      </c>
      <c r="G159" s="52">
        <v>6156</v>
      </c>
      <c r="H159" s="52">
        <v>3480.1600000000003</v>
      </c>
      <c r="I159" s="53">
        <v>23918.11</v>
      </c>
      <c r="J159" s="49"/>
      <c r="R159" s="44">
        <v>172.7</v>
      </c>
      <c r="S159" s="44">
        <v>53.8</v>
      </c>
      <c r="T159" s="44">
        <v>253</v>
      </c>
      <c r="U159" s="44">
        <v>8529</v>
      </c>
      <c r="V159" s="44">
        <v>40678</v>
      </c>
      <c r="W159" s="44">
        <v>1425</v>
      </c>
    </row>
    <row r="160" spans="1:23" x14ac:dyDescent="0.2">
      <c r="A160" s="50">
        <f t="shared" si="2"/>
        <v>45450</v>
      </c>
      <c r="B160" s="51">
        <v>6093.99</v>
      </c>
      <c r="C160" s="52">
        <v>4624.95</v>
      </c>
      <c r="D160" s="52">
        <v>2729.51</v>
      </c>
      <c r="E160" s="52">
        <v>3800</v>
      </c>
      <c r="F160" s="52">
        <v>4560.8100000000004</v>
      </c>
      <c r="G160" s="52">
        <v>5684.14</v>
      </c>
      <c r="H160" s="52">
        <v>3344.8599999999997</v>
      </c>
      <c r="I160" s="53">
        <v>24148.539999999997</v>
      </c>
      <c r="J160" s="49"/>
      <c r="R160" s="44">
        <v>161.71</v>
      </c>
      <c r="S160" s="44">
        <v>51.8</v>
      </c>
      <c r="T160" s="44">
        <v>237</v>
      </c>
      <c r="U160" s="44">
        <v>8303</v>
      </c>
      <c r="V160" s="44">
        <v>47630</v>
      </c>
      <c r="W160" s="44">
        <v>1351</v>
      </c>
    </row>
    <row r="161" spans="1:23" x14ac:dyDescent="0.2">
      <c r="A161" s="50">
        <f t="shared" si="2"/>
        <v>45451</v>
      </c>
      <c r="B161" s="51">
        <v>5634</v>
      </c>
      <c r="C161" s="52">
        <v>4410</v>
      </c>
      <c r="D161" s="52">
        <v>2652</v>
      </c>
      <c r="E161" s="52">
        <v>3495</v>
      </c>
      <c r="F161" s="52">
        <v>3707</v>
      </c>
      <c r="G161" s="52">
        <v>4799</v>
      </c>
      <c r="H161" s="52">
        <v>2474</v>
      </c>
      <c r="I161" s="53">
        <v>22223</v>
      </c>
      <c r="J161" s="49"/>
      <c r="R161" s="44">
        <v>168.2</v>
      </c>
      <c r="S161" s="44">
        <v>53.6</v>
      </c>
      <c r="T161" s="44">
        <v>229</v>
      </c>
      <c r="U161" s="44">
        <v>8652</v>
      </c>
      <c r="V161" s="44">
        <v>54762</v>
      </c>
      <c r="W161" s="44">
        <v>1520</v>
      </c>
    </row>
    <row r="162" spans="1:23" x14ac:dyDescent="0.2">
      <c r="A162" s="50">
        <f t="shared" si="2"/>
        <v>45452</v>
      </c>
      <c r="B162" s="51">
        <v>5777.55</v>
      </c>
      <c r="C162" s="52">
        <v>4314.1899999999996</v>
      </c>
      <c r="D162" s="52">
        <v>2747.23</v>
      </c>
      <c r="E162" s="52">
        <v>3529.05</v>
      </c>
      <c r="F162" s="52">
        <v>4022.03</v>
      </c>
      <c r="G162" s="52">
        <v>4427.41</v>
      </c>
      <c r="H162" s="52">
        <v>2076.69</v>
      </c>
      <c r="I162" s="53">
        <v>22740.77</v>
      </c>
      <c r="J162" s="49"/>
      <c r="R162" s="44">
        <v>158</v>
      </c>
      <c r="S162" s="44">
        <v>49.6</v>
      </c>
      <c r="T162" s="44">
        <v>210</v>
      </c>
      <c r="U162" s="44">
        <v>8233</v>
      </c>
      <c r="V162" s="44">
        <v>61499</v>
      </c>
      <c r="W162" s="44">
        <v>1496</v>
      </c>
    </row>
    <row r="163" spans="1:23" x14ac:dyDescent="0.2">
      <c r="A163" s="50">
        <f t="shared" si="2"/>
        <v>45453</v>
      </c>
      <c r="B163" s="51">
        <v>5479.5</v>
      </c>
      <c r="C163" s="52">
        <v>4786.2</v>
      </c>
      <c r="D163" s="52">
        <v>2812.5</v>
      </c>
      <c r="E163" s="52">
        <v>2612.3000000000002</v>
      </c>
      <c r="F163" s="52">
        <v>3736.9</v>
      </c>
      <c r="G163" s="52">
        <v>5762.4</v>
      </c>
      <c r="H163" s="52">
        <v>2913.0000000000005</v>
      </c>
      <c r="I163" s="53">
        <v>22276.800000000003</v>
      </c>
      <c r="J163" s="49"/>
      <c r="R163" s="44">
        <v>162.88</v>
      </c>
      <c r="S163" s="44">
        <v>53.2</v>
      </c>
      <c r="T163" s="44">
        <v>241</v>
      </c>
      <c r="U163" s="44">
        <v>8352</v>
      </c>
      <c r="V163" s="44">
        <v>68506</v>
      </c>
      <c r="W163" s="44">
        <v>1345</v>
      </c>
    </row>
    <row r="164" spans="1:23" x14ac:dyDescent="0.2">
      <c r="A164" s="50">
        <f t="shared" si="2"/>
        <v>45454</v>
      </c>
      <c r="B164" s="51">
        <v>5874.74</v>
      </c>
      <c r="C164" s="52">
        <v>4613.97</v>
      </c>
      <c r="D164" s="52">
        <v>2792.94</v>
      </c>
      <c r="E164" s="52">
        <v>3246.35</v>
      </c>
      <c r="F164" s="52">
        <v>4524.71</v>
      </c>
      <c r="G164" s="52">
        <v>5291.57</v>
      </c>
      <c r="H164" s="52">
        <v>3020.84</v>
      </c>
      <c r="I164" s="53">
        <v>23323.439999999999</v>
      </c>
      <c r="J164" s="49"/>
      <c r="R164" s="44">
        <v>165.49</v>
      </c>
      <c r="S164" s="44">
        <v>51</v>
      </c>
      <c r="T164" s="44">
        <v>232</v>
      </c>
      <c r="U164" s="44">
        <v>8229</v>
      </c>
      <c r="V164" s="44">
        <v>75390</v>
      </c>
      <c r="W164" s="44">
        <v>1345</v>
      </c>
    </row>
    <row r="165" spans="1:23" x14ac:dyDescent="0.2">
      <c r="A165" s="50">
        <f t="shared" si="2"/>
        <v>45455</v>
      </c>
      <c r="B165" s="51">
        <v>5621.71</v>
      </c>
      <c r="C165" s="52">
        <v>4662.05</v>
      </c>
      <c r="D165" s="52">
        <v>2686.82</v>
      </c>
      <c r="E165" s="52">
        <v>3299.18</v>
      </c>
      <c r="F165" s="52">
        <v>3670.25</v>
      </c>
      <c r="G165" s="52">
        <v>5329.65</v>
      </c>
      <c r="H165" s="52">
        <v>2775.46</v>
      </c>
      <c r="I165" s="53">
        <v>22494.200000000004</v>
      </c>
      <c r="J165" s="49"/>
      <c r="R165" s="44">
        <v>169.1</v>
      </c>
      <c r="S165" s="44">
        <v>47.5</v>
      </c>
      <c r="T165" s="44">
        <v>220</v>
      </c>
      <c r="U165" s="44">
        <v>7729</v>
      </c>
      <c r="V165" s="44">
        <v>81846</v>
      </c>
      <c r="W165" s="44">
        <v>1273</v>
      </c>
    </row>
    <row r="166" spans="1:23" x14ac:dyDescent="0.2">
      <c r="A166" s="50">
        <f t="shared" si="2"/>
        <v>45456</v>
      </c>
      <c r="B166" s="51">
        <v>5802.81</v>
      </c>
      <c r="C166" s="52">
        <v>4952.8100000000004</v>
      </c>
      <c r="D166" s="52">
        <v>2738.26</v>
      </c>
      <c r="E166" s="52">
        <v>2798.68</v>
      </c>
      <c r="F166" s="52">
        <v>4922.8500000000004</v>
      </c>
      <c r="G166" s="52">
        <v>6441.5</v>
      </c>
      <c r="H166" s="52">
        <v>3561.15</v>
      </c>
      <c r="I166" s="53">
        <v>24095.760000000002</v>
      </c>
      <c r="J166" s="49"/>
      <c r="R166" s="44">
        <v>160.74</v>
      </c>
      <c r="S166" s="44">
        <v>52.2</v>
      </c>
      <c r="T166" s="44">
        <v>241</v>
      </c>
      <c r="U166" s="44">
        <v>8289</v>
      </c>
      <c r="V166" s="44">
        <v>88900</v>
      </c>
      <c r="W166" s="44">
        <v>1235</v>
      </c>
    </row>
    <row r="167" spans="1:23" x14ac:dyDescent="0.2">
      <c r="A167" s="50">
        <f t="shared" si="2"/>
        <v>45457</v>
      </c>
      <c r="B167" s="51">
        <v>5785.8</v>
      </c>
      <c r="C167" s="52">
        <v>4778.3500000000004</v>
      </c>
      <c r="D167" s="52">
        <v>2665</v>
      </c>
      <c r="E167" s="52">
        <v>2292.1</v>
      </c>
      <c r="F167" s="52">
        <v>5522.4</v>
      </c>
      <c r="G167" s="52">
        <v>5863.9</v>
      </c>
      <c r="H167" s="52">
        <v>3282.33</v>
      </c>
      <c r="I167" s="53">
        <v>23625.22</v>
      </c>
      <c r="J167" s="49"/>
      <c r="R167" s="44">
        <v>138.16</v>
      </c>
      <c r="S167" s="44">
        <v>48</v>
      </c>
      <c r="T167" s="44">
        <v>219</v>
      </c>
      <c r="U167" s="44">
        <v>7520</v>
      </c>
      <c r="V167" s="44">
        <v>95170</v>
      </c>
      <c r="W167" s="44">
        <v>1250</v>
      </c>
    </row>
    <row r="168" spans="1:23" x14ac:dyDescent="0.2">
      <c r="A168" s="50">
        <f t="shared" si="2"/>
        <v>45458</v>
      </c>
      <c r="B168" s="51">
        <v>5492.1</v>
      </c>
      <c r="C168" s="52">
        <v>4417.37</v>
      </c>
      <c r="D168" s="52">
        <v>2466.79</v>
      </c>
      <c r="E168" s="52">
        <v>1782.21</v>
      </c>
      <c r="F168" s="52">
        <v>5532.78</v>
      </c>
      <c r="G168" s="52">
        <v>4650.0200000000004</v>
      </c>
      <c r="H168" s="52">
        <v>2168.0699999999997</v>
      </c>
      <c r="I168" s="53">
        <v>22173.200000000001</v>
      </c>
      <c r="J168" s="49"/>
      <c r="R168" s="44">
        <v>126</v>
      </c>
      <c r="S168" s="44">
        <v>43.6</v>
      </c>
      <c r="T168" s="44">
        <v>205</v>
      </c>
      <c r="U168" s="44">
        <v>7095</v>
      </c>
      <c r="V168" s="44">
        <v>101117</v>
      </c>
      <c r="W168" s="44">
        <v>1148</v>
      </c>
    </row>
    <row r="169" spans="1:23" x14ac:dyDescent="0.2">
      <c r="A169" s="50">
        <f t="shared" si="2"/>
        <v>45459</v>
      </c>
      <c r="B169" s="51">
        <v>5772.91</v>
      </c>
      <c r="C169" s="52">
        <v>4385.12</v>
      </c>
      <c r="D169" s="52">
        <v>2335.56</v>
      </c>
      <c r="E169" s="52">
        <v>2357</v>
      </c>
      <c r="F169" s="52">
        <v>6067.14</v>
      </c>
      <c r="G169" s="52">
        <v>5060.47</v>
      </c>
      <c r="H169" s="52">
        <v>2299.0100000000002</v>
      </c>
      <c r="I169" s="53">
        <v>23679.190000000002</v>
      </c>
      <c r="J169" s="49"/>
      <c r="R169" s="44">
        <v>133.25</v>
      </c>
      <c r="S169" s="44">
        <v>44.1</v>
      </c>
      <c r="T169" s="44">
        <v>204</v>
      </c>
      <c r="U169" s="44">
        <v>7028</v>
      </c>
      <c r="V169" s="44">
        <v>107099</v>
      </c>
      <c r="W169" s="44">
        <v>1046</v>
      </c>
    </row>
    <row r="170" spans="1:23" x14ac:dyDescent="0.2">
      <c r="A170" s="50">
        <f t="shared" si="2"/>
        <v>45460</v>
      </c>
      <c r="B170" s="51">
        <v>6023.65</v>
      </c>
      <c r="C170" s="52">
        <v>4887.13</v>
      </c>
      <c r="D170" s="52">
        <v>2719.25</v>
      </c>
      <c r="E170" s="52">
        <v>2345.75</v>
      </c>
      <c r="F170" s="52">
        <v>6208.47</v>
      </c>
      <c r="G170" s="52">
        <v>5642.22</v>
      </c>
      <c r="H170" s="52">
        <v>3271.52</v>
      </c>
      <c r="I170" s="53">
        <v>24554.95</v>
      </c>
      <c r="J170" s="49"/>
      <c r="R170" s="44">
        <v>150.66</v>
      </c>
      <c r="S170" s="44">
        <v>49.2</v>
      </c>
      <c r="T170" s="44">
        <v>221</v>
      </c>
      <c r="U170" s="44">
        <v>7851</v>
      </c>
      <c r="V170" s="44">
        <v>113706</v>
      </c>
      <c r="W170" s="44">
        <v>1244</v>
      </c>
    </row>
    <row r="171" spans="1:23" x14ac:dyDescent="0.2">
      <c r="A171" s="50">
        <f t="shared" si="2"/>
        <v>45461</v>
      </c>
      <c r="B171" s="51">
        <v>6097.97</v>
      </c>
      <c r="C171" s="52">
        <v>4833.66</v>
      </c>
      <c r="D171" s="52">
        <v>2721.33</v>
      </c>
      <c r="E171" s="52">
        <v>2438.4</v>
      </c>
      <c r="F171" s="52">
        <v>6217.5</v>
      </c>
      <c r="G171" s="52">
        <v>5885.3</v>
      </c>
      <c r="H171" s="52">
        <v>3236.8399999999997</v>
      </c>
      <c r="I171" s="53">
        <v>24957.32</v>
      </c>
      <c r="J171" s="49"/>
      <c r="R171" s="44">
        <v>141.94999999999999</v>
      </c>
      <c r="S171" s="44">
        <v>51.3</v>
      </c>
      <c r="T171" s="44">
        <v>226</v>
      </c>
      <c r="U171" s="44">
        <v>7881</v>
      </c>
      <c r="V171" s="44">
        <v>120318</v>
      </c>
      <c r="W171" s="44">
        <v>1269</v>
      </c>
    </row>
    <row r="172" spans="1:23" x14ac:dyDescent="0.2">
      <c r="A172" s="50">
        <f t="shared" si="2"/>
        <v>45462</v>
      </c>
      <c r="B172" s="51">
        <v>5742.53</v>
      </c>
      <c r="C172" s="52">
        <v>4851.09</v>
      </c>
      <c r="D172" s="52">
        <v>2644.07</v>
      </c>
      <c r="E172" s="52">
        <v>1446.94</v>
      </c>
      <c r="F172" s="52">
        <v>5531</v>
      </c>
      <c r="G172" s="52">
        <v>6084.13</v>
      </c>
      <c r="H172" s="52">
        <v>3351.2000000000003</v>
      </c>
      <c r="I172" s="53">
        <v>22948.559999999998</v>
      </c>
      <c r="J172" s="49"/>
      <c r="R172" s="44">
        <v>137.87</v>
      </c>
      <c r="S172" s="44">
        <v>47.269999999999996</v>
      </c>
      <c r="T172" s="44">
        <v>211</v>
      </c>
      <c r="U172" s="44">
        <v>7633</v>
      </c>
      <c r="V172" s="44">
        <v>126745</v>
      </c>
      <c r="W172" s="44">
        <v>1206</v>
      </c>
    </row>
    <row r="173" spans="1:23" x14ac:dyDescent="0.2">
      <c r="A173" s="50">
        <f t="shared" si="2"/>
        <v>45463</v>
      </c>
      <c r="B173" s="51">
        <v>5977.95</v>
      </c>
      <c r="C173" s="52">
        <v>4730.21</v>
      </c>
      <c r="D173" s="52">
        <v>2715.67</v>
      </c>
      <c r="E173" s="52">
        <v>3144.2</v>
      </c>
      <c r="F173" s="52">
        <v>4531.66</v>
      </c>
      <c r="G173" s="52">
        <v>5792.26</v>
      </c>
      <c r="H173" s="52">
        <v>3205.2400000000002</v>
      </c>
      <c r="I173" s="53">
        <v>23686.709999999995</v>
      </c>
      <c r="J173" s="49"/>
      <c r="R173" s="44">
        <v>139.77000000000001</v>
      </c>
      <c r="S173" s="44">
        <v>50</v>
      </c>
      <c r="T173" s="44">
        <v>216</v>
      </c>
      <c r="U173" s="44">
        <v>8009</v>
      </c>
      <c r="V173" s="44">
        <v>133506</v>
      </c>
      <c r="W173" s="44">
        <v>1248</v>
      </c>
    </row>
    <row r="174" spans="1:23" x14ac:dyDescent="0.2">
      <c r="A174" s="50">
        <f t="shared" si="2"/>
        <v>45464</v>
      </c>
      <c r="B174" s="51">
        <v>5908.35</v>
      </c>
      <c r="C174" s="52">
        <v>4727.3900000000003</v>
      </c>
      <c r="D174" s="52">
        <v>2528.14</v>
      </c>
      <c r="E174" s="52">
        <v>3274.88</v>
      </c>
      <c r="F174" s="52">
        <v>4174.3999999999996</v>
      </c>
      <c r="G174" s="52">
        <v>6346.21</v>
      </c>
      <c r="H174" s="52">
        <v>3620.19</v>
      </c>
      <c r="I174" s="53">
        <v>23339.180000000004</v>
      </c>
      <c r="J174" s="49"/>
      <c r="R174" s="44">
        <v>142.91</v>
      </c>
      <c r="S174" s="44">
        <v>49.400000000000006</v>
      </c>
      <c r="T174" s="44">
        <v>217</v>
      </c>
      <c r="U174" s="44">
        <v>7996</v>
      </c>
      <c r="V174" s="44">
        <v>140145</v>
      </c>
      <c r="W174" s="44">
        <v>1357</v>
      </c>
    </row>
    <row r="175" spans="1:23" x14ac:dyDescent="0.2">
      <c r="A175" s="50">
        <f t="shared" si="2"/>
        <v>45465</v>
      </c>
      <c r="B175" s="51">
        <v>5897.05</v>
      </c>
      <c r="C175" s="52">
        <v>4533.8</v>
      </c>
      <c r="D175" s="52">
        <v>2493.35</v>
      </c>
      <c r="E175" s="52">
        <v>3645.7</v>
      </c>
      <c r="F175" s="52">
        <v>3616.54</v>
      </c>
      <c r="G175" s="52">
        <v>5277.8</v>
      </c>
      <c r="H175" s="52">
        <v>2623.54</v>
      </c>
      <c r="I175" s="53">
        <v>22840.7</v>
      </c>
      <c r="J175" s="49"/>
      <c r="R175" s="44">
        <v>149.9</v>
      </c>
      <c r="S175" s="44">
        <v>49.9</v>
      </c>
      <c r="T175" s="44">
        <v>231</v>
      </c>
      <c r="U175" s="44">
        <v>7723</v>
      </c>
      <c r="V175" s="44">
        <v>146605</v>
      </c>
      <c r="W175" s="44">
        <v>1263</v>
      </c>
    </row>
    <row r="176" spans="1:23" x14ac:dyDescent="0.2">
      <c r="A176" s="50">
        <f t="shared" si="2"/>
        <v>45466</v>
      </c>
      <c r="B176" s="51">
        <v>6415.94</v>
      </c>
      <c r="C176" s="52">
        <v>4334.79</v>
      </c>
      <c r="D176" s="52">
        <v>2616.67</v>
      </c>
      <c r="E176" s="52">
        <v>3628.6</v>
      </c>
      <c r="F176" s="52">
        <v>4778.13</v>
      </c>
      <c r="G176" s="52">
        <v>4939.1899999999996</v>
      </c>
      <c r="H176" s="52">
        <v>2425.04</v>
      </c>
      <c r="I176" s="53">
        <v>24288.28</v>
      </c>
      <c r="J176" s="49"/>
      <c r="R176" s="44">
        <v>177</v>
      </c>
      <c r="S176" s="44">
        <v>56.6</v>
      </c>
      <c r="T176" s="44">
        <v>220</v>
      </c>
      <c r="U176" s="44">
        <v>8489</v>
      </c>
      <c r="V176" s="44">
        <v>153772</v>
      </c>
      <c r="W176" s="44">
        <v>1322</v>
      </c>
    </row>
    <row r="177" spans="1:23" x14ac:dyDescent="0.2">
      <c r="A177" s="50">
        <f t="shared" si="2"/>
        <v>45467</v>
      </c>
      <c r="B177" s="51">
        <v>6094.18</v>
      </c>
      <c r="C177" s="52">
        <v>4739.9399999999996</v>
      </c>
      <c r="D177" s="52">
        <v>2551.4499999999998</v>
      </c>
      <c r="E177" s="52">
        <v>2787.78</v>
      </c>
      <c r="F177" s="52">
        <v>4303.21</v>
      </c>
      <c r="G177" s="52">
        <v>6121.66</v>
      </c>
      <c r="H177" s="52">
        <v>3250.47</v>
      </c>
      <c r="I177" s="53">
        <v>23347.75</v>
      </c>
      <c r="J177" s="49"/>
      <c r="R177" s="44">
        <v>202.44</v>
      </c>
      <c r="S177" s="44">
        <v>57.9</v>
      </c>
      <c r="T177" s="44">
        <v>224</v>
      </c>
      <c r="U177" s="44">
        <v>8618</v>
      </c>
      <c r="V177" s="44">
        <v>161054</v>
      </c>
      <c r="W177" s="44">
        <v>1336</v>
      </c>
    </row>
    <row r="178" spans="1:23" x14ac:dyDescent="0.2">
      <c r="A178" s="50">
        <f t="shared" si="2"/>
        <v>45468</v>
      </c>
      <c r="B178" s="51">
        <v>6204.8</v>
      </c>
      <c r="C178" s="52">
        <v>4625.3100000000004</v>
      </c>
      <c r="D178" s="52">
        <v>2800.05</v>
      </c>
      <c r="E178" s="52">
        <v>3025.91</v>
      </c>
      <c r="F178" s="52">
        <v>4629.5</v>
      </c>
      <c r="G178" s="52">
        <v>6465.94</v>
      </c>
      <c r="H178" s="52">
        <v>3454.87</v>
      </c>
      <c r="I178" s="53">
        <v>24296.639999999999</v>
      </c>
      <c r="J178" s="49"/>
      <c r="R178" s="44">
        <v>192.21</v>
      </c>
      <c r="S178" s="44">
        <v>58.4</v>
      </c>
      <c r="T178" s="44">
        <v>221</v>
      </c>
      <c r="U178" s="44">
        <v>8933</v>
      </c>
      <c r="V178" s="44">
        <v>168395</v>
      </c>
      <c r="W178" s="44">
        <v>1592</v>
      </c>
    </row>
    <row r="179" spans="1:23" x14ac:dyDescent="0.2">
      <c r="A179" s="50">
        <f t="shared" si="2"/>
        <v>45469</v>
      </c>
      <c r="B179" s="51">
        <v>6647.09</v>
      </c>
      <c r="C179" s="52">
        <v>4621.1000000000004</v>
      </c>
      <c r="D179" s="52">
        <v>2909.7</v>
      </c>
      <c r="E179" s="52">
        <v>3582.54</v>
      </c>
      <c r="F179" s="52">
        <v>5268.9</v>
      </c>
      <c r="G179" s="52">
        <v>6365</v>
      </c>
      <c r="H179" s="52">
        <v>3580.93</v>
      </c>
      <c r="I179" s="53">
        <v>25813.4</v>
      </c>
      <c r="J179" s="49"/>
      <c r="R179" s="44">
        <v>205.14</v>
      </c>
      <c r="S179" s="44">
        <v>61.6</v>
      </c>
      <c r="T179" s="44">
        <v>245</v>
      </c>
      <c r="U179" s="44">
        <v>9239</v>
      </c>
      <c r="V179" s="44">
        <v>176163</v>
      </c>
      <c r="W179" s="44">
        <v>1471</v>
      </c>
    </row>
    <row r="180" spans="1:23" x14ac:dyDescent="0.2">
      <c r="A180" s="50">
        <f t="shared" si="2"/>
        <v>45470</v>
      </c>
      <c r="B180" s="51">
        <v>6233.73</v>
      </c>
      <c r="C180" s="52">
        <v>4682.59</v>
      </c>
      <c r="D180" s="52">
        <v>2994.07</v>
      </c>
      <c r="E180" s="52">
        <v>2964.47</v>
      </c>
      <c r="F180" s="52">
        <v>4905.78</v>
      </c>
      <c r="G180" s="52">
        <v>6290.16</v>
      </c>
      <c r="H180" s="52">
        <v>3662.6499999999996</v>
      </c>
      <c r="I180" s="53">
        <v>24408.15</v>
      </c>
      <c r="J180" s="49"/>
      <c r="R180" s="44">
        <v>212.6</v>
      </c>
      <c r="S180" s="44">
        <v>64.7</v>
      </c>
      <c r="T180" s="44">
        <v>241</v>
      </c>
      <c r="U180" s="44">
        <v>9540</v>
      </c>
      <c r="V180" s="44">
        <v>184202</v>
      </c>
      <c r="W180" s="44">
        <v>1501</v>
      </c>
    </row>
    <row r="181" spans="1:23" x14ac:dyDescent="0.2">
      <c r="A181" s="50">
        <f t="shared" si="2"/>
        <v>45471</v>
      </c>
      <c r="B181" s="51">
        <v>6654</v>
      </c>
      <c r="C181" s="52">
        <v>4782</v>
      </c>
      <c r="D181" s="52">
        <v>2962</v>
      </c>
      <c r="E181" s="52">
        <v>2668</v>
      </c>
      <c r="F181" s="52">
        <v>4988</v>
      </c>
      <c r="G181" s="52">
        <v>6558</v>
      </c>
      <c r="H181" s="52">
        <v>3896</v>
      </c>
      <c r="I181" s="53">
        <v>24716</v>
      </c>
      <c r="J181" s="49"/>
      <c r="R181" s="44">
        <v>205.7</v>
      </c>
      <c r="S181" s="44">
        <v>63.4</v>
      </c>
      <c r="T181" s="44">
        <v>240</v>
      </c>
      <c r="U181" s="44">
        <v>9386</v>
      </c>
      <c r="V181" s="44">
        <v>192086</v>
      </c>
      <c r="W181" s="44">
        <v>1502</v>
      </c>
    </row>
    <row r="182" spans="1:23" x14ac:dyDescent="0.2">
      <c r="A182" s="50">
        <f t="shared" si="2"/>
        <v>45472</v>
      </c>
      <c r="B182" s="51">
        <v>6369.19</v>
      </c>
      <c r="C182" s="52">
        <v>4263.79</v>
      </c>
      <c r="D182" s="52">
        <v>3066.73</v>
      </c>
      <c r="E182" s="52">
        <v>3291.61</v>
      </c>
      <c r="F182" s="52">
        <v>5041.25</v>
      </c>
      <c r="G182" s="52">
        <v>5658.24</v>
      </c>
      <c r="H182" s="52">
        <v>2987.8399999999997</v>
      </c>
      <c r="I182" s="53">
        <v>24702.969999999998</v>
      </c>
      <c r="J182" s="49"/>
      <c r="R182" s="44">
        <v>213.7</v>
      </c>
      <c r="S182" s="44">
        <v>64.8</v>
      </c>
      <c r="T182" s="44">
        <v>238</v>
      </c>
      <c r="U182" s="44">
        <v>9937</v>
      </c>
      <c r="V182" s="44">
        <v>200313</v>
      </c>
      <c r="W182" s="44">
        <v>1710</v>
      </c>
    </row>
    <row r="183" spans="1:23" x14ac:dyDescent="0.2">
      <c r="A183" s="50">
        <f t="shared" si="2"/>
        <v>45473</v>
      </c>
      <c r="B183" s="51">
        <v>6229.05</v>
      </c>
      <c r="C183" s="52">
        <v>4377.01</v>
      </c>
      <c r="D183" s="52">
        <v>3111.05</v>
      </c>
      <c r="E183" s="52">
        <v>3268.27</v>
      </c>
      <c r="F183" s="52">
        <v>5126.59</v>
      </c>
      <c r="G183" s="52">
        <v>5589.66</v>
      </c>
      <c r="H183" s="52">
        <v>2654.6499999999996</v>
      </c>
      <c r="I183" s="53">
        <v>25046.980000000003</v>
      </c>
      <c r="J183" s="49"/>
      <c r="R183" s="44">
        <v>205</v>
      </c>
      <c r="S183" s="44">
        <v>62.2</v>
      </c>
      <c r="T183" s="44">
        <v>230</v>
      </c>
      <c r="U183" s="44">
        <v>9351</v>
      </c>
      <c r="V183" s="44">
        <v>208143</v>
      </c>
      <c r="W183" s="44">
        <v>1521</v>
      </c>
    </row>
    <row r="184" spans="1:23" x14ac:dyDescent="0.2">
      <c r="A184" s="50">
        <f t="shared" si="2"/>
        <v>45474</v>
      </c>
      <c r="B184" s="51">
        <v>6271.69</v>
      </c>
      <c r="C184" s="52">
        <v>4532.51</v>
      </c>
      <c r="D184" s="52">
        <v>2841.05</v>
      </c>
      <c r="E184" s="52">
        <v>2118.5</v>
      </c>
      <c r="F184" s="52">
        <v>49997.71</v>
      </c>
      <c r="G184" s="52">
        <v>5816.81</v>
      </c>
      <c r="H184" s="52">
        <v>3124.4099999999994</v>
      </c>
      <c r="I184" s="66">
        <v>68453.859999999986</v>
      </c>
      <c r="J184" s="49"/>
      <c r="R184" s="44">
        <v>207.3</v>
      </c>
      <c r="S184" s="44">
        <v>61.199999999999996</v>
      </c>
      <c r="T184" s="44">
        <v>232</v>
      </c>
      <c r="U184" s="44">
        <v>9284</v>
      </c>
      <c r="V184" s="44">
        <v>7797</v>
      </c>
      <c r="W184" s="44">
        <v>1487</v>
      </c>
    </row>
    <row r="185" spans="1:23" x14ac:dyDescent="0.2">
      <c r="A185" s="50">
        <f t="shared" si="2"/>
        <v>45475</v>
      </c>
      <c r="B185" s="51">
        <v>6626</v>
      </c>
      <c r="C185" s="52">
        <v>4754</v>
      </c>
      <c r="D185" s="52">
        <v>2720</v>
      </c>
      <c r="E185" s="52">
        <v>3002</v>
      </c>
      <c r="F185" s="52">
        <v>6134</v>
      </c>
      <c r="G185" s="52">
        <v>5923</v>
      </c>
      <c r="H185" s="52">
        <v>3129.7000000000003</v>
      </c>
      <c r="I185" s="53">
        <v>26029.3</v>
      </c>
      <c r="J185" s="49"/>
      <c r="R185" s="44">
        <v>186.3</v>
      </c>
      <c r="S185" s="44">
        <v>57.3</v>
      </c>
      <c r="T185" s="44">
        <v>221</v>
      </c>
      <c r="U185" s="44">
        <v>8681</v>
      </c>
      <c r="V185" s="44">
        <v>14989</v>
      </c>
      <c r="W185" s="44">
        <v>1489</v>
      </c>
    </row>
    <row r="186" spans="1:23" x14ac:dyDescent="0.2">
      <c r="A186" s="50">
        <f t="shared" si="2"/>
        <v>45476</v>
      </c>
      <c r="B186" s="51">
        <v>6595.74</v>
      </c>
      <c r="C186" s="52">
        <v>4897.5</v>
      </c>
      <c r="D186" s="52">
        <v>2865.7</v>
      </c>
      <c r="E186" s="52">
        <v>4364.66</v>
      </c>
      <c r="F186" s="52">
        <v>6253.55</v>
      </c>
      <c r="G186" s="52">
        <v>6071.47</v>
      </c>
      <c r="H186" s="52">
        <v>3254.87</v>
      </c>
      <c r="I186" s="53">
        <v>27793.75</v>
      </c>
      <c r="J186" s="49"/>
      <c r="R186" s="44">
        <v>182.73</v>
      </c>
      <c r="S186" s="44">
        <v>55</v>
      </c>
      <c r="T186" s="44">
        <v>208</v>
      </c>
      <c r="U186" s="44">
        <v>8295</v>
      </c>
      <c r="V186" s="44">
        <v>21773</v>
      </c>
      <c r="W186" s="44">
        <v>1511</v>
      </c>
    </row>
    <row r="187" spans="1:23" x14ac:dyDescent="0.2">
      <c r="A187" s="50">
        <f t="shared" si="2"/>
        <v>45477</v>
      </c>
      <c r="B187" s="51">
        <v>6330.6</v>
      </c>
      <c r="C187" s="52">
        <v>4930</v>
      </c>
      <c r="D187" s="52">
        <v>2818.7</v>
      </c>
      <c r="E187" s="52">
        <v>3495.8</v>
      </c>
      <c r="F187" s="52">
        <v>5299.1</v>
      </c>
      <c r="G187" s="52">
        <v>5672.8</v>
      </c>
      <c r="H187" s="52">
        <v>2818.03</v>
      </c>
      <c r="I187" s="53">
        <v>25728.969999999998</v>
      </c>
      <c r="J187" s="49"/>
      <c r="R187" s="44">
        <v>179.12</v>
      </c>
      <c r="S187" s="44">
        <v>54.7</v>
      </c>
      <c r="T187" s="44">
        <v>220</v>
      </c>
      <c r="U187" s="44">
        <v>7950</v>
      </c>
      <c r="V187" s="44">
        <v>28435</v>
      </c>
      <c r="W187" s="44">
        <v>1288</v>
      </c>
    </row>
    <row r="188" spans="1:23" x14ac:dyDescent="0.2">
      <c r="A188" s="50">
        <f t="shared" si="2"/>
        <v>45478</v>
      </c>
      <c r="B188" s="51">
        <v>6427.76</v>
      </c>
      <c r="C188" s="52">
        <v>5092.9799999999996</v>
      </c>
      <c r="D188" s="52">
        <v>2806.23</v>
      </c>
      <c r="E188" s="52">
        <v>3094.53</v>
      </c>
      <c r="F188" s="52">
        <v>5191.22</v>
      </c>
      <c r="G188" s="52">
        <v>5762.9</v>
      </c>
      <c r="H188" s="52">
        <v>2912.05</v>
      </c>
      <c r="I188" s="53">
        <v>25463.570000000003</v>
      </c>
      <c r="J188" s="49"/>
      <c r="R188" s="44">
        <v>177.68</v>
      </c>
      <c r="S188" s="44">
        <v>54.300000000000004</v>
      </c>
      <c r="T188" s="44">
        <v>213</v>
      </c>
      <c r="U188" s="44">
        <v>7888</v>
      </c>
      <c r="V188" s="44">
        <v>35111</v>
      </c>
      <c r="W188" s="44">
        <v>1212</v>
      </c>
    </row>
    <row r="189" spans="1:23" x14ac:dyDescent="0.2">
      <c r="A189" s="50">
        <f t="shared" si="2"/>
        <v>45479</v>
      </c>
      <c r="B189" s="51">
        <v>6468</v>
      </c>
      <c r="C189" s="52">
        <v>4705</v>
      </c>
      <c r="D189" s="52">
        <v>2487</v>
      </c>
      <c r="E189" s="52">
        <v>3443</v>
      </c>
      <c r="F189" s="52">
        <v>5102</v>
      </c>
      <c r="G189" s="52">
        <v>8730</v>
      </c>
      <c r="H189" s="52">
        <v>2535</v>
      </c>
      <c r="I189" s="53">
        <v>28400</v>
      </c>
      <c r="J189" s="49"/>
      <c r="R189" s="44">
        <v>180.2</v>
      </c>
      <c r="S189" s="44">
        <v>54</v>
      </c>
      <c r="T189" s="44">
        <v>215</v>
      </c>
      <c r="U189" s="44">
        <v>7908</v>
      </c>
      <c r="V189" s="44">
        <v>41829</v>
      </c>
      <c r="W189" s="44">
        <v>1190</v>
      </c>
    </row>
    <row r="190" spans="1:23" x14ac:dyDescent="0.2">
      <c r="A190" s="50">
        <f t="shared" si="2"/>
        <v>45480</v>
      </c>
      <c r="B190" s="51">
        <v>6171.97</v>
      </c>
      <c r="C190" s="52">
        <v>4554.2700000000004</v>
      </c>
      <c r="D190" s="52">
        <v>2492.7399999999998</v>
      </c>
      <c r="E190" s="52">
        <v>3163.32</v>
      </c>
      <c r="F190" s="52">
        <v>5046.42</v>
      </c>
      <c r="G190" s="52">
        <v>4955.38</v>
      </c>
      <c r="H190" s="52">
        <v>2268.42</v>
      </c>
      <c r="I190" s="53">
        <v>24115.68</v>
      </c>
      <c r="J190" s="49"/>
      <c r="R190" s="44">
        <v>156.26</v>
      </c>
      <c r="S190" s="44">
        <v>51.9</v>
      </c>
      <c r="T190" s="44">
        <v>203</v>
      </c>
      <c r="U190" s="44">
        <v>7689</v>
      </c>
      <c r="V190" s="44">
        <v>48265</v>
      </c>
      <c r="W190" s="44">
        <v>1253</v>
      </c>
    </row>
    <row r="191" spans="1:23" x14ac:dyDescent="0.2">
      <c r="A191" s="50">
        <f t="shared" si="2"/>
        <v>45481</v>
      </c>
      <c r="B191" s="51">
        <v>6568.3</v>
      </c>
      <c r="C191" s="52">
        <v>5195.1000000000004</v>
      </c>
      <c r="D191" s="52">
        <v>2772.4</v>
      </c>
      <c r="E191" s="52">
        <v>3803.7</v>
      </c>
      <c r="F191" s="52">
        <v>5488.7</v>
      </c>
      <c r="G191" s="52">
        <v>6818.7</v>
      </c>
      <c r="H191" s="52">
        <v>3262</v>
      </c>
      <c r="I191" s="53">
        <v>27384.9</v>
      </c>
      <c r="J191" s="49"/>
      <c r="R191" s="44">
        <v>186.51</v>
      </c>
      <c r="S191" s="44">
        <v>59.8</v>
      </c>
      <c r="T191" s="44">
        <v>228</v>
      </c>
      <c r="U191" s="44">
        <v>8648</v>
      </c>
      <c r="V191" s="44">
        <v>55605</v>
      </c>
      <c r="W191" s="44">
        <v>1308</v>
      </c>
    </row>
    <row r="192" spans="1:23" x14ac:dyDescent="0.2">
      <c r="A192" s="50">
        <f t="shared" si="2"/>
        <v>45482</v>
      </c>
      <c r="B192" s="51">
        <v>6325.21</v>
      </c>
      <c r="C192" s="52">
        <v>5076.91</v>
      </c>
      <c r="D192" s="52">
        <v>2779.07</v>
      </c>
      <c r="E192" s="52">
        <v>2947.6</v>
      </c>
      <c r="F192" s="52">
        <v>5047.24</v>
      </c>
      <c r="G192" s="52">
        <v>6199.36</v>
      </c>
      <c r="H192" s="52">
        <v>3513.0400000000004</v>
      </c>
      <c r="I192" s="53">
        <v>24862.35</v>
      </c>
      <c r="J192" s="49"/>
      <c r="R192" s="44">
        <v>161.44999999999999</v>
      </c>
      <c r="S192" s="44">
        <v>54.2</v>
      </c>
      <c r="T192" s="44">
        <v>208</v>
      </c>
      <c r="U192" s="44">
        <v>8007</v>
      </c>
      <c r="V192" s="44">
        <v>62266</v>
      </c>
      <c r="W192" s="44">
        <v>1346</v>
      </c>
    </row>
    <row r="193" spans="1:23" x14ac:dyDescent="0.2">
      <c r="A193" s="50">
        <f t="shared" si="2"/>
        <v>45483</v>
      </c>
      <c r="B193" s="51">
        <v>6305</v>
      </c>
      <c r="C193" s="52">
        <v>5061</v>
      </c>
      <c r="D193" s="52">
        <v>2684</v>
      </c>
      <c r="E193" s="52">
        <v>3068</v>
      </c>
      <c r="F193" s="52">
        <v>5167</v>
      </c>
      <c r="G193" s="52">
        <v>6244</v>
      </c>
      <c r="H193" s="52">
        <v>3380</v>
      </c>
      <c r="I193" s="53">
        <v>25149</v>
      </c>
      <c r="J193" s="49"/>
      <c r="R193" s="44">
        <v>188.8</v>
      </c>
      <c r="S193" s="44">
        <v>55.400000000000006</v>
      </c>
      <c r="T193" s="44">
        <v>217</v>
      </c>
      <c r="U193" s="44">
        <v>8194</v>
      </c>
      <c r="V193" s="44">
        <v>69199</v>
      </c>
      <c r="W193" s="44">
        <v>1261</v>
      </c>
    </row>
    <row r="194" spans="1:23" x14ac:dyDescent="0.2">
      <c r="A194" s="50">
        <f t="shared" si="2"/>
        <v>45484</v>
      </c>
      <c r="B194" s="51">
        <v>6591.73</v>
      </c>
      <c r="C194" s="52">
        <v>5068.46</v>
      </c>
      <c r="D194" s="52">
        <v>2724.24</v>
      </c>
      <c r="E194" s="52">
        <v>3995.75</v>
      </c>
      <c r="F194" s="52">
        <v>5641.42</v>
      </c>
      <c r="G194" s="52">
        <v>6172.38</v>
      </c>
      <c r="H194" s="52">
        <v>3193.1600000000003</v>
      </c>
      <c r="I194" s="53">
        <v>27000.82</v>
      </c>
      <c r="J194" s="49"/>
      <c r="R194" s="44">
        <v>184.89</v>
      </c>
      <c r="S194" s="44">
        <v>54.199999999999996</v>
      </c>
      <c r="T194" s="44">
        <v>219</v>
      </c>
      <c r="U194" s="44">
        <v>8320</v>
      </c>
      <c r="V194" s="44">
        <v>76133</v>
      </c>
      <c r="W194" s="44">
        <v>1386</v>
      </c>
    </row>
    <row r="195" spans="1:23" x14ac:dyDescent="0.2">
      <c r="A195" s="50">
        <f t="shared" ref="A195:A258" si="3">A194+1</f>
        <v>45485</v>
      </c>
      <c r="B195" s="51">
        <v>6458.18</v>
      </c>
      <c r="C195" s="52">
        <v>4976.03</v>
      </c>
      <c r="D195" s="52">
        <v>2749.34</v>
      </c>
      <c r="E195" s="52">
        <v>3312.7</v>
      </c>
      <c r="F195" s="52">
        <v>5449.6</v>
      </c>
      <c r="G195" s="52">
        <v>6068</v>
      </c>
      <c r="H195" s="52">
        <v>3274.7999999999997</v>
      </c>
      <c r="I195" s="53">
        <v>25739.05</v>
      </c>
      <c r="J195" s="49"/>
      <c r="R195" s="44">
        <v>190.93</v>
      </c>
      <c r="S195" s="44">
        <v>59.900000000000006</v>
      </c>
      <c r="T195" s="44">
        <v>217</v>
      </c>
      <c r="U195" s="44">
        <v>8829</v>
      </c>
      <c r="V195" s="44">
        <v>83532</v>
      </c>
      <c r="W195" s="44">
        <v>1430</v>
      </c>
    </row>
    <row r="196" spans="1:23" x14ac:dyDescent="0.2">
      <c r="A196" s="50">
        <f t="shared" si="3"/>
        <v>45486</v>
      </c>
      <c r="B196" s="51">
        <v>5974.99</v>
      </c>
      <c r="C196" s="52">
        <v>4481</v>
      </c>
      <c r="D196" s="52">
        <v>2622.83</v>
      </c>
      <c r="E196" s="52">
        <v>3117.94</v>
      </c>
      <c r="F196" s="52">
        <v>5189.32</v>
      </c>
      <c r="G196" s="52">
        <v>5431.19</v>
      </c>
      <c r="H196" s="52">
        <v>2743.6699999999996</v>
      </c>
      <c r="I196" s="53">
        <v>24073.600000000002</v>
      </c>
      <c r="J196" s="49"/>
      <c r="R196" s="44">
        <v>179.22</v>
      </c>
      <c r="S196" s="44">
        <v>54.5</v>
      </c>
      <c r="T196" s="44">
        <v>194</v>
      </c>
      <c r="U196" s="44">
        <v>8392</v>
      </c>
      <c r="V196" s="44">
        <v>90480</v>
      </c>
      <c r="W196" s="44">
        <v>1444</v>
      </c>
    </row>
    <row r="197" spans="1:23" x14ac:dyDescent="0.2">
      <c r="A197" s="50">
        <f t="shared" si="3"/>
        <v>45487</v>
      </c>
      <c r="B197" s="51">
        <v>6027</v>
      </c>
      <c r="C197" s="52">
        <v>4518</v>
      </c>
      <c r="D197" s="52">
        <v>2573</v>
      </c>
      <c r="E197" s="52">
        <v>3908</v>
      </c>
      <c r="F197" s="52">
        <v>5527</v>
      </c>
      <c r="G197" s="52">
        <v>4960</v>
      </c>
      <c r="H197" s="52">
        <v>2270</v>
      </c>
      <c r="I197" s="53">
        <v>25243</v>
      </c>
      <c r="J197" s="49"/>
      <c r="R197" s="44">
        <v>184</v>
      </c>
      <c r="S197" s="44">
        <v>56.5</v>
      </c>
      <c r="T197" s="44">
        <v>220</v>
      </c>
      <c r="U197" s="44">
        <v>8802</v>
      </c>
      <c r="V197" s="44">
        <v>97801</v>
      </c>
      <c r="W197" s="44">
        <v>1481</v>
      </c>
    </row>
    <row r="198" spans="1:23" x14ac:dyDescent="0.2">
      <c r="A198" s="50">
        <f t="shared" si="3"/>
        <v>45488</v>
      </c>
      <c r="B198" s="51">
        <v>5852.45</v>
      </c>
      <c r="C198" s="52">
        <v>4842.32</v>
      </c>
      <c r="D198" s="52">
        <v>2797.9</v>
      </c>
      <c r="E198" s="52">
        <v>2328.21</v>
      </c>
      <c r="F198" s="52">
        <v>4865.07</v>
      </c>
      <c r="G198" s="52">
        <v>5967.02</v>
      </c>
      <c r="H198" s="52">
        <v>3229.8600000000006</v>
      </c>
      <c r="I198" s="53">
        <v>23423.11</v>
      </c>
      <c r="J198" s="49"/>
      <c r="R198" s="44">
        <v>176.24</v>
      </c>
      <c r="S198" s="44">
        <v>57.2</v>
      </c>
      <c r="T198" s="44">
        <v>213</v>
      </c>
      <c r="U198" s="44">
        <v>8710</v>
      </c>
      <c r="V198" s="44">
        <v>104871</v>
      </c>
      <c r="W198" s="44">
        <v>1640</v>
      </c>
    </row>
    <row r="199" spans="1:23" x14ac:dyDescent="0.2">
      <c r="A199" s="50">
        <f t="shared" si="3"/>
        <v>45489</v>
      </c>
      <c r="B199" s="51">
        <v>6316.34</v>
      </c>
      <c r="C199" s="52">
        <v>4838.8</v>
      </c>
      <c r="D199" s="52">
        <v>2803.8</v>
      </c>
      <c r="E199" s="52">
        <v>3195.6</v>
      </c>
      <c r="F199" s="52">
        <v>5170.5</v>
      </c>
      <c r="G199" s="52">
        <v>6528.7</v>
      </c>
      <c r="H199" s="52">
        <v>3440.5000000000005</v>
      </c>
      <c r="I199" s="53">
        <v>25413.239999999998</v>
      </c>
      <c r="J199" s="49"/>
      <c r="R199" s="44">
        <v>205.3</v>
      </c>
      <c r="S199" s="44">
        <v>60.6</v>
      </c>
      <c r="T199" s="44">
        <v>234</v>
      </c>
      <c r="U199" s="44">
        <v>8915</v>
      </c>
      <c r="V199" s="44">
        <v>112391</v>
      </c>
      <c r="W199" s="44">
        <v>1395</v>
      </c>
    </row>
    <row r="200" spans="1:23" x14ac:dyDescent="0.2">
      <c r="A200" s="50">
        <f t="shared" si="3"/>
        <v>45490</v>
      </c>
      <c r="B200" s="51">
        <v>6426.73</v>
      </c>
      <c r="C200" s="52">
        <v>5012.3100000000004</v>
      </c>
      <c r="D200" s="52">
        <v>2911.02</v>
      </c>
      <c r="E200" s="52">
        <v>2686.8</v>
      </c>
      <c r="F200" s="52">
        <v>5561.04</v>
      </c>
      <c r="G200" s="52">
        <v>6344.59</v>
      </c>
      <c r="H200" s="52">
        <v>3482.51</v>
      </c>
      <c r="I200" s="53">
        <v>25459.980000000003</v>
      </c>
      <c r="J200" s="49"/>
      <c r="R200" s="44">
        <v>205.15</v>
      </c>
      <c r="S200" s="44">
        <v>58.5</v>
      </c>
      <c r="T200" s="44">
        <v>246</v>
      </c>
      <c r="U200" s="44">
        <v>9027</v>
      </c>
      <c r="V200" s="44">
        <v>120068</v>
      </c>
      <c r="W200" s="44">
        <v>1350</v>
      </c>
    </row>
    <row r="201" spans="1:23" x14ac:dyDescent="0.2">
      <c r="A201" s="50">
        <f t="shared" si="3"/>
        <v>45491</v>
      </c>
      <c r="B201" s="51">
        <v>6263.9</v>
      </c>
      <c r="C201" s="52">
        <v>5019</v>
      </c>
      <c r="D201" s="52">
        <v>2894</v>
      </c>
      <c r="E201" s="52">
        <v>2507</v>
      </c>
      <c r="F201" s="52">
        <v>5540</v>
      </c>
      <c r="G201" s="52">
        <v>6234</v>
      </c>
      <c r="H201" s="52">
        <v>3329</v>
      </c>
      <c r="I201" s="53">
        <v>25128.9</v>
      </c>
      <c r="J201" s="49"/>
      <c r="R201" s="44">
        <v>193</v>
      </c>
      <c r="S201" s="44">
        <v>57.6</v>
      </c>
      <c r="T201" s="44">
        <v>237</v>
      </c>
      <c r="U201" s="44">
        <v>8741</v>
      </c>
      <c r="V201" s="44">
        <v>127374</v>
      </c>
      <c r="W201" s="44">
        <v>1435</v>
      </c>
    </row>
    <row r="202" spans="1:23" x14ac:dyDescent="0.2">
      <c r="A202" s="50">
        <f t="shared" si="3"/>
        <v>45492</v>
      </c>
      <c r="B202" s="51">
        <v>6291.44</v>
      </c>
      <c r="C202" s="52">
        <v>4650.5</v>
      </c>
      <c r="D202" s="52">
        <v>2885.92</v>
      </c>
      <c r="E202" s="52">
        <v>2449.44</v>
      </c>
      <c r="F202" s="52">
        <v>4963.33</v>
      </c>
      <c r="G202" s="52">
        <v>6067.67</v>
      </c>
      <c r="H202" s="52">
        <v>3348.54</v>
      </c>
      <c r="I202" s="53">
        <v>23959.759999999995</v>
      </c>
      <c r="J202" s="49"/>
      <c r="R202" s="44">
        <v>179.55</v>
      </c>
      <c r="S202" s="44">
        <v>57.400000000000006</v>
      </c>
      <c r="T202" s="44">
        <v>223</v>
      </c>
      <c r="U202" s="44">
        <v>8837</v>
      </c>
      <c r="V202" s="44">
        <v>134736</v>
      </c>
      <c r="W202" s="44">
        <v>1475</v>
      </c>
    </row>
    <row r="203" spans="1:23" x14ac:dyDescent="0.2">
      <c r="A203" s="50">
        <f t="shared" si="3"/>
        <v>45493</v>
      </c>
      <c r="B203" s="51">
        <v>6447.7</v>
      </c>
      <c r="C203" s="52">
        <v>4527.8999999999996</v>
      </c>
      <c r="D203" s="52">
        <v>2693.6</v>
      </c>
      <c r="E203" s="52">
        <v>3387.1</v>
      </c>
      <c r="F203" s="52">
        <v>5110.6000000000004</v>
      </c>
      <c r="G203" s="52">
        <v>5053.3999999999996</v>
      </c>
      <c r="H203" s="52">
        <v>2565.7000000000007</v>
      </c>
      <c r="I203" s="53">
        <v>24654.600000000002</v>
      </c>
      <c r="J203" s="49"/>
      <c r="R203" s="44">
        <v>180</v>
      </c>
      <c r="S203" s="44">
        <v>55</v>
      </c>
      <c r="T203" s="44">
        <v>222</v>
      </c>
      <c r="U203" s="44">
        <v>8347</v>
      </c>
      <c r="V203" s="44">
        <v>141662</v>
      </c>
      <c r="W203" s="44">
        <v>1421</v>
      </c>
    </row>
    <row r="204" spans="1:23" x14ac:dyDescent="0.2">
      <c r="A204" s="50">
        <f t="shared" si="3"/>
        <v>45494</v>
      </c>
      <c r="B204" s="51">
        <v>6448.97</v>
      </c>
      <c r="C204" s="52">
        <v>4548.8100000000004</v>
      </c>
      <c r="D204" s="52">
        <v>2637.02</v>
      </c>
      <c r="E204" s="52">
        <v>2816.55</v>
      </c>
      <c r="F204" s="52">
        <v>4840.16</v>
      </c>
      <c r="G204" s="52">
        <v>4970.3599999999997</v>
      </c>
      <c r="H204" s="52">
        <v>2396.8000000000002</v>
      </c>
      <c r="I204" s="53">
        <v>23865.070000000003</v>
      </c>
      <c r="J204" s="49"/>
      <c r="R204" s="44">
        <v>180</v>
      </c>
      <c r="S204" s="44">
        <v>55.599999999999994</v>
      </c>
      <c r="T204" s="44">
        <v>226</v>
      </c>
      <c r="U204" s="44">
        <v>8450</v>
      </c>
      <c r="V204" s="44">
        <v>148758</v>
      </c>
      <c r="W204" s="44">
        <v>1354</v>
      </c>
    </row>
    <row r="205" spans="1:23" x14ac:dyDescent="0.2">
      <c r="A205" s="50">
        <f t="shared" si="3"/>
        <v>45495</v>
      </c>
      <c r="B205" s="51">
        <v>6570</v>
      </c>
      <c r="C205" s="52">
        <v>4917</v>
      </c>
      <c r="D205" s="52">
        <v>2914</v>
      </c>
      <c r="E205" s="52">
        <v>2876</v>
      </c>
      <c r="F205" s="52">
        <v>4967</v>
      </c>
      <c r="G205" s="52">
        <v>6249</v>
      </c>
      <c r="H205" s="52">
        <v>3426</v>
      </c>
      <c r="I205" s="53">
        <v>25067</v>
      </c>
      <c r="J205" s="49"/>
      <c r="R205" s="44">
        <v>201.4</v>
      </c>
      <c r="S205" s="44">
        <v>61.9</v>
      </c>
      <c r="T205" s="44">
        <v>240</v>
      </c>
      <c r="U205" s="44">
        <v>9323</v>
      </c>
      <c r="V205" s="44">
        <v>156548</v>
      </c>
      <c r="W205" s="44">
        <v>1533</v>
      </c>
    </row>
    <row r="206" spans="1:23" x14ac:dyDescent="0.2">
      <c r="A206" s="50">
        <f t="shared" si="3"/>
        <v>45496</v>
      </c>
      <c r="B206" s="51">
        <v>6332.49</v>
      </c>
      <c r="C206" s="52">
        <v>4825.2</v>
      </c>
      <c r="D206" s="52">
        <v>3018</v>
      </c>
      <c r="E206" s="52">
        <v>3801.08</v>
      </c>
      <c r="F206" s="52">
        <v>4075.52</v>
      </c>
      <c r="G206" s="52">
        <v>6316.83</v>
      </c>
      <c r="H206" s="52">
        <v>3284.62</v>
      </c>
      <c r="I206" s="53">
        <v>25084.499999999996</v>
      </c>
      <c r="J206" s="49"/>
      <c r="R206" s="44">
        <v>190.69</v>
      </c>
      <c r="S206" s="44">
        <v>57.5</v>
      </c>
      <c r="T206" s="44">
        <v>229</v>
      </c>
      <c r="U206" s="44">
        <v>9049</v>
      </c>
      <c r="V206" s="44">
        <v>163962</v>
      </c>
      <c r="W206" s="44">
        <v>1635</v>
      </c>
    </row>
    <row r="207" spans="1:23" x14ac:dyDescent="0.2">
      <c r="A207" s="50">
        <f t="shared" si="3"/>
        <v>45497</v>
      </c>
      <c r="B207" s="51">
        <v>6303.8</v>
      </c>
      <c r="C207" s="52">
        <v>4895.3999999999996</v>
      </c>
      <c r="D207" s="52">
        <v>2964.8</v>
      </c>
      <c r="E207" s="52">
        <v>4184.8</v>
      </c>
      <c r="F207" s="52">
        <v>4058.8</v>
      </c>
      <c r="G207" s="52">
        <v>6454.3</v>
      </c>
      <c r="H207" s="52">
        <v>3570.9999999999995</v>
      </c>
      <c r="I207" s="53">
        <v>25290.899999999998</v>
      </c>
      <c r="J207" s="49"/>
      <c r="R207" s="44">
        <v>208.74</v>
      </c>
      <c r="S207" s="44">
        <v>65.7</v>
      </c>
      <c r="T207" s="44">
        <v>253</v>
      </c>
      <c r="U207" s="44">
        <v>10058</v>
      </c>
      <c r="V207" s="44">
        <v>172414</v>
      </c>
      <c r="W207" s="44">
        <v>1606</v>
      </c>
    </row>
    <row r="208" spans="1:23" x14ac:dyDescent="0.2">
      <c r="A208" s="50">
        <f t="shared" si="3"/>
        <v>45498</v>
      </c>
      <c r="B208" s="51">
        <v>5965.79</v>
      </c>
      <c r="C208" s="52">
        <v>4611.62</v>
      </c>
      <c r="D208" s="52">
        <v>3021.99</v>
      </c>
      <c r="E208" s="52">
        <v>3544.66</v>
      </c>
      <c r="F208" s="52">
        <v>3558.36</v>
      </c>
      <c r="G208" s="52">
        <v>6416.24</v>
      </c>
      <c r="H208" s="52">
        <v>3508.6600000000003</v>
      </c>
      <c r="I208" s="53">
        <v>23609.999999999996</v>
      </c>
      <c r="J208" s="49"/>
      <c r="R208" s="44">
        <v>200.2</v>
      </c>
      <c r="S208" s="44">
        <v>60.5</v>
      </c>
      <c r="T208" s="44">
        <v>234</v>
      </c>
      <c r="U208" s="44">
        <v>9435</v>
      </c>
      <c r="V208" s="44">
        <v>180379</v>
      </c>
      <c r="W208" s="44">
        <v>1470</v>
      </c>
    </row>
    <row r="209" spans="1:23" x14ac:dyDescent="0.2">
      <c r="A209" s="50">
        <f t="shared" si="3"/>
        <v>45499</v>
      </c>
      <c r="B209" s="51">
        <v>6115</v>
      </c>
      <c r="C209" s="52">
        <v>4103</v>
      </c>
      <c r="D209" s="52">
        <v>2389</v>
      </c>
      <c r="E209" s="52">
        <v>3947</v>
      </c>
      <c r="F209" s="52">
        <v>3858</v>
      </c>
      <c r="G209" s="52">
        <v>0</v>
      </c>
      <c r="H209" s="52">
        <v>3294</v>
      </c>
      <c r="I209" s="53">
        <v>17118</v>
      </c>
      <c r="J209" s="49"/>
      <c r="R209" s="44">
        <v>188</v>
      </c>
      <c r="S209" s="44">
        <v>62.7</v>
      </c>
      <c r="T209" s="44">
        <v>237</v>
      </c>
      <c r="U209" s="44">
        <v>9381</v>
      </c>
      <c r="V209" s="44">
        <v>188389</v>
      </c>
      <c r="W209" s="44">
        <v>1371</v>
      </c>
    </row>
    <row r="210" spans="1:23" x14ac:dyDescent="0.2">
      <c r="A210" s="50">
        <f t="shared" si="3"/>
        <v>45500</v>
      </c>
      <c r="B210" s="51">
        <v>6631.25</v>
      </c>
      <c r="C210" s="52">
        <v>3738.87</v>
      </c>
      <c r="D210" s="52">
        <v>2406.23</v>
      </c>
      <c r="E210" s="52">
        <v>4222.75</v>
      </c>
      <c r="F210" s="52">
        <v>4066.89</v>
      </c>
      <c r="G210" s="52">
        <v>0</v>
      </c>
      <c r="H210" s="52">
        <v>2932.0399999999995</v>
      </c>
      <c r="I210" s="53">
        <v>18133.949999999997</v>
      </c>
      <c r="J210" s="49"/>
      <c r="R210" s="44">
        <v>179</v>
      </c>
      <c r="S210" s="44">
        <v>58.8</v>
      </c>
      <c r="T210" s="44">
        <v>224</v>
      </c>
      <c r="U210" s="44">
        <v>9692</v>
      </c>
      <c r="V210" s="44">
        <v>196599</v>
      </c>
      <c r="W210" s="44">
        <v>1482</v>
      </c>
    </row>
    <row r="211" spans="1:23" x14ac:dyDescent="0.2">
      <c r="A211" s="50">
        <f t="shared" si="3"/>
        <v>45501</v>
      </c>
      <c r="B211" s="51">
        <v>5992.2</v>
      </c>
      <c r="C211" s="52">
        <v>3919.68</v>
      </c>
      <c r="D211" s="52">
        <v>2251.4</v>
      </c>
      <c r="E211" s="52">
        <v>3602.7</v>
      </c>
      <c r="F211" s="52">
        <v>3669.9</v>
      </c>
      <c r="G211" s="52">
        <v>0</v>
      </c>
      <c r="H211" s="52">
        <v>2532.8000000000006</v>
      </c>
      <c r="I211" s="53">
        <v>16903.080000000002</v>
      </c>
      <c r="J211" s="49"/>
      <c r="R211" s="44">
        <v>191</v>
      </c>
      <c r="S211" s="44">
        <v>60.1</v>
      </c>
      <c r="T211" s="44">
        <v>255</v>
      </c>
      <c r="U211" s="44">
        <v>9212</v>
      </c>
      <c r="V211" s="44">
        <v>204317</v>
      </c>
      <c r="W211" s="44">
        <v>1494</v>
      </c>
    </row>
    <row r="212" spans="1:23" x14ac:dyDescent="0.2">
      <c r="A212" s="50">
        <f t="shared" si="3"/>
        <v>45502</v>
      </c>
      <c r="B212" s="51">
        <v>6278.32</v>
      </c>
      <c r="C212" s="52">
        <v>4308.25</v>
      </c>
      <c r="D212" s="52">
        <v>2407.1999999999998</v>
      </c>
      <c r="E212" s="52">
        <v>3730.15</v>
      </c>
      <c r="F212" s="52">
        <v>3854.01</v>
      </c>
      <c r="G212" s="52">
        <v>0</v>
      </c>
      <c r="H212" s="52">
        <v>3918.0099999999998</v>
      </c>
      <c r="I212" s="53">
        <v>16659.920000000002</v>
      </c>
      <c r="J212" s="49"/>
      <c r="R212" s="44">
        <v>214.28</v>
      </c>
      <c r="S212" s="44">
        <v>61</v>
      </c>
      <c r="T212" s="44">
        <v>231</v>
      </c>
      <c r="U212" s="44">
        <v>9239</v>
      </c>
      <c r="V212" s="44">
        <v>212068</v>
      </c>
      <c r="W212" s="44">
        <v>1488</v>
      </c>
    </row>
    <row r="213" spans="1:23" x14ac:dyDescent="0.2">
      <c r="A213" s="50">
        <f t="shared" si="3"/>
        <v>45503</v>
      </c>
      <c r="B213" s="51">
        <v>6373</v>
      </c>
      <c r="C213" s="52">
        <v>4422</v>
      </c>
      <c r="D213" s="52">
        <v>2317</v>
      </c>
      <c r="E213" s="52">
        <v>3359</v>
      </c>
      <c r="F213" s="52">
        <v>3467</v>
      </c>
      <c r="G213" s="52">
        <v>0</v>
      </c>
      <c r="H213" s="52">
        <v>3775</v>
      </c>
      <c r="I213" s="53">
        <v>16163</v>
      </c>
      <c r="J213" s="49"/>
      <c r="R213" s="44">
        <v>203.2</v>
      </c>
      <c r="S213" s="44">
        <v>58.099999999999994</v>
      </c>
      <c r="T213" s="44">
        <v>230</v>
      </c>
      <c r="U213" s="44">
        <v>8931</v>
      </c>
      <c r="V213" s="44">
        <v>219634</v>
      </c>
      <c r="W213" s="44">
        <v>1365</v>
      </c>
    </row>
    <row r="214" spans="1:23" x14ac:dyDescent="0.2">
      <c r="A214" s="50">
        <f t="shared" si="3"/>
        <v>45504</v>
      </c>
      <c r="B214" s="51">
        <v>6416.82</v>
      </c>
      <c r="C214" s="52">
        <v>4418.92</v>
      </c>
      <c r="D214" s="52">
        <v>2643.38</v>
      </c>
      <c r="E214" s="52">
        <v>3622.39</v>
      </c>
      <c r="F214" s="52">
        <v>3850.61</v>
      </c>
      <c r="G214" s="52">
        <v>0</v>
      </c>
      <c r="H214" s="52">
        <v>3418.1899999999996</v>
      </c>
      <c r="I214" s="53">
        <v>17533.93</v>
      </c>
      <c r="J214" s="49"/>
      <c r="R214" s="44">
        <v>187.7</v>
      </c>
      <c r="S214" s="44">
        <v>60.9</v>
      </c>
      <c r="T214" s="44">
        <v>233</v>
      </c>
      <c r="U214" s="44">
        <v>9069</v>
      </c>
      <c r="V214" s="44">
        <v>227397</v>
      </c>
      <c r="W214" s="44">
        <v>1306</v>
      </c>
    </row>
    <row r="215" spans="1:23" x14ac:dyDescent="0.2">
      <c r="A215" s="50">
        <f t="shared" si="3"/>
        <v>45505</v>
      </c>
      <c r="B215" s="51">
        <v>6135.1</v>
      </c>
      <c r="C215" s="52">
        <v>4368.47</v>
      </c>
      <c r="D215" s="52">
        <v>2702.6</v>
      </c>
      <c r="E215" s="52">
        <v>3670.1</v>
      </c>
      <c r="F215" s="52">
        <v>3836.4</v>
      </c>
      <c r="G215" s="52">
        <v>0</v>
      </c>
      <c r="H215" s="52">
        <v>3592.7700000000004</v>
      </c>
      <c r="I215" s="53">
        <v>17119.900000000001</v>
      </c>
      <c r="J215" s="49"/>
      <c r="R215" s="44">
        <v>188.41</v>
      </c>
      <c r="S215" s="44">
        <v>59.3</v>
      </c>
      <c r="T215" s="44">
        <v>229</v>
      </c>
      <c r="U215" s="44">
        <v>8762</v>
      </c>
      <c r="V215" s="44">
        <v>7442</v>
      </c>
      <c r="W215" s="44">
        <v>1320</v>
      </c>
    </row>
    <row r="216" spans="1:23" x14ac:dyDescent="0.2">
      <c r="A216" s="50">
        <f t="shared" si="3"/>
        <v>45506</v>
      </c>
      <c r="B216" s="51">
        <v>5871.31</v>
      </c>
      <c r="C216" s="52">
        <v>4318.5200000000004</v>
      </c>
      <c r="D216" s="52">
        <v>2658.62</v>
      </c>
      <c r="E216" s="52">
        <v>3706.61</v>
      </c>
      <c r="F216" s="52">
        <v>3749.58</v>
      </c>
      <c r="G216" s="52">
        <v>6452.5</v>
      </c>
      <c r="H216" s="52">
        <v>3674.46</v>
      </c>
      <c r="I216" s="53">
        <v>23082.68</v>
      </c>
      <c r="J216" s="49"/>
      <c r="R216" s="44">
        <v>197.86</v>
      </c>
      <c r="S216" s="44">
        <v>55.8</v>
      </c>
      <c r="T216" s="44">
        <v>225</v>
      </c>
      <c r="U216" s="44">
        <v>8663</v>
      </c>
      <c r="V216" s="44">
        <v>14766</v>
      </c>
      <c r="W216" s="44">
        <v>1339</v>
      </c>
    </row>
    <row r="217" spans="1:23" x14ac:dyDescent="0.2">
      <c r="A217" s="50">
        <f t="shared" si="3"/>
        <v>45507</v>
      </c>
      <c r="B217" s="51">
        <v>5761</v>
      </c>
      <c r="C217" s="52">
        <v>3920</v>
      </c>
      <c r="D217" s="52">
        <v>2166</v>
      </c>
      <c r="E217" s="52">
        <v>4332</v>
      </c>
      <c r="F217" s="52">
        <v>4075</v>
      </c>
      <c r="G217" s="52">
        <v>5053</v>
      </c>
      <c r="H217" s="52">
        <v>2461</v>
      </c>
      <c r="I217" s="53">
        <v>22846</v>
      </c>
      <c r="J217" s="49"/>
      <c r="R217" s="44">
        <v>168</v>
      </c>
      <c r="S217" s="44">
        <v>54.800000000000004</v>
      </c>
      <c r="T217" s="44">
        <v>206</v>
      </c>
      <c r="U217" s="44">
        <v>8715</v>
      </c>
      <c r="V217" s="44">
        <v>22192</v>
      </c>
      <c r="W217" s="44">
        <v>1289</v>
      </c>
    </row>
    <row r="218" spans="1:23" x14ac:dyDescent="0.2">
      <c r="A218" s="50">
        <f t="shared" si="3"/>
        <v>45508</v>
      </c>
      <c r="B218" s="51">
        <v>4962.29</v>
      </c>
      <c r="C218" s="52">
        <v>3790.06</v>
      </c>
      <c r="D218" s="52">
        <v>2268.87</v>
      </c>
      <c r="E218" s="52">
        <v>3602.67</v>
      </c>
      <c r="F218" s="52">
        <v>3400.1</v>
      </c>
      <c r="G218" s="52">
        <v>4759.05</v>
      </c>
      <c r="H218" s="52">
        <v>2068.9900000000002</v>
      </c>
      <c r="I218" s="53">
        <v>20714.05</v>
      </c>
      <c r="J218" s="49"/>
      <c r="R218" s="44">
        <v>146</v>
      </c>
      <c r="S218" s="44">
        <v>48.9</v>
      </c>
      <c r="T218" s="44">
        <v>191</v>
      </c>
      <c r="U218" s="44">
        <v>7512</v>
      </c>
      <c r="V218" s="44">
        <v>28401</v>
      </c>
      <c r="W218" s="44">
        <v>1303</v>
      </c>
    </row>
    <row r="219" spans="1:23" x14ac:dyDescent="0.2">
      <c r="A219" s="50">
        <f t="shared" si="3"/>
        <v>45509</v>
      </c>
      <c r="B219" s="51">
        <v>5635.6</v>
      </c>
      <c r="C219" s="52">
        <v>4443.8999999999996</v>
      </c>
      <c r="D219" s="52">
        <v>2530.4</v>
      </c>
      <c r="E219" s="52">
        <v>3378.5</v>
      </c>
      <c r="F219" s="52">
        <v>3648.8</v>
      </c>
      <c r="G219" s="52">
        <v>5854.4</v>
      </c>
      <c r="H219" s="52">
        <v>2912.1299999999997</v>
      </c>
      <c r="I219" s="53">
        <v>22579.469999999998</v>
      </c>
      <c r="J219" s="49"/>
      <c r="R219" s="44">
        <v>164.81</v>
      </c>
      <c r="S219" s="44">
        <v>55.8</v>
      </c>
      <c r="T219" s="44">
        <v>216</v>
      </c>
      <c r="U219" s="44">
        <v>8433</v>
      </c>
      <c r="V219" s="44">
        <v>35412</v>
      </c>
      <c r="W219" s="44">
        <v>1422</v>
      </c>
    </row>
    <row r="220" spans="1:23" x14ac:dyDescent="0.2">
      <c r="A220" s="50">
        <f t="shared" si="3"/>
        <v>45510</v>
      </c>
      <c r="B220" s="51">
        <v>5850.23</v>
      </c>
      <c r="C220" s="52">
        <v>4777.3100000000004</v>
      </c>
      <c r="D220" s="52">
        <v>2733.83</v>
      </c>
      <c r="E220" s="52">
        <v>3413.96</v>
      </c>
      <c r="F220" s="52">
        <v>3864.74</v>
      </c>
      <c r="G220" s="52">
        <v>6620.14</v>
      </c>
      <c r="H220" s="52">
        <v>3729.27</v>
      </c>
      <c r="I220" s="53">
        <v>23530.94</v>
      </c>
      <c r="J220" s="49"/>
      <c r="R220" s="44">
        <v>176.58</v>
      </c>
      <c r="S220" s="44">
        <v>57.400000000000006</v>
      </c>
      <c r="T220" s="44">
        <v>223</v>
      </c>
      <c r="U220" s="44">
        <v>8781</v>
      </c>
      <c r="V220" s="44">
        <v>42749</v>
      </c>
      <c r="W220" s="44">
        <v>1444</v>
      </c>
    </row>
    <row r="221" spans="1:23" x14ac:dyDescent="0.2">
      <c r="A221" s="50">
        <f t="shared" si="3"/>
        <v>45511</v>
      </c>
      <c r="B221" s="51">
        <v>6296</v>
      </c>
      <c r="C221" s="52">
        <v>4810</v>
      </c>
      <c r="D221" s="52">
        <v>2823</v>
      </c>
      <c r="E221" s="52">
        <v>4002</v>
      </c>
      <c r="F221" s="52">
        <v>4286</v>
      </c>
      <c r="G221" s="52">
        <v>6626</v>
      </c>
      <c r="H221" s="52">
        <v>3723</v>
      </c>
      <c r="I221" s="53">
        <v>25120</v>
      </c>
      <c r="J221" s="49"/>
      <c r="R221" s="44">
        <v>176.7</v>
      </c>
      <c r="S221" s="44">
        <v>58.100000000000009</v>
      </c>
      <c r="T221" s="44">
        <v>228</v>
      </c>
      <c r="U221" s="44">
        <v>8768</v>
      </c>
      <c r="V221" s="44">
        <v>50159</v>
      </c>
      <c r="W221" s="44">
        <v>1358</v>
      </c>
    </row>
    <row r="222" spans="1:23" x14ac:dyDescent="0.2">
      <c r="A222" s="50">
        <f t="shared" si="3"/>
        <v>45512</v>
      </c>
      <c r="B222" s="51">
        <v>6237.11</v>
      </c>
      <c r="C222" s="52">
        <v>4672.63</v>
      </c>
      <c r="D222" s="52">
        <v>2964.52</v>
      </c>
      <c r="E222" s="52">
        <v>3959.38</v>
      </c>
      <c r="F222" s="52">
        <v>4196.3599999999997</v>
      </c>
      <c r="G222" s="52">
        <v>6618.07</v>
      </c>
      <c r="H222" s="52">
        <v>3791</v>
      </c>
      <c r="I222" s="53">
        <v>24857.07</v>
      </c>
      <c r="J222" s="49"/>
      <c r="R222" s="44">
        <v>182.4</v>
      </c>
      <c r="S222" s="44">
        <v>58.400000000000006</v>
      </c>
      <c r="T222" s="44">
        <v>220</v>
      </c>
      <c r="U222" s="44">
        <v>8988</v>
      </c>
      <c r="V222" s="44">
        <v>57678</v>
      </c>
      <c r="W222" s="44">
        <v>1469</v>
      </c>
    </row>
    <row r="223" spans="1:23" x14ac:dyDescent="0.2">
      <c r="A223" s="50">
        <f t="shared" si="3"/>
        <v>45513</v>
      </c>
      <c r="B223" s="51">
        <v>6192.6</v>
      </c>
      <c r="C223" s="52">
        <v>4598.3500000000004</v>
      </c>
      <c r="D223" s="52">
        <v>2880.64</v>
      </c>
      <c r="E223" s="52">
        <v>3610.7</v>
      </c>
      <c r="F223" s="52">
        <v>4250.7700000000004</v>
      </c>
      <c r="G223" s="52">
        <v>6145.8</v>
      </c>
      <c r="H223" s="52">
        <v>3308.55</v>
      </c>
      <c r="I223" s="53">
        <v>24370.31</v>
      </c>
      <c r="J223" s="49"/>
      <c r="R223" s="44">
        <v>185.17</v>
      </c>
      <c r="S223" s="44">
        <v>58.599999999999994</v>
      </c>
      <c r="T223" s="44">
        <v>232</v>
      </c>
      <c r="U223" s="44">
        <v>9969</v>
      </c>
      <c r="V223" s="44">
        <v>66212</v>
      </c>
      <c r="W223" s="44">
        <v>1435</v>
      </c>
    </row>
    <row r="224" spans="1:23" x14ac:dyDescent="0.2">
      <c r="A224" s="50">
        <f t="shared" si="3"/>
        <v>45514</v>
      </c>
      <c r="B224" s="51">
        <v>6449.54</v>
      </c>
      <c r="C224" s="52">
        <v>4252.5200000000004</v>
      </c>
      <c r="D224" s="52">
        <v>2758.24</v>
      </c>
      <c r="E224" s="52">
        <v>4120.24</v>
      </c>
      <c r="F224" s="52">
        <v>4481.54</v>
      </c>
      <c r="G224" s="52">
        <v>5374.49</v>
      </c>
      <c r="H224" s="52">
        <v>2719.94</v>
      </c>
      <c r="I224" s="53">
        <v>24716.63</v>
      </c>
      <c r="J224" s="49"/>
      <c r="R224" s="44">
        <v>191</v>
      </c>
      <c r="S224" s="44">
        <v>57.399999999999991</v>
      </c>
      <c r="T224" s="44">
        <v>227</v>
      </c>
      <c r="U224" s="44">
        <v>9220</v>
      </c>
      <c r="V224" s="44">
        <v>74001</v>
      </c>
      <c r="W224" s="44">
        <v>1431</v>
      </c>
    </row>
    <row r="225" spans="1:23" x14ac:dyDescent="0.2">
      <c r="A225" s="50">
        <f t="shared" si="3"/>
        <v>45515</v>
      </c>
      <c r="B225" s="51">
        <v>5973</v>
      </c>
      <c r="C225" s="52">
        <v>4278</v>
      </c>
      <c r="D225" s="52">
        <v>2635</v>
      </c>
      <c r="E225" s="52">
        <v>2617</v>
      </c>
      <c r="F225" s="52">
        <v>3614</v>
      </c>
      <c r="G225" s="52">
        <v>5239</v>
      </c>
      <c r="H225" s="52">
        <v>2796</v>
      </c>
      <c r="I225" s="53">
        <v>21560</v>
      </c>
      <c r="J225" s="49"/>
      <c r="R225" s="44">
        <v>186</v>
      </c>
      <c r="S225" s="44">
        <v>54</v>
      </c>
      <c r="T225" s="44">
        <v>218</v>
      </c>
      <c r="U225" s="44">
        <v>8770</v>
      </c>
      <c r="V225" s="44">
        <v>81339</v>
      </c>
      <c r="W225" s="44">
        <v>1432</v>
      </c>
    </row>
    <row r="226" spans="1:23" x14ac:dyDescent="0.2">
      <c r="A226" s="50">
        <f t="shared" si="3"/>
        <v>45516</v>
      </c>
      <c r="B226" s="51">
        <v>5985.64</v>
      </c>
      <c r="C226" s="52">
        <v>4768.0200000000004</v>
      </c>
      <c r="D226" s="52">
        <v>3001.46</v>
      </c>
      <c r="E226" s="52">
        <v>2790.11</v>
      </c>
      <c r="F226" s="52">
        <v>3881.28</v>
      </c>
      <c r="G226" s="52">
        <v>6590.94</v>
      </c>
      <c r="H226" s="52">
        <v>3675.1000000000004</v>
      </c>
      <c r="I226" s="53">
        <v>23342.35</v>
      </c>
      <c r="J226" s="49"/>
      <c r="R226" s="44">
        <v>195.24</v>
      </c>
      <c r="S226" s="44">
        <v>62.5</v>
      </c>
      <c r="T226" s="44">
        <v>241</v>
      </c>
      <c r="U226" s="44">
        <v>9654</v>
      </c>
      <c r="V226" s="44">
        <v>89447</v>
      </c>
      <c r="W226" s="44">
        <v>1546</v>
      </c>
    </row>
    <row r="227" spans="1:23" x14ac:dyDescent="0.2">
      <c r="A227" s="50">
        <f t="shared" si="3"/>
        <v>45517</v>
      </c>
      <c r="B227" s="51">
        <v>6471.9</v>
      </c>
      <c r="C227" s="52">
        <v>4664.96</v>
      </c>
      <c r="D227" s="52">
        <v>2968.16</v>
      </c>
      <c r="E227" s="52">
        <v>4190.6099999999997</v>
      </c>
      <c r="F227" s="52">
        <v>4405.82</v>
      </c>
      <c r="G227" s="52">
        <v>6455.51</v>
      </c>
      <c r="H227" s="52">
        <v>3582.0299999999997</v>
      </c>
      <c r="I227" s="53">
        <v>25574.93</v>
      </c>
      <c r="J227" s="49"/>
      <c r="R227" s="44">
        <v>190.89</v>
      </c>
      <c r="S227" s="44">
        <v>60.7</v>
      </c>
      <c r="T227" s="44">
        <v>241</v>
      </c>
      <c r="U227" s="44">
        <v>9331</v>
      </c>
      <c r="V227" s="44">
        <v>97403</v>
      </c>
      <c r="W227" s="44">
        <v>1375</v>
      </c>
    </row>
    <row r="228" spans="1:23" x14ac:dyDescent="0.2">
      <c r="A228" s="50">
        <f t="shared" si="3"/>
        <v>45518</v>
      </c>
      <c r="B228" s="51">
        <v>6089.26</v>
      </c>
      <c r="C228" s="52">
        <v>4600.17</v>
      </c>
      <c r="D228" s="52">
        <v>2898.99</v>
      </c>
      <c r="E228" s="52">
        <v>3568.72</v>
      </c>
      <c r="F228" s="52">
        <v>4247.1000000000004</v>
      </c>
      <c r="G228" s="52">
        <v>6612.26</v>
      </c>
      <c r="H228" s="52">
        <v>3813.26</v>
      </c>
      <c r="I228" s="53">
        <v>24203.239999999998</v>
      </c>
      <c r="J228" s="49"/>
      <c r="R228" s="44">
        <v>190.67</v>
      </c>
      <c r="S228" s="44">
        <v>56.7</v>
      </c>
      <c r="T228" s="44">
        <v>225</v>
      </c>
      <c r="U228" s="44">
        <v>8872</v>
      </c>
      <c r="V228" s="44">
        <v>104831</v>
      </c>
      <c r="W228" s="44">
        <v>1444</v>
      </c>
    </row>
    <row r="229" spans="1:23" x14ac:dyDescent="0.2">
      <c r="A229" s="50">
        <f t="shared" si="3"/>
        <v>45519</v>
      </c>
      <c r="B229" s="51">
        <v>6087</v>
      </c>
      <c r="C229" s="52">
        <v>4584</v>
      </c>
      <c r="D229" s="52">
        <v>2653</v>
      </c>
      <c r="E229" s="52">
        <v>3628</v>
      </c>
      <c r="F229" s="52">
        <v>4143</v>
      </c>
      <c r="G229" s="52">
        <v>6412</v>
      </c>
      <c r="H229" s="52">
        <v>3387</v>
      </c>
      <c r="I229" s="53">
        <v>24120</v>
      </c>
      <c r="J229" s="49"/>
      <c r="R229" s="44">
        <v>192.8</v>
      </c>
      <c r="S229" s="44">
        <v>59.300000000000004</v>
      </c>
      <c r="T229" s="44">
        <v>222</v>
      </c>
      <c r="U229" s="44">
        <v>8952</v>
      </c>
      <c r="V229" s="44">
        <v>112350</v>
      </c>
      <c r="W229" s="44">
        <v>1433</v>
      </c>
    </row>
    <row r="230" spans="1:23" x14ac:dyDescent="0.2">
      <c r="A230" s="50">
        <f t="shared" si="3"/>
        <v>45520</v>
      </c>
      <c r="B230" s="51">
        <v>6397.8</v>
      </c>
      <c r="C230" s="52">
        <v>4463.9799999999996</v>
      </c>
      <c r="D230" s="52">
        <v>2624.99</v>
      </c>
      <c r="E230" s="52">
        <v>4227.74</v>
      </c>
      <c r="F230" s="52">
        <v>4464.4399999999996</v>
      </c>
      <c r="G230" s="52">
        <v>6255.11</v>
      </c>
      <c r="H230" s="52">
        <v>3259.3899999999994</v>
      </c>
      <c r="I230" s="53">
        <v>25174.67</v>
      </c>
      <c r="J230" s="49"/>
      <c r="R230" s="44">
        <v>177.97</v>
      </c>
      <c r="S230" s="44">
        <v>56.5</v>
      </c>
      <c r="T230" s="44">
        <v>218</v>
      </c>
      <c r="U230" s="44">
        <v>8484</v>
      </c>
      <c r="V230" s="44">
        <v>119525</v>
      </c>
      <c r="W230" s="44">
        <v>1309</v>
      </c>
    </row>
    <row r="231" spans="1:23" x14ac:dyDescent="0.2">
      <c r="A231" s="50">
        <f t="shared" si="3"/>
        <v>45521</v>
      </c>
      <c r="B231" s="51">
        <v>6216.3</v>
      </c>
      <c r="C231" s="52">
        <v>3987.76</v>
      </c>
      <c r="D231" s="52">
        <v>2290.04</v>
      </c>
      <c r="E231" s="52">
        <v>3814.9</v>
      </c>
      <c r="F231" s="52">
        <v>4094.9</v>
      </c>
      <c r="G231" s="52">
        <v>4776.1400000000003</v>
      </c>
      <c r="H231" s="52">
        <v>2243.4200000000005</v>
      </c>
      <c r="I231" s="53">
        <v>22936.62</v>
      </c>
      <c r="J231" s="49"/>
      <c r="R231" s="44">
        <v>170</v>
      </c>
      <c r="S231" s="44">
        <v>56</v>
      </c>
      <c r="T231" s="44">
        <v>220</v>
      </c>
      <c r="U231" s="44">
        <v>8857</v>
      </c>
      <c r="V231" s="44">
        <v>126942</v>
      </c>
      <c r="W231" s="44">
        <v>1440</v>
      </c>
    </row>
    <row r="232" spans="1:23" x14ac:dyDescent="0.2">
      <c r="A232" s="50">
        <f t="shared" si="3"/>
        <v>45522</v>
      </c>
      <c r="B232" s="51">
        <v>5612.93</v>
      </c>
      <c r="C232" s="52">
        <v>4078.58</v>
      </c>
      <c r="D232" s="52">
        <v>2176.54</v>
      </c>
      <c r="E232" s="52">
        <v>2805.45</v>
      </c>
      <c r="F232" s="52">
        <v>3508.3</v>
      </c>
      <c r="G232" s="52">
        <v>5138.7299999999996</v>
      </c>
      <c r="H232" s="52">
        <v>2445.75</v>
      </c>
      <c r="I232" s="53">
        <v>20874.78</v>
      </c>
      <c r="J232" s="49"/>
      <c r="R232" s="44">
        <v>171</v>
      </c>
      <c r="S232" s="44">
        <v>55.6</v>
      </c>
      <c r="T232" s="44">
        <v>216</v>
      </c>
      <c r="U232" s="44">
        <v>9374</v>
      </c>
      <c r="V232" s="44">
        <v>134840</v>
      </c>
      <c r="W232" s="44">
        <v>1476</v>
      </c>
    </row>
    <row r="233" spans="1:23" x14ac:dyDescent="0.2">
      <c r="A233" s="50">
        <f t="shared" si="3"/>
        <v>45523</v>
      </c>
      <c r="B233" s="51">
        <v>6015</v>
      </c>
      <c r="C233" s="52">
        <v>4520</v>
      </c>
      <c r="D233" s="52">
        <v>2628</v>
      </c>
      <c r="E233" s="52">
        <v>3708</v>
      </c>
      <c r="F233" s="52">
        <v>4041</v>
      </c>
      <c r="G233" s="52">
        <v>6235</v>
      </c>
      <c r="H233" s="52">
        <v>3402</v>
      </c>
      <c r="I233" s="53">
        <v>23745</v>
      </c>
      <c r="J233" s="49"/>
      <c r="R233" s="44">
        <v>170</v>
      </c>
      <c r="S233" s="44">
        <v>53.8</v>
      </c>
      <c r="T233" s="44">
        <v>229</v>
      </c>
      <c r="U233" s="44">
        <v>8732</v>
      </c>
      <c r="V233" s="44">
        <v>142143</v>
      </c>
      <c r="W233" s="44">
        <v>1429</v>
      </c>
    </row>
    <row r="234" spans="1:23" x14ac:dyDescent="0.2">
      <c r="A234" s="50">
        <f t="shared" si="3"/>
        <v>45524</v>
      </c>
      <c r="B234" s="51">
        <v>5760.45</v>
      </c>
      <c r="C234" s="52">
        <v>4727.93</v>
      </c>
      <c r="D234" s="52">
        <v>2667.25</v>
      </c>
      <c r="E234" s="52">
        <v>3923.47</v>
      </c>
      <c r="F234" s="52">
        <v>3995.52</v>
      </c>
      <c r="G234" s="52">
        <v>6553.16</v>
      </c>
      <c r="H234" s="52">
        <v>3432.43</v>
      </c>
      <c r="I234" s="53">
        <v>24195.350000000002</v>
      </c>
      <c r="J234" s="49"/>
      <c r="R234" s="44">
        <v>181</v>
      </c>
      <c r="S234" s="44">
        <v>57.2</v>
      </c>
      <c r="T234" s="44">
        <v>223</v>
      </c>
      <c r="U234" s="44">
        <v>8799</v>
      </c>
      <c r="V234" s="44">
        <v>149597</v>
      </c>
      <c r="W234" s="44">
        <v>1345</v>
      </c>
    </row>
    <row r="235" spans="1:23" x14ac:dyDescent="0.2">
      <c r="A235" s="50">
        <f t="shared" si="3"/>
        <v>45525</v>
      </c>
      <c r="B235" s="51">
        <v>6653.34</v>
      </c>
      <c r="C235" s="52">
        <v>4799.3500000000004</v>
      </c>
      <c r="D235" s="52">
        <v>2929.16</v>
      </c>
      <c r="E235" s="52">
        <v>4577.92</v>
      </c>
      <c r="F235" s="52">
        <v>4667.76</v>
      </c>
      <c r="G235" s="52">
        <v>6614.77</v>
      </c>
      <c r="H235" s="52">
        <v>3494.7</v>
      </c>
      <c r="I235" s="53">
        <v>26747.599999999999</v>
      </c>
      <c r="J235" s="49"/>
      <c r="R235" s="44">
        <v>187.1</v>
      </c>
      <c r="S235" s="44">
        <v>60.099999999999994</v>
      </c>
      <c r="T235" s="44">
        <v>230</v>
      </c>
      <c r="U235" s="44">
        <v>10108</v>
      </c>
      <c r="V235" s="44">
        <v>158262</v>
      </c>
      <c r="W235" s="44">
        <v>1443</v>
      </c>
    </row>
    <row r="236" spans="1:23" x14ac:dyDescent="0.2">
      <c r="A236" s="50">
        <f t="shared" si="3"/>
        <v>45526</v>
      </c>
      <c r="B236" s="51">
        <v>6190.3</v>
      </c>
      <c r="C236" s="52">
        <v>4694.84</v>
      </c>
      <c r="D236" s="52">
        <v>2852.86</v>
      </c>
      <c r="E236" s="52">
        <v>4161.68</v>
      </c>
      <c r="F236" s="52">
        <v>4237.67</v>
      </c>
      <c r="G236" s="52">
        <v>6738.28</v>
      </c>
      <c r="H236" s="52">
        <v>3661.2599999999998</v>
      </c>
      <c r="I236" s="53">
        <v>25214.37</v>
      </c>
      <c r="J236" s="49"/>
      <c r="R236" s="44">
        <v>192.99600000000001</v>
      </c>
      <c r="S236" s="44">
        <v>59.3</v>
      </c>
      <c r="T236" s="44">
        <v>230</v>
      </c>
      <c r="U236" s="44">
        <v>9406</v>
      </c>
      <c r="V236" s="44">
        <v>166243</v>
      </c>
      <c r="W236" s="44">
        <v>1425</v>
      </c>
    </row>
    <row r="237" spans="1:23" x14ac:dyDescent="0.2">
      <c r="A237" s="50">
        <f t="shared" si="3"/>
        <v>45527</v>
      </c>
      <c r="B237" s="51">
        <v>6213</v>
      </c>
      <c r="C237" s="52">
        <v>4685</v>
      </c>
      <c r="D237" s="52">
        <v>2640</v>
      </c>
      <c r="E237" s="52">
        <v>3772</v>
      </c>
      <c r="F237" s="52">
        <v>3959</v>
      </c>
      <c r="G237" s="52">
        <v>6329</v>
      </c>
      <c r="H237" s="52">
        <v>3382</v>
      </c>
      <c r="I237" s="53">
        <v>24216</v>
      </c>
      <c r="J237" s="49"/>
      <c r="R237" s="44">
        <v>189.9</v>
      </c>
      <c r="S237" s="44">
        <v>59.899999999999991</v>
      </c>
      <c r="T237" s="44">
        <v>237</v>
      </c>
      <c r="U237" s="44">
        <v>9484</v>
      </c>
      <c r="V237" s="44">
        <v>174345</v>
      </c>
      <c r="W237" s="44">
        <v>1382</v>
      </c>
    </row>
    <row r="238" spans="1:23" x14ac:dyDescent="0.2">
      <c r="A238" s="50">
        <f t="shared" si="3"/>
        <v>45528</v>
      </c>
      <c r="B238" s="51">
        <v>6414.15</v>
      </c>
      <c r="C238" s="52">
        <v>4319.8999999999996</v>
      </c>
      <c r="D238" s="52">
        <v>2583.71</v>
      </c>
      <c r="E238" s="52">
        <v>4374.6400000000003</v>
      </c>
      <c r="F238" s="52">
        <v>4619.59</v>
      </c>
      <c r="G238" s="52">
        <v>5207.57</v>
      </c>
      <c r="H238" s="52">
        <v>2676.1</v>
      </c>
      <c r="I238" s="53">
        <v>24843.46</v>
      </c>
      <c r="J238" s="49"/>
      <c r="R238" s="44">
        <v>189</v>
      </c>
      <c r="S238" s="44">
        <v>62.1</v>
      </c>
      <c r="T238" s="44">
        <v>238</v>
      </c>
      <c r="U238" s="44">
        <v>10354</v>
      </c>
      <c r="V238" s="44">
        <v>183229</v>
      </c>
      <c r="W238" s="44">
        <v>1470</v>
      </c>
    </row>
    <row r="239" spans="1:23" x14ac:dyDescent="0.2">
      <c r="A239" s="50">
        <f t="shared" si="3"/>
        <v>45529</v>
      </c>
      <c r="B239" s="51">
        <v>6110.42</v>
      </c>
      <c r="C239" s="52">
        <v>4420.9399999999996</v>
      </c>
      <c r="D239" s="52">
        <v>2499.58</v>
      </c>
      <c r="E239" s="52">
        <v>3464.53</v>
      </c>
      <c r="F239" s="52">
        <v>3832.82</v>
      </c>
      <c r="G239" s="52">
        <v>5415.12</v>
      </c>
      <c r="H239" s="52">
        <v>2757.9199999999996</v>
      </c>
      <c r="I239" s="53">
        <v>22985.49</v>
      </c>
      <c r="J239" s="49"/>
      <c r="R239" s="44">
        <v>174</v>
      </c>
      <c r="S239" s="44">
        <v>57.2</v>
      </c>
      <c r="T239" s="44">
        <v>230</v>
      </c>
      <c r="U239" s="44">
        <v>8987</v>
      </c>
      <c r="V239" s="44">
        <v>190809</v>
      </c>
      <c r="W239" s="44">
        <v>1407</v>
      </c>
    </row>
    <row r="240" spans="1:23" x14ac:dyDescent="0.2">
      <c r="A240" s="50">
        <f t="shared" si="3"/>
        <v>45530</v>
      </c>
      <c r="B240" s="51">
        <v>6009.86</v>
      </c>
      <c r="C240" s="52">
        <v>4605.55</v>
      </c>
      <c r="D240" s="52">
        <v>2764.14</v>
      </c>
      <c r="E240" s="52">
        <v>2940.16</v>
      </c>
      <c r="F240" s="52">
        <v>4178.4399999999996</v>
      </c>
      <c r="G240" s="52">
        <v>6362.26</v>
      </c>
      <c r="H240" s="52">
        <v>3524.9100000000003</v>
      </c>
      <c r="I240" s="53">
        <v>23335.499999999996</v>
      </c>
      <c r="J240" s="49"/>
      <c r="R240" s="44">
        <v>189</v>
      </c>
      <c r="S240" s="44">
        <v>61.2</v>
      </c>
      <c r="T240" s="44">
        <v>235</v>
      </c>
      <c r="U240" s="44">
        <v>9241</v>
      </c>
      <c r="V240" s="44">
        <v>198581</v>
      </c>
      <c r="W240" s="44">
        <v>1469</v>
      </c>
    </row>
    <row r="241" spans="1:23" x14ac:dyDescent="0.2">
      <c r="A241" s="50">
        <f t="shared" si="3"/>
        <v>45531</v>
      </c>
      <c r="B241" s="51">
        <v>6333</v>
      </c>
      <c r="C241" s="52">
        <v>4799</v>
      </c>
      <c r="D241" s="52">
        <v>2661</v>
      </c>
      <c r="E241" s="52">
        <v>2883</v>
      </c>
      <c r="F241" s="52">
        <v>4743</v>
      </c>
      <c r="G241" s="52">
        <v>6329</v>
      </c>
      <c r="H241" s="52">
        <v>3447</v>
      </c>
      <c r="I241" s="53">
        <v>24301</v>
      </c>
      <c r="J241" s="49"/>
      <c r="R241" s="44">
        <v>189</v>
      </c>
      <c r="S241" s="44">
        <v>61.1</v>
      </c>
      <c r="T241" s="44">
        <v>260</v>
      </c>
      <c r="U241" s="44">
        <v>9414</v>
      </c>
      <c r="V241" s="44">
        <v>206521</v>
      </c>
      <c r="W241" s="44">
        <v>1474</v>
      </c>
    </row>
    <row r="242" spans="1:23" x14ac:dyDescent="0.2">
      <c r="A242" s="50">
        <f t="shared" si="3"/>
        <v>45532</v>
      </c>
      <c r="B242" s="51">
        <v>6216.05</v>
      </c>
      <c r="C242" s="52">
        <v>4703.21</v>
      </c>
      <c r="D242" s="52">
        <v>2687.19</v>
      </c>
      <c r="E242" s="52">
        <v>3576.34</v>
      </c>
      <c r="F242" s="52">
        <v>4362.1400000000003</v>
      </c>
      <c r="G242" s="52">
        <v>6065.26</v>
      </c>
      <c r="H242" s="52">
        <v>3274.12</v>
      </c>
      <c r="I242" s="53">
        <v>24336.070000000003</v>
      </c>
      <c r="J242" s="49"/>
      <c r="R242" s="44">
        <v>172</v>
      </c>
      <c r="S242" s="44">
        <v>55.699999999999996</v>
      </c>
      <c r="T242" s="44">
        <v>210</v>
      </c>
      <c r="U242" s="44">
        <v>8781</v>
      </c>
      <c r="V242" s="44">
        <v>213789</v>
      </c>
      <c r="W242" s="44">
        <v>1513</v>
      </c>
    </row>
    <row r="243" spans="1:23" x14ac:dyDescent="0.2">
      <c r="A243" s="50">
        <f t="shared" si="3"/>
        <v>45533</v>
      </c>
      <c r="B243" s="51">
        <v>6461.96</v>
      </c>
      <c r="C243" s="52">
        <v>4860.04</v>
      </c>
      <c r="D243" s="52">
        <v>2705.19</v>
      </c>
      <c r="E243" s="52">
        <v>3423.71</v>
      </c>
      <c r="F243" s="52">
        <v>4637.55</v>
      </c>
      <c r="G243" s="52">
        <v>6399.26</v>
      </c>
      <c r="H243" s="52">
        <v>3492.69</v>
      </c>
      <c r="I243" s="53">
        <v>24995.02</v>
      </c>
      <c r="J243" s="49"/>
      <c r="R243" s="44">
        <v>172</v>
      </c>
      <c r="S243" s="44">
        <v>57.3</v>
      </c>
      <c r="T243" s="44">
        <v>230</v>
      </c>
      <c r="U243" s="44">
        <v>8695</v>
      </c>
      <c r="V243" s="44">
        <v>221006</v>
      </c>
      <c r="W243" s="44">
        <v>1478</v>
      </c>
    </row>
    <row r="244" spans="1:23" x14ac:dyDescent="0.2">
      <c r="A244" s="50">
        <f t="shared" si="3"/>
        <v>45534</v>
      </c>
      <c r="B244" s="51">
        <v>6315.7</v>
      </c>
      <c r="C244" s="52">
        <v>4779.66</v>
      </c>
      <c r="D244" s="52">
        <v>2710.56</v>
      </c>
      <c r="E244" s="52">
        <v>3057.02</v>
      </c>
      <c r="F244" s="52">
        <v>4556.04</v>
      </c>
      <c r="G244" s="52">
        <v>6383.46</v>
      </c>
      <c r="H244" s="52">
        <v>3441.8700000000003</v>
      </c>
      <c r="I244" s="53">
        <v>24360.57</v>
      </c>
      <c r="J244" s="49"/>
      <c r="R244" s="44">
        <v>185</v>
      </c>
      <c r="S244" s="44">
        <v>58.899999999999991</v>
      </c>
      <c r="T244" s="44">
        <v>232</v>
      </c>
      <c r="U244" s="44">
        <v>9048</v>
      </c>
      <c r="V244" s="44">
        <v>228592</v>
      </c>
      <c r="W244" s="44">
        <v>1462</v>
      </c>
    </row>
    <row r="245" spans="1:23" x14ac:dyDescent="0.2">
      <c r="A245" s="50">
        <f t="shared" si="3"/>
        <v>45535</v>
      </c>
      <c r="B245" s="51">
        <v>6955</v>
      </c>
      <c r="C245" s="52">
        <v>4601</v>
      </c>
      <c r="D245" s="52">
        <v>2573</v>
      </c>
      <c r="E245" s="52">
        <v>3417</v>
      </c>
      <c r="F245" s="52">
        <v>5798</v>
      </c>
      <c r="G245" s="52">
        <v>5295</v>
      </c>
      <c r="H245" s="52">
        <v>2732</v>
      </c>
      <c r="I245" s="53">
        <v>25907</v>
      </c>
      <c r="J245" s="49"/>
      <c r="R245" s="44">
        <v>200</v>
      </c>
      <c r="S245" s="44">
        <v>61.2</v>
      </c>
      <c r="T245" s="44">
        <v>236</v>
      </c>
      <c r="U245" s="44">
        <v>9460</v>
      </c>
      <c r="V245" s="44">
        <v>236607</v>
      </c>
      <c r="W245" s="44">
        <v>1445</v>
      </c>
    </row>
    <row r="246" spans="1:23" x14ac:dyDescent="0.2">
      <c r="A246" s="50">
        <f t="shared" si="3"/>
        <v>45536</v>
      </c>
      <c r="B246" s="51">
        <v>5941.84</v>
      </c>
      <c r="C246" s="52">
        <v>4453.1400000000003</v>
      </c>
      <c r="D246" s="52">
        <v>2367.77</v>
      </c>
      <c r="E246" s="52">
        <v>3399.79</v>
      </c>
      <c r="F246" s="52">
        <v>4946.84</v>
      </c>
      <c r="G246" s="52">
        <v>5374.1</v>
      </c>
      <c r="H246" s="52">
        <v>2490.2699999999995</v>
      </c>
      <c r="I246" s="53">
        <v>23993.210000000003</v>
      </c>
      <c r="J246" s="49"/>
      <c r="R246" s="44">
        <v>160</v>
      </c>
      <c r="S246" s="44">
        <v>55.3</v>
      </c>
      <c r="T246" s="44">
        <v>208</v>
      </c>
      <c r="U246" s="44">
        <v>9119</v>
      </c>
      <c r="V246" s="44">
        <v>7680</v>
      </c>
      <c r="W246" s="44">
        <v>1439</v>
      </c>
    </row>
    <row r="247" spans="1:23" x14ac:dyDescent="0.2">
      <c r="A247" s="50">
        <f t="shared" si="3"/>
        <v>45537</v>
      </c>
      <c r="B247" s="51">
        <v>6597</v>
      </c>
      <c r="C247" s="52">
        <v>4871</v>
      </c>
      <c r="D247" s="52">
        <v>2779</v>
      </c>
      <c r="E247" s="52">
        <v>2799</v>
      </c>
      <c r="F247" s="52">
        <v>4559</v>
      </c>
      <c r="G247" s="52">
        <v>6382</v>
      </c>
      <c r="H247" s="52">
        <v>3489.27</v>
      </c>
      <c r="I247" s="53">
        <v>24497.73</v>
      </c>
      <c r="J247" s="49"/>
      <c r="R247" s="44">
        <v>202.66</v>
      </c>
      <c r="S247" s="44">
        <v>60.900000000000006</v>
      </c>
      <c r="T247" s="44">
        <v>273</v>
      </c>
      <c r="U247" s="44">
        <v>9776</v>
      </c>
      <c r="V247" s="44">
        <v>16041</v>
      </c>
      <c r="W247" s="44">
        <v>1415</v>
      </c>
    </row>
    <row r="248" spans="1:23" x14ac:dyDescent="0.2">
      <c r="A248" s="50">
        <f t="shared" si="3"/>
        <v>45538</v>
      </c>
      <c r="B248" s="51">
        <v>6700.34</v>
      </c>
      <c r="C248" s="52">
        <v>4652.3599999999997</v>
      </c>
      <c r="D248" s="52">
        <v>2842.8</v>
      </c>
      <c r="E248" s="52">
        <v>2823.78</v>
      </c>
      <c r="F248" s="52">
        <v>4620.92</v>
      </c>
      <c r="G248" s="52">
        <v>6712.67</v>
      </c>
      <c r="H248" s="52">
        <v>3822.9100000000003</v>
      </c>
      <c r="I248" s="53">
        <v>24529.959999999995</v>
      </c>
      <c r="J248" s="49"/>
      <c r="R248" s="44">
        <v>183.58</v>
      </c>
      <c r="S248" s="44">
        <v>58.3</v>
      </c>
      <c r="T248" s="44">
        <v>256</v>
      </c>
      <c r="U248" s="44">
        <v>9115</v>
      </c>
      <c r="V248" s="44">
        <v>23699</v>
      </c>
      <c r="W248" s="44">
        <v>1457</v>
      </c>
    </row>
    <row r="249" spans="1:23" x14ac:dyDescent="0.2">
      <c r="A249" s="50">
        <f t="shared" si="3"/>
        <v>45539</v>
      </c>
      <c r="B249" s="51">
        <v>6495</v>
      </c>
      <c r="C249" s="52">
        <v>4857</v>
      </c>
      <c r="D249" s="52">
        <v>2773</v>
      </c>
      <c r="E249" s="52">
        <v>2797</v>
      </c>
      <c r="F249" s="52">
        <v>4570</v>
      </c>
      <c r="G249" s="52">
        <v>6938</v>
      </c>
      <c r="H249" s="52">
        <v>3880</v>
      </c>
      <c r="I249" s="53">
        <v>24550</v>
      </c>
      <c r="J249" s="49"/>
      <c r="R249" s="44">
        <v>160.1</v>
      </c>
      <c r="S249" s="44">
        <v>56.699999999999996</v>
      </c>
      <c r="T249" s="44">
        <v>250</v>
      </c>
      <c r="U249" s="44">
        <v>9035</v>
      </c>
      <c r="V249" s="44">
        <v>31312</v>
      </c>
      <c r="W249" s="44">
        <v>1422</v>
      </c>
    </row>
    <row r="250" spans="1:23" x14ac:dyDescent="0.2">
      <c r="A250" s="50">
        <f t="shared" si="3"/>
        <v>45540</v>
      </c>
      <c r="B250" s="51">
        <v>6289.81</v>
      </c>
      <c r="C250" s="52">
        <v>4763.5600000000004</v>
      </c>
      <c r="D250" s="52">
        <v>2834.49</v>
      </c>
      <c r="E250" s="52">
        <v>3195.7</v>
      </c>
      <c r="F250" s="52">
        <v>4254.5200000000004</v>
      </c>
      <c r="G250" s="52">
        <v>7041.38</v>
      </c>
      <c r="H250" s="52">
        <v>3850.5999999999995</v>
      </c>
      <c r="I250" s="53">
        <v>24528.860000000004</v>
      </c>
      <c r="J250" s="49"/>
      <c r="R250" s="44">
        <v>170.11</v>
      </c>
      <c r="S250" s="44">
        <v>53.2</v>
      </c>
      <c r="T250" s="44">
        <v>246</v>
      </c>
      <c r="U250" s="44">
        <v>8656</v>
      </c>
      <c r="V250" s="44">
        <v>38466</v>
      </c>
      <c r="W250" s="44">
        <v>1502</v>
      </c>
    </row>
    <row r="251" spans="1:23" x14ac:dyDescent="0.2">
      <c r="A251" s="50">
        <f t="shared" si="3"/>
        <v>45541</v>
      </c>
      <c r="B251" s="51">
        <v>6605.32</v>
      </c>
      <c r="C251" s="52">
        <v>4654.32</v>
      </c>
      <c r="D251" s="52">
        <v>2752.7</v>
      </c>
      <c r="E251" s="52">
        <v>3186.66</v>
      </c>
      <c r="F251" s="52">
        <v>3886.63</v>
      </c>
      <c r="G251" s="52">
        <v>6850.14</v>
      </c>
      <c r="H251" s="52">
        <v>3615.5099999999998</v>
      </c>
      <c r="I251" s="53">
        <v>24320.260000000002</v>
      </c>
      <c r="J251" s="49"/>
      <c r="R251" s="44">
        <v>172.62</v>
      </c>
      <c r="S251" s="44">
        <v>58.400000000000006</v>
      </c>
      <c r="T251" s="44">
        <v>260</v>
      </c>
      <c r="U251" s="44">
        <v>9290</v>
      </c>
      <c r="V251" s="44">
        <v>46300</v>
      </c>
      <c r="W251" s="44">
        <v>1456</v>
      </c>
    </row>
    <row r="252" spans="1:23" x14ac:dyDescent="0.2">
      <c r="A252" s="50">
        <f t="shared" si="3"/>
        <v>45542</v>
      </c>
      <c r="B252" s="51">
        <v>6149.04</v>
      </c>
      <c r="C252" s="52">
        <v>4361.1000000000004</v>
      </c>
      <c r="D252" s="52">
        <v>2571.9899999999998</v>
      </c>
      <c r="E252" s="52">
        <v>3083.81</v>
      </c>
      <c r="F252" s="52">
        <v>3812.75</v>
      </c>
      <c r="G252" s="52">
        <v>5242.75</v>
      </c>
      <c r="H252" s="52">
        <v>2556.23</v>
      </c>
      <c r="I252" s="53">
        <v>22665.21</v>
      </c>
      <c r="J252" s="49"/>
      <c r="R252" s="44">
        <v>158.98500000000001</v>
      </c>
      <c r="S252" s="44">
        <v>53.2</v>
      </c>
      <c r="T252" s="44">
        <v>241</v>
      </c>
      <c r="U252" s="44">
        <v>8744</v>
      </c>
      <c r="V252" s="44">
        <v>53575</v>
      </c>
      <c r="W252" s="44">
        <v>1469</v>
      </c>
    </row>
    <row r="253" spans="1:23" x14ac:dyDescent="0.2">
      <c r="A253" s="50">
        <f t="shared" si="3"/>
        <v>45543</v>
      </c>
      <c r="B253" s="51">
        <v>6129</v>
      </c>
      <c r="C253" s="52">
        <v>4471</v>
      </c>
      <c r="D253" s="52">
        <v>2444</v>
      </c>
      <c r="E253" s="52">
        <v>3309</v>
      </c>
      <c r="F253" s="52">
        <v>3806</v>
      </c>
      <c r="G253" s="52">
        <v>5247</v>
      </c>
      <c r="H253" s="52">
        <v>2482</v>
      </c>
      <c r="I253" s="53">
        <v>22924</v>
      </c>
      <c r="J253" s="49"/>
      <c r="R253" s="44">
        <v>174</v>
      </c>
      <c r="S253" s="44">
        <v>55.3</v>
      </c>
      <c r="T253" s="44">
        <v>251</v>
      </c>
      <c r="U253" s="44">
        <v>9035</v>
      </c>
      <c r="V253" s="44">
        <v>61073</v>
      </c>
      <c r="W253" s="44">
        <v>1537</v>
      </c>
    </row>
    <row r="254" spans="1:23" x14ac:dyDescent="0.2">
      <c r="A254" s="50">
        <f t="shared" si="3"/>
        <v>45544</v>
      </c>
      <c r="B254" s="51">
        <v>5927.25</v>
      </c>
      <c r="C254" s="52">
        <v>4756.68</v>
      </c>
      <c r="D254" s="52">
        <v>2602.81</v>
      </c>
      <c r="E254" s="52">
        <v>2873.36</v>
      </c>
      <c r="F254" s="52">
        <v>3862.29</v>
      </c>
      <c r="G254" s="52">
        <v>6074.4</v>
      </c>
      <c r="H254" s="52">
        <v>3104.52</v>
      </c>
      <c r="I254" s="53">
        <v>22992.27</v>
      </c>
      <c r="J254" s="49"/>
      <c r="R254" s="44">
        <v>172.29</v>
      </c>
      <c r="S254" s="44">
        <v>55.2</v>
      </c>
      <c r="T254" s="44">
        <v>254</v>
      </c>
      <c r="U254" s="44">
        <v>8910</v>
      </c>
      <c r="V254" s="44">
        <v>68538</v>
      </c>
      <c r="W254" s="44">
        <v>1445</v>
      </c>
    </row>
    <row r="255" spans="1:23" x14ac:dyDescent="0.2">
      <c r="A255" s="50">
        <f t="shared" si="3"/>
        <v>45545</v>
      </c>
      <c r="B255" s="51">
        <v>6436.7</v>
      </c>
      <c r="C255" s="52">
        <v>4910.8</v>
      </c>
      <c r="D255" s="52">
        <v>2706.5</v>
      </c>
      <c r="E255" s="52">
        <v>3190.3</v>
      </c>
      <c r="F255" s="52">
        <v>5088.17</v>
      </c>
      <c r="G255" s="52">
        <v>6334.76</v>
      </c>
      <c r="H255" s="52">
        <v>3317.8</v>
      </c>
      <c r="I255" s="53">
        <v>25349.430000000004</v>
      </c>
      <c r="J255" s="49"/>
      <c r="R255" s="44">
        <v>157.75</v>
      </c>
      <c r="S255" s="44">
        <v>55</v>
      </c>
      <c r="T255" s="44">
        <v>247</v>
      </c>
      <c r="U255" s="44">
        <v>8811</v>
      </c>
      <c r="V255" s="44">
        <v>75887</v>
      </c>
      <c r="W255" s="44">
        <v>1462</v>
      </c>
    </row>
    <row r="256" spans="1:23" x14ac:dyDescent="0.2">
      <c r="A256" s="50">
        <f t="shared" si="3"/>
        <v>45546</v>
      </c>
      <c r="B256" s="51">
        <v>6285.64</v>
      </c>
      <c r="C256" s="52">
        <v>4695.97</v>
      </c>
      <c r="D256" s="52">
        <v>2790.93</v>
      </c>
      <c r="E256" s="52">
        <v>2882.45</v>
      </c>
      <c r="F256" s="52">
        <v>4481.76</v>
      </c>
      <c r="G256" s="52">
        <v>6382.34</v>
      </c>
      <c r="H256" s="52">
        <v>3479.3500000000004</v>
      </c>
      <c r="I256" s="53">
        <v>24039.739999999998</v>
      </c>
      <c r="J256" s="49"/>
      <c r="R256" s="44">
        <v>158.41999999999999</v>
      </c>
      <c r="S256" s="44">
        <v>52.2</v>
      </c>
      <c r="T256" s="44">
        <v>241</v>
      </c>
      <c r="U256" s="44">
        <v>8603</v>
      </c>
      <c r="V256" s="44">
        <v>82996</v>
      </c>
      <c r="W256" s="44">
        <v>1494</v>
      </c>
    </row>
    <row r="257" spans="1:23" x14ac:dyDescent="0.2">
      <c r="A257" s="50">
        <f t="shared" si="3"/>
        <v>45547</v>
      </c>
      <c r="B257" s="51">
        <v>6290.9</v>
      </c>
      <c r="C257" s="52">
        <v>4829.42</v>
      </c>
      <c r="D257" s="52">
        <v>2875.18</v>
      </c>
      <c r="E257" s="52">
        <v>3035.26</v>
      </c>
      <c r="F257" s="52">
        <v>4498.17</v>
      </c>
      <c r="G257" s="52">
        <v>6729.09</v>
      </c>
      <c r="H257" s="52">
        <v>3866</v>
      </c>
      <c r="I257" s="53">
        <v>24392.02</v>
      </c>
      <c r="J257" s="49"/>
      <c r="R257" s="44">
        <v>174</v>
      </c>
      <c r="S257" s="44">
        <v>57.3</v>
      </c>
      <c r="T257" s="44">
        <v>259</v>
      </c>
      <c r="U257" s="44">
        <v>9299</v>
      </c>
      <c r="V257" s="44">
        <v>90821</v>
      </c>
      <c r="W257" s="44">
        <v>1474</v>
      </c>
    </row>
    <row r="258" spans="1:23" x14ac:dyDescent="0.2">
      <c r="A258" s="50">
        <f t="shared" si="3"/>
        <v>45548</v>
      </c>
      <c r="B258" s="51">
        <v>6256.65</v>
      </c>
      <c r="C258" s="52">
        <v>4721.21</v>
      </c>
      <c r="D258" s="52">
        <v>2822.25</v>
      </c>
      <c r="E258" s="52">
        <v>3211.65</v>
      </c>
      <c r="F258" s="52">
        <v>5198.3100000000004</v>
      </c>
      <c r="G258" s="52">
        <v>6619.32</v>
      </c>
      <c r="H258" s="52">
        <v>3755.8199999999997</v>
      </c>
      <c r="I258" s="53">
        <v>25073.570000000003</v>
      </c>
      <c r="J258" s="49"/>
      <c r="R258" s="44">
        <v>175.39</v>
      </c>
      <c r="S258" s="44">
        <v>58.099999999999994</v>
      </c>
      <c r="T258" s="44">
        <v>267</v>
      </c>
      <c r="U258" s="44">
        <v>9458</v>
      </c>
      <c r="V258" s="44">
        <v>98674</v>
      </c>
      <c r="W258" s="44">
        <v>1605</v>
      </c>
    </row>
    <row r="259" spans="1:23" x14ac:dyDescent="0.2">
      <c r="A259" s="50">
        <f t="shared" ref="A259:A322" si="4">A258+1</f>
        <v>45549</v>
      </c>
      <c r="B259" s="51">
        <v>5789.5</v>
      </c>
      <c r="C259" s="52">
        <v>4353</v>
      </c>
      <c r="D259" s="52">
        <v>2607.9</v>
      </c>
      <c r="E259" s="52">
        <v>2662.8</v>
      </c>
      <c r="F259" s="52">
        <v>3910.2</v>
      </c>
      <c r="G259" s="52">
        <v>5191.8999999999996</v>
      </c>
      <c r="H259" s="52">
        <v>2803.52</v>
      </c>
      <c r="I259" s="53">
        <v>21711.780000000002</v>
      </c>
      <c r="J259" s="49"/>
      <c r="R259" s="44">
        <v>173</v>
      </c>
      <c r="S259" s="44">
        <v>56.900000000000006</v>
      </c>
      <c r="T259" s="44">
        <v>261</v>
      </c>
      <c r="U259" s="44">
        <v>8989</v>
      </c>
      <c r="V259" s="44">
        <v>106167</v>
      </c>
      <c r="W259" s="44">
        <v>1496</v>
      </c>
    </row>
    <row r="260" spans="1:23" x14ac:dyDescent="0.2">
      <c r="A260" s="50">
        <f t="shared" si="4"/>
        <v>45550</v>
      </c>
      <c r="B260" s="51">
        <v>6065.17</v>
      </c>
      <c r="C260" s="52">
        <v>4246.67</v>
      </c>
      <c r="D260" s="52">
        <v>2493.8200000000002</v>
      </c>
      <c r="E260" s="52">
        <v>2484.77</v>
      </c>
      <c r="F260" s="52">
        <v>3684.89</v>
      </c>
      <c r="G260" s="52">
        <v>5156.8500000000004</v>
      </c>
      <c r="H260" s="52">
        <v>2757.92</v>
      </c>
      <c r="I260" s="53">
        <v>21374.25</v>
      </c>
      <c r="J260" s="49"/>
      <c r="R260" s="44">
        <v>149.71</v>
      </c>
      <c r="S260" s="44">
        <v>53.8</v>
      </c>
      <c r="T260" s="44">
        <v>236</v>
      </c>
      <c r="U260" s="44">
        <v>8594</v>
      </c>
      <c r="V260" s="44">
        <v>113338</v>
      </c>
      <c r="W260" s="44">
        <v>1423</v>
      </c>
    </row>
    <row r="261" spans="1:23" x14ac:dyDescent="0.2">
      <c r="A261" s="50">
        <f t="shared" si="4"/>
        <v>45551</v>
      </c>
      <c r="B261" s="51">
        <v>6445</v>
      </c>
      <c r="C261" s="52">
        <v>4743</v>
      </c>
      <c r="D261" s="52">
        <v>2741</v>
      </c>
      <c r="E261" s="52">
        <v>3124</v>
      </c>
      <c r="F261" s="52">
        <v>4936</v>
      </c>
      <c r="G261" s="52">
        <v>6345</v>
      </c>
      <c r="H261" s="52">
        <v>3364</v>
      </c>
      <c r="I261" s="53">
        <v>24970</v>
      </c>
      <c r="J261" s="49"/>
      <c r="R261" s="44">
        <v>166</v>
      </c>
      <c r="S261" s="44">
        <v>57.3</v>
      </c>
      <c r="T261" s="44">
        <v>259</v>
      </c>
      <c r="U261" s="44">
        <v>9112</v>
      </c>
      <c r="V261" s="44">
        <v>121004</v>
      </c>
      <c r="W261" s="44">
        <v>1446</v>
      </c>
    </row>
    <row r="262" spans="1:23" x14ac:dyDescent="0.2">
      <c r="A262" s="50">
        <f t="shared" si="4"/>
        <v>45552</v>
      </c>
      <c r="B262" s="51">
        <v>6143.96</v>
      </c>
      <c r="C262" s="52">
        <v>4722.57</v>
      </c>
      <c r="D262" s="52">
        <v>2946.18</v>
      </c>
      <c r="E262" s="52">
        <v>2895.88</v>
      </c>
      <c r="F262" s="52">
        <v>4454.93</v>
      </c>
      <c r="G262" s="52">
        <v>6088.12</v>
      </c>
      <c r="H262" s="52">
        <v>3209.26</v>
      </c>
      <c r="I262" s="53">
        <v>24042.379999999997</v>
      </c>
      <c r="J262" s="49"/>
      <c r="R262" s="44">
        <v>158.82999999999998</v>
      </c>
      <c r="S262" s="44">
        <v>56.7</v>
      </c>
      <c r="T262" s="44">
        <v>250</v>
      </c>
      <c r="U262" s="44">
        <v>9128</v>
      </c>
      <c r="V262" s="44">
        <v>128627</v>
      </c>
      <c r="W262" s="44">
        <v>1505</v>
      </c>
    </row>
    <row r="263" spans="1:23" x14ac:dyDescent="0.2">
      <c r="A263" s="50">
        <f t="shared" si="4"/>
        <v>45553</v>
      </c>
      <c r="B263" s="51">
        <v>6246.2</v>
      </c>
      <c r="C263" s="52">
        <v>4613.5</v>
      </c>
      <c r="D263" s="52">
        <v>2867.9</v>
      </c>
      <c r="E263" s="52">
        <v>2796.17</v>
      </c>
      <c r="F263" s="52">
        <v>4211.3</v>
      </c>
      <c r="G263" s="52">
        <v>6576.8</v>
      </c>
      <c r="H263" s="52">
        <v>3400.0499999999997</v>
      </c>
      <c r="I263" s="53">
        <v>23911.82</v>
      </c>
      <c r="J263" s="49"/>
      <c r="R263" s="44">
        <v>161.37</v>
      </c>
      <c r="S263" s="44">
        <v>57.099999999999994</v>
      </c>
      <c r="T263" s="44">
        <v>250</v>
      </c>
      <c r="U263" s="44">
        <v>8979</v>
      </c>
      <c r="V263" s="44">
        <v>136062</v>
      </c>
      <c r="W263" s="44">
        <v>1544</v>
      </c>
    </row>
    <row r="264" spans="1:23" x14ac:dyDescent="0.2">
      <c r="A264" s="50">
        <f t="shared" si="4"/>
        <v>45554</v>
      </c>
      <c r="B264" s="51">
        <v>6478.14</v>
      </c>
      <c r="C264" s="52">
        <v>4544</v>
      </c>
      <c r="D264" s="52">
        <v>2819.36</v>
      </c>
      <c r="E264" s="52">
        <v>2757.99</v>
      </c>
      <c r="F264" s="52">
        <v>4606.2</v>
      </c>
      <c r="G264" s="52">
        <v>6626.74</v>
      </c>
      <c r="H264" s="52">
        <v>3703.8199999999997</v>
      </c>
      <c r="I264" s="53">
        <v>24128.61</v>
      </c>
      <c r="J264" s="49"/>
      <c r="R264" s="44">
        <v>172.06</v>
      </c>
      <c r="S264" s="44">
        <v>59.5</v>
      </c>
      <c r="T264" s="44">
        <v>259</v>
      </c>
      <c r="U264" s="44">
        <v>9314</v>
      </c>
      <c r="V264" s="44">
        <v>143997</v>
      </c>
      <c r="W264" s="44">
        <v>1379</v>
      </c>
    </row>
    <row r="265" spans="1:23" x14ac:dyDescent="0.2">
      <c r="A265" s="50">
        <f t="shared" si="4"/>
        <v>45555</v>
      </c>
      <c r="B265" s="51">
        <v>6909</v>
      </c>
      <c r="C265" s="52">
        <v>4552</v>
      </c>
      <c r="D265" s="52">
        <v>2713</v>
      </c>
      <c r="E265" s="52">
        <v>3232</v>
      </c>
      <c r="F265" s="52">
        <v>5105</v>
      </c>
      <c r="G265" s="52">
        <v>6387</v>
      </c>
      <c r="H265" s="52">
        <v>3483</v>
      </c>
      <c r="I265" s="53">
        <v>25415</v>
      </c>
      <c r="J265" s="49"/>
      <c r="R265" s="44">
        <v>159</v>
      </c>
      <c r="S265" s="44">
        <v>53.6</v>
      </c>
      <c r="T265" s="44">
        <v>241</v>
      </c>
      <c r="U265" s="44">
        <v>8542</v>
      </c>
      <c r="V265" s="44">
        <v>151158</v>
      </c>
      <c r="W265" s="44">
        <v>1381</v>
      </c>
    </row>
    <row r="266" spans="1:23" x14ac:dyDescent="0.2">
      <c r="A266" s="50">
        <f t="shared" si="4"/>
        <v>45556</v>
      </c>
      <c r="B266" s="51">
        <v>6730.41</v>
      </c>
      <c r="C266" s="52">
        <v>4153.7299999999996</v>
      </c>
      <c r="D266" s="52">
        <v>2617.69</v>
      </c>
      <c r="E266" s="52">
        <v>3013.9</v>
      </c>
      <c r="F266" s="52">
        <v>4865</v>
      </c>
      <c r="G266" s="52">
        <v>5177.4399999999996</v>
      </c>
      <c r="H266" s="52">
        <v>2707.6499999999996</v>
      </c>
      <c r="I266" s="53">
        <v>23850.519999999997</v>
      </c>
      <c r="J266" s="49"/>
      <c r="R266" s="44">
        <v>153</v>
      </c>
      <c r="S266" s="44">
        <v>55.400000000000006</v>
      </c>
      <c r="T266" s="44">
        <v>239</v>
      </c>
      <c r="U266" s="44">
        <v>8826</v>
      </c>
      <c r="V266" s="44">
        <v>158434</v>
      </c>
      <c r="W266" s="44">
        <v>1550</v>
      </c>
    </row>
    <row r="267" spans="1:23" x14ac:dyDescent="0.2">
      <c r="A267" s="50">
        <f t="shared" si="4"/>
        <v>45557</v>
      </c>
      <c r="B267" s="51">
        <v>6588.41</v>
      </c>
      <c r="C267" s="52">
        <v>4250.49</v>
      </c>
      <c r="D267" s="52">
        <v>2730.99</v>
      </c>
      <c r="E267" s="52">
        <v>2787.15</v>
      </c>
      <c r="F267" s="52">
        <v>4475.38</v>
      </c>
      <c r="G267" s="52">
        <v>5625.36</v>
      </c>
      <c r="H267" s="52">
        <v>2896.7000000000003</v>
      </c>
      <c r="I267" s="53">
        <v>23561.079999999998</v>
      </c>
      <c r="J267" s="49"/>
      <c r="R267" s="44">
        <v>156.16999999999999</v>
      </c>
      <c r="S267" s="44">
        <v>55.3</v>
      </c>
      <c r="T267" s="44">
        <v>241</v>
      </c>
      <c r="U267" s="44">
        <v>8923</v>
      </c>
      <c r="V267" s="44">
        <v>165801</v>
      </c>
      <c r="W267" s="44">
        <v>1556</v>
      </c>
    </row>
    <row r="268" spans="1:23" x14ac:dyDescent="0.2">
      <c r="A268" s="50">
        <f t="shared" si="4"/>
        <v>45558</v>
      </c>
      <c r="B268" s="51">
        <v>6860.56</v>
      </c>
      <c r="C268" s="52">
        <v>4635.13</v>
      </c>
      <c r="D268" s="52">
        <v>3007.28</v>
      </c>
      <c r="E268" s="52">
        <v>2727.13</v>
      </c>
      <c r="F268" s="52">
        <v>4295.8599999999997</v>
      </c>
      <c r="G268" s="52">
        <v>7305.22</v>
      </c>
      <c r="H268" s="52">
        <v>3846.7000000000003</v>
      </c>
      <c r="I268" s="53">
        <v>24984.480000000003</v>
      </c>
      <c r="J268" s="49"/>
      <c r="R268" s="44">
        <v>196.71</v>
      </c>
      <c r="S268" s="44">
        <v>59.699999999999996</v>
      </c>
      <c r="T268" s="44">
        <v>266</v>
      </c>
      <c r="U268" s="44">
        <v>9572</v>
      </c>
      <c r="V268" s="44">
        <v>173746</v>
      </c>
      <c r="W268" s="44">
        <v>1627</v>
      </c>
    </row>
    <row r="269" spans="1:23" x14ac:dyDescent="0.2">
      <c r="A269" s="50">
        <f t="shared" si="4"/>
        <v>45559</v>
      </c>
      <c r="B269" s="51">
        <v>6467</v>
      </c>
      <c r="C269" s="52">
        <v>4697</v>
      </c>
      <c r="D269" s="52">
        <v>2996</v>
      </c>
      <c r="E269" s="52">
        <v>2905</v>
      </c>
      <c r="F269" s="52">
        <v>4182</v>
      </c>
      <c r="G269" s="52">
        <v>7225</v>
      </c>
      <c r="H269" s="52">
        <v>3710.79</v>
      </c>
      <c r="I269" s="53">
        <v>24761.21</v>
      </c>
      <c r="J269" s="49"/>
      <c r="R269" s="44">
        <v>162</v>
      </c>
      <c r="S269" s="44">
        <v>55.099999999999994</v>
      </c>
      <c r="T269" s="44">
        <v>246</v>
      </c>
      <c r="U269" s="44">
        <v>8964</v>
      </c>
      <c r="V269" s="44">
        <v>181135</v>
      </c>
      <c r="W269" s="44">
        <v>1575</v>
      </c>
    </row>
    <row r="270" spans="1:23" x14ac:dyDescent="0.2">
      <c r="A270" s="50">
        <f t="shared" si="4"/>
        <v>45560</v>
      </c>
      <c r="B270" s="51">
        <v>6338.94</v>
      </c>
      <c r="C270" s="52">
        <v>4602.8100000000004</v>
      </c>
      <c r="D270" s="52">
        <v>3059.75</v>
      </c>
      <c r="E270" s="52">
        <v>2426.65</v>
      </c>
      <c r="F270" s="52">
        <v>4957.3599999999997</v>
      </c>
      <c r="G270" s="52">
        <v>7098.5</v>
      </c>
      <c r="H270" s="52">
        <v>3694.05</v>
      </c>
      <c r="I270" s="53">
        <v>24789.960000000003</v>
      </c>
      <c r="J270" s="49"/>
      <c r="R270" s="44">
        <v>168.23</v>
      </c>
      <c r="S270" s="44">
        <v>55.8</v>
      </c>
      <c r="T270" s="44">
        <v>250</v>
      </c>
      <c r="U270" s="44">
        <v>9144</v>
      </c>
      <c r="V270" s="44">
        <v>188644</v>
      </c>
      <c r="W270" s="44">
        <v>1635</v>
      </c>
    </row>
    <row r="271" spans="1:23" x14ac:dyDescent="0.2">
      <c r="A271" s="50">
        <f t="shared" si="4"/>
        <v>45561</v>
      </c>
      <c r="B271" s="51">
        <v>6434.47</v>
      </c>
      <c r="C271" s="52">
        <v>4789.9799999999996</v>
      </c>
      <c r="D271" s="52">
        <v>2879.12</v>
      </c>
      <c r="E271" s="52">
        <v>2413.0100000000002</v>
      </c>
      <c r="F271" s="52">
        <v>5275.53</v>
      </c>
      <c r="G271" s="52">
        <v>6960.8</v>
      </c>
      <c r="H271" s="52">
        <v>3565.8999999999996</v>
      </c>
      <c r="I271" s="53">
        <v>25187.010000000002</v>
      </c>
      <c r="J271" s="49"/>
      <c r="R271" s="44">
        <v>192.66</v>
      </c>
      <c r="S271" s="44">
        <v>61.2</v>
      </c>
      <c r="T271" s="44">
        <v>268</v>
      </c>
      <c r="U271" s="44">
        <v>9630</v>
      </c>
      <c r="V271" s="44">
        <v>196704</v>
      </c>
      <c r="W271" s="44">
        <v>1570</v>
      </c>
    </row>
    <row r="272" spans="1:23" x14ac:dyDescent="0.2">
      <c r="A272" s="50">
        <f t="shared" si="4"/>
        <v>45562</v>
      </c>
      <c r="B272" s="51">
        <v>6518.22</v>
      </c>
      <c r="C272" s="52">
        <v>4501.01</v>
      </c>
      <c r="D272" s="52">
        <v>2766.07</v>
      </c>
      <c r="E272" s="52">
        <v>2590.86</v>
      </c>
      <c r="F272" s="52">
        <v>5374.7</v>
      </c>
      <c r="G272" s="52">
        <v>6753.24</v>
      </c>
      <c r="H272" s="52">
        <v>3746.65</v>
      </c>
      <c r="I272" s="53">
        <v>24757.449999999997</v>
      </c>
      <c r="J272" s="49"/>
      <c r="R272" s="44">
        <v>180.46</v>
      </c>
      <c r="S272" s="44">
        <v>58.399999999999991</v>
      </c>
      <c r="T272" s="44">
        <v>257</v>
      </c>
      <c r="U272" s="44">
        <v>9384</v>
      </c>
      <c r="V272" s="44">
        <v>204557</v>
      </c>
      <c r="W272" s="44">
        <v>1531</v>
      </c>
    </row>
    <row r="273" spans="1:23" x14ac:dyDescent="0.2">
      <c r="A273" s="50">
        <f t="shared" si="4"/>
        <v>45563</v>
      </c>
      <c r="B273" s="51">
        <v>6538</v>
      </c>
      <c r="C273" s="52">
        <v>4125</v>
      </c>
      <c r="D273" s="52">
        <v>2499</v>
      </c>
      <c r="E273" s="52">
        <v>3105</v>
      </c>
      <c r="F273" s="52">
        <v>5730</v>
      </c>
      <c r="G273" s="52">
        <v>5818</v>
      </c>
      <c r="H273" s="52">
        <v>2970</v>
      </c>
      <c r="I273" s="53">
        <v>24845</v>
      </c>
      <c r="J273" s="49"/>
      <c r="R273" s="44">
        <v>148</v>
      </c>
      <c r="S273" s="44">
        <v>55.099999999999994</v>
      </c>
      <c r="T273" s="44">
        <v>240</v>
      </c>
      <c r="U273" s="44">
        <v>8684</v>
      </c>
      <c r="V273" s="44">
        <v>211740</v>
      </c>
      <c r="W273" s="44">
        <v>1501</v>
      </c>
    </row>
    <row r="274" spans="1:23" x14ac:dyDescent="0.2">
      <c r="A274" s="50">
        <f t="shared" si="4"/>
        <v>45564</v>
      </c>
      <c r="B274" s="51">
        <v>6417.95</v>
      </c>
      <c r="C274" s="52">
        <v>4212.72</v>
      </c>
      <c r="D274" s="52">
        <v>2545.21</v>
      </c>
      <c r="E274" s="52">
        <v>3235.8</v>
      </c>
      <c r="F274" s="52">
        <v>5713.13</v>
      </c>
      <c r="G274" s="52">
        <v>5684.02</v>
      </c>
      <c r="H274" s="52">
        <v>2826.1299999999997</v>
      </c>
      <c r="I274" s="53">
        <v>24982.7</v>
      </c>
      <c r="J274" s="49"/>
      <c r="R274" s="44">
        <v>165.53</v>
      </c>
      <c r="S274" s="44">
        <v>55.4</v>
      </c>
      <c r="T274" s="44">
        <v>250</v>
      </c>
      <c r="U274" s="44">
        <v>8896</v>
      </c>
      <c r="V274" s="44">
        <v>219200</v>
      </c>
      <c r="W274" s="44">
        <v>1436</v>
      </c>
    </row>
    <row r="275" spans="1:23" x14ac:dyDescent="0.2">
      <c r="A275" s="50">
        <f t="shared" si="4"/>
        <v>45565</v>
      </c>
      <c r="B275" s="51">
        <v>6061.04</v>
      </c>
      <c r="C275" s="52">
        <v>4723.12</v>
      </c>
      <c r="D275" s="52">
        <v>2768.59</v>
      </c>
      <c r="E275" s="52">
        <v>2047.98</v>
      </c>
      <c r="F275" s="52">
        <v>4627.83</v>
      </c>
      <c r="G275" s="52">
        <v>6774.56</v>
      </c>
      <c r="H275" s="52">
        <v>3589.15</v>
      </c>
      <c r="I275" s="53">
        <v>23413.969999999998</v>
      </c>
      <c r="J275" s="49"/>
      <c r="R275" s="44">
        <v>195.14</v>
      </c>
      <c r="S275" s="44">
        <v>61.100000000000009</v>
      </c>
      <c r="T275" s="44">
        <v>272</v>
      </c>
      <c r="U275" s="44">
        <v>9530</v>
      </c>
      <c r="V275" s="44">
        <v>227231</v>
      </c>
      <c r="W275" s="44">
        <v>1499</v>
      </c>
    </row>
    <row r="276" spans="1:23" x14ac:dyDescent="0.2">
      <c r="A276" s="50">
        <f t="shared" si="4"/>
        <v>45566</v>
      </c>
      <c r="B276" s="51">
        <v>6183.29</v>
      </c>
      <c r="C276" s="52">
        <v>4772.2700000000004</v>
      </c>
      <c r="D276" s="52">
        <v>2788.39</v>
      </c>
      <c r="E276" s="52">
        <v>2538.5300000000002</v>
      </c>
      <c r="F276" s="52">
        <v>5244.25</v>
      </c>
      <c r="G276" s="52">
        <v>6910.54</v>
      </c>
      <c r="H276" s="52">
        <v>3634.66</v>
      </c>
      <c r="I276" s="53">
        <v>24802.610000000004</v>
      </c>
      <c r="J276" s="49"/>
      <c r="R276" s="44">
        <v>189.26</v>
      </c>
      <c r="S276" s="44">
        <v>56.400000000000006</v>
      </c>
      <c r="T276" s="44">
        <v>259</v>
      </c>
      <c r="U276" s="44">
        <v>9109</v>
      </c>
      <c r="V276" s="44">
        <v>7675</v>
      </c>
      <c r="W276" s="44">
        <v>1434</v>
      </c>
    </row>
    <row r="277" spans="1:23" x14ac:dyDescent="0.2">
      <c r="A277" s="50">
        <f t="shared" si="4"/>
        <v>45567</v>
      </c>
      <c r="B277" s="51">
        <v>6603</v>
      </c>
      <c r="C277" s="52">
        <v>4768</v>
      </c>
      <c r="D277" s="52">
        <v>2789</v>
      </c>
      <c r="E277" s="52">
        <v>3015</v>
      </c>
      <c r="F277" s="52">
        <v>5640</v>
      </c>
      <c r="G277" s="52">
        <v>7074</v>
      </c>
      <c r="H277" s="52">
        <v>3574</v>
      </c>
      <c r="I277" s="53">
        <v>26315</v>
      </c>
      <c r="J277" s="49"/>
      <c r="R277" s="44">
        <v>187</v>
      </c>
      <c r="S277" s="44">
        <v>58.699999999999996</v>
      </c>
      <c r="T277" s="44">
        <v>263</v>
      </c>
      <c r="U277" s="44">
        <v>9331</v>
      </c>
      <c r="V277" s="44">
        <v>15541</v>
      </c>
      <c r="W277" s="44">
        <v>1465</v>
      </c>
    </row>
    <row r="278" spans="1:23" x14ac:dyDescent="0.2">
      <c r="A278" s="50">
        <f t="shared" si="4"/>
        <v>45568</v>
      </c>
      <c r="B278" s="51">
        <v>6280.26</v>
      </c>
      <c r="C278" s="52">
        <v>4908.53</v>
      </c>
      <c r="D278" s="52">
        <v>2863.53</v>
      </c>
      <c r="E278" s="52">
        <v>2703.71</v>
      </c>
      <c r="F278" s="52">
        <v>5244.38</v>
      </c>
      <c r="G278" s="52">
        <v>7177.62</v>
      </c>
      <c r="H278" s="52">
        <v>3436.68</v>
      </c>
      <c r="I278" s="53">
        <v>25741.350000000002</v>
      </c>
      <c r="J278" s="49"/>
      <c r="R278" s="44">
        <v>193.3</v>
      </c>
      <c r="S278" s="44">
        <v>66.099999999999994</v>
      </c>
      <c r="T278" s="44">
        <v>282</v>
      </c>
      <c r="U278" s="44">
        <v>10318</v>
      </c>
      <c r="V278" s="44">
        <v>24350</v>
      </c>
      <c r="W278" s="44">
        <v>1509</v>
      </c>
    </row>
    <row r="279" spans="1:23" x14ac:dyDescent="0.2">
      <c r="A279" s="50">
        <f t="shared" si="4"/>
        <v>45569</v>
      </c>
      <c r="B279" s="51">
        <v>6088.46</v>
      </c>
      <c r="C279" s="52">
        <v>4596.46</v>
      </c>
      <c r="D279" s="52">
        <v>2770.34</v>
      </c>
      <c r="E279" s="52">
        <v>2347.7399999999998</v>
      </c>
      <c r="F279" s="52">
        <v>4835.97</v>
      </c>
      <c r="G279" s="52">
        <v>6388.63</v>
      </c>
      <c r="H279" s="52">
        <v>3205.13</v>
      </c>
      <c r="I279" s="53">
        <v>23822.47</v>
      </c>
      <c r="J279" s="49"/>
      <c r="R279" s="44">
        <v>207.83</v>
      </c>
      <c r="S279" s="44">
        <v>67.400000000000006</v>
      </c>
      <c r="T279" s="44">
        <v>290</v>
      </c>
      <c r="U279" s="44">
        <v>10458</v>
      </c>
      <c r="V279" s="44">
        <v>33316</v>
      </c>
      <c r="W279" s="44">
        <v>1492</v>
      </c>
    </row>
    <row r="280" spans="1:23" x14ac:dyDescent="0.2">
      <c r="A280" s="50">
        <f t="shared" si="4"/>
        <v>45570</v>
      </c>
      <c r="B280" s="51">
        <v>5579.71</v>
      </c>
      <c r="C280" s="52">
        <v>4142.16</v>
      </c>
      <c r="D280" s="52">
        <v>2631.57</v>
      </c>
      <c r="E280" s="52">
        <v>1561.74</v>
      </c>
      <c r="F280" s="52">
        <v>4741.08</v>
      </c>
      <c r="G280" s="52">
        <v>5104.5600000000004</v>
      </c>
      <c r="H280" s="52">
        <v>2652.5</v>
      </c>
      <c r="I280" s="53">
        <v>21108.32</v>
      </c>
      <c r="J280" s="49"/>
      <c r="R280" s="44">
        <v>200</v>
      </c>
      <c r="S280" s="44">
        <v>64.899999999999991</v>
      </c>
      <c r="T280" s="44">
        <v>278</v>
      </c>
      <c r="U280" s="44">
        <v>10004</v>
      </c>
      <c r="V280" s="44">
        <v>41907</v>
      </c>
      <c r="W280" s="44">
        <v>1413</v>
      </c>
    </row>
    <row r="281" spans="1:23" x14ac:dyDescent="0.2">
      <c r="A281" s="50">
        <f t="shared" si="4"/>
        <v>45571</v>
      </c>
      <c r="B281" s="51">
        <v>5551</v>
      </c>
      <c r="C281" s="52">
        <v>4304</v>
      </c>
      <c r="D281" s="52">
        <v>2461</v>
      </c>
      <c r="E281" s="52">
        <v>2626</v>
      </c>
      <c r="F281" s="52">
        <v>5730</v>
      </c>
      <c r="G281" s="52">
        <v>4720</v>
      </c>
      <c r="H281" s="52">
        <v>2482</v>
      </c>
      <c r="I281" s="53">
        <v>22910</v>
      </c>
      <c r="J281" s="49"/>
      <c r="R281" s="44">
        <v>200.5</v>
      </c>
      <c r="S281" s="44">
        <v>62.100000000000009</v>
      </c>
      <c r="T281" s="44">
        <v>272</v>
      </c>
      <c r="U281" s="44">
        <v>9731</v>
      </c>
      <c r="V281" s="44">
        <v>50317</v>
      </c>
      <c r="W281" s="44">
        <v>1321</v>
      </c>
    </row>
    <row r="282" spans="1:23" x14ac:dyDescent="0.2">
      <c r="A282" s="50">
        <f t="shared" si="4"/>
        <v>45572</v>
      </c>
      <c r="B282" s="51">
        <v>5595.33</v>
      </c>
      <c r="C282" s="52">
        <v>4473.93</v>
      </c>
      <c r="D282" s="52">
        <v>2743.76</v>
      </c>
      <c r="E282" s="52">
        <v>2104.9699999999998</v>
      </c>
      <c r="F282" s="52">
        <v>5054.45</v>
      </c>
      <c r="G282" s="52">
        <v>6297.45</v>
      </c>
      <c r="H282" s="52">
        <v>3630.0699999999997</v>
      </c>
      <c r="I282" s="53">
        <v>22639.82</v>
      </c>
      <c r="J282" s="49"/>
      <c r="R282" s="44">
        <v>209.01</v>
      </c>
      <c r="S282" s="44">
        <v>63.099999999999994</v>
      </c>
      <c r="T282" s="44">
        <v>277</v>
      </c>
      <c r="U282" s="44">
        <v>9974</v>
      </c>
      <c r="V282" s="44">
        <v>58975</v>
      </c>
      <c r="W282" s="44">
        <v>1316</v>
      </c>
    </row>
    <row r="283" spans="1:23" x14ac:dyDescent="0.2">
      <c r="A283" s="50">
        <f t="shared" si="4"/>
        <v>45573</v>
      </c>
      <c r="B283" s="51">
        <v>4606.47</v>
      </c>
      <c r="C283" s="52">
        <v>4128.6099999999997</v>
      </c>
      <c r="D283" s="52">
        <v>2348.4699999999998</v>
      </c>
      <c r="E283" s="52">
        <v>2008.62</v>
      </c>
      <c r="F283" s="52">
        <v>4303.34</v>
      </c>
      <c r="G283" s="52">
        <v>4762.38</v>
      </c>
      <c r="H283" s="52">
        <v>2894.2900000000004</v>
      </c>
      <c r="I283" s="53">
        <v>19263.599999999999</v>
      </c>
      <c r="J283" s="49"/>
      <c r="R283" s="44">
        <v>175.98</v>
      </c>
      <c r="S283" s="44">
        <v>57.5</v>
      </c>
      <c r="T283" s="44">
        <v>251</v>
      </c>
      <c r="U283" s="44">
        <v>8875</v>
      </c>
      <c r="V283" s="44">
        <v>66637</v>
      </c>
      <c r="W283" s="44">
        <v>1213</v>
      </c>
    </row>
    <row r="284" spans="1:23" x14ac:dyDescent="0.2">
      <c r="A284" s="50">
        <f t="shared" si="4"/>
        <v>45574</v>
      </c>
      <c r="B284" s="51">
        <v>4866.3100000000004</v>
      </c>
      <c r="C284" s="52">
        <v>4232.5</v>
      </c>
      <c r="D284" s="52">
        <v>2803.23</v>
      </c>
      <c r="E284" s="52">
        <v>1433.58</v>
      </c>
      <c r="F284" s="52">
        <v>4571.5</v>
      </c>
      <c r="G284" s="52">
        <v>5601.53</v>
      </c>
      <c r="H284" s="52">
        <v>3417.4700000000003</v>
      </c>
      <c r="I284" s="53">
        <v>20091.18</v>
      </c>
      <c r="J284" s="49"/>
      <c r="R284" s="44">
        <v>212.57</v>
      </c>
      <c r="S284" s="44">
        <v>65.400000000000006</v>
      </c>
      <c r="T284" s="44">
        <v>280</v>
      </c>
      <c r="U284" s="44">
        <v>10072</v>
      </c>
      <c r="V284" s="44">
        <v>75358</v>
      </c>
      <c r="W284" s="44">
        <v>1351</v>
      </c>
    </row>
    <row r="285" spans="1:23" x14ac:dyDescent="0.2">
      <c r="A285" s="50">
        <f t="shared" si="4"/>
        <v>45575</v>
      </c>
      <c r="B285" s="51">
        <v>4645.3999999999996</v>
      </c>
      <c r="C285" s="52">
        <v>4244.7</v>
      </c>
      <c r="D285" s="52">
        <v>2939</v>
      </c>
      <c r="E285" s="52">
        <v>2371.1999999999998</v>
      </c>
      <c r="F285" s="52">
        <v>3679</v>
      </c>
      <c r="G285" s="52">
        <v>6225.4</v>
      </c>
      <c r="H285" s="52">
        <v>3518.6</v>
      </c>
      <c r="I285" s="53">
        <v>20586.099999999999</v>
      </c>
      <c r="J285" s="49"/>
      <c r="R285" s="44">
        <v>206.98</v>
      </c>
      <c r="S285" s="44">
        <v>66.2</v>
      </c>
      <c r="T285" s="44">
        <v>295</v>
      </c>
      <c r="U285" s="44">
        <v>10429</v>
      </c>
      <c r="V285" s="44">
        <v>84265</v>
      </c>
      <c r="W285" s="44">
        <v>1522</v>
      </c>
    </row>
    <row r="286" spans="1:23" x14ac:dyDescent="0.2">
      <c r="A286" s="50">
        <f t="shared" si="4"/>
        <v>45576</v>
      </c>
      <c r="B286" s="51">
        <v>4563</v>
      </c>
      <c r="C286" s="52">
        <v>4219</v>
      </c>
      <c r="D286" s="52">
        <v>2844.5</v>
      </c>
      <c r="E286" s="52">
        <v>2601.4</v>
      </c>
      <c r="F286" s="52">
        <v>4265</v>
      </c>
      <c r="G286" s="52">
        <v>5344.5</v>
      </c>
      <c r="H286" s="52">
        <v>3190.88</v>
      </c>
      <c r="I286" s="53">
        <v>20646.52</v>
      </c>
      <c r="J286" s="49"/>
      <c r="R286" s="44">
        <v>204.87</v>
      </c>
      <c r="S286" s="44">
        <v>66.5</v>
      </c>
      <c r="T286" s="44">
        <v>288</v>
      </c>
      <c r="U286" s="44">
        <v>10421</v>
      </c>
      <c r="V286" s="44">
        <v>93116</v>
      </c>
      <c r="W286" s="44">
        <v>1570</v>
      </c>
    </row>
    <row r="287" spans="1:23" x14ac:dyDescent="0.2">
      <c r="A287" s="50">
        <f t="shared" si="4"/>
        <v>45577</v>
      </c>
      <c r="B287" s="51">
        <v>4898.8999999999996</v>
      </c>
      <c r="C287" s="52">
        <v>3975.2</v>
      </c>
      <c r="D287" s="52">
        <v>2814.6</v>
      </c>
      <c r="E287" s="52">
        <v>1673.6</v>
      </c>
      <c r="F287" s="52">
        <v>4941</v>
      </c>
      <c r="G287" s="52">
        <v>3964.4</v>
      </c>
      <c r="H287" s="52">
        <v>2912.52</v>
      </c>
      <c r="I287" s="53">
        <v>19355.18</v>
      </c>
      <c r="J287" s="49"/>
      <c r="R287" s="44">
        <v>213</v>
      </c>
      <c r="S287" s="44">
        <v>71.2</v>
      </c>
      <c r="T287" s="44">
        <v>305</v>
      </c>
      <c r="U287" s="44">
        <v>10886</v>
      </c>
      <c r="V287" s="44">
        <v>102525</v>
      </c>
      <c r="W287" s="44">
        <v>1477</v>
      </c>
    </row>
    <row r="288" spans="1:23" x14ac:dyDescent="0.2">
      <c r="A288" s="50">
        <f t="shared" si="4"/>
        <v>45578</v>
      </c>
      <c r="B288" s="51">
        <v>4953.2</v>
      </c>
      <c r="C288" s="52">
        <v>3914.15</v>
      </c>
      <c r="D288" s="52">
        <v>2468.02</v>
      </c>
      <c r="E288" s="52">
        <v>1165.54</v>
      </c>
      <c r="F288" s="52">
        <v>4344.59</v>
      </c>
      <c r="G288" s="52">
        <v>3843.63</v>
      </c>
      <c r="H288" s="52">
        <v>2723.2400000000002</v>
      </c>
      <c r="I288" s="53">
        <v>17965.89</v>
      </c>
      <c r="J288" s="49"/>
      <c r="R288" s="44">
        <v>215</v>
      </c>
      <c r="S288" s="44">
        <v>70.400000000000006</v>
      </c>
      <c r="T288" s="44">
        <v>300</v>
      </c>
      <c r="U288" s="44">
        <v>10892</v>
      </c>
      <c r="V288" s="44">
        <v>111983</v>
      </c>
      <c r="W288" s="44">
        <v>1434</v>
      </c>
    </row>
    <row r="289" spans="1:23" x14ac:dyDescent="0.2">
      <c r="A289" s="50">
        <f t="shared" si="4"/>
        <v>45579</v>
      </c>
      <c r="B289" s="51">
        <v>5801</v>
      </c>
      <c r="C289" s="52">
        <v>4496</v>
      </c>
      <c r="D289" s="52">
        <v>2622</v>
      </c>
      <c r="E289" s="52">
        <v>1780</v>
      </c>
      <c r="F289" s="52">
        <v>4802</v>
      </c>
      <c r="G289" s="52">
        <v>6484</v>
      </c>
      <c r="H289" s="52">
        <v>3824</v>
      </c>
      <c r="I289" s="53">
        <v>22161</v>
      </c>
      <c r="J289" s="49"/>
      <c r="R289" s="44">
        <v>235.2</v>
      </c>
      <c r="S289" s="44">
        <v>75.599999999999994</v>
      </c>
      <c r="T289" s="44">
        <v>309</v>
      </c>
      <c r="U289" s="44">
        <v>11382</v>
      </c>
      <c r="V289" s="44">
        <v>121904</v>
      </c>
      <c r="W289" s="44">
        <v>1461</v>
      </c>
    </row>
    <row r="290" spans="1:23" x14ac:dyDescent="0.2">
      <c r="A290" s="50">
        <f t="shared" si="4"/>
        <v>45580</v>
      </c>
      <c r="B290" s="51">
        <v>5675.14</v>
      </c>
      <c r="C290" s="52">
        <v>4469.29</v>
      </c>
      <c r="D290" s="52">
        <v>2969.6</v>
      </c>
      <c r="E290" s="52">
        <v>2200.27</v>
      </c>
      <c r="F290" s="52">
        <v>4352.99</v>
      </c>
      <c r="G290" s="52">
        <v>6793.8</v>
      </c>
      <c r="H290" s="52">
        <v>3700.6</v>
      </c>
      <c r="I290" s="53">
        <v>22760.49</v>
      </c>
      <c r="J290" s="49"/>
      <c r="R290" s="44">
        <v>219.4</v>
      </c>
      <c r="S290" s="44">
        <v>70.400000000000006</v>
      </c>
      <c r="T290" s="44">
        <v>308</v>
      </c>
      <c r="U290" s="44">
        <v>10822</v>
      </c>
      <c r="V290" s="44">
        <v>131309</v>
      </c>
      <c r="W290" s="44">
        <v>1417</v>
      </c>
    </row>
    <row r="291" spans="1:23" x14ac:dyDescent="0.2">
      <c r="A291" s="50">
        <f t="shared" si="4"/>
        <v>45581</v>
      </c>
      <c r="B291" s="51">
        <v>5677.9</v>
      </c>
      <c r="C291" s="52">
        <v>4449.5</v>
      </c>
      <c r="D291" s="52">
        <v>3306.8</v>
      </c>
      <c r="E291" s="52">
        <v>2122.4</v>
      </c>
      <c r="F291" s="52">
        <v>5048.5</v>
      </c>
      <c r="G291" s="52">
        <v>6794.2</v>
      </c>
      <c r="H291" s="52">
        <v>3579.2999999999997</v>
      </c>
      <c r="I291" s="53">
        <v>23820</v>
      </c>
      <c r="J291" s="49"/>
      <c r="R291" s="44">
        <v>226.4</v>
      </c>
      <c r="S291" s="44">
        <v>73.5</v>
      </c>
      <c r="T291" s="44">
        <v>307</v>
      </c>
      <c r="U291" s="44">
        <v>11062</v>
      </c>
      <c r="V291" s="44">
        <v>141014</v>
      </c>
      <c r="W291" s="44">
        <v>1357</v>
      </c>
    </row>
    <row r="292" spans="1:23" x14ac:dyDescent="0.2">
      <c r="A292" s="50">
        <f t="shared" si="4"/>
        <v>45582</v>
      </c>
      <c r="B292" s="51">
        <v>5294.7</v>
      </c>
      <c r="C292" s="52">
        <v>4463.29</v>
      </c>
      <c r="D292" s="52">
        <v>3705.84</v>
      </c>
      <c r="E292" s="52">
        <v>1288.93</v>
      </c>
      <c r="F292" s="52">
        <v>5173.79</v>
      </c>
      <c r="G292" s="52">
        <v>6454.91</v>
      </c>
      <c r="H292" s="52">
        <v>3269.82</v>
      </c>
      <c r="I292" s="53">
        <v>23111.64</v>
      </c>
      <c r="J292" s="49"/>
      <c r="R292" s="44">
        <v>231.1</v>
      </c>
      <c r="S292" s="44">
        <v>74.399999999999991</v>
      </c>
      <c r="T292" s="44">
        <v>304</v>
      </c>
      <c r="U292" s="44">
        <v>11253</v>
      </c>
      <c r="V292" s="44">
        <v>150900</v>
      </c>
      <c r="W292" s="44">
        <v>1367</v>
      </c>
    </row>
    <row r="293" spans="1:23" x14ac:dyDescent="0.2">
      <c r="A293" s="50">
        <f t="shared" si="4"/>
        <v>45583</v>
      </c>
      <c r="B293" s="51">
        <v>4849</v>
      </c>
      <c r="C293" s="52">
        <v>4274</v>
      </c>
      <c r="D293" s="52">
        <v>3378</v>
      </c>
      <c r="E293" s="52">
        <v>1349</v>
      </c>
      <c r="F293" s="52">
        <v>3855</v>
      </c>
      <c r="G293" s="52">
        <v>5767</v>
      </c>
      <c r="H293" s="52">
        <v>3488</v>
      </c>
      <c r="I293" s="53">
        <v>19984</v>
      </c>
      <c r="J293" s="49"/>
      <c r="R293" s="44">
        <v>216</v>
      </c>
      <c r="S293" s="44">
        <v>72.900000000000006</v>
      </c>
      <c r="T293" s="44">
        <v>304</v>
      </c>
      <c r="U293" s="44">
        <v>10905</v>
      </c>
      <c r="V293" s="44">
        <v>160492</v>
      </c>
      <c r="W293" s="44">
        <v>1313</v>
      </c>
    </row>
    <row r="294" spans="1:23" x14ac:dyDescent="0.2">
      <c r="A294" s="50">
        <f t="shared" si="4"/>
        <v>45584</v>
      </c>
      <c r="B294" s="51">
        <v>4924.53</v>
      </c>
      <c r="C294" s="52">
        <v>4043.18</v>
      </c>
      <c r="D294" s="52">
        <v>3316.58</v>
      </c>
      <c r="E294" s="52">
        <v>1967.07</v>
      </c>
      <c r="F294" s="52">
        <v>4097.58</v>
      </c>
      <c r="G294" s="52">
        <v>3742.63</v>
      </c>
      <c r="H294" s="52">
        <v>2602.0999999999995</v>
      </c>
      <c r="I294" s="53">
        <v>19489.47</v>
      </c>
      <c r="J294" s="49"/>
      <c r="R294" s="44">
        <v>217.17</v>
      </c>
      <c r="S294" s="44">
        <v>71.5</v>
      </c>
      <c r="T294" s="44">
        <v>302</v>
      </c>
      <c r="U294" s="44">
        <v>10673</v>
      </c>
      <c r="V294" s="44">
        <v>169995</v>
      </c>
      <c r="W294" s="44">
        <v>1170</v>
      </c>
    </row>
    <row r="295" spans="1:23" x14ac:dyDescent="0.2">
      <c r="A295" s="50">
        <f t="shared" si="4"/>
        <v>45585</v>
      </c>
      <c r="B295" s="51">
        <v>4829</v>
      </c>
      <c r="C295" s="52">
        <v>4215.8</v>
      </c>
      <c r="D295" s="52">
        <v>3244.8</v>
      </c>
      <c r="E295" s="52">
        <v>1212.9000000000001</v>
      </c>
      <c r="F295" s="52">
        <v>3952.7</v>
      </c>
      <c r="G295" s="52">
        <v>4188.3999999999996</v>
      </c>
      <c r="H295" s="52">
        <v>2638.96</v>
      </c>
      <c r="I295" s="53">
        <v>19004.64</v>
      </c>
      <c r="J295" s="49"/>
      <c r="R295" s="44">
        <v>221.71</v>
      </c>
      <c r="S295" s="44">
        <v>72.800000000000011</v>
      </c>
      <c r="T295" s="44">
        <v>305</v>
      </c>
      <c r="U295" s="44">
        <v>11071</v>
      </c>
      <c r="V295" s="44">
        <v>179631</v>
      </c>
      <c r="W295" s="44">
        <v>1435</v>
      </c>
    </row>
    <row r="296" spans="1:23" x14ac:dyDescent="0.2">
      <c r="A296" s="50">
        <f t="shared" si="4"/>
        <v>45586</v>
      </c>
      <c r="B296" s="51">
        <v>5687.63</v>
      </c>
      <c r="C296" s="52">
        <v>4528.49</v>
      </c>
      <c r="D296" s="52">
        <v>3630.03</v>
      </c>
      <c r="E296" s="52">
        <v>1937.8</v>
      </c>
      <c r="F296" s="52">
        <v>4232.46</v>
      </c>
      <c r="G296" s="52">
        <v>6602.88</v>
      </c>
      <c r="H296" s="52">
        <v>3452.38</v>
      </c>
      <c r="I296" s="53">
        <v>23166.91</v>
      </c>
      <c r="J296" s="49"/>
      <c r="R296" s="44">
        <v>225.71</v>
      </c>
      <c r="S296" s="44">
        <v>76.599999999999994</v>
      </c>
      <c r="T296" s="44">
        <v>307</v>
      </c>
      <c r="U296" s="44">
        <v>11551</v>
      </c>
      <c r="V296" s="44">
        <v>189817</v>
      </c>
      <c r="W296" s="44">
        <v>1365</v>
      </c>
    </row>
    <row r="297" spans="1:23" x14ac:dyDescent="0.2">
      <c r="A297" s="50">
        <f t="shared" si="4"/>
        <v>45587</v>
      </c>
      <c r="B297" s="51">
        <v>6242</v>
      </c>
      <c r="C297" s="52">
        <v>4668</v>
      </c>
      <c r="D297" s="52">
        <v>3499</v>
      </c>
      <c r="E297" s="52">
        <v>2578</v>
      </c>
      <c r="F297" s="52">
        <v>4948</v>
      </c>
      <c r="G297" s="52">
        <v>6823</v>
      </c>
      <c r="H297" s="52">
        <v>3544</v>
      </c>
      <c r="I297" s="53">
        <v>25214</v>
      </c>
      <c r="J297" s="49"/>
      <c r="R297" s="44">
        <v>226.5</v>
      </c>
      <c r="S297" s="44">
        <v>77.7</v>
      </c>
      <c r="T297" s="44">
        <v>305</v>
      </c>
      <c r="U297" s="44">
        <v>11404</v>
      </c>
      <c r="V297" s="44">
        <v>199920</v>
      </c>
      <c r="W297" s="44">
        <v>1301</v>
      </c>
    </row>
    <row r="298" spans="1:23" x14ac:dyDescent="0.2">
      <c r="A298" s="50">
        <f t="shared" si="4"/>
        <v>45588</v>
      </c>
      <c r="B298" s="51">
        <v>6574.7</v>
      </c>
      <c r="C298" s="52">
        <v>4888.0600000000004</v>
      </c>
      <c r="D298" s="52">
        <v>3461.23</v>
      </c>
      <c r="E298" s="52">
        <v>3435.09</v>
      </c>
      <c r="F298" s="52">
        <v>4922.6000000000004</v>
      </c>
      <c r="G298" s="52">
        <v>6445.6</v>
      </c>
      <c r="H298" s="52">
        <v>3736.45</v>
      </c>
      <c r="I298" s="53">
        <v>25990.829999999998</v>
      </c>
      <c r="J298" s="49"/>
      <c r="R298" s="44">
        <v>253.24</v>
      </c>
      <c r="S298" s="44">
        <v>78</v>
      </c>
      <c r="T298" s="44">
        <v>321</v>
      </c>
      <c r="U298" s="44">
        <v>11806</v>
      </c>
      <c r="V298" s="44">
        <v>210365</v>
      </c>
      <c r="W298" s="44">
        <v>1361</v>
      </c>
    </row>
    <row r="299" spans="1:23" x14ac:dyDescent="0.2">
      <c r="A299" s="50">
        <f t="shared" si="4"/>
        <v>45589</v>
      </c>
      <c r="B299" s="51">
        <v>6013.7</v>
      </c>
      <c r="C299" s="52">
        <v>4866.8</v>
      </c>
      <c r="D299" s="52">
        <v>3501.17</v>
      </c>
      <c r="E299" s="52">
        <v>2300.4</v>
      </c>
      <c r="F299" s="52">
        <v>4626.3999999999996</v>
      </c>
      <c r="G299" s="52">
        <v>6639.8</v>
      </c>
      <c r="H299" s="52">
        <v>3652</v>
      </c>
      <c r="I299" s="53">
        <v>24296.27</v>
      </c>
      <c r="J299" s="49"/>
      <c r="R299" s="44">
        <v>254</v>
      </c>
      <c r="S299" s="44">
        <v>79.5</v>
      </c>
      <c r="T299" s="44">
        <v>316</v>
      </c>
      <c r="U299" s="44">
        <v>11872</v>
      </c>
      <c r="V299" s="44">
        <v>220936</v>
      </c>
      <c r="W299" s="44">
        <v>1301</v>
      </c>
    </row>
    <row r="300" spans="1:23" x14ac:dyDescent="0.2">
      <c r="A300" s="50">
        <f t="shared" si="4"/>
        <v>45590</v>
      </c>
      <c r="B300" s="51">
        <v>5937.33</v>
      </c>
      <c r="C300" s="52">
        <v>4650.79</v>
      </c>
      <c r="D300" s="52">
        <v>3497.18</v>
      </c>
      <c r="E300" s="52">
        <v>2304.61</v>
      </c>
      <c r="F300" s="52">
        <v>4483.1000000000004</v>
      </c>
      <c r="G300" s="52">
        <v>6280.82</v>
      </c>
      <c r="H300" s="52">
        <v>3489.69</v>
      </c>
      <c r="I300" s="53">
        <v>23664.140000000003</v>
      </c>
      <c r="J300" s="49"/>
      <c r="R300" s="44">
        <v>237</v>
      </c>
      <c r="S300" s="44">
        <v>77.199999999999989</v>
      </c>
      <c r="T300" s="44">
        <v>307</v>
      </c>
      <c r="U300" s="44">
        <v>11527</v>
      </c>
      <c r="V300" s="44">
        <v>231146</v>
      </c>
      <c r="W300" s="44">
        <v>1317</v>
      </c>
    </row>
    <row r="301" spans="1:23" x14ac:dyDescent="0.2">
      <c r="A301" s="50">
        <f t="shared" si="4"/>
        <v>45591</v>
      </c>
      <c r="B301" s="51">
        <v>5606</v>
      </c>
      <c r="C301" s="52">
        <v>4384</v>
      </c>
      <c r="D301" s="52">
        <v>3287</v>
      </c>
      <c r="E301" s="52">
        <v>2641</v>
      </c>
      <c r="F301" s="52">
        <v>4575</v>
      </c>
      <c r="G301" s="52">
        <v>5506</v>
      </c>
      <c r="H301" s="52">
        <v>2756.62</v>
      </c>
      <c r="I301" s="53">
        <v>23242.38</v>
      </c>
      <c r="J301" s="49"/>
      <c r="R301" s="44">
        <v>219</v>
      </c>
      <c r="S301" s="44">
        <v>74.3</v>
      </c>
      <c r="T301" s="44">
        <v>302</v>
      </c>
      <c r="U301" s="44">
        <v>11096</v>
      </c>
      <c r="V301" s="44">
        <v>240932</v>
      </c>
      <c r="W301" s="44">
        <v>1310</v>
      </c>
    </row>
    <row r="302" spans="1:23" x14ac:dyDescent="0.2">
      <c r="A302" s="50">
        <f t="shared" si="4"/>
        <v>45592</v>
      </c>
      <c r="B302" s="51">
        <v>5188.7</v>
      </c>
      <c r="C302" s="52">
        <v>4402.1000000000004</v>
      </c>
      <c r="D302" s="52">
        <v>3202.36</v>
      </c>
      <c r="E302" s="52">
        <v>1995.21</v>
      </c>
      <c r="F302" s="52">
        <v>4181.2</v>
      </c>
      <c r="G302" s="52">
        <v>5309.39</v>
      </c>
      <c r="H302" s="52">
        <v>2617.1999999999998</v>
      </c>
      <c r="I302" s="53">
        <v>21661.759999999998</v>
      </c>
      <c r="J302" s="49"/>
      <c r="R302" s="44">
        <v>223</v>
      </c>
      <c r="S302" s="44">
        <v>72.8</v>
      </c>
      <c r="T302" s="44">
        <v>302</v>
      </c>
      <c r="U302" s="44">
        <v>11543</v>
      </c>
      <c r="V302" s="44">
        <v>251154</v>
      </c>
      <c r="W302" s="44">
        <v>1321</v>
      </c>
    </row>
    <row r="303" spans="1:23" x14ac:dyDescent="0.2">
      <c r="A303" s="50">
        <f t="shared" si="4"/>
        <v>45593</v>
      </c>
      <c r="B303" s="51">
        <v>5673.6</v>
      </c>
      <c r="C303" s="52">
        <v>4876.5</v>
      </c>
      <c r="D303" s="52">
        <v>3725.3</v>
      </c>
      <c r="E303" s="52">
        <v>2539.6</v>
      </c>
      <c r="F303" s="52">
        <v>4543.3999999999996</v>
      </c>
      <c r="G303" s="52">
        <v>6895.9</v>
      </c>
      <c r="H303" s="52">
        <v>3860.55</v>
      </c>
      <c r="I303" s="53">
        <v>24393.750000000004</v>
      </c>
      <c r="J303" s="49"/>
      <c r="R303" s="44">
        <v>255</v>
      </c>
      <c r="S303" s="44">
        <v>76.599999999999994</v>
      </c>
      <c r="T303" s="44">
        <v>310</v>
      </c>
      <c r="U303" s="44">
        <v>11754</v>
      </c>
      <c r="V303" s="44">
        <v>261374</v>
      </c>
      <c r="W303" s="44">
        <v>1534</v>
      </c>
    </row>
    <row r="304" spans="1:23" x14ac:dyDescent="0.2">
      <c r="A304" s="50">
        <f t="shared" si="4"/>
        <v>45594</v>
      </c>
      <c r="B304" s="51">
        <v>5775.35</v>
      </c>
      <c r="C304" s="52">
        <v>4728.5</v>
      </c>
      <c r="D304" s="52">
        <v>3717.34</v>
      </c>
      <c r="E304" s="52">
        <v>2758.35</v>
      </c>
      <c r="F304" s="52">
        <v>4837.6400000000003</v>
      </c>
      <c r="G304" s="52">
        <v>6994.73</v>
      </c>
      <c r="H304" s="52">
        <v>4022.4799999999996</v>
      </c>
      <c r="I304" s="53">
        <v>24789.43</v>
      </c>
      <c r="J304" s="49"/>
      <c r="R304" s="44">
        <v>242</v>
      </c>
      <c r="S304" s="44">
        <v>87.3</v>
      </c>
      <c r="T304" s="44">
        <v>298</v>
      </c>
      <c r="U304" s="44">
        <v>15968</v>
      </c>
      <c r="V304" s="44">
        <v>275911</v>
      </c>
      <c r="W304" s="44">
        <v>1431</v>
      </c>
    </row>
    <row r="305" spans="1:23" x14ac:dyDescent="0.2">
      <c r="A305" s="50">
        <f t="shared" si="4"/>
        <v>45595</v>
      </c>
      <c r="B305" s="51">
        <v>6874</v>
      </c>
      <c r="C305" s="52">
        <v>4672</v>
      </c>
      <c r="D305" s="52">
        <v>3699</v>
      </c>
      <c r="E305" s="52">
        <v>3593</v>
      </c>
      <c r="F305" s="52">
        <v>5223</v>
      </c>
      <c r="G305" s="52">
        <v>7346</v>
      </c>
      <c r="H305" s="52">
        <v>4041</v>
      </c>
      <c r="I305" s="53">
        <v>27366</v>
      </c>
      <c r="J305" s="49"/>
      <c r="R305" s="44">
        <v>255</v>
      </c>
      <c r="S305" s="44">
        <v>88.9</v>
      </c>
      <c r="T305" s="44">
        <v>298</v>
      </c>
      <c r="U305" s="44">
        <v>15100</v>
      </c>
      <c r="V305" s="44">
        <v>289571</v>
      </c>
      <c r="W305" s="44">
        <v>1440</v>
      </c>
    </row>
    <row r="306" spans="1:23" x14ac:dyDescent="0.2">
      <c r="A306" s="50">
        <f t="shared" si="4"/>
        <v>45596</v>
      </c>
      <c r="B306" s="51">
        <v>7999.4</v>
      </c>
      <c r="C306" s="52">
        <v>4656.2</v>
      </c>
      <c r="D306" s="52">
        <v>4028.1</v>
      </c>
      <c r="E306" s="52">
        <v>3158.6</v>
      </c>
      <c r="F306" s="52">
        <v>4994.3999999999996</v>
      </c>
      <c r="G306" s="52">
        <v>6830.4</v>
      </c>
      <c r="H306" s="52">
        <v>3901.6000000000004</v>
      </c>
      <c r="I306" s="53">
        <v>27765.5</v>
      </c>
      <c r="J306" s="49"/>
      <c r="R306" s="44">
        <v>261</v>
      </c>
      <c r="S306" s="44">
        <v>88.1</v>
      </c>
      <c r="T306" s="44">
        <v>305</v>
      </c>
      <c r="U306" s="44">
        <v>15751</v>
      </c>
      <c r="V306" s="44">
        <v>303869</v>
      </c>
      <c r="W306" s="44">
        <v>1453</v>
      </c>
    </row>
    <row r="307" spans="1:23" x14ac:dyDescent="0.2">
      <c r="A307" s="50">
        <f t="shared" si="4"/>
        <v>45597</v>
      </c>
      <c r="B307" s="51">
        <v>7061.5</v>
      </c>
      <c r="C307" s="52">
        <v>4615.3999999999996</v>
      </c>
      <c r="D307" s="52">
        <v>3876.7</v>
      </c>
      <c r="E307" s="52">
        <v>2502.4</v>
      </c>
      <c r="F307" s="52">
        <v>5352.3</v>
      </c>
      <c r="G307" s="52">
        <v>6587.9</v>
      </c>
      <c r="H307" s="52">
        <v>3931.6</v>
      </c>
      <c r="I307" s="53">
        <v>26064.6</v>
      </c>
      <c r="J307" s="49"/>
      <c r="R307" s="44">
        <v>246</v>
      </c>
      <c r="S307" s="44">
        <v>84.300000000000011</v>
      </c>
      <c r="T307" s="44">
        <v>292</v>
      </c>
      <c r="U307" s="44">
        <v>14033</v>
      </c>
      <c r="V307" s="44">
        <v>12602</v>
      </c>
      <c r="W307" s="44">
        <v>1431</v>
      </c>
    </row>
    <row r="308" spans="1:23" x14ac:dyDescent="0.2">
      <c r="A308" s="50">
        <f t="shared" si="4"/>
        <v>45598</v>
      </c>
      <c r="B308" s="51">
        <v>7124.85</v>
      </c>
      <c r="C308" s="52">
        <v>4341.74</v>
      </c>
      <c r="D308" s="52">
        <v>3129.13</v>
      </c>
      <c r="E308" s="52">
        <v>2788.82</v>
      </c>
      <c r="F308" s="52">
        <v>5267.13</v>
      </c>
      <c r="G308" s="52">
        <v>6523.55</v>
      </c>
      <c r="H308" s="52">
        <v>3784.1600000000003</v>
      </c>
      <c r="I308" s="53">
        <v>25391.06</v>
      </c>
      <c r="J308" s="49"/>
      <c r="R308" s="44">
        <v>244</v>
      </c>
      <c r="S308" s="44">
        <v>85.3</v>
      </c>
      <c r="T308" s="44">
        <v>290</v>
      </c>
      <c r="U308" s="44">
        <v>15144</v>
      </c>
      <c r="V308" s="44">
        <v>26343</v>
      </c>
      <c r="W308" s="44">
        <v>1403</v>
      </c>
    </row>
    <row r="309" spans="1:23" x14ac:dyDescent="0.2">
      <c r="A309" s="50">
        <f t="shared" si="4"/>
        <v>45599</v>
      </c>
      <c r="B309" s="51">
        <v>7357</v>
      </c>
      <c r="C309" s="52">
        <v>4239</v>
      </c>
      <c r="D309" s="52">
        <v>3583</v>
      </c>
      <c r="E309" s="52">
        <v>2247</v>
      </c>
      <c r="F309" s="52">
        <v>5197</v>
      </c>
      <c r="G309" s="52">
        <v>5900</v>
      </c>
      <c r="H309" s="52">
        <v>3010.6</v>
      </c>
      <c r="I309" s="53">
        <v>25512.400000000001</v>
      </c>
      <c r="J309" s="49"/>
      <c r="R309" s="44">
        <v>236</v>
      </c>
      <c r="S309" s="44">
        <v>86.1</v>
      </c>
      <c r="T309" s="44">
        <v>287</v>
      </c>
      <c r="U309" s="44">
        <v>14426</v>
      </c>
      <c r="V309" s="44">
        <v>39406</v>
      </c>
      <c r="W309" s="44">
        <v>1363</v>
      </c>
    </row>
    <row r="310" spans="1:23" x14ac:dyDescent="0.2">
      <c r="A310" s="50">
        <f t="shared" si="4"/>
        <v>45600</v>
      </c>
      <c r="B310" s="51">
        <v>6952.4</v>
      </c>
      <c r="C310" s="52">
        <v>4292.7</v>
      </c>
      <c r="D310" s="52">
        <v>3874</v>
      </c>
      <c r="E310" s="52">
        <v>1772.9</v>
      </c>
      <c r="F310" s="52">
        <v>5225</v>
      </c>
      <c r="G310" s="52">
        <v>6042.6</v>
      </c>
      <c r="H310" s="52">
        <v>3014.6000000000004</v>
      </c>
      <c r="I310" s="53">
        <v>25145</v>
      </c>
      <c r="J310" s="49"/>
      <c r="R310" s="44">
        <v>226</v>
      </c>
      <c r="S310" s="44">
        <v>82.8</v>
      </c>
      <c r="T310" s="44">
        <v>282</v>
      </c>
      <c r="U310" s="44">
        <v>12828</v>
      </c>
      <c r="V310" s="44">
        <v>50872</v>
      </c>
      <c r="W310" s="44">
        <v>1362</v>
      </c>
    </row>
    <row r="311" spans="1:23" x14ac:dyDescent="0.2">
      <c r="A311" s="50">
        <f t="shared" si="4"/>
        <v>45601</v>
      </c>
      <c r="B311" s="51">
        <v>7345.7</v>
      </c>
      <c r="C311" s="52">
        <v>4670.1000000000004</v>
      </c>
      <c r="D311" s="52">
        <v>3825.5</v>
      </c>
      <c r="E311" s="52">
        <v>2125.1999999999998</v>
      </c>
      <c r="F311" s="52">
        <v>5477.15</v>
      </c>
      <c r="G311" s="52">
        <v>7177.3</v>
      </c>
      <c r="H311" s="52">
        <v>4201.1299999999992</v>
      </c>
      <c r="I311" s="53">
        <v>26419.82</v>
      </c>
      <c r="J311" s="49"/>
      <c r="R311" s="44">
        <v>242</v>
      </c>
      <c r="S311" s="44">
        <v>88.1</v>
      </c>
      <c r="T311" s="44">
        <v>299</v>
      </c>
      <c r="U311" s="44">
        <v>16060</v>
      </c>
      <c r="V311" s="44">
        <v>65361</v>
      </c>
      <c r="W311" s="44">
        <v>1571</v>
      </c>
    </row>
    <row r="312" spans="1:23" x14ac:dyDescent="0.2">
      <c r="A312" s="50">
        <f t="shared" si="4"/>
        <v>45602</v>
      </c>
      <c r="B312" s="51">
        <v>7387.1</v>
      </c>
      <c r="C312" s="52">
        <v>4515.6499999999996</v>
      </c>
      <c r="D312" s="52">
        <v>4165.8100000000004</v>
      </c>
      <c r="E312" s="52">
        <v>2318.56</v>
      </c>
      <c r="F312" s="52">
        <v>5298.41</v>
      </c>
      <c r="G312" s="52">
        <v>7275.6</v>
      </c>
      <c r="H312" s="52">
        <v>3940.75</v>
      </c>
      <c r="I312" s="53">
        <v>27020.380000000005</v>
      </c>
      <c r="J312" s="49"/>
      <c r="R312" s="44">
        <v>249</v>
      </c>
      <c r="S312" s="44">
        <v>88</v>
      </c>
      <c r="T312" s="44">
        <v>298</v>
      </c>
      <c r="U312" s="44">
        <v>14632</v>
      </c>
      <c r="V312" s="44">
        <v>78627</v>
      </c>
      <c r="W312" s="44">
        <v>1366</v>
      </c>
    </row>
    <row r="313" spans="1:23" x14ac:dyDescent="0.2">
      <c r="A313" s="50">
        <f t="shared" si="4"/>
        <v>45603</v>
      </c>
      <c r="B313" s="51">
        <v>7301</v>
      </c>
      <c r="C313" s="52">
        <v>4496</v>
      </c>
      <c r="D313" s="52">
        <v>4472</v>
      </c>
      <c r="E313" s="52">
        <v>2470</v>
      </c>
      <c r="F313" s="52">
        <v>4452</v>
      </c>
      <c r="G313" s="52">
        <v>7389</v>
      </c>
      <c r="H313" s="52">
        <v>3820</v>
      </c>
      <c r="I313" s="53">
        <v>26760</v>
      </c>
      <c r="J313" s="49"/>
      <c r="R313" s="44">
        <v>270</v>
      </c>
      <c r="S313" s="44">
        <v>89.7</v>
      </c>
      <c r="T313" s="44">
        <v>310</v>
      </c>
      <c r="U313" s="44">
        <v>14158</v>
      </c>
      <c r="V313" s="44">
        <v>91534</v>
      </c>
      <c r="W313" s="44">
        <v>1251</v>
      </c>
    </row>
    <row r="314" spans="1:23" x14ac:dyDescent="0.2">
      <c r="A314" s="50">
        <f t="shared" si="4"/>
        <v>45604</v>
      </c>
      <c r="B314" s="51">
        <v>7263.9</v>
      </c>
      <c r="C314" s="52">
        <v>4610.2</v>
      </c>
      <c r="D314" s="52">
        <v>4182.2</v>
      </c>
      <c r="E314" s="52">
        <v>2536.6999999999998</v>
      </c>
      <c r="F314" s="52">
        <v>4253.1000000000004</v>
      </c>
      <c r="G314" s="52">
        <v>7195.4</v>
      </c>
      <c r="H314" s="52">
        <v>3911.1</v>
      </c>
      <c r="I314" s="53">
        <v>26130.400000000001</v>
      </c>
      <c r="J314" s="49"/>
      <c r="R314" s="44">
        <v>248</v>
      </c>
      <c r="S314" s="44">
        <v>89.8</v>
      </c>
      <c r="T314" s="44">
        <v>303</v>
      </c>
      <c r="U314" s="44">
        <v>15500</v>
      </c>
      <c r="V314" s="44">
        <v>105838</v>
      </c>
      <c r="W314" s="44">
        <v>1196</v>
      </c>
    </row>
    <row r="315" spans="1:23" x14ac:dyDescent="0.2">
      <c r="A315" s="50">
        <f t="shared" si="4"/>
        <v>45605</v>
      </c>
      <c r="B315" s="51">
        <v>6282.25</v>
      </c>
      <c r="C315" s="52">
        <v>4024.5</v>
      </c>
      <c r="D315" s="52">
        <v>3837.8</v>
      </c>
      <c r="E315" s="52">
        <v>2423.8000000000002</v>
      </c>
      <c r="F315" s="52">
        <v>3826.3</v>
      </c>
      <c r="G315" s="52">
        <v>5913.36</v>
      </c>
      <c r="H315" s="52">
        <v>3173.1200000000003</v>
      </c>
      <c r="I315" s="53">
        <v>23134.89</v>
      </c>
      <c r="J315" s="49"/>
      <c r="R315" s="44">
        <v>225</v>
      </c>
      <c r="S315" s="44">
        <v>86.6</v>
      </c>
      <c r="T315" s="44">
        <v>286</v>
      </c>
      <c r="U315" s="44">
        <v>14927</v>
      </c>
      <c r="V315" s="44">
        <v>119404</v>
      </c>
      <c r="W315" s="44">
        <v>1361</v>
      </c>
    </row>
    <row r="316" spans="1:23" x14ac:dyDescent="0.2">
      <c r="A316" s="50">
        <f t="shared" si="4"/>
        <v>45606</v>
      </c>
      <c r="B316" s="51">
        <v>5767.55</v>
      </c>
      <c r="C316" s="52">
        <v>3868.46</v>
      </c>
      <c r="D316" s="52">
        <v>3979.22</v>
      </c>
      <c r="E316" s="52">
        <v>2064.29</v>
      </c>
      <c r="F316" s="52">
        <v>3753.68</v>
      </c>
      <c r="G316" s="52">
        <v>5723.58</v>
      </c>
      <c r="H316" s="52">
        <v>3141.5199999999995</v>
      </c>
      <c r="I316" s="53">
        <v>22015.26</v>
      </c>
      <c r="J316" s="49"/>
      <c r="R316" s="44">
        <v>217</v>
      </c>
      <c r="S316" s="44">
        <v>84</v>
      </c>
      <c r="T316" s="44">
        <v>285</v>
      </c>
      <c r="U316" s="44">
        <v>14231</v>
      </c>
      <c r="V316" s="44">
        <v>132496</v>
      </c>
      <c r="W316" s="44">
        <v>1139</v>
      </c>
    </row>
    <row r="317" spans="1:23" x14ac:dyDescent="0.2">
      <c r="A317" s="50">
        <f t="shared" si="4"/>
        <v>45607</v>
      </c>
      <c r="B317" s="51">
        <v>6546.31</v>
      </c>
      <c r="C317" s="52">
        <v>4502.97</v>
      </c>
      <c r="D317" s="52">
        <v>4351.96</v>
      </c>
      <c r="E317" s="52">
        <v>3002.07</v>
      </c>
      <c r="F317" s="52">
        <v>3559.55</v>
      </c>
      <c r="G317" s="52">
        <v>6604.39</v>
      </c>
      <c r="H317" s="52">
        <v>3941.9200000000005</v>
      </c>
      <c r="I317" s="53">
        <v>24625.329999999998</v>
      </c>
      <c r="J317" s="49"/>
      <c r="R317" s="44">
        <v>286</v>
      </c>
      <c r="S317" s="44">
        <v>93.5</v>
      </c>
      <c r="T317" s="44">
        <v>318</v>
      </c>
      <c r="U317" s="44">
        <v>14362</v>
      </c>
      <c r="V317" s="44">
        <v>145596</v>
      </c>
      <c r="W317" s="44">
        <v>1262</v>
      </c>
    </row>
    <row r="318" spans="1:23" x14ac:dyDescent="0.2">
      <c r="A318" s="50">
        <f t="shared" si="4"/>
        <v>45608</v>
      </c>
      <c r="B318" s="51">
        <v>6529.5</v>
      </c>
      <c r="C318" s="52">
        <v>4691.8</v>
      </c>
      <c r="D318" s="52">
        <v>4382.6000000000004</v>
      </c>
      <c r="E318" s="52">
        <v>2358.3000000000002</v>
      </c>
      <c r="F318" s="52">
        <v>3941.5</v>
      </c>
      <c r="G318" s="52">
        <v>6785.7</v>
      </c>
      <c r="H318" s="52">
        <v>3979.14</v>
      </c>
      <c r="I318" s="53">
        <v>24710.260000000002</v>
      </c>
      <c r="J318" s="49"/>
      <c r="R318" s="44">
        <v>263</v>
      </c>
      <c r="S318" s="44">
        <v>93.7</v>
      </c>
      <c r="T318" s="44">
        <v>314</v>
      </c>
      <c r="U318" s="44">
        <v>14547</v>
      </c>
      <c r="V318" s="44">
        <v>158983</v>
      </c>
      <c r="W318" s="44">
        <v>1160</v>
      </c>
    </row>
    <row r="319" spans="1:23" x14ac:dyDescent="0.2">
      <c r="A319" s="50">
        <f t="shared" si="4"/>
        <v>45609</v>
      </c>
      <c r="B319" s="51">
        <v>6203</v>
      </c>
      <c r="C319" s="52">
        <v>4620.7</v>
      </c>
      <c r="D319" s="52">
        <v>4156.7</v>
      </c>
      <c r="E319" s="52">
        <v>2688.5</v>
      </c>
      <c r="F319" s="52">
        <v>4127</v>
      </c>
      <c r="G319" s="52">
        <v>6540.1</v>
      </c>
      <c r="H319" s="52">
        <v>3816.01</v>
      </c>
      <c r="I319" s="53">
        <v>24519.989999999998</v>
      </c>
      <c r="J319" s="49"/>
      <c r="R319" s="44">
        <v>262.45</v>
      </c>
      <c r="S319" s="44">
        <v>96.1</v>
      </c>
      <c r="T319" s="44">
        <v>321</v>
      </c>
      <c r="U319" s="44">
        <v>15143</v>
      </c>
      <c r="V319" s="44">
        <v>172830</v>
      </c>
      <c r="W319" s="44">
        <v>1296</v>
      </c>
    </row>
    <row r="320" spans="1:23" x14ac:dyDescent="0.2">
      <c r="A320" s="50">
        <f t="shared" si="4"/>
        <v>45610</v>
      </c>
      <c r="B320" s="51">
        <v>6158.17</v>
      </c>
      <c r="C320" s="52">
        <v>4427.4399999999996</v>
      </c>
      <c r="D320" s="52">
        <v>4058.83</v>
      </c>
      <c r="E320" s="52">
        <v>2089.31</v>
      </c>
      <c r="F320" s="52">
        <v>3899.37</v>
      </c>
      <c r="G320" s="52">
        <v>6395.56</v>
      </c>
      <c r="H320" s="52">
        <v>3540.16</v>
      </c>
      <c r="I320" s="53">
        <v>23488.52</v>
      </c>
      <c r="J320" s="49"/>
      <c r="R320" s="44">
        <v>244.45</v>
      </c>
      <c r="S320" s="44">
        <v>90.7</v>
      </c>
      <c r="T320" s="44">
        <v>306</v>
      </c>
      <c r="U320" s="44">
        <v>14548</v>
      </c>
      <c r="V320" s="44">
        <v>186214</v>
      </c>
      <c r="W320" s="44">
        <v>1164</v>
      </c>
    </row>
    <row r="321" spans="1:23" x14ac:dyDescent="0.2">
      <c r="A321" s="50">
        <f t="shared" si="4"/>
        <v>45611</v>
      </c>
      <c r="B321" s="51">
        <v>5919.34</v>
      </c>
      <c r="C321" s="52">
        <v>4450.8500000000004</v>
      </c>
      <c r="D321" s="52">
        <v>4205.34</v>
      </c>
      <c r="E321" s="52">
        <v>2293.48</v>
      </c>
      <c r="F321" s="52">
        <v>3764.04</v>
      </c>
      <c r="G321" s="52">
        <v>5530.26</v>
      </c>
      <c r="H321" s="52">
        <v>3352.18</v>
      </c>
      <c r="I321" s="53">
        <v>22811.130000000005</v>
      </c>
      <c r="J321" s="49"/>
      <c r="R321" s="44">
        <v>258.23</v>
      </c>
      <c r="S321" s="44">
        <v>91.500000000000014</v>
      </c>
      <c r="T321" s="44">
        <v>309</v>
      </c>
      <c r="U321" s="44">
        <v>15110</v>
      </c>
      <c r="V321" s="44">
        <v>200225</v>
      </c>
      <c r="W321" s="44">
        <v>1099</v>
      </c>
    </row>
    <row r="322" spans="1:23" x14ac:dyDescent="0.2">
      <c r="A322" s="50">
        <f t="shared" si="4"/>
        <v>45612</v>
      </c>
      <c r="B322" s="51">
        <v>5709.8</v>
      </c>
      <c r="C322" s="52">
        <v>4209.97</v>
      </c>
      <c r="D322" s="52">
        <v>3903.1</v>
      </c>
      <c r="E322" s="52">
        <v>1917.2</v>
      </c>
      <c r="F322" s="52">
        <v>3642.76</v>
      </c>
      <c r="G322" s="52">
        <v>3465.25</v>
      </c>
      <c r="H322" s="52">
        <v>2376.8900000000003</v>
      </c>
      <c r="I322" s="53">
        <v>20471.190000000002</v>
      </c>
      <c r="J322" s="49"/>
      <c r="R322" s="44">
        <v>225</v>
      </c>
      <c r="S322" s="44">
        <v>84.3</v>
      </c>
      <c r="T322" s="44">
        <v>282</v>
      </c>
      <c r="U322" s="44">
        <v>15660</v>
      </c>
      <c r="V322" s="44">
        <v>214870</v>
      </c>
      <c r="W322" s="44">
        <v>1015</v>
      </c>
    </row>
    <row r="323" spans="1:23" x14ac:dyDescent="0.2">
      <c r="A323" s="50">
        <f t="shared" ref="A323:A369" si="5">A322+1</f>
        <v>45613</v>
      </c>
      <c r="B323" s="51">
        <v>5416.3</v>
      </c>
      <c r="C323" s="52">
        <v>4119.7</v>
      </c>
      <c r="D323" s="52">
        <v>3387.1</v>
      </c>
      <c r="E323" s="52">
        <v>1634.6</v>
      </c>
      <c r="F323" s="52">
        <v>3614.3</v>
      </c>
      <c r="G323" s="52">
        <v>4478.7</v>
      </c>
      <c r="H323" s="52">
        <v>2810.49</v>
      </c>
      <c r="I323" s="53">
        <v>19840.21</v>
      </c>
      <c r="J323" s="49"/>
      <c r="R323" s="44">
        <v>222</v>
      </c>
      <c r="S323" s="44">
        <v>84.7</v>
      </c>
      <c r="T323" s="44">
        <v>283</v>
      </c>
      <c r="U323" s="44">
        <v>12165</v>
      </c>
      <c r="V323" s="44">
        <v>225971</v>
      </c>
      <c r="W323" s="44">
        <v>1064</v>
      </c>
    </row>
    <row r="324" spans="1:23" x14ac:dyDescent="0.2">
      <c r="A324" s="50">
        <f t="shared" si="5"/>
        <v>45614</v>
      </c>
      <c r="B324" s="51">
        <v>6368.88</v>
      </c>
      <c r="C324" s="52">
        <v>4488.87</v>
      </c>
      <c r="D324" s="52">
        <v>3643.39</v>
      </c>
      <c r="E324" s="52">
        <v>2667.68</v>
      </c>
      <c r="F324" s="52">
        <v>3999.32</v>
      </c>
      <c r="G324" s="52">
        <v>6982.97</v>
      </c>
      <c r="H324" s="52">
        <v>3901.73</v>
      </c>
      <c r="I324" s="53">
        <v>24249.38</v>
      </c>
      <c r="J324" s="49"/>
      <c r="R324" s="44">
        <v>248.28</v>
      </c>
      <c r="S324" s="44">
        <v>91.1</v>
      </c>
      <c r="T324" s="44">
        <v>305</v>
      </c>
      <c r="U324" s="44">
        <v>12560</v>
      </c>
      <c r="V324" s="44">
        <v>237366</v>
      </c>
      <c r="W324" s="44">
        <v>1165</v>
      </c>
    </row>
    <row r="325" spans="1:23" x14ac:dyDescent="0.2">
      <c r="A325" s="50">
        <f t="shared" si="5"/>
        <v>45615</v>
      </c>
      <c r="B325" s="51">
        <v>6737.64</v>
      </c>
      <c r="C325" s="52">
        <v>4624.67</v>
      </c>
      <c r="D325" s="52">
        <v>4026.15</v>
      </c>
      <c r="E325" s="52">
        <v>2780.51</v>
      </c>
      <c r="F325" s="52">
        <v>4052.98</v>
      </c>
      <c r="G325" s="52">
        <v>6751.34</v>
      </c>
      <c r="H325" s="52">
        <v>3573.059999999999</v>
      </c>
      <c r="I325" s="53">
        <v>25400.230000000003</v>
      </c>
      <c r="J325" s="49"/>
      <c r="R325" s="44">
        <v>238.42</v>
      </c>
      <c r="S325" s="44">
        <v>90.399999999999991</v>
      </c>
      <c r="T325" s="44">
        <v>295</v>
      </c>
      <c r="U325" s="44">
        <v>12289</v>
      </c>
      <c r="V325" s="44">
        <v>248464</v>
      </c>
      <c r="W325" s="44">
        <v>1191</v>
      </c>
    </row>
    <row r="326" spans="1:23" x14ac:dyDescent="0.2">
      <c r="A326" s="50">
        <f t="shared" si="5"/>
        <v>45616</v>
      </c>
      <c r="B326" s="51">
        <v>6559.7</v>
      </c>
      <c r="C326" s="52">
        <v>4662.1000000000004</v>
      </c>
      <c r="D326" s="52">
        <v>4191.1000000000004</v>
      </c>
      <c r="E326" s="52">
        <v>2639.1</v>
      </c>
      <c r="F326" s="52">
        <v>4069.9</v>
      </c>
      <c r="G326" s="52">
        <v>6783.5</v>
      </c>
      <c r="H326" s="52">
        <v>3807.8</v>
      </c>
      <c r="I326" s="53">
        <v>25097.600000000002</v>
      </c>
      <c r="J326" s="49"/>
      <c r="R326" s="44">
        <v>219.67</v>
      </c>
      <c r="S326" s="44">
        <v>90.3</v>
      </c>
      <c r="T326" s="44">
        <v>303</v>
      </c>
      <c r="U326" s="44">
        <v>12596</v>
      </c>
      <c r="V326" s="44">
        <v>259888</v>
      </c>
      <c r="W326" s="44">
        <v>1172</v>
      </c>
    </row>
    <row r="327" spans="1:23" x14ac:dyDescent="0.2">
      <c r="A327" s="50">
        <f t="shared" si="5"/>
        <v>45617</v>
      </c>
      <c r="B327" s="51">
        <v>6182.9</v>
      </c>
      <c r="C327" s="52">
        <v>4635.6000000000004</v>
      </c>
      <c r="D327" s="52">
        <v>4050.8</v>
      </c>
      <c r="E327" s="52">
        <v>2509.8000000000002</v>
      </c>
      <c r="F327" s="52">
        <v>4057.1</v>
      </c>
      <c r="G327" s="52">
        <v>6998.7</v>
      </c>
      <c r="H327" s="52">
        <v>3639.4700000000007</v>
      </c>
      <c r="I327" s="53">
        <v>24795.429999999997</v>
      </c>
      <c r="J327" s="49"/>
      <c r="R327" s="44">
        <v>225.89</v>
      </c>
      <c r="S327" s="44">
        <v>90.2</v>
      </c>
      <c r="T327" s="44">
        <v>299</v>
      </c>
      <c r="U327" s="44">
        <v>13621</v>
      </c>
      <c r="V327" s="44">
        <v>272221</v>
      </c>
      <c r="W327" s="44">
        <v>1288</v>
      </c>
    </row>
    <row r="328" spans="1:23" x14ac:dyDescent="0.2">
      <c r="A328" s="50">
        <f t="shared" si="5"/>
        <v>45618</v>
      </c>
      <c r="B328" s="51">
        <v>6803.68</v>
      </c>
      <c r="C328" s="52">
        <v>4529.74</v>
      </c>
      <c r="D328" s="52">
        <v>4344.05</v>
      </c>
      <c r="E328" s="52">
        <v>2499.23</v>
      </c>
      <c r="F328" s="52">
        <v>4226.62</v>
      </c>
      <c r="G328" s="52">
        <v>6896.55</v>
      </c>
      <c r="H328" s="52">
        <v>3569.4099999999994</v>
      </c>
      <c r="I328" s="53">
        <v>25730.46</v>
      </c>
      <c r="J328" s="49"/>
      <c r="R328" s="44">
        <v>239</v>
      </c>
      <c r="S328" s="44">
        <v>92.4</v>
      </c>
      <c r="T328" s="44">
        <v>309</v>
      </c>
      <c r="U328" s="44">
        <v>14547</v>
      </c>
      <c r="V328" s="44">
        <v>285514</v>
      </c>
      <c r="W328" s="44">
        <v>1254</v>
      </c>
    </row>
    <row r="329" spans="1:23" x14ac:dyDescent="0.2">
      <c r="A329" s="50">
        <f t="shared" si="5"/>
        <v>45619</v>
      </c>
      <c r="B329" s="51">
        <v>6700.45</v>
      </c>
      <c r="C329" s="52">
        <v>4461.6000000000004</v>
      </c>
      <c r="D329" s="52">
        <v>4000.38</v>
      </c>
      <c r="E329" s="52">
        <v>2814.12</v>
      </c>
      <c r="F329" s="52">
        <v>4381.17</v>
      </c>
      <c r="G329" s="52">
        <v>5905.12</v>
      </c>
      <c r="H329" s="52">
        <v>2851.4100000000003</v>
      </c>
      <c r="I329" s="53">
        <v>25411.43</v>
      </c>
      <c r="J329" s="49"/>
      <c r="R329" s="44">
        <v>235</v>
      </c>
      <c r="S329" s="44">
        <v>91.9</v>
      </c>
      <c r="T329" s="44">
        <v>300</v>
      </c>
      <c r="U329" s="44">
        <v>14124</v>
      </c>
      <c r="V329" s="44">
        <v>298285</v>
      </c>
      <c r="W329" s="44">
        <v>1353</v>
      </c>
    </row>
    <row r="330" spans="1:23" x14ac:dyDescent="0.2">
      <c r="A330" s="50">
        <f t="shared" si="5"/>
        <v>45620</v>
      </c>
      <c r="B330" s="51">
        <v>5947.2</v>
      </c>
      <c r="C330" s="52">
        <v>4328.7</v>
      </c>
      <c r="D330" s="52">
        <v>4025.6</v>
      </c>
      <c r="E330" s="52">
        <v>1985.4</v>
      </c>
      <c r="F330" s="52">
        <v>3881.4</v>
      </c>
      <c r="G330" s="52">
        <v>5515.4</v>
      </c>
      <c r="H330" s="52">
        <v>2649</v>
      </c>
      <c r="I330" s="53">
        <v>23034.699999999997</v>
      </c>
      <c r="J330" s="49"/>
      <c r="R330" s="44">
        <v>214</v>
      </c>
      <c r="S330" s="44">
        <v>87.2</v>
      </c>
      <c r="T330" s="44">
        <v>291</v>
      </c>
      <c r="U330" s="44">
        <v>12511</v>
      </c>
      <c r="V330" s="44">
        <v>309411</v>
      </c>
      <c r="W330" s="44">
        <v>1385</v>
      </c>
    </row>
    <row r="331" spans="1:23" x14ac:dyDescent="0.2">
      <c r="A331" s="50">
        <f t="shared" si="5"/>
        <v>45621</v>
      </c>
      <c r="B331" s="51">
        <v>6659.9</v>
      </c>
      <c r="C331" s="52">
        <v>4945.3999999999996</v>
      </c>
      <c r="D331" s="52">
        <v>4401.3</v>
      </c>
      <c r="E331" s="52">
        <v>2370.6</v>
      </c>
      <c r="F331" s="52">
        <v>4400.8</v>
      </c>
      <c r="G331" s="52">
        <v>7092.9</v>
      </c>
      <c r="H331" s="52">
        <v>3844.2</v>
      </c>
      <c r="I331" s="53">
        <v>26026.699999999993</v>
      </c>
      <c r="J331" s="49"/>
      <c r="R331" s="44">
        <v>237</v>
      </c>
      <c r="S331" s="44">
        <v>93.1</v>
      </c>
      <c r="T331" s="44">
        <v>311</v>
      </c>
      <c r="U331" s="44">
        <v>13484</v>
      </c>
      <c r="V331" s="44">
        <v>321475</v>
      </c>
      <c r="W331" s="44">
        <v>1420</v>
      </c>
    </row>
    <row r="332" spans="1:23" x14ac:dyDescent="0.2">
      <c r="A332" s="50">
        <f t="shared" si="5"/>
        <v>45622</v>
      </c>
      <c r="B332" s="51">
        <v>6615.14</v>
      </c>
      <c r="C332" s="52">
        <v>4855.8900000000003</v>
      </c>
      <c r="D332" s="52">
        <v>4361.13</v>
      </c>
      <c r="E332" s="52">
        <v>2674.51</v>
      </c>
      <c r="F332" s="52">
        <v>4392.45</v>
      </c>
      <c r="G332" s="52">
        <v>7301.8</v>
      </c>
      <c r="H332" s="52">
        <v>3958</v>
      </c>
      <c r="I332" s="53">
        <v>26242.92</v>
      </c>
      <c r="J332" s="49"/>
      <c r="R332" s="44">
        <v>251</v>
      </c>
      <c r="S332" s="44">
        <v>94.6</v>
      </c>
      <c r="T332" s="44">
        <v>319</v>
      </c>
      <c r="U332" s="44">
        <v>14276</v>
      </c>
      <c r="V332" s="44">
        <v>334404</v>
      </c>
      <c r="W332" s="44">
        <v>1347</v>
      </c>
    </row>
    <row r="333" spans="1:23" x14ac:dyDescent="0.2">
      <c r="A333" s="50">
        <f t="shared" si="5"/>
        <v>45623</v>
      </c>
      <c r="B333" s="51">
        <v>7079</v>
      </c>
      <c r="C333" s="52">
        <v>5223</v>
      </c>
      <c r="D333" s="52">
        <v>4461</v>
      </c>
      <c r="E333" s="52">
        <v>2960</v>
      </c>
      <c r="F333" s="52">
        <v>4654</v>
      </c>
      <c r="G333" s="52">
        <v>7243</v>
      </c>
      <c r="H333" s="52">
        <v>3830</v>
      </c>
      <c r="I333" s="53">
        <v>27790</v>
      </c>
      <c r="J333" s="49"/>
      <c r="R333" s="44">
        <v>280</v>
      </c>
      <c r="S333" s="44">
        <v>97.499999999999986</v>
      </c>
      <c r="T333" s="44">
        <v>353</v>
      </c>
      <c r="U333" s="44">
        <v>14850</v>
      </c>
      <c r="V333" s="44">
        <v>347889</v>
      </c>
      <c r="W333" s="44">
        <v>1365</v>
      </c>
    </row>
    <row r="334" spans="1:23" x14ac:dyDescent="0.2">
      <c r="A334" s="50">
        <f t="shared" si="5"/>
        <v>45624</v>
      </c>
      <c r="B334" s="51">
        <v>7001.2</v>
      </c>
      <c r="C334" s="52">
        <v>5094.8</v>
      </c>
      <c r="D334" s="52">
        <v>4288.5</v>
      </c>
      <c r="E334" s="52">
        <v>2766.3</v>
      </c>
      <c r="F334" s="52">
        <v>4551.6000000000004</v>
      </c>
      <c r="G334" s="52">
        <v>7018.9</v>
      </c>
      <c r="H334" s="52">
        <v>3765.7000000000003</v>
      </c>
      <c r="I334" s="53">
        <v>26955.600000000002</v>
      </c>
      <c r="J334" s="49"/>
      <c r="R334" s="44">
        <v>276</v>
      </c>
      <c r="S334" s="44">
        <v>98.1</v>
      </c>
      <c r="T334" s="44">
        <v>339</v>
      </c>
      <c r="U334" s="44">
        <v>14658</v>
      </c>
      <c r="V334" s="44">
        <v>361106</v>
      </c>
      <c r="W334" s="44">
        <v>1441</v>
      </c>
    </row>
    <row r="335" spans="1:23" x14ac:dyDescent="0.2">
      <c r="A335" s="50">
        <f t="shared" si="5"/>
        <v>45625</v>
      </c>
      <c r="B335" s="51">
        <v>6952.86</v>
      </c>
      <c r="C335" s="52">
        <v>5364.84</v>
      </c>
      <c r="D335" s="52">
        <v>4315.22</v>
      </c>
      <c r="E335" s="52">
        <v>3002.87</v>
      </c>
      <c r="F335" s="52">
        <v>4505.04</v>
      </c>
      <c r="G335" s="52">
        <v>7269.06</v>
      </c>
      <c r="H335" s="52">
        <v>3784.21</v>
      </c>
      <c r="I335" s="53">
        <v>27625.680000000004</v>
      </c>
      <c r="J335" s="49"/>
      <c r="R335" s="44">
        <v>290</v>
      </c>
      <c r="S335" s="44">
        <v>104.4</v>
      </c>
      <c r="T335" s="44">
        <v>366</v>
      </c>
      <c r="U335" s="44">
        <v>14915</v>
      </c>
      <c r="V335" s="44">
        <v>374472</v>
      </c>
      <c r="W335" s="44">
        <v>1549</v>
      </c>
    </row>
    <row r="336" spans="1:23" x14ac:dyDescent="0.2">
      <c r="A336" s="50">
        <f t="shared" si="5"/>
        <v>45626</v>
      </c>
      <c r="B336" s="51">
        <v>6779.31</v>
      </c>
      <c r="C336" s="52">
        <v>4795.09</v>
      </c>
      <c r="D336" s="52">
        <v>4034.93</v>
      </c>
      <c r="E336" s="52">
        <v>2924.55</v>
      </c>
      <c r="F336" s="52">
        <v>4223.58</v>
      </c>
      <c r="G336" s="52">
        <v>6263.89</v>
      </c>
      <c r="H336" s="52">
        <v>3045.7000000000003</v>
      </c>
      <c r="I336" s="53">
        <v>25975.649999999998</v>
      </c>
      <c r="J336" s="49"/>
      <c r="R336" s="44">
        <v>291</v>
      </c>
      <c r="S336" s="44">
        <v>94.399999999999991</v>
      </c>
      <c r="T336" s="44">
        <v>351</v>
      </c>
      <c r="U336" s="44">
        <v>13723</v>
      </c>
      <c r="V336" s="44">
        <v>386721</v>
      </c>
      <c r="W336" s="44">
        <v>1474</v>
      </c>
    </row>
    <row r="337" spans="1:23" x14ac:dyDescent="0.2">
      <c r="A337" s="50">
        <f t="shared" si="5"/>
        <v>45627</v>
      </c>
      <c r="B337" s="51">
        <v>6761</v>
      </c>
      <c r="C337" s="52">
        <v>4680</v>
      </c>
      <c r="D337" s="52">
        <v>3741</v>
      </c>
      <c r="E337" s="52">
        <v>2738</v>
      </c>
      <c r="F337" s="52">
        <v>4409</v>
      </c>
      <c r="G337" s="52">
        <v>5728</v>
      </c>
      <c r="H337" s="52">
        <v>2734</v>
      </c>
      <c r="I337" s="53">
        <v>25323</v>
      </c>
      <c r="J337" s="49"/>
      <c r="R337" s="44">
        <v>262</v>
      </c>
      <c r="S337" s="44">
        <v>93.2</v>
      </c>
      <c r="T337" s="44">
        <v>337</v>
      </c>
      <c r="U337" s="44">
        <v>13500</v>
      </c>
      <c r="V337" s="44">
        <v>12104</v>
      </c>
      <c r="W337" s="44">
        <v>1396</v>
      </c>
    </row>
    <row r="338" spans="1:23" x14ac:dyDescent="0.2">
      <c r="A338" s="50">
        <f t="shared" si="5"/>
        <v>45628</v>
      </c>
      <c r="B338" s="51">
        <v>6688.2</v>
      </c>
      <c r="C338" s="52">
        <v>4931.3999999999996</v>
      </c>
      <c r="D338" s="52">
        <v>3917.4</v>
      </c>
      <c r="E338" s="52">
        <v>2334</v>
      </c>
      <c r="F338" s="52">
        <v>4052.9</v>
      </c>
      <c r="G338" s="52">
        <v>5784.3</v>
      </c>
      <c r="H338" s="52">
        <v>3462.8900000000003</v>
      </c>
      <c r="I338" s="53">
        <v>24245.31</v>
      </c>
      <c r="J338" s="49"/>
      <c r="R338" s="44">
        <v>282</v>
      </c>
      <c r="S338" s="44">
        <v>92.600000000000009</v>
      </c>
      <c r="T338" s="44">
        <v>340</v>
      </c>
      <c r="U338" s="44">
        <v>13906</v>
      </c>
      <c r="V338" s="44">
        <v>24617</v>
      </c>
      <c r="W338" s="44">
        <v>1393</v>
      </c>
    </row>
    <row r="339" spans="1:23" x14ac:dyDescent="0.2">
      <c r="A339" s="50">
        <f t="shared" si="5"/>
        <v>45629</v>
      </c>
      <c r="B339" s="51">
        <v>6996.9</v>
      </c>
      <c r="C339" s="52">
        <v>4942.3</v>
      </c>
      <c r="D339" s="52">
        <v>3919.4</v>
      </c>
      <c r="E339" s="52">
        <v>3215.6</v>
      </c>
      <c r="F339" s="52">
        <v>4589.2</v>
      </c>
      <c r="G339" s="52">
        <v>6532.2</v>
      </c>
      <c r="H339" s="52">
        <v>3811.9</v>
      </c>
      <c r="I339" s="53">
        <v>26383.7</v>
      </c>
      <c r="J339" s="49"/>
      <c r="R339" s="44">
        <v>289</v>
      </c>
      <c r="S339" s="44">
        <v>94.5</v>
      </c>
      <c r="T339" s="44">
        <v>349</v>
      </c>
      <c r="U339" s="44">
        <v>14358</v>
      </c>
      <c r="V339" s="44">
        <v>37634</v>
      </c>
      <c r="W339" s="44">
        <v>1341</v>
      </c>
    </row>
    <row r="340" spans="1:23" x14ac:dyDescent="0.2">
      <c r="A340" s="50">
        <f t="shared" si="5"/>
        <v>45630</v>
      </c>
      <c r="B340" s="51">
        <v>5927.35</v>
      </c>
      <c r="C340" s="52">
        <v>4617.4799999999996</v>
      </c>
      <c r="D340" s="52">
        <v>3561.76</v>
      </c>
      <c r="E340" s="52">
        <v>2867.95</v>
      </c>
      <c r="F340" s="52">
        <v>3738.61</v>
      </c>
      <c r="G340" s="52">
        <v>6765.99</v>
      </c>
      <c r="H340" s="52">
        <v>3822.3500000000004</v>
      </c>
      <c r="I340" s="53">
        <v>23656.79</v>
      </c>
      <c r="J340" s="49"/>
      <c r="R340" s="44">
        <v>275</v>
      </c>
      <c r="S340" s="44">
        <v>89.5</v>
      </c>
      <c r="T340" s="44">
        <v>331</v>
      </c>
      <c r="U340" s="44">
        <v>13316</v>
      </c>
      <c r="V340" s="44">
        <v>49612</v>
      </c>
      <c r="W340" s="44">
        <v>1338</v>
      </c>
    </row>
    <row r="341" spans="1:23" x14ac:dyDescent="0.2">
      <c r="A341" s="50">
        <f t="shared" si="5"/>
        <v>45631</v>
      </c>
      <c r="B341" s="51">
        <v>6044</v>
      </c>
      <c r="C341" s="52">
        <v>4689</v>
      </c>
      <c r="D341" s="52">
        <v>3464</v>
      </c>
      <c r="E341" s="52">
        <v>3190</v>
      </c>
      <c r="F341" s="52">
        <v>3784</v>
      </c>
      <c r="G341" s="52">
        <v>6646</v>
      </c>
      <c r="H341" s="52">
        <v>3664</v>
      </c>
      <c r="I341" s="53">
        <v>24153</v>
      </c>
      <c r="J341" s="49"/>
      <c r="R341" s="44">
        <v>268</v>
      </c>
      <c r="S341" s="44">
        <v>86.3</v>
      </c>
      <c r="T341" s="44">
        <v>334</v>
      </c>
      <c r="U341" s="44">
        <v>12811</v>
      </c>
      <c r="V341" s="44">
        <v>61162</v>
      </c>
      <c r="W341" s="44">
        <v>1261</v>
      </c>
    </row>
    <row r="342" spans="1:23" x14ac:dyDescent="0.2">
      <c r="A342" s="50">
        <f t="shared" si="5"/>
        <v>45632</v>
      </c>
      <c r="B342" s="51">
        <v>5739.8</v>
      </c>
      <c r="C342" s="52">
        <v>4555.8</v>
      </c>
      <c r="D342" s="52">
        <v>3361.3</v>
      </c>
      <c r="E342" s="52">
        <v>2425.3000000000002</v>
      </c>
      <c r="F342" s="52">
        <v>3482.1</v>
      </c>
      <c r="G342" s="52">
        <v>5409.6</v>
      </c>
      <c r="H342" s="52">
        <v>3257.6</v>
      </c>
      <c r="I342" s="53">
        <v>21716.300000000003</v>
      </c>
      <c r="J342" s="49"/>
      <c r="R342" s="44">
        <v>248</v>
      </c>
      <c r="S342" s="44">
        <v>85.8</v>
      </c>
      <c r="T342" s="44">
        <v>332</v>
      </c>
      <c r="U342" s="44">
        <v>13227</v>
      </c>
      <c r="V342" s="44">
        <v>73044</v>
      </c>
      <c r="W342" s="44">
        <v>1345</v>
      </c>
    </row>
    <row r="343" spans="1:23" x14ac:dyDescent="0.2">
      <c r="A343" s="50">
        <f t="shared" si="5"/>
        <v>45633</v>
      </c>
      <c r="B343" s="51">
        <v>5710.4</v>
      </c>
      <c r="C343" s="52">
        <v>4530.8999999999996</v>
      </c>
      <c r="D343" s="52">
        <v>3798</v>
      </c>
      <c r="E343" s="52">
        <v>2383.3000000000002</v>
      </c>
      <c r="F343" s="52">
        <v>3303.3</v>
      </c>
      <c r="G343" s="52">
        <v>3738.1</v>
      </c>
      <c r="H343" s="52">
        <v>2823.39</v>
      </c>
      <c r="I343" s="53">
        <v>20640.609999999997</v>
      </c>
      <c r="J343" s="49"/>
      <c r="R343" s="44">
        <v>264</v>
      </c>
      <c r="S343" s="44">
        <v>92.699999999999989</v>
      </c>
      <c r="T343" s="44">
        <v>340</v>
      </c>
      <c r="U343" s="44">
        <v>13918</v>
      </c>
      <c r="V343" s="44">
        <v>85641</v>
      </c>
      <c r="W343" s="44">
        <v>1321</v>
      </c>
    </row>
    <row r="344" spans="1:23" x14ac:dyDescent="0.2">
      <c r="A344" s="50">
        <f t="shared" si="5"/>
        <v>45634</v>
      </c>
      <c r="B344" s="51">
        <v>6018.2</v>
      </c>
      <c r="C344" s="52">
        <v>4606.59</v>
      </c>
      <c r="D344" s="52">
        <v>4265.12</v>
      </c>
      <c r="E344" s="52">
        <v>2268.2800000000002</v>
      </c>
      <c r="F344" s="52">
        <v>3799.92</v>
      </c>
      <c r="G344" s="52">
        <v>4423.6899999999996</v>
      </c>
      <c r="H344" s="52">
        <v>2862.45</v>
      </c>
      <c r="I344" s="53">
        <v>22519.35</v>
      </c>
      <c r="J344" s="49"/>
      <c r="R344" s="44">
        <v>274</v>
      </c>
      <c r="S344" s="44">
        <v>93</v>
      </c>
      <c r="T344" s="44">
        <v>346</v>
      </c>
      <c r="U344" s="44">
        <v>14873</v>
      </c>
      <c r="V344" s="44">
        <v>99107</v>
      </c>
      <c r="W344" s="44">
        <v>1407</v>
      </c>
    </row>
    <row r="345" spans="1:23" x14ac:dyDescent="0.2">
      <c r="A345" s="50">
        <f t="shared" si="5"/>
        <v>45635</v>
      </c>
      <c r="B345" s="51">
        <v>6476</v>
      </c>
      <c r="C345" s="52">
        <v>5147</v>
      </c>
      <c r="D345" s="52">
        <v>4368</v>
      </c>
      <c r="E345" s="52">
        <v>2572</v>
      </c>
      <c r="F345" s="52">
        <v>4021</v>
      </c>
      <c r="G345" s="52">
        <v>6587</v>
      </c>
      <c r="H345" s="52">
        <v>3665</v>
      </c>
      <c r="I345" s="53">
        <v>25506</v>
      </c>
      <c r="J345" s="49"/>
      <c r="R345" s="44">
        <v>292</v>
      </c>
      <c r="S345" s="44">
        <v>96.4</v>
      </c>
      <c r="T345" s="44">
        <v>359</v>
      </c>
      <c r="U345" s="44">
        <v>14420</v>
      </c>
      <c r="V345" s="44">
        <v>112330</v>
      </c>
      <c r="W345" s="44">
        <v>1197</v>
      </c>
    </row>
    <row r="346" spans="1:23" x14ac:dyDescent="0.2">
      <c r="A346" s="50">
        <f t="shared" si="5"/>
        <v>45636</v>
      </c>
      <c r="B346" s="51">
        <v>6911.92</v>
      </c>
      <c r="C346" s="52">
        <v>5135.3599999999997</v>
      </c>
      <c r="D346" s="52">
        <v>4148.7700000000004</v>
      </c>
      <c r="E346" s="52">
        <v>2790.93</v>
      </c>
      <c r="F346" s="52">
        <v>3474.3</v>
      </c>
      <c r="G346" s="52">
        <v>6086.33</v>
      </c>
      <c r="H346" s="52">
        <v>3592.73</v>
      </c>
      <c r="I346" s="53">
        <v>24954.880000000001</v>
      </c>
      <c r="J346" s="49"/>
      <c r="R346" s="44">
        <v>295</v>
      </c>
      <c r="S346" s="44">
        <v>99.899999999999991</v>
      </c>
      <c r="T346" s="44">
        <v>362</v>
      </c>
      <c r="U346" s="44">
        <v>15299</v>
      </c>
      <c r="V346" s="44">
        <v>126215</v>
      </c>
      <c r="W346" s="44">
        <v>1414</v>
      </c>
    </row>
    <row r="347" spans="1:23" x14ac:dyDescent="0.2">
      <c r="A347" s="50">
        <f t="shared" si="5"/>
        <v>45637</v>
      </c>
      <c r="B347" s="51">
        <v>6972.5</v>
      </c>
      <c r="C347" s="52">
        <v>5043.3999999999996</v>
      </c>
      <c r="D347" s="52">
        <v>4139.6000000000004</v>
      </c>
      <c r="E347" s="52">
        <v>3406.2</v>
      </c>
      <c r="F347" s="52">
        <v>3813.4</v>
      </c>
      <c r="G347" s="52">
        <v>6672.1</v>
      </c>
      <c r="H347" s="52">
        <v>3777.1499999999996</v>
      </c>
      <c r="I347" s="53">
        <v>26270.050000000003</v>
      </c>
      <c r="J347" s="49"/>
      <c r="R347" s="44">
        <v>302</v>
      </c>
      <c r="S347" s="44">
        <v>103.5</v>
      </c>
      <c r="T347" s="44">
        <v>367</v>
      </c>
      <c r="U347" s="44">
        <v>14986</v>
      </c>
      <c r="V347" s="44">
        <v>139737</v>
      </c>
      <c r="W347" s="44">
        <v>1464</v>
      </c>
    </row>
    <row r="348" spans="1:23" x14ac:dyDescent="0.2">
      <c r="A348" s="50">
        <f t="shared" si="5"/>
        <v>45638</v>
      </c>
      <c r="B348" s="51">
        <v>6811.26</v>
      </c>
      <c r="C348" s="52">
        <v>4876.6899999999996</v>
      </c>
      <c r="D348" s="52">
        <v>4025.97</v>
      </c>
      <c r="E348" s="52">
        <v>3506.17</v>
      </c>
      <c r="F348" s="52">
        <v>3879.13</v>
      </c>
      <c r="G348" s="52">
        <v>6882.96</v>
      </c>
      <c r="H348" s="52">
        <v>4129.16</v>
      </c>
      <c r="I348" s="53">
        <v>25853.02</v>
      </c>
      <c r="J348" s="49"/>
      <c r="R348" s="44">
        <v>305</v>
      </c>
      <c r="S348" s="44">
        <v>99.7</v>
      </c>
      <c r="T348" s="44">
        <v>358</v>
      </c>
      <c r="U348" s="44">
        <v>15227</v>
      </c>
      <c r="V348" s="44">
        <v>153626</v>
      </c>
      <c r="W348" s="44">
        <v>1338</v>
      </c>
    </row>
    <row r="349" spans="1:23" x14ac:dyDescent="0.2">
      <c r="A349" s="50">
        <f t="shared" si="5"/>
        <v>45639</v>
      </c>
      <c r="B349" s="51">
        <v>6809.12</v>
      </c>
      <c r="C349" s="52">
        <v>4914.8999999999996</v>
      </c>
      <c r="D349" s="52">
        <v>4075.03</v>
      </c>
      <c r="E349" s="52">
        <v>3232.22</v>
      </c>
      <c r="F349" s="52">
        <v>3804.38</v>
      </c>
      <c r="G349" s="52">
        <v>6643.86</v>
      </c>
      <c r="H349" s="52">
        <v>3795.3999999999996</v>
      </c>
      <c r="I349" s="53">
        <v>25684.11</v>
      </c>
      <c r="J349" s="49"/>
      <c r="R349" s="44">
        <v>296</v>
      </c>
      <c r="S349" s="44">
        <v>99.1</v>
      </c>
      <c r="T349" s="44">
        <v>358</v>
      </c>
      <c r="U349" s="44">
        <v>15540</v>
      </c>
      <c r="V349" s="44">
        <v>167875</v>
      </c>
      <c r="W349" s="44">
        <v>1291</v>
      </c>
    </row>
    <row r="350" spans="1:23" x14ac:dyDescent="0.2">
      <c r="A350" s="50">
        <f t="shared" si="5"/>
        <v>45640</v>
      </c>
      <c r="B350" s="51">
        <v>6718.12</v>
      </c>
      <c r="C350" s="52">
        <v>4717.75</v>
      </c>
      <c r="D350" s="52">
        <v>3949.89</v>
      </c>
      <c r="E350" s="52">
        <v>3048.2</v>
      </c>
      <c r="F350" s="52">
        <v>3757.6</v>
      </c>
      <c r="G350" s="52">
        <v>5557.03</v>
      </c>
      <c r="H350" s="52">
        <v>2733.97</v>
      </c>
      <c r="I350" s="53">
        <v>25014.619999999995</v>
      </c>
      <c r="J350" s="49"/>
      <c r="R350" s="44">
        <v>282</v>
      </c>
      <c r="S350" s="44">
        <v>99.5</v>
      </c>
      <c r="T350" s="44">
        <v>355</v>
      </c>
      <c r="U350" s="44">
        <v>14831</v>
      </c>
      <c r="V350" s="44">
        <v>181412</v>
      </c>
      <c r="W350" s="44">
        <v>1294</v>
      </c>
    </row>
    <row r="351" spans="1:23" x14ac:dyDescent="0.2">
      <c r="A351" s="50">
        <f t="shared" si="5"/>
        <v>45641</v>
      </c>
      <c r="B351" s="51">
        <v>6241.66</v>
      </c>
      <c r="C351" s="52">
        <v>4712.8999999999996</v>
      </c>
      <c r="D351" s="52">
        <v>4078.36</v>
      </c>
      <c r="E351" s="52">
        <v>2496.6999999999998</v>
      </c>
      <c r="F351" s="52">
        <v>3350.3</v>
      </c>
      <c r="G351" s="52">
        <v>5696.6</v>
      </c>
      <c r="H351" s="52">
        <v>2733.6200000000003</v>
      </c>
      <c r="I351" s="53">
        <v>23842.899999999998</v>
      </c>
      <c r="J351" s="49"/>
      <c r="R351" s="44">
        <v>293</v>
      </c>
      <c r="S351" s="44">
        <v>102.8</v>
      </c>
      <c r="T351" s="44">
        <v>367</v>
      </c>
      <c r="U351" s="44">
        <v>15312</v>
      </c>
      <c r="V351" s="44">
        <v>195319</v>
      </c>
      <c r="W351" s="44">
        <v>1405</v>
      </c>
    </row>
    <row r="352" spans="1:23" x14ac:dyDescent="0.2">
      <c r="A352" s="50">
        <f t="shared" si="5"/>
        <v>45642</v>
      </c>
      <c r="B352" s="51">
        <v>6721.26</v>
      </c>
      <c r="C352" s="52">
        <v>4805.67</v>
      </c>
      <c r="D352" s="52">
        <v>4376.95</v>
      </c>
      <c r="E352" s="52">
        <v>3022.86</v>
      </c>
      <c r="F352" s="52">
        <v>3802.65</v>
      </c>
      <c r="G352" s="52">
        <v>7272.42</v>
      </c>
      <c r="H352" s="52">
        <v>4090.98</v>
      </c>
      <c r="I352" s="53">
        <v>25910.830000000005</v>
      </c>
      <c r="J352" s="49"/>
      <c r="R352" s="44">
        <v>311</v>
      </c>
      <c r="S352" s="44">
        <v>101.6</v>
      </c>
      <c r="T352" s="44">
        <v>369</v>
      </c>
      <c r="U352" s="44">
        <v>15030</v>
      </c>
      <c r="V352" s="44">
        <v>209021</v>
      </c>
      <c r="W352" s="44">
        <v>1328</v>
      </c>
    </row>
    <row r="353" spans="1:23" x14ac:dyDescent="0.2">
      <c r="A353" s="50">
        <f t="shared" si="5"/>
        <v>45643</v>
      </c>
      <c r="B353" s="51">
        <v>6531.28</v>
      </c>
      <c r="C353" s="52">
        <v>4624.25</v>
      </c>
      <c r="D353" s="52">
        <v>4040.39</v>
      </c>
      <c r="E353" s="52">
        <v>3759.52</v>
      </c>
      <c r="F353" s="52">
        <v>3975.57</v>
      </c>
      <c r="G353" s="52">
        <v>7033.97</v>
      </c>
      <c r="H353" s="52">
        <v>4051.46</v>
      </c>
      <c r="I353" s="53">
        <v>25913.52</v>
      </c>
      <c r="J353" s="49"/>
      <c r="R353" s="44">
        <v>279</v>
      </c>
      <c r="S353" s="44">
        <v>95.300000000000011</v>
      </c>
      <c r="T353" s="44">
        <v>340</v>
      </c>
      <c r="U353" s="44">
        <v>14182</v>
      </c>
      <c r="V353" s="44">
        <v>221949</v>
      </c>
      <c r="W353" s="44">
        <v>1254</v>
      </c>
    </row>
    <row r="354" spans="1:23" x14ac:dyDescent="0.2">
      <c r="A354" s="50">
        <f t="shared" si="5"/>
        <v>45644</v>
      </c>
      <c r="B354" s="51">
        <v>5861.73</v>
      </c>
      <c r="C354" s="52">
        <v>4633.68</v>
      </c>
      <c r="D354" s="52">
        <v>4147.21</v>
      </c>
      <c r="E354" s="52">
        <v>3124.2</v>
      </c>
      <c r="F354" s="52">
        <v>3430.98</v>
      </c>
      <c r="G354" s="52">
        <v>6978.48</v>
      </c>
      <c r="H354" s="52">
        <v>4169.12</v>
      </c>
      <c r="I354" s="53">
        <v>24007.16</v>
      </c>
      <c r="J354" s="49"/>
      <c r="R354" s="44">
        <v>288</v>
      </c>
      <c r="S354" s="44">
        <v>97.5</v>
      </c>
      <c r="T354" s="44">
        <v>352</v>
      </c>
      <c r="U354" s="44">
        <v>14391</v>
      </c>
      <c r="V354" s="44">
        <v>234966</v>
      </c>
      <c r="W354" s="44">
        <v>1374</v>
      </c>
    </row>
    <row r="355" spans="1:23" x14ac:dyDescent="0.2">
      <c r="A355" s="50">
        <f t="shared" si="5"/>
        <v>45645</v>
      </c>
      <c r="B355" s="51">
        <v>5829.88</v>
      </c>
      <c r="C355" s="52">
        <v>4560.37</v>
      </c>
      <c r="D355" s="52">
        <v>3887.9</v>
      </c>
      <c r="E355" s="52">
        <v>2928.5</v>
      </c>
      <c r="F355" s="52">
        <v>3175.14</v>
      </c>
      <c r="G355" s="52">
        <v>7136.3</v>
      </c>
      <c r="H355" s="52">
        <v>4119.5700000000006</v>
      </c>
      <c r="I355" s="53">
        <v>23398.52</v>
      </c>
      <c r="J355" s="49"/>
      <c r="R355" s="44">
        <v>279</v>
      </c>
      <c r="S355" s="44">
        <v>95.9</v>
      </c>
      <c r="T355" s="44">
        <v>348</v>
      </c>
      <c r="U355" s="44">
        <v>13809</v>
      </c>
      <c r="V355" s="44">
        <v>247376</v>
      </c>
      <c r="W355" s="44">
        <v>1399</v>
      </c>
    </row>
    <row r="356" spans="1:23" x14ac:dyDescent="0.2">
      <c r="A356" s="50">
        <f t="shared" si="5"/>
        <v>45646</v>
      </c>
      <c r="B356" s="51">
        <v>6059.14</v>
      </c>
      <c r="C356" s="52">
        <v>4445.55</v>
      </c>
      <c r="D356" s="52">
        <v>4100.96</v>
      </c>
      <c r="E356" s="52">
        <v>2944.71</v>
      </c>
      <c r="F356" s="52">
        <v>3224.63</v>
      </c>
      <c r="G356" s="52">
        <v>6184.85</v>
      </c>
      <c r="H356" s="52">
        <v>4109.09</v>
      </c>
      <c r="I356" s="53">
        <v>22850.750000000004</v>
      </c>
      <c r="J356" s="49"/>
      <c r="R356" s="44">
        <v>285</v>
      </c>
      <c r="S356" s="44">
        <v>106.89999999999999</v>
      </c>
      <c r="T356" s="44">
        <v>352</v>
      </c>
      <c r="U356" s="44">
        <v>13836</v>
      </c>
      <c r="V356" s="44">
        <v>259821</v>
      </c>
      <c r="W356" s="44">
        <v>1391</v>
      </c>
    </row>
    <row r="357" spans="1:23" x14ac:dyDescent="0.2">
      <c r="A357" s="50">
        <f t="shared" si="5"/>
        <v>45647</v>
      </c>
      <c r="B357" s="51">
        <v>6154.45</v>
      </c>
      <c r="C357" s="52">
        <v>4392.26</v>
      </c>
      <c r="D357" s="52">
        <v>3937.88</v>
      </c>
      <c r="E357" s="52">
        <v>3711.98</v>
      </c>
      <c r="F357" s="52">
        <v>3208.43</v>
      </c>
      <c r="G357" s="52">
        <v>4205.2</v>
      </c>
      <c r="H357" s="52">
        <v>3183.11</v>
      </c>
      <c r="I357" s="53">
        <v>22427.09</v>
      </c>
      <c r="J357" s="49"/>
      <c r="R357" s="44">
        <v>259</v>
      </c>
      <c r="S357" s="44">
        <v>99.2</v>
      </c>
      <c r="T357" s="44">
        <v>319</v>
      </c>
      <c r="U357" s="44">
        <v>13646</v>
      </c>
      <c r="V357" s="44">
        <v>272134</v>
      </c>
      <c r="W357" s="44">
        <v>1333</v>
      </c>
    </row>
    <row r="358" spans="1:23" x14ac:dyDescent="0.2">
      <c r="A358" s="50">
        <f t="shared" si="5"/>
        <v>45648</v>
      </c>
      <c r="B358" s="51">
        <v>5681.05</v>
      </c>
      <c r="C358" s="52">
        <v>4475.08</v>
      </c>
      <c r="D358" s="52">
        <v>3618.17</v>
      </c>
      <c r="E358" s="52">
        <v>3353.52</v>
      </c>
      <c r="F358" s="52">
        <v>2948.4</v>
      </c>
      <c r="G358" s="52">
        <v>4119.6400000000003</v>
      </c>
      <c r="H358" s="52">
        <v>2948.47</v>
      </c>
      <c r="I358" s="53">
        <v>21247.39</v>
      </c>
      <c r="J358" s="49"/>
      <c r="R358" s="44">
        <v>223</v>
      </c>
      <c r="S358" s="44">
        <v>87.699999999999989</v>
      </c>
      <c r="T358" s="44">
        <v>290</v>
      </c>
      <c r="U358" s="44">
        <v>15298</v>
      </c>
      <c r="V358" s="44">
        <v>285942</v>
      </c>
      <c r="W358" s="44">
        <v>1490</v>
      </c>
    </row>
    <row r="359" spans="1:23" x14ac:dyDescent="0.2">
      <c r="A359" s="50">
        <f t="shared" si="5"/>
        <v>45649</v>
      </c>
      <c r="B359" s="51">
        <v>6263.46</v>
      </c>
      <c r="C359" s="52">
        <v>4772.26</v>
      </c>
      <c r="D359" s="52">
        <v>3736.6</v>
      </c>
      <c r="E359" s="52">
        <v>3325.4</v>
      </c>
      <c r="F359" s="52">
        <v>3231.24</v>
      </c>
      <c r="G359" s="52">
        <v>6970</v>
      </c>
      <c r="H359" s="52">
        <v>4088.2999999999997</v>
      </c>
      <c r="I359" s="53">
        <v>24210.66</v>
      </c>
      <c r="J359" s="49"/>
      <c r="R359" s="44">
        <v>265</v>
      </c>
      <c r="S359" s="44">
        <v>95.800000000000011</v>
      </c>
      <c r="T359" s="44">
        <v>321</v>
      </c>
      <c r="U359" s="44">
        <v>13951</v>
      </c>
      <c r="V359" s="44">
        <v>298487</v>
      </c>
      <c r="W359" s="44">
        <v>1406</v>
      </c>
    </row>
    <row r="360" spans="1:23" x14ac:dyDescent="0.2">
      <c r="A360" s="50">
        <f t="shared" si="5"/>
        <v>45650</v>
      </c>
      <c r="B360" s="51">
        <v>6647.64</v>
      </c>
      <c r="C360" s="52">
        <v>4539.87</v>
      </c>
      <c r="D360" s="52">
        <v>4251.6899999999996</v>
      </c>
      <c r="E360" s="52">
        <v>3928.16</v>
      </c>
      <c r="F360" s="52">
        <v>3293.39</v>
      </c>
      <c r="G360" s="52">
        <v>7303.28</v>
      </c>
      <c r="H360" s="52">
        <v>4351.4000000000005</v>
      </c>
      <c r="I360" s="53">
        <v>25612.629999999997</v>
      </c>
      <c r="J360" s="49"/>
      <c r="R360" s="44">
        <v>260</v>
      </c>
      <c r="S360" s="44">
        <v>97.1</v>
      </c>
      <c r="T360" s="44">
        <v>319</v>
      </c>
      <c r="U360" s="44">
        <v>14632</v>
      </c>
      <c r="V360" s="44">
        <v>311710</v>
      </c>
      <c r="W360" s="44">
        <v>1409</v>
      </c>
    </row>
    <row r="361" spans="1:23" x14ac:dyDescent="0.2">
      <c r="A361" s="50">
        <f t="shared" si="5"/>
        <v>45651</v>
      </c>
      <c r="B361" s="51">
        <v>7070.74</v>
      </c>
      <c r="C361" s="52">
        <v>4580.4399999999996</v>
      </c>
      <c r="D361" s="52">
        <v>4098.0200000000004</v>
      </c>
      <c r="E361" s="52">
        <v>4210.6400000000003</v>
      </c>
      <c r="F361" s="52">
        <v>3536.03</v>
      </c>
      <c r="G361" s="52">
        <v>7075.28</v>
      </c>
      <c r="H361" s="52">
        <v>4393.42</v>
      </c>
      <c r="I361" s="53">
        <v>26177.729999999996</v>
      </c>
      <c r="J361" s="49"/>
      <c r="R361" s="44">
        <v>266</v>
      </c>
      <c r="S361" s="44">
        <v>100.7</v>
      </c>
      <c r="T361" s="44">
        <v>329</v>
      </c>
      <c r="U361" s="44">
        <v>15695</v>
      </c>
      <c r="V361" s="44">
        <v>325949</v>
      </c>
      <c r="W361" s="44">
        <v>1456</v>
      </c>
    </row>
    <row r="362" spans="1:23" x14ac:dyDescent="0.2">
      <c r="A362" s="50">
        <f t="shared" si="5"/>
        <v>45652</v>
      </c>
      <c r="B362" s="51">
        <v>6945.86</v>
      </c>
      <c r="C362" s="52">
        <v>4777.49</v>
      </c>
      <c r="D362" s="52">
        <v>4132.99</v>
      </c>
      <c r="E362" s="52">
        <v>3441.57</v>
      </c>
      <c r="F362" s="52">
        <v>2993.57</v>
      </c>
      <c r="G362" s="52">
        <v>6683.19</v>
      </c>
      <c r="H362" s="52">
        <v>3712.0899999999997</v>
      </c>
      <c r="I362" s="53">
        <v>25262.579999999998</v>
      </c>
      <c r="J362" s="49"/>
      <c r="R362" s="44">
        <v>260</v>
      </c>
      <c r="S362" s="44">
        <v>98.699999999999989</v>
      </c>
      <c r="T362" s="44">
        <v>321</v>
      </c>
      <c r="U362" s="44">
        <v>16618</v>
      </c>
      <c r="V362" s="44">
        <v>341124</v>
      </c>
      <c r="W362" s="44">
        <v>1443</v>
      </c>
    </row>
    <row r="363" spans="1:23" x14ac:dyDescent="0.2">
      <c r="A363" s="50">
        <f t="shared" si="5"/>
        <v>45653</v>
      </c>
      <c r="B363" s="51">
        <v>5572.24</v>
      </c>
      <c r="C363" s="52">
        <v>4224.38</v>
      </c>
      <c r="D363" s="52">
        <v>3719.5</v>
      </c>
      <c r="E363" s="52">
        <v>3131.8</v>
      </c>
      <c r="F363" s="52">
        <v>2542.8000000000002</v>
      </c>
      <c r="G363" s="52">
        <v>4928.8999999999996</v>
      </c>
      <c r="H363" s="52">
        <v>2827.5699999999997</v>
      </c>
      <c r="I363" s="53">
        <v>21292.049999999996</v>
      </c>
      <c r="J363" s="49"/>
      <c r="R363" s="44">
        <v>215</v>
      </c>
      <c r="S363" s="44">
        <v>83.800000000000011</v>
      </c>
      <c r="T363" s="44">
        <v>275</v>
      </c>
      <c r="U363" s="44">
        <v>13105</v>
      </c>
      <c r="V363" s="44">
        <v>353419</v>
      </c>
      <c r="W363" s="44">
        <v>810</v>
      </c>
    </row>
    <row r="364" spans="1:23" x14ac:dyDescent="0.2">
      <c r="A364" s="50">
        <f t="shared" si="5"/>
        <v>45654</v>
      </c>
      <c r="B364" s="51">
        <v>711.29</v>
      </c>
      <c r="C364" s="52">
        <v>2190.02</v>
      </c>
      <c r="D364" s="52">
        <v>1811.92</v>
      </c>
      <c r="E364" s="52">
        <v>1177.8900000000001</v>
      </c>
      <c r="F364" s="52">
        <v>1376.25</v>
      </c>
      <c r="G364" s="52">
        <v>2503.87</v>
      </c>
      <c r="H364" s="52">
        <v>1973</v>
      </c>
      <c r="I364" s="53">
        <v>7798.24</v>
      </c>
      <c r="J364" s="49"/>
      <c r="R364" s="44">
        <v>141</v>
      </c>
      <c r="S364" s="44">
        <v>49.599999999999994</v>
      </c>
      <c r="T364" s="44">
        <v>188</v>
      </c>
      <c r="U364" s="44">
        <v>6947</v>
      </c>
      <c r="V364" s="44">
        <v>360366</v>
      </c>
      <c r="W364" s="44">
        <v>0</v>
      </c>
    </row>
    <row r="365" spans="1:23" x14ac:dyDescent="0.2">
      <c r="A365" s="50">
        <f t="shared" si="5"/>
        <v>45655</v>
      </c>
      <c r="B365" s="51">
        <v>0</v>
      </c>
      <c r="C365" s="52">
        <v>1414.04</v>
      </c>
      <c r="D365" s="52">
        <v>835.02</v>
      </c>
      <c r="E365" s="52">
        <v>708.52</v>
      </c>
      <c r="F365" s="52">
        <v>1384.5</v>
      </c>
      <c r="G365" s="52">
        <v>1619.2</v>
      </c>
      <c r="H365" s="52">
        <v>1251.56</v>
      </c>
      <c r="I365" s="53">
        <v>4709.7199999999993</v>
      </c>
      <c r="J365" s="49"/>
      <c r="R365" s="44">
        <v>120</v>
      </c>
      <c r="S365" s="44">
        <v>45.8</v>
      </c>
      <c r="T365" s="44">
        <v>211</v>
      </c>
      <c r="U365" s="44">
        <v>5843</v>
      </c>
      <c r="V365" s="44">
        <v>366209</v>
      </c>
      <c r="W365" s="44">
        <v>0</v>
      </c>
    </row>
    <row r="366" spans="1:23" x14ac:dyDescent="0.2">
      <c r="A366" s="50">
        <f t="shared" si="5"/>
        <v>45656</v>
      </c>
      <c r="B366" s="51">
        <v>0</v>
      </c>
      <c r="C366" s="52">
        <v>1449.89</v>
      </c>
      <c r="D366" s="52">
        <v>886.01</v>
      </c>
      <c r="E366" s="52">
        <v>809.33</v>
      </c>
      <c r="F366" s="52">
        <v>1262.54</v>
      </c>
      <c r="G366" s="52">
        <v>1619.35</v>
      </c>
      <c r="H366" s="52">
        <v>1285.9299999999998</v>
      </c>
      <c r="I366" s="53">
        <v>4741.1900000000005</v>
      </c>
      <c r="J366" s="49"/>
      <c r="R366" s="44">
        <v>129</v>
      </c>
      <c r="S366" s="44">
        <v>43.8</v>
      </c>
      <c r="T366" s="44">
        <v>218</v>
      </c>
      <c r="U366" s="44">
        <v>5878</v>
      </c>
      <c r="V366" s="44">
        <v>372086</v>
      </c>
      <c r="W366" s="44">
        <v>1</v>
      </c>
    </row>
    <row r="367" spans="1:23" x14ac:dyDescent="0.2">
      <c r="A367" s="50">
        <f t="shared" si="5"/>
        <v>45657</v>
      </c>
      <c r="B367" s="51">
        <v>0</v>
      </c>
      <c r="C367" s="52">
        <v>1214.78</v>
      </c>
      <c r="D367" s="52">
        <v>765.92</v>
      </c>
      <c r="E367" s="52">
        <v>61.83</v>
      </c>
      <c r="F367" s="52">
        <v>993.76</v>
      </c>
      <c r="G367" s="52">
        <v>1381.12</v>
      </c>
      <c r="H367" s="52">
        <v>1237.03</v>
      </c>
      <c r="I367" s="53">
        <v>3180.38</v>
      </c>
      <c r="J367" s="49"/>
      <c r="R367" s="44">
        <v>123</v>
      </c>
      <c r="S367" s="44">
        <v>43</v>
      </c>
      <c r="T367" s="44">
        <v>205</v>
      </c>
      <c r="U367" s="44">
        <v>5878</v>
      </c>
      <c r="V367" s="44">
        <v>377964</v>
      </c>
      <c r="W367" s="44">
        <v>0</v>
      </c>
    </row>
    <row r="368" spans="1:23" x14ac:dyDescent="0.2">
      <c r="A368" s="50">
        <f t="shared" si="5"/>
        <v>45658</v>
      </c>
      <c r="B368" s="51">
        <v>0</v>
      </c>
      <c r="C368" s="52">
        <v>1194.3699999999999</v>
      </c>
      <c r="D368" s="52">
        <v>566.53</v>
      </c>
      <c r="E368" s="52">
        <v>65.02</v>
      </c>
      <c r="F368" s="52">
        <v>965.28</v>
      </c>
      <c r="G368" s="52">
        <v>1273.92</v>
      </c>
      <c r="H368" s="52">
        <v>1146.8</v>
      </c>
      <c r="I368" s="53">
        <v>2918.3199999999997</v>
      </c>
      <c r="J368" s="49"/>
    </row>
    <row r="369" spans="1:10" ht="13.5" thickBot="1" x14ac:dyDescent="0.25">
      <c r="A369" s="54">
        <f t="shared" si="5"/>
        <v>45659</v>
      </c>
      <c r="B369" s="55">
        <v>0</v>
      </c>
      <c r="C369" s="56">
        <v>1211.9000000000001</v>
      </c>
      <c r="D369" s="56">
        <v>393.56</v>
      </c>
      <c r="E369" s="56">
        <v>61</v>
      </c>
      <c r="F369" s="56">
        <v>958.45</v>
      </c>
      <c r="G369" s="56">
        <v>1290.57</v>
      </c>
      <c r="H369" s="56">
        <v>1189.0900000000001</v>
      </c>
      <c r="I369" s="57">
        <v>2726.3899999999994</v>
      </c>
      <c r="J369" s="49"/>
    </row>
    <row r="371" spans="1:10" x14ac:dyDescent="0.2">
      <c r="A371" s="64"/>
      <c r="B371" s="64"/>
      <c r="C371" s="64"/>
      <c r="D371" s="64"/>
      <c r="E371" s="64"/>
      <c r="F371" s="64"/>
      <c r="G371" s="64"/>
      <c r="H371" s="64"/>
      <c r="I371" s="65">
        <f>MAX(I2:I369)</f>
        <v>68453.859999999986</v>
      </c>
    </row>
  </sheetData>
  <conditionalFormatting sqref="A31">
    <cfRule type="expression" dxfId="15" priority="3" stopIfTrue="1">
      <formula>WEEKDAY(A31:A51,2)&gt;5</formula>
    </cfRule>
  </conditionalFormatting>
  <conditionalFormatting sqref="A32:A369">
    <cfRule type="expression" dxfId="14" priority="2" stopIfTrue="1">
      <formula>WEEKDAY(A32:A52,2)&gt;5</formula>
    </cfRule>
  </conditionalFormatting>
  <conditionalFormatting sqref="A2:A30">
    <cfRule type="expression" dxfId="13" priority="1" stopIfTrue="1">
      <formula>WEEKDAY(A2:A22,2)&gt;5</formula>
    </cfRule>
  </conditionalFormatting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369"/>
  <sheetViews>
    <sheetView topLeftCell="F1" zoomScaleNormal="100" workbookViewId="0">
      <pane ySplit="1" topLeftCell="A2" activePane="bottomLeft" state="frozen"/>
      <selection pane="bottomLeft" activeCell="V18" sqref="V18"/>
    </sheetView>
  </sheetViews>
  <sheetFormatPr defaultRowHeight="12.75" x14ac:dyDescent="0.2"/>
  <cols>
    <col min="1" max="1" width="9.140625" style="44"/>
    <col min="2" max="2" width="10.85546875" style="44" customWidth="1"/>
    <col min="3" max="3" width="10.28515625" style="44" customWidth="1"/>
    <col min="4" max="4" width="9.85546875" style="44" customWidth="1"/>
    <col min="5" max="5" width="10.5703125" style="44" customWidth="1"/>
    <col min="6" max="6" width="10" style="44" customWidth="1"/>
    <col min="7" max="7" width="10.85546875" style="44" customWidth="1"/>
    <col min="8" max="8" width="9.85546875" style="44" customWidth="1"/>
    <col min="9" max="9" width="13.140625" style="44" customWidth="1"/>
    <col min="10" max="10" width="10.140625" style="44" customWidth="1"/>
    <col min="11" max="11" width="13.85546875" style="44" customWidth="1"/>
    <col min="12" max="12" width="12.5703125" style="44" customWidth="1"/>
    <col min="13" max="13" width="9.140625" style="44"/>
    <col min="14" max="14" width="8.85546875" style="44" bestFit="1" customWidth="1"/>
    <col min="15" max="15" width="10.85546875" style="44" customWidth="1"/>
    <col min="16" max="16" width="11.140625" style="44" customWidth="1"/>
    <col min="17" max="17" width="10.28515625" style="44" customWidth="1"/>
    <col min="18" max="18" width="13.28515625" style="44" customWidth="1"/>
    <col min="19" max="19" width="11.85546875" style="44" customWidth="1"/>
    <col min="20" max="21" width="10.5703125" style="44" customWidth="1"/>
    <col min="22" max="249" width="9.140625" style="44"/>
    <col min="250" max="250" width="10.85546875" style="44" customWidth="1"/>
    <col min="251" max="251" width="10.28515625" style="44" customWidth="1"/>
    <col min="252" max="252" width="9.85546875" style="44" customWidth="1"/>
    <col min="253" max="253" width="10.5703125" style="44" customWidth="1"/>
    <col min="254" max="254" width="10" style="44" customWidth="1"/>
    <col min="255" max="255" width="10.85546875" style="44" customWidth="1"/>
    <col min="256" max="256" width="9.85546875" style="44" customWidth="1"/>
    <col min="257" max="257" width="13.140625" style="44" customWidth="1"/>
    <col min="258" max="258" width="10.140625" style="44" customWidth="1"/>
    <col min="259" max="259" width="13.85546875" style="44" customWidth="1"/>
    <col min="260" max="260" width="12.5703125" style="44" customWidth="1"/>
    <col min="261" max="505" width="9.140625" style="44"/>
    <col min="506" max="506" width="10.85546875" style="44" customWidth="1"/>
    <col min="507" max="507" width="10.28515625" style="44" customWidth="1"/>
    <col min="508" max="508" width="9.85546875" style="44" customWidth="1"/>
    <col min="509" max="509" width="10.5703125" style="44" customWidth="1"/>
    <col min="510" max="510" width="10" style="44" customWidth="1"/>
    <col min="511" max="511" width="10.85546875" style="44" customWidth="1"/>
    <col min="512" max="512" width="9.85546875" style="44" customWidth="1"/>
    <col min="513" max="513" width="13.140625" style="44" customWidth="1"/>
    <col min="514" max="514" width="10.140625" style="44" customWidth="1"/>
    <col min="515" max="515" width="13.85546875" style="44" customWidth="1"/>
    <col min="516" max="516" width="12.5703125" style="44" customWidth="1"/>
    <col min="517" max="761" width="9.140625" style="44"/>
    <col min="762" max="762" width="10.85546875" style="44" customWidth="1"/>
    <col min="763" max="763" width="10.28515625" style="44" customWidth="1"/>
    <col min="764" max="764" width="9.85546875" style="44" customWidth="1"/>
    <col min="765" max="765" width="10.5703125" style="44" customWidth="1"/>
    <col min="766" max="766" width="10" style="44" customWidth="1"/>
    <col min="767" max="767" width="10.85546875" style="44" customWidth="1"/>
    <col min="768" max="768" width="9.85546875" style="44" customWidth="1"/>
    <col min="769" max="769" width="13.140625" style="44" customWidth="1"/>
    <col min="770" max="770" width="10.140625" style="44" customWidth="1"/>
    <col min="771" max="771" width="13.85546875" style="44" customWidth="1"/>
    <col min="772" max="772" width="12.5703125" style="44" customWidth="1"/>
    <col min="773" max="1017" width="9.140625" style="44"/>
    <col min="1018" max="1018" width="10.85546875" style="44" customWidth="1"/>
    <col min="1019" max="1019" width="10.28515625" style="44" customWidth="1"/>
    <col min="1020" max="1020" width="9.85546875" style="44" customWidth="1"/>
    <col min="1021" max="1021" width="10.5703125" style="44" customWidth="1"/>
    <col min="1022" max="1022" width="10" style="44" customWidth="1"/>
    <col min="1023" max="1023" width="10.85546875" style="44" customWidth="1"/>
    <col min="1024" max="1024" width="9.85546875" style="44" customWidth="1"/>
    <col min="1025" max="1025" width="13.140625" style="44" customWidth="1"/>
    <col min="1026" max="1026" width="10.140625" style="44" customWidth="1"/>
    <col min="1027" max="1027" width="13.85546875" style="44" customWidth="1"/>
    <col min="1028" max="1028" width="12.5703125" style="44" customWidth="1"/>
    <col min="1029" max="1273" width="9.140625" style="44"/>
    <col min="1274" max="1274" width="10.85546875" style="44" customWidth="1"/>
    <col min="1275" max="1275" width="10.28515625" style="44" customWidth="1"/>
    <col min="1276" max="1276" width="9.85546875" style="44" customWidth="1"/>
    <col min="1277" max="1277" width="10.5703125" style="44" customWidth="1"/>
    <col min="1278" max="1278" width="10" style="44" customWidth="1"/>
    <col min="1279" max="1279" width="10.85546875" style="44" customWidth="1"/>
    <col min="1280" max="1280" width="9.85546875" style="44" customWidth="1"/>
    <col min="1281" max="1281" width="13.140625" style="44" customWidth="1"/>
    <col min="1282" max="1282" width="10.140625" style="44" customWidth="1"/>
    <col min="1283" max="1283" width="13.85546875" style="44" customWidth="1"/>
    <col min="1284" max="1284" width="12.5703125" style="44" customWidth="1"/>
    <col min="1285" max="1529" width="9.140625" style="44"/>
    <col min="1530" max="1530" width="10.85546875" style="44" customWidth="1"/>
    <col min="1531" max="1531" width="10.28515625" style="44" customWidth="1"/>
    <col min="1532" max="1532" width="9.85546875" style="44" customWidth="1"/>
    <col min="1533" max="1533" width="10.5703125" style="44" customWidth="1"/>
    <col min="1534" max="1534" width="10" style="44" customWidth="1"/>
    <col min="1535" max="1535" width="10.85546875" style="44" customWidth="1"/>
    <col min="1536" max="1536" width="9.85546875" style="44" customWidth="1"/>
    <col min="1537" max="1537" width="13.140625" style="44" customWidth="1"/>
    <col min="1538" max="1538" width="10.140625" style="44" customWidth="1"/>
    <col min="1539" max="1539" width="13.85546875" style="44" customWidth="1"/>
    <col min="1540" max="1540" width="12.5703125" style="44" customWidth="1"/>
    <col min="1541" max="1785" width="9.140625" style="44"/>
    <col min="1786" max="1786" width="10.85546875" style="44" customWidth="1"/>
    <col min="1787" max="1787" width="10.28515625" style="44" customWidth="1"/>
    <col min="1788" max="1788" width="9.85546875" style="44" customWidth="1"/>
    <col min="1789" max="1789" width="10.5703125" style="44" customWidth="1"/>
    <col min="1790" max="1790" width="10" style="44" customWidth="1"/>
    <col min="1791" max="1791" width="10.85546875" style="44" customWidth="1"/>
    <col min="1792" max="1792" width="9.85546875" style="44" customWidth="1"/>
    <col min="1793" max="1793" width="13.140625" style="44" customWidth="1"/>
    <col min="1794" max="1794" width="10.140625" style="44" customWidth="1"/>
    <col min="1795" max="1795" width="13.85546875" style="44" customWidth="1"/>
    <col min="1796" max="1796" width="12.5703125" style="44" customWidth="1"/>
    <col min="1797" max="2041" width="9.140625" style="44"/>
    <col min="2042" max="2042" width="10.85546875" style="44" customWidth="1"/>
    <col min="2043" max="2043" width="10.28515625" style="44" customWidth="1"/>
    <col min="2044" max="2044" width="9.85546875" style="44" customWidth="1"/>
    <col min="2045" max="2045" width="10.5703125" style="44" customWidth="1"/>
    <col min="2046" max="2046" width="10" style="44" customWidth="1"/>
    <col min="2047" max="2047" width="10.85546875" style="44" customWidth="1"/>
    <col min="2048" max="2048" width="9.85546875" style="44" customWidth="1"/>
    <col min="2049" max="2049" width="13.140625" style="44" customWidth="1"/>
    <col min="2050" max="2050" width="10.140625" style="44" customWidth="1"/>
    <col min="2051" max="2051" width="13.85546875" style="44" customWidth="1"/>
    <col min="2052" max="2052" width="12.5703125" style="44" customWidth="1"/>
    <col min="2053" max="2297" width="9.140625" style="44"/>
    <col min="2298" max="2298" width="10.85546875" style="44" customWidth="1"/>
    <col min="2299" max="2299" width="10.28515625" style="44" customWidth="1"/>
    <col min="2300" max="2300" width="9.85546875" style="44" customWidth="1"/>
    <col min="2301" max="2301" width="10.5703125" style="44" customWidth="1"/>
    <col min="2302" max="2302" width="10" style="44" customWidth="1"/>
    <col min="2303" max="2303" width="10.85546875" style="44" customWidth="1"/>
    <col min="2304" max="2304" width="9.85546875" style="44" customWidth="1"/>
    <col min="2305" max="2305" width="13.140625" style="44" customWidth="1"/>
    <col min="2306" max="2306" width="10.140625" style="44" customWidth="1"/>
    <col min="2307" max="2307" width="13.85546875" style="44" customWidth="1"/>
    <col min="2308" max="2308" width="12.5703125" style="44" customWidth="1"/>
    <col min="2309" max="2553" width="9.140625" style="44"/>
    <col min="2554" max="2554" width="10.85546875" style="44" customWidth="1"/>
    <col min="2555" max="2555" width="10.28515625" style="44" customWidth="1"/>
    <col min="2556" max="2556" width="9.85546875" style="44" customWidth="1"/>
    <col min="2557" max="2557" width="10.5703125" style="44" customWidth="1"/>
    <col min="2558" max="2558" width="10" style="44" customWidth="1"/>
    <col min="2559" max="2559" width="10.85546875" style="44" customWidth="1"/>
    <col min="2560" max="2560" width="9.85546875" style="44" customWidth="1"/>
    <col min="2561" max="2561" width="13.140625" style="44" customWidth="1"/>
    <col min="2562" max="2562" width="10.140625" style="44" customWidth="1"/>
    <col min="2563" max="2563" width="13.85546875" style="44" customWidth="1"/>
    <col min="2564" max="2564" width="12.5703125" style="44" customWidth="1"/>
    <col min="2565" max="2809" width="9.140625" style="44"/>
    <col min="2810" max="2810" width="10.85546875" style="44" customWidth="1"/>
    <col min="2811" max="2811" width="10.28515625" style="44" customWidth="1"/>
    <col min="2812" max="2812" width="9.85546875" style="44" customWidth="1"/>
    <col min="2813" max="2813" width="10.5703125" style="44" customWidth="1"/>
    <col min="2814" max="2814" width="10" style="44" customWidth="1"/>
    <col min="2815" max="2815" width="10.85546875" style="44" customWidth="1"/>
    <col min="2816" max="2816" width="9.85546875" style="44" customWidth="1"/>
    <col min="2817" max="2817" width="13.140625" style="44" customWidth="1"/>
    <col min="2818" max="2818" width="10.140625" style="44" customWidth="1"/>
    <col min="2819" max="2819" width="13.85546875" style="44" customWidth="1"/>
    <col min="2820" max="2820" width="12.5703125" style="44" customWidth="1"/>
    <col min="2821" max="3065" width="9.140625" style="44"/>
    <col min="3066" max="3066" width="10.85546875" style="44" customWidth="1"/>
    <col min="3067" max="3067" width="10.28515625" style="44" customWidth="1"/>
    <col min="3068" max="3068" width="9.85546875" style="44" customWidth="1"/>
    <col min="3069" max="3069" width="10.5703125" style="44" customWidth="1"/>
    <col min="3070" max="3070" width="10" style="44" customWidth="1"/>
    <col min="3071" max="3071" width="10.85546875" style="44" customWidth="1"/>
    <col min="3072" max="3072" width="9.85546875" style="44" customWidth="1"/>
    <col min="3073" max="3073" width="13.140625" style="44" customWidth="1"/>
    <col min="3074" max="3074" width="10.140625" style="44" customWidth="1"/>
    <col min="3075" max="3075" width="13.85546875" style="44" customWidth="1"/>
    <col min="3076" max="3076" width="12.5703125" style="44" customWidth="1"/>
    <col min="3077" max="3321" width="9.140625" style="44"/>
    <col min="3322" max="3322" width="10.85546875" style="44" customWidth="1"/>
    <col min="3323" max="3323" width="10.28515625" style="44" customWidth="1"/>
    <col min="3324" max="3324" width="9.85546875" style="44" customWidth="1"/>
    <col min="3325" max="3325" width="10.5703125" style="44" customWidth="1"/>
    <col min="3326" max="3326" width="10" style="44" customWidth="1"/>
    <col min="3327" max="3327" width="10.85546875" style="44" customWidth="1"/>
    <col min="3328" max="3328" width="9.85546875" style="44" customWidth="1"/>
    <col min="3329" max="3329" width="13.140625" style="44" customWidth="1"/>
    <col min="3330" max="3330" width="10.140625" style="44" customWidth="1"/>
    <col min="3331" max="3331" width="13.85546875" style="44" customWidth="1"/>
    <col min="3332" max="3332" width="12.5703125" style="44" customWidth="1"/>
    <col min="3333" max="3577" width="9.140625" style="44"/>
    <col min="3578" max="3578" width="10.85546875" style="44" customWidth="1"/>
    <col min="3579" max="3579" width="10.28515625" style="44" customWidth="1"/>
    <col min="3580" max="3580" width="9.85546875" style="44" customWidth="1"/>
    <col min="3581" max="3581" width="10.5703125" style="44" customWidth="1"/>
    <col min="3582" max="3582" width="10" style="44" customWidth="1"/>
    <col min="3583" max="3583" width="10.85546875" style="44" customWidth="1"/>
    <col min="3584" max="3584" width="9.85546875" style="44" customWidth="1"/>
    <col min="3585" max="3585" width="13.140625" style="44" customWidth="1"/>
    <col min="3586" max="3586" width="10.140625" style="44" customWidth="1"/>
    <col min="3587" max="3587" width="13.85546875" style="44" customWidth="1"/>
    <col min="3588" max="3588" width="12.5703125" style="44" customWidth="1"/>
    <col min="3589" max="3833" width="9.140625" style="44"/>
    <col min="3834" max="3834" width="10.85546875" style="44" customWidth="1"/>
    <col min="3835" max="3835" width="10.28515625" style="44" customWidth="1"/>
    <col min="3836" max="3836" width="9.85546875" style="44" customWidth="1"/>
    <col min="3837" max="3837" width="10.5703125" style="44" customWidth="1"/>
    <col min="3838" max="3838" width="10" style="44" customWidth="1"/>
    <col min="3839" max="3839" width="10.85546875" style="44" customWidth="1"/>
    <col min="3840" max="3840" width="9.85546875" style="44" customWidth="1"/>
    <col min="3841" max="3841" width="13.140625" style="44" customWidth="1"/>
    <col min="3842" max="3842" width="10.140625" style="44" customWidth="1"/>
    <col min="3843" max="3843" width="13.85546875" style="44" customWidth="1"/>
    <col min="3844" max="3844" width="12.5703125" style="44" customWidth="1"/>
    <col min="3845" max="4089" width="9.140625" style="44"/>
    <col min="4090" max="4090" width="10.85546875" style="44" customWidth="1"/>
    <col min="4091" max="4091" width="10.28515625" style="44" customWidth="1"/>
    <col min="4092" max="4092" width="9.85546875" style="44" customWidth="1"/>
    <col min="4093" max="4093" width="10.5703125" style="44" customWidth="1"/>
    <col min="4094" max="4094" width="10" style="44" customWidth="1"/>
    <col min="4095" max="4095" width="10.85546875" style="44" customWidth="1"/>
    <col min="4096" max="4096" width="9.85546875" style="44" customWidth="1"/>
    <col min="4097" max="4097" width="13.140625" style="44" customWidth="1"/>
    <col min="4098" max="4098" width="10.140625" style="44" customWidth="1"/>
    <col min="4099" max="4099" width="13.85546875" style="44" customWidth="1"/>
    <col min="4100" max="4100" width="12.5703125" style="44" customWidth="1"/>
    <col min="4101" max="4345" width="9.140625" style="44"/>
    <col min="4346" max="4346" width="10.85546875" style="44" customWidth="1"/>
    <col min="4347" max="4347" width="10.28515625" style="44" customWidth="1"/>
    <col min="4348" max="4348" width="9.85546875" style="44" customWidth="1"/>
    <col min="4349" max="4349" width="10.5703125" style="44" customWidth="1"/>
    <col min="4350" max="4350" width="10" style="44" customWidth="1"/>
    <col min="4351" max="4351" width="10.85546875" style="44" customWidth="1"/>
    <col min="4352" max="4352" width="9.85546875" style="44" customWidth="1"/>
    <col min="4353" max="4353" width="13.140625" style="44" customWidth="1"/>
    <col min="4354" max="4354" width="10.140625" style="44" customWidth="1"/>
    <col min="4355" max="4355" width="13.85546875" style="44" customWidth="1"/>
    <col min="4356" max="4356" width="12.5703125" style="44" customWidth="1"/>
    <col min="4357" max="4601" width="9.140625" style="44"/>
    <col min="4602" max="4602" width="10.85546875" style="44" customWidth="1"/>
    <col min="4603" max="4603" width="10.28515625" style="44" customWidth="1"/>
    <col min="4604" max="4604" width="9.85546875" style="44" customWidth="1"/>
    <col min="4605" max="4605" width="10.5703125" style="44" customWidth="1"/>
    <col min="4606" max="4606" width="10" style="44" customWidth="1"/>
    <col min="4607" max="4607" width="10.85546875" style="44" customWidth="1"/>
    <col min="4608" max="4608" width="9.85546875" style="44" customWidth="1"/>
    <col min="4609" max="4609" width="13.140625" style="44" customWidth="1"/>
    <col min="4610" max="4610" width="10.140625" style="44" customWidth="1"/>
    <col min="4611" max="4611" width="13.85546875" style="44" customWidth="1"/>
    <col min="4612" max="4612" width="12.5703125" style="44" customWidth="1"/>
    <col min="4613" max="4857" width="9.140625" style="44"/>
    <col min="4858" max="4858" width="10.85546875" style="44" customWidth="1"/>
    <col min="4859" max="4859" width="10.28515625" style="44" customWidth="1"/>
    <col min="4860" max="4860" width="9.85546875" style="44" customWidth="1"/>
    <col min="4861" max="4861" width="10.5703125" style="44" customWidth="1"/>
    <col min="4862" max="4862" width="10" style="44" customWidth="1"/>
    <col min="4863" max="4863" width="10.85546875" style="44" customWidth="1"/>
    <col min="4864" max="4864" width="9.85546875" style="44" customWidth="1"/>
    <col min="4865" max="4865" width="13.140625" style="44" customWidth="1"/>
    <col min="4866" max="4866" width="10.140625" style="44" customWidth="1"/>
    <col min="4867" max="4867" width="13.85546875" style="44" customWidth="1"/>
    <col min="4868" max="4868" width="12.5703125" style="44" customWidth="1"/>
    <col min="4869" max="5113" width="9.140625" style="44"/>
    <col min="5114" max="5114" width="10.85546875" style="44" customWidth="1"/>
    <col min="5115" max="5115" width="10.28515625" style="44" customWidth="1"/>
    <col min="5116" max="5116" width="9.85546875" style="44" customWidth="1"/>
    <col min="5117" max="5117" width="10.5703125" style="44" customWidth="1"/>
    <col min="5118" max="5118" width="10" style="44" customWidth="1"/>
    <col min="5119" max="5119" width="10.85546875" style="44" customWidth="1"/>
    <col min="5120" max="5120" width="9.85546875" style="44" customWidth="1"/>
    <col min="5121" max="5121" width="13.140625" style="44" customWidth="1"/>
    <col min="5122" max="5122" width="10.140625" style="44" customWidth="1"/>
    <col min="5123" max="5123" width="13.85546875" style="44" customWidth="1"/>
    <col min="5124" max="5124" width="12.5703125" style="44" customWidth="1"/>
    <col min="5125" max="5369" width="9.140625" style="44"/>
    <col min="5370" max="5370" width="10.85546875" style="44" customWidth="1"/>
    <col min="5371" max="5371" width="10.28515625" style="44" customWidth="1"/>
    <col min="5372" max="5372" width="9.85546875" style="44" customWidth="1"/>
    <col min="5373" max="5373" width="10.5703125" style="44" customWidth="1"/>
    <col min="5374" max="5374" width="10" style="44" customWidth="1"/>
    <col min="5375" max="5375" width="10.85546875" style="44" customWidth="1"/>
    <col min="5376" max="5376" width="9.85546875" style="44" customWidth="1"/>
    <col min="5377" max="5377" width="13.140625" style="44" customWidth="1"/>
    <col min="5378" max="5378" width="10.140625" style="44" customWidth="1"/>
    <col min="5379" max="5379" width="13.85546875" style="44" customWidth="1"/>
    <col min="5380" max="5380" width="12.5703125" style="44" customWidth="1"/>
    <col min="5381" max="5625" width="9.140625" style="44"/>
    <col min="5626" max="5626" width="10.85546875" style="44" customWidth="1"/>
    <col min="5627" max="5627" width="10.28515625" style="44" customWidth="1"/>
    <col min="5628" max="5628" width="9.85546875" style="44" customWidth="1"/>
    <col min="5629" max="5629" width="10.5703125" style="44" customWidth="1"/>
    <col min="5630" max="5630" width="10" style="44" customWidth="1"/>
    <col min="5631" max="5631" width="10.85546875" style="44" customWidth="1"/>
    <col min="5632" max="5632" width="9.85546875" style="44" customWidth="1"/>
    <col min="5633" max="5633" width="13.140625" style="44" customWidth="1"/>
    <col min="5634" max="5634" width="10.140625" style="44" customWidth="1"/>
    <col min="5635" max="5635" width="13.85546875" style="44" customWidth="1"/>
    <col min="5636" max="5636" width="12.5703125" style="44" customWidth="1"/>
    <col min="5637" max="5881" width="9.140625" style="44"/>
    <col min="5882" max="5882" width="10.85546875" style="44" customWidth="1"/>
    <col min="5883" max="5883" width="10.28515625" style="44" customWidth="1"/>
    <col min="5884" max="5884" width="9.85546875" style="44" customWidth="1"/>
    <col min="5885" max="5885" width="10.5703125" style="44" customWidth="1"/>
    <col min="5886" max="5886" width="10" style="44" customWidth="1"/>
    <col min="5887" max="5887" width="10.85546875" style="44" customWidth="1"/>
    <col min="5888" max="5888" width="9.85546875" style="44" customWidth="1"/>
    <col min="5889" max="5889" width="13.140625" style="44" customWidth="1"/>
    <col min="5890" max="5890" width="10.140625" style="44" customWidth="1"/>
    <col min="5891" max="5891" width="13.85546875" style="44" customWidth="1"/>
    <col min="5892" max="5892" width="12.5703125" style="44" customWidth="1"/>
    <col min="5893" max="6137" width="9.140625" style="44"/>
    <col min="6138" max="6138" width="10.85546875" style="44" customWidth="1"/>
    <col min="6139" max="6139" width="10.28515625" style="44" customWidth="1"/>
    <col min="6140" max="6140" width="9.85546875" style="44" customWidth="1"/>
    <col min="6141" max="6141" width="10.5703125" style="44" customWidth="1"/>
    <col min="6142" max="6142" width="10" style="44" customWidth="1"/>
    <col min="6143" max="6143" width="10.85546875" style="44" customWidth="1"/>
    <col min="6144" max="6144" width="9.85546875" style="44" customWidth="1"/>
    <col min="6145" max="6145" width="13.140625" style="44" customWidth="1"/>
    <col min="6146" max="6146" width="10.140625" style="44" customWidth="1"/>
    <col min="6147" max="6147" width="13.85546875" style="44" customWidth="1"/>
    <col min="6148" max="6148" width="12.5703125" style="44" customWidth="1"/>
    <col min="6149" max="6393" width="9.140625" style="44"/>
    <col min="6394" max="6394" width="10.85546875" style="44" customWidth="1"/>
    <col min="6395" max="6395" width="10.28515625" style="44" customWidth="1"/>
    <col min="6396" max="6396" width="9.85546875" style="44" customWidth="1"/>
    <col min="6397" max="6397" width="10.5703125" style="44" customWidth="1"/>
    <col min="6398" max="6398" width="10" style="44" customWidth="1"/>
    <col min="6399" max="6399" width="10.85546875" style="44" customWidth="1"/>
    <col min="6400" max="6400" width="9.85546875" style="44" customWidth="1"/>
    <col min="6401" max="6401" width="13.140625" style="44" customWidth="1"/>
    <col min="6402" max="6402" width="10.140625" style="44" customWidth="1"/>
    <col min="6403" max="6403" width="13.85546875" style="44" customWidth="1"/>
    <col min="6404" max="6404" width="12.5703125" style="44" customWidth="1"/>
    <col min="6405" max="6649" width="9.140625" style="44"/>
    <col min="6650" max="6650" width="10.85546875" style="44" customWidth="1"/>
    <col min="6651" max="6651" width="10.28515625" style="44" customWidth="1"/>
    <col min="6652" max="6652" width="9.85546875" style="44" customWidth="1"/>
    <col min="6653" max="6653" width="10.5703125" style="44" customWidth="1"/>
    <col min="6654" max="6654" width="10" style="44" customWidth="1"/>
    <col min="6655" max="6655" width="10.85546875" style="44" customWidth="1"/>
    <col min="6656" max="6656" width="9.85546875" style="44" customWidth="1"/>
    <col min="6657" max="6657" width="13.140625" style="44" customWidth="1"/>
    <col min="6658" max="6658" width="10.140625" style="44" customWidth="1"/>
    <col min="6659" max="6659" width="13.85546875" style="44" customWidth="1"/>
    <col min="6660" max="6660" width="12.5703125" style="44" customWidth="1"/>
    <col min="6661" max="6905" width="9.140625" style="44"/>
    <col min="6906" max="6906" width="10.85546875" style="44" customWidth="1"/>
    <col min="6907" max="6907" width="10.28515625" style="44" customWidth="1"/>
    <col min="6908" max="6908" width="9.85546875" style="44" customWidth="1"/>
    <col min="6909" max="6909" width="10.5703125" style="44" customWidth="1"/>
    <col min="6910" max="6910" width="10" style="44" customWidth="1"/>
    <col min="6911" max="6911" width="10.85546875" style="44" customWidth="1"/>
    <col min="6912" max="6912" width="9.85546875" style="44" customWidth="1"/>
    <col min="6913" max="6913" width="13.140625" style="44" customWidth="1"/>
    <col min="6914" max="6914" width="10.140625" style="44" customWidth="1"/>
    <col min="6915" max="6915" width="13.85546875" style="44" customWidth="1"/>
    <col min="6916" max="6916" width="12.5703125" style="44" customWidth="1"/>
    <col min="6917" max="7161" width="9.140625" style="44"/>
    <col min="7162" max="7162" width="10.85546875" style="44" customWidth="1"/>
    <col min="7163" max="7163" width="10.28515625" style="44" customWidth="1"/>
    <col min="7164" max="7164" width="9.85546875" style="44" customWidth="1"/>
    <col min="7165" max="7165" width="10.5703125" style="44" customWidth="1"/>
    <col min="7166" max="7166" width="10" style="44" customWidth="1"/>
    <col min="7167" max="7167" width="10.85546875" style="44" customWidth="1"/>
    <col min="7168" max="7168" width="9.85546875" style="44" customWidth="1"/>
    <col min="7169" max="7169" width="13.140625" style="44" customWidth="1"/>
    <col min="7170" max="7170" width="10.140625" style="44" customWidth="1"/>
    <col min="7171" max="7171" width="13.85546875" style="44" customWidth="1"/>
    <col min="7172" max="7172" width="12.5703125" style="44" customWidth="1"/>
    <col min="7173" max="7417" width="9.140625" style="44"/>
    <col min="7418" max="7418" width="10.85546875" style="44" customWidth="1"/>
    <col min="7419" max="7419" width="10.28515625" style="44" customWidth="1"/>
    <col min="7420" max="7420" width="9.85546875" style="44" customWidth="1"/>
    <col min="7421" max="7421" width="10.5703125" style="44" customWidth="1"/>
    <col min="7422" max="7422" width="10" style="44" customWidth="1"/>
    <col min="7423" max="7423" width="10.85546875" style="44" customWidth="1"/>
    <col min="7424" max="7424" width="9.85546875" style="44" customWidth="1"/>
    <col min="7425" max="7425" width="13.140625" style="44" customWidth="1"/>
    <col min="7426" max="7426" width="10.140625" style="44" customWidth="1"/>
    <col min="7427" max="7427" width="13.85546875" style="44" customWidth="1"/>
    <col min="7428" max="7428" width="12.5703125" style="44" customWidth="1"/>
    <col min="7429" max="7673" width="9.140625" style="44"/>
    <col min="7674" max="7674" width="10.85546875" style="44" customWidth="1"/>
    <col min="7675" max="7675" width="10.28515625" style="44" customWidth="1"/>
    <col min="7676" max="7676" width="9.85546875" style="44" customWidth="1"/>
    <col min="7677" max="7677" width="10.5703125" style="44" customWidth="1"/>
    <col min="7678" max="7678" width="10" style="44" customWidth="1"/>
    <col min="7679" max="7679" width="10.85546875" style="44" customWidth="1"/>
    <col min="7680" max="7680" width="9.85546875" style="44" customWidth="1"/>
    <col min="7681" max="7681" width="13.140625" style="44" customWidth="1"/>
    <col min="7682" max="7682" width="10.140625" style="44" customWidth="1"/>
    <col min="7683" max="7683" width="13.85546875" style="44" customWidth="1"/>
    <col min="7684" max="7684" width="12.5703125" style="44" customWidth="1"/>
    <col min="7685" max="7929" width="9.140625" style="44"/>
    <col min="7930" max="7930" width="10.85546875" style="44" customWidth="1"/>
    <col min="7931" max="7931" width="10.28515625" style="44" customWidth="1"/>
    <col min="7932" max="7932" width="9.85546875" style="44" customWidth="1"/>
    <col min="7933" max="7933" width="10.5703125" style="44" customWidth="1"/>
    <col min="7934" max="7934" width="10" style="44" customWidth="1"/>
    <col min="7935" max="7935" width="10.85546875" style="44" customWidth="1"/>
    <col min="7936" max="7936" width="9.85546875" style="44" customWidth="1"/>
    <col min="7937" max="7937" width="13.140625" style="44" customWidth="1"/>
    <col min="7938" max="7938" width="10.140625" style="44" customWidth="1"/>
    <col min="7939" max="7939" width="13.85546875" style="44" customWidth="1"/>
    <col min="7940" max="7940" width="12.5703125" style="44" customWidth="1"/>
    <col min="7941" max="8185" width="9.140625" style="44"/>
    <col min="8186" max="8186" width="10.85546875" style="44" customWidth="1"/>
    <col min="8187" max="8187" width="10.28515625" style="44" customWidth="1"/>
    <col min="8188" max="8188" width="9.85546875" style="44" customWidth="1"/>
    <col min="8189" max="8189" width="10.5703125" style="44" customWidth="1"/>
    <col min="8190" max="8190" width="10" style="44" customWidth="1"/>
    <col min="8191" max="8191" width="10.85546875" style="44" customWidth="1"/>
    <col min="8192" max="8192" width="9.85546875" style="44" customWidth="1"/>
    <col min="8193" max="8193" width="13.140625" style="44" customWidth="1"/>
    <col min="8194" max="8194" width="10.140625" style="44" customWidth="1"/>
    <col min="8195" max="8195" width="13.85546875" style="44" customWidth="1"/>
    <col min="8196" max="8196" width="12.5703125" style="44" customWidth="1"/>
    <col min="8197" max="8441" width="9.140625" style="44"/>
    <col min="8442" max="8442" width="10.85546875" style="44" customWidth="1"/>
    <col min="8443" max="8443" width="10.28515625" style="44" customWidth="1"/>
    <col min="8444" max="8444" width="9.85546875" style="44" customWidth="1"/>
    <col min="8445" max="8445" width="10.5703125" style="44" customWidth="1"/>
    <col min="8446" max="8446" width="10" style="44" customWidth="1"/>
    <col min="8447" max="8447" width="10.85546875" style="44" customWidth="1"/>
    <col min="8448" max="8448" width="9.85546875" style="44" customWidth="1"/>
    <col min="8449" max="8449" width="13.140625" style="44" customWidth="1"/>
    <col min="8450" max="8450" width="10.140625" style="44" customWidth="1"/>
    <col min="8451" max="8451" width="13.85546875" style="44" customWidth="1"/>
    <col min="8452" max="8452" width="12.5703125" style="44" customWidth="1"/>
    <col min="8453" max="8697" width="9.140625" style="44"/>
    <col min="8698" max="8698" width="10.85546875" style="44" customWidth="1"/>
    <col min="8699" max="8699" width="10.28515625" style="44" customWidth="1"/>
    <col min="8700" max="8700" width="9.85546875" style="44" customWidth="1"/>
    <col min="8701" max="8701" width="10.5703125" style="44" customWidth="1"/>
    <col min="8702" max="8702" width="10" style="44" customWidth="1"/>
    <col min="8703" max="8703" width="10.85546875" style="44" customWidth="1"/>
    <col min="8704" max="8704" width="9.85546875" style="44" customWidth="1"/>
    <col min="8705" max="8705" width="13.140625" style="44" customWidth="1"/>
    <col min="8706" max="8706" width="10.140625" style="44" customWidth="1"/>
    <col min="8707" max="8707" width="13.85546875" style="44" customWidth="1"/>
    <col min="8708" max="8708" width="12.5703125" style="44" customWidth="1"/>
    <col min="8709" max="8953" width="9.140625" style="44"/>
    <col min="8954" max="8954" width="10.85546875" style="44" customWidth="1"/>
    <col min="8955" max="8955" width="10.28515625" style="44" customWidth="1"/>
    <col min="8956" max="8956" width="9.85546875" style="44" customWidth="1"/>
    <col min="8957" max="8957" width="10.5703125" style="44" customWidth="1"/>
    <col min="8958" max="8958" width="10" style="44" customWidth="1"/>
    <col min="8959" max="8959" width="10.85546875" style="44" customWidth="1"/>
    <col min="8960" max="8960" width="9.85546875" style="44" customWidth="1"/>
    <col min="8961" max="8961" width="13.140625" style="44" customWidth="1"/>
    <col min="8962" max="8962" width="10.140625" style="44" customWidth="1"/>
    <col min="8963" max="8963" width="13.85546875" style="44" customWidth="1"/>
    <col min="8964" max="8964" width="12.5703125" style="44" customWidth="1"/>
    <col min="8965" max="9209" width="9.140625" style="44"/>
    <col min="9210" max="9210" width="10.85546875" style="44" customWidth="1"/>
    <col min="9211" max="9211" width="10.28515625" style="44" customWidth="1"/>
    <col min="9212" max="9212" width="9.85546875" style="44" customWidth="1"/>
    <col min="9213" max="9213" width="10.5703125" style="44" customWidth="1"/>
    <col min="9214" max="9214" width="10" style="44" customWidth="1"/>
    <col min="9215" max="9215" width="10.85546875" style="44" customWidth="1"/>
    <col min="9216" max="9216" width="9.85546875" style="44" customWidth="1"/>
    <col min="9217" max="9217" width="13.140625" style="44" customWidth="1"/>
    <col min="9218" max="9218" width="10.140625" style="44" customWidth="1"/>
    <col min="9219" max="9219" width="13.85546875" style="44" customWidth="1"/>
    <col min="9220" max="9220" width="12.5703125" style="44" customWidth="1"/>
    <col min="9221" max="9465" width="9.140625" style="44"/>
    <col min="9466" max="9466" width="10.85546875" style="44" customWidth="1"/>
    <col min="9467" max="9467" width="10.28515625" style="44" customWidth="1"/>
    <col min="9468" max="9468" width="9.85546875" style="44" customWidth="1"/>
    <col min="9469" max="9469" width="10.5703125" style="44" customWidth="1"/>
    <col min="9470" max="9470" width="10" style="44" customWidth="1"/>
    <col min="9471" max="9471" width="10.85546875" style="44" customWidth="1"/>
    <col min="9472" max="9472" width="9.85546875" style="44" customWidth="1"/>
    <col min="9473" max="9473" width="13.140625" style="44" customWidth="1"/>
    <col min="9474" max="9474" width="10.140625" style="44" customWidth="1"/>
    <col min="9475" max="9475" width="13.85546875" style="44" customWidth="1"/>
    <col min="9476" max="9476" width="12.5703125" style="44" customWidth="1"/>
    <col min="9477" max="9721" width="9.140625" style="44"/>
    <col min="9722" max="9722" width="10.85546875" style="44" customWidth="1"/>
    <col min="9723" max="9723" width="10.28515625" style="44" customWidth="1"/>
    <col min="9724" max="9724" width="9.85546875" style="44" customWidth="1"/>
    <col min="9725" max="9725" width="10.5703125" style="44" customWidth="1"/>
    <col min="9726" max="9726" width="10" style="44" customWidth="1"/>
    <col min="9727" max="9727" width="10.85546875" style="44" customWidth="1"/>
    <col min="9728" max="9728" width="9.85546875" style="44" customWidth="1"/>
    <col min="9729" max="9729" width="13.140625" style="44" customWidth="1"/>
    <col min="9730" max="9730" width="10.140625" style="44" customWidth="1"/>
    <col min="9731" max="9731" width="13.85546875" style="44" customWidth="1"/>
    <col min="9732" max="9732" width="12.5703125" style="44" customWidth="1"/>
    <col min="9733" max="9977" width="9.140625" style="44"/>
    <col min="9978" max="9978" width="10.85546875" style="44" customWidth="1"/>
    <col min="9979" max="9979" width="10.28515625" style="44" customWidth="1"/>
    <col min="9980" max="9980" width="9.85546875" style="44" customWidth="1"/>
    <col min="9981" max="9981" width="10.5703125" style="44" customWidth="1"/>
    <col min="9982" max="9982" width="10" style="44" customWidth="1"/>
    <col min="9983" max="9983" width="10.85546875" style="44" customWidth="1"/>
    <col min="9984" max="9984" width="9.85546875" style="44" customWidth="1"/>
    <col min="9985" max="9985" width="13.140625" style="44" customWidth="1"/>
    <col min="9986" max="9986" width="10.140625" style="44" customWidth="1"/>
    <col min="9987" max="9987" width="13.85546875" style="44" customWidth="1"/>
    <col min="9988" max="9988" width="12.5703125" style="44" customWidth="1"/>
    <col min="9989" max="10233" width="9.140625" style="44"/>
    <col min="10234" max="10234" width="10.85546875" style="44" customWidth="1"/>
    <col min="10235" max="10235" width="10.28515625" style="44" customWidth="1"/>
    <col min="10236" max="10236" width="9.85546875" style="44" customWidth="1"/>
    <col min="10237" max="10237" width="10.5703125" style="44" customWidth="1"/>
    <col min="10238" max="10238" width="10" style="44" customWidth="1"/>
    <col min="10239" max="10239" width="10.85546875" style="44" customWidth="1"/>
    <col min="10240" max="10240" width="9.85546875" style="44" customWidth="1"/>
    <col min="10241" max="10241" width="13.140625" style="44" customWidth="1"/>
    <col min="10242" max="10242" width="10.140625" style="44" customWidth="1"/>
    <col min="10243" max="10243" width="13.85546875" style="44" customWidth="1"/>
    <col min="10244" max="10244" width="12.5703125" style="44" customWidth="1"/>
    <col min="10245" max="10489" width="9.140625" style="44"/>
    <col min="10490" max="10490" width="10.85546875" style="44" customWidth="1"/>
    <col min="10491" max="10491" width="10.28515625" style="44" customWidth="1"/>
    <col min="10492" max="10492" width="9.85546875" style="44" customWidth="1"/>
    <col min="10493" max="10493" width="10.5703125" style="44" customWidth="1"/>
    <col min="10494" max="10494" width="10" style="44" customWidth="1"/>
    <col min="10495" max="10495" width="10.85546875" style="44" customWidth="1"/>
    <col min="10496" max="10496" width="9.85546875" style="44" customWidth="1"/>
    <col min="10497" max="10497" width="13.140625" style="44" customWidth="1"/>
    <col min="10498" max="10498" width="10.140625" style="44" customWidth="1"/>
    <col min="10499" max="10499" width="13.85546875" style="44" customWidth="1"/>
    <col min="10500" max="10500" width="12.5703125" style="44" customWidth="1"/>
    <col min="10501" max="10745" width="9.140625" style="44"/>
    <col min="10746" max="10746" width="10.85546875" style="44" customWidth="1"/>
    <col min="10747" max="10747" width="10.28515625" style="44" customWidth="1"/>
    <col min="10748" max="10748" width="9.85546875" style="44" customWidth="1"/>
    <col min="10749" max="10749" width="10.5703125" style="44" customWidth="1"/>
    <col min="10750" max="10750" width="10" style="44" customWidth="1"/>
    <col min="10751" max="10751" width="10.85546875" style="44" customWidth="1"/>
    <col min="10752" max="10752" width="9.85546875" style="44" customWidth="1"/>
    <col min="10753" max="10753" width="13.140625" style="44" customWidth="1"/>
    <col min="10754" max="10754" width="10.140625" style="44" customWidth="1"/>
    <col min="10755" max="10755" width="13.85546875" style="44" customWidth="1"/>
    <col min="10756" max="10756" width="12.5703125" style="44" customWidth="1"/>
    <col min="10757" max="11001" width="9.140625" style="44"/>
    <col min="11002" max="11002" width="10.85546875" style="44" customWidth="1"/>
    <col min="11003" max="11003" width="10.28515625" style="44" customWidth="1"/>
    <col min="11004" max="11004" width="9.85546875" style="44" customWidth="1"/>
    <col min="11005" max="11005" width="10.5703125" style="44" customWidth="1"/>
    <col min="11006" max="11006" width="10" style="44" customWidth="1"/>
    <col min="11007" max="11007" width="10.85546875" style="44" customWidth="1"/>
    <col min="11008" max="11008" width="9.85546875" style="44" customWidth="1"/>
    <col min="11009" max="11009" width="13.140625" style="44" customWidth="1"/>
    <col min="11010" max="11010" width="10.140625" style="44" customWidth="1"/>
    <col min="11011" max="11011" width="13.85546875" style="44" customWidth="1"/>
    <col min="11012" max="11012" width="12.5703125" style="44" customWidth="1"/>
    <col min="11013" max="11257" width="9.140625" style="44"/>
    <col min="11258" max="11258" width="10.85546875" style="44" customWidth="1"/>
    <col min="11259" max="11259" width="10.28515625" style="44" customWidth="1"/>
    <col min="11260" max="11260" width="9.85546875" style="44" customWidth="1"/>
    <col min="11261" max="11261" width="10.5703125" style="44" customWidth="1"/>
    <col min="11262" max="11262" width="10" style="44" customWidth="1"/>
    <col min="11263" max="11263" width="10.85546875" style="44" customWidth="1"/>
    <col min="11264" max="11264" width="9.85546875" style="44" customWidth="1"/>
    <col min="11265" max="11265" width="13.140625" style="44" customWidth="1"/>
    <col min="11266" max="11266" width="10.140625" style="44" customWidth="1"/>
    <col min="11267" max="11267" width="13.85546875" style="44" customWidth="1"/>
    <col min="11268" max="11268" width="12.5703125" style="44" customWidth="1"/>
    <col min="11269" max="11513" width="9.140625" style="44"/>
    <col min="11514" max="11514" width="10.85546875" style="44" customWidth="1"/>
    <col min="11515" max="11515" width="10.28515625" style="44" customWidth="1"/>
    <col min="11516" max="11516" width="9.85546875" style="44" customWidth="1"/>
    <col min="11517" max="11517" width="10.5703125" style="44" customWidth="1"/>
    <col min="11518" max="11518" width="10" style="44" customWidth="1"/>
    <col min="11519" max="11519" width="10.85546875" style="44" customWidth="1"/>
    <col min="11520" max="11520" width="9.85546875" style="44" customWidth="1"/>
    <col min="11521" max="11521" width="13.140625" style="44" customWidth="1"/>
    <col min="11522" max="11522" width="10.140625" style="44" customWidth="1"/>
    <col min="11523" max="11523" width="13.85546875" style="44" customWidth="1"/>
    <col min="11524" max="11524" width="12.5703125" style="44" customWidth="1"/>
    <col min="11525" max="11769" width="9.140625" style="44"/>
    <col min="11770" max="11770" width="10.85546875" style="44" customWidth="1"/>
    <col min="11771" max="11771" width="10.28515625" style="44" customWidth="1"/>
    <col min="11772" max="11772" width="9.85546875" style="44" customWidth="1"/>
    <col min="11773" max="11773" width="10.5703125" style="44" customWidth="1"/>
    <col min="11774" max="11774" width="10" style="44" customWidth="1"/>
    <col min="11775" max="11775" width="10.85546875" style="44" customWidth="1"/>
    <col min="11776" max="11776" width="9.85546875" style="44" customWidth="1"/>
    <col min="11777" max="11777" width="13.140625" style="44" customWidth="1"/>
    <col min="11778" max="11778" width="10.140625" style="44" customWidth="1"/>
    <col min="11779" max="11779" width="13.85546875" style="44" customWidth="1"/>
    <col min="11780" max="11780" width="12.5703125" style="44" customWidth="1"/>
    <col min="11781" max="12025" width="9.140625" style="44"/>
    <col min="12026" max="12026" width="10.85546875" style="44" customWidth="1"/>
    <col min="12027" max="12027" width="10.28515625" style="44" customWidth="1"/>
    <col min="12028" max="12028" width="9.85546875" style="44" customWidth="1"/>
    <col min="12029" max="12029" width="10.5703125" style="44" customWidth="1"/>
    <col min="12030" max="12030" width="10" style="44" customWidth="1"/>
    <col min="12031" max="12031" width="10.85546875" style="44" customWidth="1"/>
    <col min="12032" max="12032" width="9.85546875" style="44" customWidth="1"/>
    <col min="12033" max="12033" width="13.140625" style="44" customWidth="1"/>
    <col min="12034" max="12034" width="10.140625" style="44" customWidth="1"/>
    <col min="12035" max="12035" width="13.85546875" style="44" customWidth="1"/>
    <col min="12036" max="12036" width="12.5703125" style="44" customWidth="1"/>
    <col min="12037" max="12281" width="9.140625" style="44"/>
    <col min="12282" max="12282" width="10.85546875" style="44" customWidth="1"/>
    <col min="12283" max="12283" width="10.28515625" style="44" customWidth="1"/>
    <col min="12284" max="12284" width="9.85546875" style="44" customWidth="1"/>
    <col min="12285" max="12285" width="10.5703125" style="44" customWidth="1"/>
    <col min="12286" max="12286" width="10" style="44" customWidth="1"/>
    <col min="12287" max="12287" width="10.85546875" style="44" customWidth="1"/>
    <col min="12288" max="12288" width="9.85546875" style="44" customWidth="1"/>
    <col min="12289" max="12289" width="13.140625" style="44" customWidth="1"/>
    <col min="12290" max="12290" width="10.140625" style="44" customWidth="1"/>
    <col min="12291" max="12291" width="13.85546875" style="44" customWidth="1"/>
    <col min="12292" max="12292" width="12.5703125" style="44" customWidth="1"/>
    <col min="12293" max="12537" width="9.140625" style="44"/>
    <col min="12538" max="12538" width="10.85546875" style="44" customWidth="1"/>
    <col min="12539" max="12539" width="10.28515625" style="44" customWidth="1"/>
    <col min="12540" max="12540" width="9.85546875" style="44" customWidth="1"/>
    <col min="12541" max="12541" width="10.5703125" style="44" customWidth="1"/>
    <col min="12542" max="12542" width="10" style="44" customWidth="1"/>
    <col min="12543" max="12543" width="10.85546875" style="44" customWidth="1"/>
    <col min="12544" max="12544" width="9.85546875" style="44" customWidth="1"/>
    <col min="12545" max="12545" width="13.140625" style="44" customWidth="1"/>
    <col min="12546" max="12546" width="10.140625" style="44" customWidth="1"/>
    <col min="12547" max="12547" width="13.85546875" style="44" customWidth="1"/>
    <col min="12548" max="12548" width="12.5703125" style="44" customWidth="1"/>
    <col min="12549" max="12793" width="9.140625" style="44"/>
    <col min="12794" max="12794" width="10.85546875" style="44" customWidth="1"/>
    <col min="12795" max="12795" width="10.28515625" style="44" customWidth="1"/>
    <col min="12796" max="12796" width="9.85546875" style="44" customWidth="1"/>
    <col min="12797" max="12797" width="10.5703125" style="44" customWidth="1"/>
    <col min="12798" max="12798" width="10" style="44" customWidth="1"/>
    <col min="12799" max="12799" width="10.85546875" style="44" customWidth="1"/>
    <col min="12800" max="12800" width="9.85546875" style="44" customWidth="1"/>
    <col min="12801" max="12801" width="13.140625" style="44" customWidth="1"/>
    <col min="12802" max="12802" width="10.140625" style="44" customWidth="1"/>
    <col min="12803" max="12803" width="13.85546875" style="44" customWidth="1"/>
    <col min="12804" max="12804" width="12.5703125" style="44" customWidth="1"/>
    <col min="12805" max="13049" width="9.140625" style="44"/>
    <col min="13050" max="13050" width="10.85546875" style="44" customWidth="1"/>
    <col min="13051" max="13051" width="10.28515625" style="44" customWidth="1"/>
    <col min="13052" max="13052" width="9.85546875" style="44" customWidth="1"/>
    <col min="13053" max="13053" width="10.5703125" style="44" customWidth="1"/>
    <col min="13054" max="13054" width="10" style="44" customWidth="1"/>
    <col min="13055" max="13055" width="10.85546875" style="44" customWidth="1"/>
    <col min="13056" max="13056" width="9.85546875" style="44" customWidth="1"/>
    <col min="13057" max="13057" width="13.140625" style="44" customWidth="1"/>
    <col min="13058" max="13058" width="10.140625" style="44" customWidth="1"/>
    <col min="13059" max="13059" width="13.85546875" style="44" customWidth="1"/>
    <col min="13060" max="13060" width="12.5703125" style="44" customWidth="1"/>
    <col min="13061" max="13305" width="9.140625" style="44"/>
    <col min="13306" max="13306" width="10.85546875" style="44" customWidth="1"/>
    <col min="13307" max="13307" width="10.28515625" style="44" customWidth="1"/>
    <col min="13308" max="13308" width="9.85546875" style="44" customWidth="1"/>
    <col min="13309" max="13309" width="10.5703125" style="44" customWidth="1"/>
    <col min="13310" max="13310" width="10" style="44" customWidth="1"/>
    <col min="13311" max="13311" width="10.85546875" style="44" customWidth="1"/>
    <col min="13312" max="13312" width="9.85546875" style="44" customWidth="1"/>
    <col min="13313" max="13313" width="13.140625" style="44" customWidth="1"/>
    <col min="13314" max="13314" width="10.140625" style="44" customWidth="1"/>
    <col min="13315" max="13315" width="13.85546875" style="44" customWidth="1"/>
    <col min="13316" max="13316" width="12.5703125" style="44" customWidth="1"/>
    <col min="13317" max="13561" width="9.140625" style="44"/>
    <col min="13562" max="13562" width="10.85546875" style="44" customWidth="1"/>
    <col min="13563" max="13563" width="10.28515625" style="44" customWidth="1"/>
    <col min="13564" max="13564" width="9.85546875" style="44" customWidth="1"/>
    <col min="13565" max="13565" width="10.5703125" style="44" customWidth="1"/>
    <col min="13566" max="13566" width="10" style="44" customWidth="1"/>
    <col min="13567" max="13567" width="10.85546875" style="44" customWidth="1"/>
    <col min="13568" max="13568" width="9.85546875" style="44" customWidth="1"/>
    <col min="13569" max="13569" width="13.140625" style="44" customWidth="1"/>
    <col min="13570" max="13570" width="10.140625" style="44" customWidth="1"/>
    <col min="13571" max="13571" width="13.85546875" style="44" customWidth="1"/>
    <col min="13572" max="13572" width="12.5703125" style="44" customWidth="1"/>
    <col min="13573" max="13817" width="9.140625" style="44"/>
    <col min="13818" max="13818" width="10.85546875" style="44" customWidth="1"/>
    <col min="13819" max="13819" width="10.28515625" style="44" customWidth="1"/>
    <col min="13820" max="13820" width="9.85546875" style="44" customWidth="1"/>
    <col min="13821" max="13821" width="10.5703125" style="44" customWidth="1"/>
    <col min="13822" max="13822" width="10" style="44" customWidth="1"/>
    <col min="13823" max="13823" width="10.85546875" style="44" customWidth="1"/>
    <col min="13824" max="13824" width="9.85546875" style="44" customWidth="1"/>
    <col min="13825" max="13825" width="13.140625" style="44" customWidth="1"/>
    <col min="13826" max="13826" width="10.140625" style="44" customWidth="1"/>
    <col min="13827" max="13827" width="13.85546875" style="44" customWidth="1"/>
    <col min="13828" max="13828" width="12.5703125" style="44" customWidth="1"/>
    <col min="13829" max="14073" width="9.140625" style="44"/>
    <col min="14074" max="14074" width="10.85546875" style="44" customWidth="1"/>
    <col min="14075" max="14075" width="10.28515625" style="44" customWidth="1"/>
    <col min="14076" max="14076" width="9.85546875" style="44" customWidth="1"/>
    <col min="14077" max="14077" width="10.5703125" style="44" customWidth="1"/>
    <col min="14078" max="14078" width="10" style="44" customWidth="1"/>
    <col min="14079" max="14079" width="10.85546875" style="44" customWidth="1"/>
    <col min="14080" max="14080" width="9.85546875" style="44" customWidth="1"/>
    <col min="14081" max="14081" width="13.140625" style="44" customWidth="1"/>
    <col min="14082" max="14082" width="10.140625" style="44" customWidth="1"/>
    <col min="14083" max="14083" width="13.85546875" style="44" customWidth="1"/>
    <col min="14084" max="14084" width="12.5703125" style="44" customWidth="1"/>
    <col min="14085" max="14329" width="9.140625" style="44"/>
    <col min="14330" max="14330" width="10.85546875" style="44" customWidth="1"/>
    <col min="14331" max="14331" width="10.28515625" style="44" customWidth="1"/>
    <col min="14332" max="14332" width="9.85546875" style="44" customWidth="1"/>
    <col min="14333" max="14333" width="10.5703125" style="44" customWidth="1"/>
    <col min="14334" max="14334" width="10" style="44" customWidth="1"/>
    <col min="14335" max="14335" width="10.85546875" style="44" customWidth="1"/>
    <col min="14336" max="14336" width="9.85546875" style="44" customWidth="1"/>
    <col min="14337" max="14337" width="13.140625" style="44" customWidth="1"/>
    <col min="14338" max="14338" width="10.140625" style="44" customWidth="1"/>
    <col min="14339" max="14339" width="13.85546875" style="44" customWidth="1"/>
    <col min="14340" max="14340" width="12.5703125" style="44" customWidth="1"/>
    <col min="14341" max="14585" width="9.140625" style="44"/>
    <col min="14586" max="14586" width="10.85546875" style="44" customWidth="1"/>
    <col min="14587" max="14587" width="10.28515625" style="44" customWidth="1"/>
    <col min="14588" max="14588" width="9.85546875" style="44" customWidth="1"/>
    <col min="14589" max="14589" width="10.5703125" style="44" customWidth="1"/>
    <col min="14590" max="14590" width="10" style="44" customWidth="1"/>
    <col min="14591" max="14591" width="10.85546875" style="44" customWidth="1"/>
    <col min="14592" max="14592" width="9.85546875" style="44" customWidth="1"/>
    <col min="14593" max="14593" width="13.140625" style="44" customWidth="1"/>
    <col min="14594" max="14594" width="10.140625" style="44" customWidth="1"/>
    <col min="14595" max="14595" width="13.85546875" style="44" customWidth="1"/>
    <col min="14596" max="14596" width="12.5703125" style="44" customWidth="1"/>
    <col min="14597" max="14841" width="9.140625" style="44"/>
    <col min="14842" max="14842" width="10.85546875" style="44" customWidth="1"/>
    <col min="14843" max="14843" width="10.28515625" style="44" customWidth="1"/>
    <col min="14844" max="14844" width="9.85546875" style="44" customWidth="1"/>
    <col min="14845" max="14845" width="10.5703125" style="44" customWidth="1"/>
    <col min="14846" max="14846" width="10" style="44" customWidth="1"/>
    <col min="14847" max="14847" width="10.85546875" style="44" customWidth="1"/>
    <col min="14848" max="14848" width="9.85546875" style="44" customWidth="1"/>
    <col min="14849" max="14849" width="13.140625" style="44" customWidth="1"/>
    <col min="14850" max="14850" width="10.140625" style="44" customWidth="1"/>
    <col min="14851" max="14851" width="13.85546875" style="44" customWidth="1"/>
    <col min="14852" max="14852" width="12.5703125" style="44" customWidth="1"/>
    <col min="14853" max="15097" width="9.140625" style="44"/>
    <col min="15098" max="15098" width="10.85546875" style="44" customWidth="1"/>
    <col min="15099" max="15099" width="10.28515625" style="44" customWidth="1"/>
    <col min="15100" max="15100" width="9.85546875" style="44" customWidth="1"/>
    <col min="15101" max="15101" width="10.5703125" style="44" customWidth="1"/>
    <col min="15102" max="15102" width="10" style="44" customWidth="1"/>
    <col min="15103" max="15103" width="10.85546875" style="44" customWidth="1"/>
    <col min="15104" max="15104" width="9.85546875" style="44" customWidth="1"/>
    <col min="15105" max="15105" width="13.140625" style="44" customWidth="1"/>
    <col min="15106" max="15106" width="10.140625" style="44" customWidth="1"/>
    <col min="15107" max="15107" width="13.85546875" style="44" customWidth="1"/>
    <col min="15108" max="15108" width="12.5703125" style="44" customWidth="1"/>
    <col min="15109" max="15353" width="9.140625" style="44"/>
    <col min="15354" max="15354" width="10.85546875" style="44" customWidth="1"/>
    <col min="15355" max="15355" width="10.28515625" style="44" customWidth="1"/>
    <col min="15356" max="15356" width="9.85546875" style="44" customWidth="1"/>
    <col min="15357" max="15357" width="10.5703125" style="44" customWidth="1"/>
    <col min="15358" max="15358" width="10" style="44" customWidth="1"/>
    <col min="15359" max="15359" width="10.85546875" style="44" customWidth="1"/>
    <col min="15360" max="15360" width="9.85546875" style="44" customWidth="1"/>
    <col min="15361" max="15361" width="13.140625" style="44" customWidth="1"/>
    <col min="15362" max="15362" width="10.140625" style="44" customWidth="1"/>
    <col min="15363" max="15363" width="13.85546875" style="44" customWidth="1"/>
    <col min="15364" max="15364" width="12.5703125" style="44" customWidth="1"/>
    <col min="15365" max="15609" width="9.140625" style="44"/>
    <col min="15610" max="15610" width="10.85546875" style="44" customWidth="1"/>
    <col min="15611" max="15611" width="10.28515625" style="44" customWidth="1"/>
    <col min="15612" max="15612" width="9.85546875" style="44" customWidth="1"/>
    <col min="15613" max="15613" width="10.5703125" style="44" customWidth="1"/>
    <col min="15614" max="15614" width="10" style="44" customWidth="1"/>
    <col min="15615" max="15615" width="10.85546875" style="44" customWidth="1"/>
    <col min="15616" max="15616" width="9.85546875" style="44" customWidth="1"/>
    <col min="15617" max="15617" width="13.140625" style="44" customWidth="1"/>
    <col min="15618" max="15618" width="10.140625" style="44" customWidth="1"/>
    <col min="15619" max="15619" width="13.85546875" style="44" customWidth="1"/>
    <col min="15620" max="15620" width="12.5703125" style="44" customWidth="1"/>
    <col min="15621" max="15865" width="9.140625" style="44"/>
    <col min="15866" max="15866" width="10.85546875" style="44" customWidth="1"/>
    <col min="15867" max="15867" width="10.28515625" style="44" customWidth="1"/>
    <col min="15868" max="15868" width="9.85546875" style="44" customWidth="1"/>
    <col min="15869" max="15869" width="10.5703125" style="44" customWidth="1"/>
    <col min="15870" max="15870" width="10" style="44" customWidth="1"/>
    <col min="15871" max="15871" width="10.85546875" style="44" customWidth="1"/>
    <col min="15872" max="15872" width="9.85546875" style="44" customWidth="1"/>
    <col min="15873" max="15873" width="13.140625" style="44" customWidth="1"/>
    <col min="15874" max="15874" width="10.140625" style="44" customWidth="1"/>
    <col min="15875" max="15875" width="13.85546875" style="44" customWidth="1"/>
    <col min="15876" max="15876" width="12.5703125" style="44" customWidth="1"/>
    <col min="15877" max="16121" width="9.140625" style="44"/>
    <col min="16122" max="16122" width="10.85546875" style="44" customWidth="1"/>
    <col min="16123" max="16123" width="10.28515625" style="44" customWidth="1"/>
    <col min="16124" max="16124" width="9.85546875" style="44" customWidth="1"/>
    <col min="16125" max="16125" width="10.5703125" style="44" customWidth="1"/>
    <col min="16126" max="16126" width="10" style="44" customWidth="1"/>
    <col min="16127" max="16127" width="10.85546875" style="44" customWidth="1"/>
    <col min="16128" max="16128" width="9.85546875" style="44" customWidth="1"/>
    <col min="16129" max="16129" width="13.140625" style="44" customWidth="1"/>
    <col min="16130" max="16130" width="10.140625" style="44" customWidth="1"/>
    <col min="16131" max="16131" width="13.85546875" style="44" customWidth="1"/>
    <col min="16132" max="16132" width="12.5703125" style="44" customWidth="1"/>
    <col min="16133" max="16384" width="9.140625" style="44"/>
  </cols>
  <sheetData>
    <row r="1" spans="1:25" s="71" customFormat="1" ht="77.25" thickBot="1" x14ac:dyDescent="0.25">
      <c r="A1" s="67" t="s">
        <v>42</v>
      </c>
      <c r="B1" s="68" t="s">
        <v>28</v>
      </c>
      <c r="C1" s="69" t="s">
        <v>29</v>
      </c>
      <c r="D1" s="69" t="s">
        <v>30</v>
      </c>
      <c r="E1" s="69" t="s">
        <v>31</v>
      </c>
      <c r="F1" s="69" t="s">
        <v>32</v>
      </c>
      <c r="G1" s="69" t="s">
        <v>35</v>
      </c>
      <c r="H1" s="69" t="s">
        <v>36</v>
      </c>
      <c r="I1" s="69" t="s">
        <v>37</v>
      </c>
      <c r="J1" s="69" t="s">
        <v>34</v>
      </c>
      <c r="K1" s="70" t="s">
        <v>43</v>
      </c>
      <c r="L1" s="72" t="s">
        <v>44</v>
      </c>
      <c r="M1" s="72" t="s">
        <v>45</v>
      </c>
      <c r="N1" s="72" t="s">
        <v>46</v>
      </c>
      <c r="O1" s="73" t="s">
        <v>47</v>
      </c>
      <c r="P1" s="73" t="s">
        <v>48</v>
      </c>
      <c r="Q1" s="73" t="s">
        <v>49</v>
      </c>
      <c r="R1" s="71" t="s">
        <v>50</v>
      </c>
      <c r="S1" s="71" t="s">
        <v>51</v>
      </c>
      <c r="T1" s="71" t="s">
        <v>52</v>
      </c>
      <c r="U1" s="71" t="s">
        <v>53</v>
      </c>
      <c r="V1" s="74" t="s">
        <v>55</v>
      </c>
      <c r="W1" s="75" t="s">
        <v>56</v>
      </c>
      <c r="X1" s="75" t="s">
        <v>57</v>
      </c>
      <c r="Y1" s="75" t="s">
        <v>54</v>
      </c>
    </row>
    <row r="2" spans="1:25" x14ac:dyDescent="0.2">
      <c r="A2" s="45">
        <v>45658</v>
      </c>
      <c r="B2" s="46">
        <v>0</v>
      </c>
      <c r="C2" s="47">
        <v>1194.3699999999999</v>
      </c>
      <c r="D2" s="47">
        <v>566.53</v>
      </c>
      <c r="E2" s="47">
        <v>65.02</v>
      </c>
      <c r="F2" s="47">
        <v>965.28</v>
      </c>
      <c r="G2" s="47">
        <v>1273.92</v>
      </c>
      <c r="H2" s="47">
        <v>0</v>
      </c>
      <c r="I2" s="47">
        <v>0</v>
      </c>
      <c r="J2" s="47">
        <v>1146.7999999999997</v>
      </c>
      <c r="K2" s="48">
        <v>2918.32</v>
      </c>
      <c r="L2" s="49">
        <v>5818</v>
      </c>
      <c r="M2" s="44">
        <v>11</v>
      </c>
      <c r="N2" s="44">
        <v>15.709999999999994</v>
      </c>
      <c r="O2" s="44">
        <v>0</v>
      </c>
      <c r="P2" s="44">
        <v>0.04</v>
      </c>
      <c r="Q2" s="44">
        <v>0</v>
      </c>
      <c r="R2" s="44">
        <v>3702.55</v>
      </c>
      <c r="S2" s="44">
        <v>3.83</v>
      </c>
      <c r="T2" s="44">
        <v>115</v>
      </c>
      <c r="U2" s="44">
        <v>41.7</v>
      </c>
      <c r="V2" s="44">
        <v>198</v>
      </c>
      <c r="W2" s="44">
        <v>5428</v>
      </c>
      <c r="X2" s="44">
        <v>5428</v>
      </c>
      <c r="Y2" s="44">
        <v>0</v>
      </c>
    </row>
    <row r="3" spans="1:25" x14ac:dyDescent="0.2">
      <c r="A3" s="50">
        <f t="shared" ref="A3:A30" si="0">A2+1</f>
        <v>45659</v>
      </c>
      <c r="B3" s="51">
        <v>0</v>
      </c>
      <c r="C3" s="52">
        <v>1211.9000000000001</v>
      </c>
      <c r="D3" s="52">
        <v>393.56</v>
      </c>
      <c r="E3" s="52">
        <v>61</v>
      </c>
      <c r="F3" s="52">
        <v>958.45</v>
      </c>
      <c r="G3" s="52">
        <v>1290.57</v>
      </c>
      <c r="H3" s="52">
        <v>0</v>
      </c>
      <c r="I3" s="52">
        <v>0</v>
      </c>
      <c r="J3" s="52">
        <v>1189.0900000000001</v>
      </c>
      <c r="K3" s="53">
        <v>2726.3899999999994</v>
      </c>
      <c r="L3" s="49">
        <v>1</v>
      </c>
      <c r="M3" s="44">
        <v>11.100000000000136</v>
      </c>
      <c r="N3" s="44">
        <v>15.959999999999994</v>
      </c>
      <c r="O3" s="44">
        <v>0</v>
      </c>
      <c r="P3" s="44">
        <v>0.85</v>
      </c>
      <c r="Q3" s="44">
        <v>0</v>
      </c>
      <c r="R3" s="44">
        <v>3706.13</v>
      </c>
      <c r="S3" s="44">
        <v>3.91</v>
      </c>
      <c r="T3" s="44">
        <v>117</v>
      </c>
      <c r="U3" s="44">
        <v>43.6</v>
      </c>
      <c r="V3" s="44">
        <v>202</v>
      </c>
      <c r="W3" s="44">
        <v>5795</v>
      </c>
      <c r="X3" s="44">
        <v>5795</v>
      </c>
      <c r="Y3" s="44">
        <v>0</v>
      </c>
    </row>
    <row r="4" spans="1:25" x14ac:dyDescent="0.2">
      <c r="A4" s="50">
        <f t="shared" si="0"/>
        <v>45660</v>
      </c>
      <c r="B4" s="51">
        <v>0</v>
      </c>
      <c r="C4" s="52">
        <v>1554.78</v>
      </c>
      <c r="D4" s="52">
        <v>824.55</v>
      </c>
      <c r="E4" s="52">
        <v>671.48</v>
      </c>
      <c r="F4" s="52">
        <v>1485.13</v>
      </c>
      <c r="G4" s="52">
        <v>1741.36</v>
      </c>
      <c r="H4" s="52">
        <v>0</v>
      </c>
      <c r="I4" s="52">
        <v>0</v>
      </c>
      <c r="J4" s="52">
        <v>1307.93</v>
      </c>
      <c r="K4" s="53">
        <v>4969.37</v>
      </c>
      <c r="L4" s="49">
        <v>1.3999999999996362</v>
      </c>
      <c r="M4" s="44">
        <v>11.5</v>
      </c>
      <c r="N4" s="44">
        <v>14.620000000000005</v>
      </c>
      <c r="O4" s="44">
        <v>14088.25</v>
      </c>
      <c r="P4" s="44">
        <v>588.27</v>
      </c>
      <c r="Q4" s="44">
        <v>0</v>
      </c>
      <c r="R4" s="44">
        <v>10846.71</v>
      </c>
      <c r="S4" s="44">
        <v>3.9</v>
      </c>
      <c r="T4" s="44">
        <v>138</v>
      </c>
      <c r="U4" s="44">
        <v>46.400000000000006</v>
      </c>
      <c r="V4" s="44">
        <v>188</v>
      </c>
      <c r="W4" s="44">
        <v>5989</v>
      </c>
      <c r="X4" s="44">
        <v>5989</v>
      </c>
      <c r="Y4" s="44">
        <v>0</v>
      </c>
    </row>
    <row r="5" spans="1:25" x14ac:dyDescent="0.2">
      <c r="A5" s="50">
        <f t="shared" si="0"/>
        <v>45661</v>
      </c>
      <c r="B5" s="51">
        <v>0</v>
      </c>
      <c r="C5" s="52">
        <v>1461.24</v>
      </c>
      <c r="D5" s="52">
        <v>980.94</v>
      </c>
      <c r="E5" s="52">
        <v>771.91</v>
      </c>
      <c r="F5" s="52">
        <v>1365.57</v>
      </c>
      <c r="G5" s="52">
        <v>2095.37</v>
      </c>
      <c r="H5" s="52">
        <v>0</v>
      </c>
      <c r="I5" s="52">
        <v>0</v>
      </c>
      <c r="J5" s="52">
        <v>1608.65</v>
      </c>
      <c r="K5" s="53">
        <v>5066.3799999999992</v>
      </c>
      <c r="L5" s="49">
        <v>11.800000000000182</v>
      </c>
      <c r="M5" s="44">
        <v>11.300000000000182</v>
      </c>
      <c r="N5" s="44">
        <v>14.25</v>
      </c>
      <c r="O5" s="44">
        <v>3391.94</v>
      </c>
      <c r="P5" s="44">
        <v>993.03</v>
      </c>
      <c r="Q5" s="44">
        <v>0</v>
      </c>
      <c r="R5" s="44">
        <v>12381.16</v>
      </c>
      <c r="S5" s="44">
        <v>3.82</v>
      </c>
      <c r="T5" s="44">
        <v>134</v>
      </c>
      <c r="U5" s="44">
        <v>48.899999999999991</v>
      </c>
      <c r="V5" s="44">
        <v>178</v>
      </c>
      <c r="W5" s="44">
        <v>6360</v>
      </c>
      <c r="X5" s="44">
        <v>6360</v>
      </c>
      <c r="Y5" s="44">
        <v>0</v>
      </c>
    </row>
    <row r="6" spans="1:25" x14ac:dyDescent="0.2">
      <c r="A6" s="50">
        <f t="shared" si="0"/>
        <v>45662</v>
      </c>
      <c r="B6" s="51">
        <v>0</v>
      </c>
      <c r="C6" s="52">
        <v>1474.02</v>
      </c>
      <c r="D6" s="52">
        <v>972</v>
      </c>
      <c r="E6" s="52">
        <v>761.42</v>
      </c>
      <c r="F6" s="52">
        <v>1391.02</v>
      </c>
      <c r="G6" s="52">
        <v>2232.62</v>
      </c>
      <c r="H6" s="52">
        <v>0</v>
      </c>
      <c r="I6" s="52">
        <v>0</v>
      </c>
      <c r="J6" s="52">
        <v>1756.83</v>
      </c>
      <c r="K6" s="53">
        <v>5074.25</v>
      </c>
      <c r="L6" s="49">
        <v>6.8000000000001819</v>
      </c>
      <c r="M6" s="44">
        <v>11.400000000000091</v>
      </c>
      <c r="N6" s="44">
        <v>15.170000000000002</v>
      </c>
      <c r="O6" s="44">
        <v>2000.69</v>
      </c>
      <c r="P6" s="44">
        <v>765.64</v>
      </c>
      <c r="Q6" s="44">
        <v>0</v>
      </c>
      <c r="R6" s="44">
        <v>12739.39</v>
      </c>
      <c r="S6" s="44">
        <v>3.89</v>
      </c>
      <c r="T6" s="44">
        <v>131</v>
      </c>
      <c r="U6" s="44">
        <v>49.6</v>
      </c>
      <c r="V6" s="44">
        <v>181</v>
      </c>
      <c r="W6" s="44">
        <v>6864</v>
      </c>
      <c r="X6" s="44">
        <v>6861</v>
      </c>
      <c r="Y6" s="44">
        <v>3</v>
      </c>
    </row>
    <row r="7" spans="1:25" x14ac:dyDescent="0.2">
      <c r="A7" s="50">
        <f t="shared" si="0"/>
        <v>45663</v>
      </c>
      <c r="B7" s="51">
        <v>608.04999999999995</v>
      </c>
      <c r="C7" s="52">
        <v>1355.79</v>
      </c>
      <c r="D7" s="52">
        <v>805.61</v>
      </c>
      <c r="E7" s="52">
        <v>623.64</v>
      </c>
      <c r="F7" s="52">
        <v>786.62</v>
      </c>
      <c r="G7" s="52">
        <v>1923.5</v>
      </c>
      <c r="H7" s="52">
        <v>0</v>
      </c>
      <c r="I7" s="52">
        <v>0</v>
      </c>
      <c r="J7" s="52">
        <v>1692.3500000000001</v>
      </c>
      <c r="K7" s="53">
        <v>4410.8599999999997</v>
      </c>
      <c r="L7" s="49">
        <v>5.1999999999998181</v>
      </c>
      <c r="M7" s="44">
        <v>12.5</v>
      </c>
      <c r="N7" s="44">
        <v>17.079999999999998</v>
      </c>
      <c r="O7" s="44">
        <v>461.55</v>
      </c>
      <c r="P7" s="44">
        <v>0.15</v>
      </c>
      <c r="Q7" s="44">
        <v>0</v>
      </c>
      <c r="R7" s="44">
        <v>12294.55</v>
      </c>
      <c r="S7" s="44">
        <v>3.93</v>
      </c>
      <c r="T7" s="44">
        <v>142</v>
      </c>
      <c r="U7" s="44">
        <v>49.099999999999994</v>
      </c>
      <c r="V7" s="44">
        <v>185</v>
      </c>
      <c r="W7" s="44">
        <v>7064</v>
      </c>
      <c r="X7" s="44">
        <v>7064</v>
      </c>
      <c r="Y7" s="44">
        <v>0</v>
      </c>
    </row>
    <row r="8" spans="1:25" x14ac:dyDescent="0.2">
      <c r="A8" s="50">
        <f t="shared" si="0"/>
        <v>45664</v>
      </c>
      <c r="B8" s="51">
        <v>1126.4000000000001</v>
      </c>
      <c r="C8" s="52">
        <v>1332.3</v>
      </c>
      <c r="D8" s="52">
        <v>643.92999999999995</v>
      </c>
      <c r="E8" s="52">
        <v>61.03</v>
      </c>
      <c r="F8" s="52">
        <v>179.05</v>
      </c>
      <c r="G8" s="52">
        <v>1651.01</v>
      </c>
      <c r="H8" s="52">
        <v>0</v>
      </c>
      <c r="I8" s="52">
        <v>0</v>
      </c>
      <c r="J8" s="52">
        <v>1460.6100000000001</v>
      </c>
      <c r="K8" s="53">
        <v>3533.11</v>
      </c>
      <c r="L8" s="49">
        <v>8</v>
      </c>
      <c r="M8" s="44">
        <v>12.899999999999864</v>
      </c>
      <c r="N8" s="44">
        <v>18.079999999999998</v>
      </c>
      <c r="O8" s="44">
        <v>0</v>
      </c>
      <c r="P8" s="44">
        <v>0.77</v>
      </c>
      <c r="Q8" s="44">
        <v>0</v>
      </c>
      <c r="R8" s="44">
        <v>3729.81</v>
      </c>
      <c r="S8" s="44">
        <v>4.03</v>
      </c>
      <c r="T8" s="44">
        <v>158</v>
      </c>
      <c r="U8" s="44">
        <v>55.800000000000004</v>
      </c>
      <c r="V8" s="44">
        <v>232</v>
      </c>
      <c r="W8" s="44">
        <v>7610</v>
      </c>
      <c r="X8" s="44">
        <v>7520</v>
      </c>
      <c r="Y8" s="44">
        <v>90</v>
      </c>
    </row>
    <row r="9" spans="1:25" x14ac:dyDescent="0.2">
      <c r="A9" s="50">
        <f t="shared" si="0"/>
        <v>45665</v>
      </c>
      <c r="B9" s="51">
        <v>1088.1400000000001</v>
      </c>
      <c r="C9" s="52">
        <v>1504.73</v>
      </c>
      <c r="D9" s="52">
        <v>909.25</v>
      </c>
      <c r="E9" s="52">
        <v>1063.44</v>
      </c>
      <c r="F9" s="52">
        <v>636.20000000000005</v>
      </c>
      <c r="G9" s="52">
        <v>2097.85</v>
      </c>
      <c r="H9" s="52">
        <v>0</v>
      </c>
      <c r="I9" s="52">
        <v>0</v>
      </c>
      <c r="J9" s="52">
        <v>1851.69</v>
      </c>
      <c r="K9" s="53">
        <v>5447.9199999999983</v>
      </c>
      <c r="L9" s="49">
        <v>8.5</v>
      </c>
      <c r="M9" s="44">
        <v>12.5</v>
      </c>
      <c r="N9" s="44">
        <v>18.159999999999997</v>
      </c>
      <c r="O9" s="44">
        <v>1259.8</v>
      </c>
      <c r="P9" s="44">
        <v>137.65</v>
      </c>
      <c r="Q9" s="44">
        <v>0</v>
      </c>
      <c r="R9" s="44">
        <v>26883.66</v>
      </c>
      <c r="S9" s="44">
        <v>3.97</v>
      </c>
      <c r="T9" s="44">
        <v>164</v>
      </c>
      <c r="U9" s="44">
        <v>57.5</v>
      </c>
      <c r="V9" s="44">
        <v>234</v>
      </c>
      <c r="W9" s="44">
        <v>7643</v>
      </c>
      <c r="X9" s="44">
        <v>7337</v>
      </c>
      <c r="Y9" s="44">
        <v>306</v>
      </c>
    </row>
    <row r="10" spans="1:25" x14ac:dyDescent="0.2">
      <c r="A10" s="50">
        <f t="shared" si="0"/>
        <v>45666</v>
      </c>
      <c r="B10" s="51">
        <v>6684.44</v>
      </c>
      <c r="C10" s="52">
        <v>4743.22</v>
      </c>
      <c r="D10" s="52">
        <v>3144.4</v>
      </c>
      <c r="E10" s="52">
        <v>1130.81</v>
      </c>
      <c r="F10" s="52">
        <v>4158.2</v>
      </c>
      <c r="G10" s="52">
        <v>5228.07</v>
      </c>
      <c r="H10" s="52">
        <v>0</v>
      </c>
      <c r="I10" s="52">
        <v>0</v>
      </c>
      <c r="J10" s="52">
        <v>3155.7200000000003</v>
      </c>
      <c r="K10" s="53">
        <v>21933.42</v>
      </c>
      <c r="L10" s="49">
        <v>46.300000000000182</v>
      </c>
      <c r="M10" s="44">
        <v>14.599999999999909</v>
      </c>
      <c r="N10" s="44">
        <v>17.439999999999998</v>
      </c>
      <c r="O10" s="44">
        <v>100945.76</v>
      </c>
      <c r="P10" s="44">
        <v>12943.5</v>
      </c>
      <c r="Q10" s="44">
        <v>0</v>
      </c>
      <c r="R10" s="44">
        <v>28898.52</v>
      </c>
      <c r="S10" s="44">
        <v>6.19</v>
      </c>
      <c r="T10" s="44">
        <v>282</v>
      </c>
      <c r="U10" s="44">
        <v>105.7</v>
      </c>
      <c r="V10" s="44">
        <v>346</v>
      </c>
      <c r="W10" s="44">
        <v>16472</v>
      </c>
      <c r="X10" s="44">
        <v>14961</v>
      </c>
      <c r="Y10" s="44">
        <v>1511</v>
      </c>
    </row>
    <row r="11" spans="1:25" x14ac:dyDescent="0.2">
      <c r="A11" s="50">
        <f t="shared" si="0"/>
        <v>45667</v>
      </c>
      <c r="B11" s="51">
        <v>7561.84</v>
      </c>
      <c r="C11" s="52">
        <v>5086.74</v>
      </c>
      <c r="D11" s="52">
        <v>3834.71</v>
      </c>
      <c r="E11" s="52">
        <v>1069.81</v>
      </c>
      <c r="F11" s="52">
        <v>4738.46</v>
      </c>
      <c r="G11" s="52">
        <v>6294.62</v>
      </c>
      <c r="H11" s="52">
        <v>0</v>
      </c>
      <c r="I11" s="52">
        <v>0</v>
      </c>
      <c r="J11" s="52">
        <v>3328.0000000000005</v>
      </c>
      <c r="K11" s="53">
        <v>25258.18</v>
      </c>
      <c r="L11" s="49">
        <v>19</v>
      </c>
      <c r="M11" s="44">
        <v>23</v>
      </c>
      <c r="N11" s="44">
        <v>17.14</v>
      </c>
      <c r="O11" s="44">
        <v>113877</v>
      </c>
      <c r="P11" s="44">
        <v>10530.9</v>
      </c>
      <c r="Q11" s="44">
        <v>0</v>
      </c>
      <c r="R11" s="44">
        <v>26354.91</v>
      </c>
      <c r="S11" s="44">
        <v>5.98</v>
      </c>
      <c r="T11" s="44">
        <v>288</v>
      </c>
      <c r="U11" s="44">
        <v>101.19999999999999</v>
      </c>
      <c r="V11" s="44">
        <v>339</v>
      </c>
      <c r="W11" s="44">
        <v>14984</v>
      </c>
      <c r="X11" s="44">
        <v>13613</v>
      </c>
      <c r="Y11" s="44">
        <v>1371</v>
      </c>
    </row>
    <row r="12" spans="1:25" x14ac:dyDescent="0.2">
      <c r="A12" s="50">
        <f t="shared" si="0"/>
        <v>45668</v>
      </c>
      <c r="B12" s="51">
        <v>7538.6</v>
      </c>
      <c r="C12" s="52">
        <v>4752.7</v>
      </c>
      <c r="D12" s="52">
        <v>3801.7</v>
      </c>
      <c r="E12" s="52">
        <v>1853.4</v>
      </c>
      <c r="F12" s="52">
        <v>4827</v>
      </c>
      <c r="G12" s="52">
        <v>5537.2</v>
      </c>
      <c r="H12" s="52">
        <v>0</v>
      </c>
      <c r="I12" s="52">
        <v>0</v>
      </c>
      <c r="J12" s="52">
        <v>2706.0799999999995</v>
      </c>
      <c r="K12" s="53">
        <v>25604.520000000004</v>
      </c>
      <c r="L12" s="49">
        <v>71</v>
      </c>
      <c r="M12" s="44">
        <v>14</v>
      </c>
      <c r="N12" s="44">
        <v>17.72999999999999</v>
      </c>
      <c r="O12" s="44">
        <v>114268</v>
      </c>
      <c r="P12" s="44">
        <v>12845.4</v>
      </c>
      <c r="Q12" s="44">
        <v>0</v>
      </c>
      <c r="R12" s="44">
        <v>33501.589999999997</v>
      </c>
      <c r="S12" s="44">
        <v>5.79</v>
      </c>
      <c r="T12" s="44">
        <v>255</v>
      </c>
      <c r="U12" s="44">
        <v>92.300000000000011</v>
      </c>
      <c r="V12" s="44">
        <v>311</v>
      </c>
      <c r="W12" s="44">
        <v>13211</v>
      </c>
      <c r="X12" s="44">
        <v>11990</v>
      </c>
      <c r="Y12" s="44">
        <v>1221</v>
      </c>
    </row>
    <row r="13" spans="1:25" x14ac:dyDescent="0.2">
      <c r="A13" s="50">
        <f t="shared" si="0"/>
        <v>45669</v>
      </c>
      <c r="B13" s="51">
        <v>7502.57</v>
      </c>
      <c r="C13" s="52">
        <v>4296.09</v>
      </c>
      <c r="D13" s="52">
        <v>3217.39</v>
      </c>
      <c r="E13" s="52">
        <v>1917.31</v>
      </c>
      <c r="F13" s="52">
        <v>4949.03</v>
      </c>
      <c r="G13" s="52">
        <v>4964.9399999999996</v>
      </c>
      <c r="H13" s="52">
        <v>0</v>
      </c>
      <c r="I13" s="52">
        <v>0</v>
      </c>
      <c r="J13" s="52">
        <v>2350.7599999999998</v>
      </c>
      <c r="K13" s="53">
        <v>24496.57</v>
      </c>
      <c r="L13" s="49">
        <v>39</v>
      </c>
      <c r="M13" s="44">
        <v>14.700000000000045</v>
      </c>
      <c r="N13" s="44">
        <v>17.840000000000003</v>
      </c>
      <c r="O13" s="44">
        <v>110175.32</v>
      </c>
      <c r="P13" s="44">
        <v>9432.06</v>
      </c>
      <c r="Q13" s="44">
        <v>0</v>
      </c>
      <c r="R13" s="44">
        <v>31197.7</v>
      </c>
      <c r="S13" s="44">
        <v>5.09</v>
      </c>
      <c r="T13" s="44">
        <v>261</v>
      </c>
      <c r="U13" s="44">
        <v>94.5</v>
      </c>
      <c r="V13" s="44">
        <v>319</v>
      </c>
      <c r="W13" s="44">
        <v>14437</v>
      </c>
      <c r="X13" s="44">
        <v>13074</v>
      </c>
      <c r="Y13" s="44">
        <v>1363</v>
      </c>
    </row>
    <row r="14" spans="1:25" x14ac:dyDescent="0.2">
      <c r="A14" s="50">
        <f t="shared" si="0"/>
        <v>45670</v>
      </c>
      <c r="B14" s="51">
        <v>6696.81</v>
      </c>
      <c r="C14" s="52">
        <v>4497.68</v>
      </c>
      <c r="D14" s="52">
        <v>3503.57</v>
      </c>
      <c r="E14" s="52">
        <v>787.04</v>
      </c>
      <c r="F14" s="52">
        <v>4688.25</v>
      </c>
      <c r="G14" s="52">
        <v>6755.81</v>
      </c>
      <c r="H14" s="52">
        <v>0</v>
      </c>
      <c r="I14" s="52">
        <v>0</v>
      </c>
      <c r="J14" s="52">
        <v>3495.11</v>
      </c>
      <c r="K14" s="53">
        <v>23434.050000000003</v>
      </c>
      <c r="L14" s="49">
        <v>70</v>
      </c>
      <c r="M14" s="44">
        <v>17.5</v>
      </c>
      <c r="N14" s="44">
        <v>20.090000000000003</v>
      </c>
      <c r="O14" s="44">
        <v>114676.5</v>
      </c>
      <c r="P14" s="44">
        <v>12996.5</v>
      </c>
      <c r="Q14" s="44">
        <v>0</v>
      </c>
      <c r="R14" s="44">
        <v>23986.67</v>
      </c>
      <c r="S14" s="44">
        <v>5.41</v>
      </c>
      <c r="T14" s="44">
        <v>278</v>
      </c>
      <c r="U14" s="44">
        <v>97</v>
      </c>
      <c r="V14" s="44">
        <v>325</v>
      </c>
      <c r="W14" s="44">
        <v>14404</v>
      </c>
      <c r="X14" s="44">
        <v>12955</v>
      </c>
      <c r="Y14" s="44">
        <v>1449</v>
      </c>
    </row>
    <row r="15" spans="1:25" x14ac:dyDescent="0.2">
      <c r="A15" s="50">
        <f t="shared" si="0"/>
        <v>45671</v>
      </c>
      <c r="B15" s="51">
        <v>6873.25</v>
      </c>
      <c r="C15" s="52">
        <v>4353.83</v>
      </c>
      <c r="D15" s="52">
        <v>3476.05</v>
      </c>
      <c r="E15" s="52">
        <v>1675.33</v>
      </c>
      <c r="F15" s="52">
        <v>4924.1000000000004</v>
      </c>
      <c r="G15" s="52">
        <v>6363.51</v>
      </c>
      <c r="H15" s="52">
        <v>0</v>
      </c>
      <c r="I15" s="52">
        <v>0</v>
      </c>
      <c r="J15" s="52">
        <v>3483.31</v>
      </c>
      <c r="K15" s="53">
        <v>24182.76</v>
      </c>
      <c r="L15" s="49">
        <v>55</v>
      </c>
      <c r="M15" s="44">
        <v>17.299999999999955</v>
      </c>
      <c r="N15" s="44">
        <v>20.290000000000006</v>
      </c>
      <c r="O15" s="44">
        <v>110854</v>
      </c>
      <c r="P15" s="44">
        <v>10986.7</v>
      </c>
      <c r="Q15" s="44">
        <v>0</v>
      </c>
      <c r="R15" s="44">
        <v>29221.66</v>
      </c>
      <c r="S15" s="44">
        <v>6.01</v>
      </c>
      <c r="T15" s="44">
        <v>242</v>
      </c>
      <c r="U15" s="44">
        <v>92.3</v>
      </c>
      <c r="V15" s="44">
        <v>313</v>
      </c>
      <c r="W15" s="44">
        <v>14059</v>
      </c>
      <c r="X15" s="44">
        <v>12735</v>
      </c>
      <c r="Y15" s="44">
        <v>1324</v>
      </c>
    </row>
    <row r="16" spans="1:25" x14ac:dyDescent="0.2">
      <c r="A16" s="50">
        <f t="shared" si="0"/>
        <v>45672</v>
      </c>
      <c r="B16" s="51">
        <v>6685.7</v>
      </c>
      <c r="C16" s="52">
        <v>4368</v>
      </c>
      <c r="D16" s="52">
        <v>3778.7</v>
      </c>
      <c r="E16" s="52">
        <v>2541.6999999999998</v>
      </c>
      <c r="F16" s="52">
        <v>4146.8</v>
      </c>
      <c r="G16" s="52">
        <v>6035.62</v>
      </c>
      <c r="H16" s="52">
        <v>0</v>
      </c>
      <c r="I16" s="52">
        <v>0</v>
      </c>
      <c r="J16" s="52">
        <v>3674.2000000000003</v>
      </c>
      <c r="K16" s="53">
        <v>23882.32</v>
      </c>
      <c r="L16" s="49">
        <v>57</v>
      </c>
      <c r="M16" s="44">
        <v>17.400000000000091</v>
      </c>
      <c r="N16" s="44">
        <v>19.060000000000002</v>
      </c>
      <c r="O16" s="44">
        <v>115172</v>
      </c>
      <c r="P16" s="44">
        <v>11896.5</v>
      </c>
      <c r="Q16" s="44">
        <v>0</v>
      </c>
      <c r="R16" s="44">
        <v>31684.720000000001</v>
      </c>
      <c r="S16" s="44">
        <v>5.61</v>
      </c>
      <c r="T16" s="44">
        <v>257</v>
      </c>
      <c r="U16" s="44">
        <v>91.2</v>
      </c>
      <c r="V16" s="44">
        <v>304</v>
      </c>
      <c r="W16" s="44">
        <v>13324</v>
      </c>
      <c r="X16" s="44">
        <v>11990</v>
      </c>
      <c r="Y16" s="44">
        <v>1334</v>
      </c>
    </row>
    <row r="17" spans="1:25" x14ac:dyDescent="0.2">
      <c r="A17" s="50">
        <f t="shared" si="0"/>
        <v>45673</v>
      </c>
      <c r="B17" s="51">
        <v>6469.21</v>
      </c>
      <c r="C17" s="52">
        <v>4363.96</v>
      </c>
      <c r="D17" s="52">
        <v>3474.06</v>
      </c>
      <c r="E17" s="52">
        <v>2617.23</v>
      </c>
      <c r="F17" s="52">
        <v>3719.73</v>
      </c>
      <c r="G17" s="52">
        <v>6257.48</v>
      </c>
      <c r="H17" s="52">
        <v>0</v>
      </c>
      <c r="I17" s="52">
        <v>0</v>
      </c>
      <c r="J17" s="52">
        <v>3561.24</v>
      </c>
      <c r="K17" s="53">
        <v>23340.43</v>
      </c>
      <c r="L17" s="49">
        <v>64</v>
      </c>
      <c r="M17" s="44">
        <v>15.299999999999955</v>
      </c>
      <c r="N17" s="44">
        <v>18.11999999999999</v>
      </c>
      <c r="O17" s="44">
        <v>105577.93</v>
      </c>
      <c r="P17" s="44">
        <v>10745.33</v>
      </c>
      <c r="Q17" s="44">
        <v>0</v>
      </c>
      <c r="R17" s="44">
        <v>23697.84</v>
      </c>
      <c r="S17" s="44">
        <v>6.24</v>
      </c>
      <c r="T17" s="44">
        <v>256.48</v>
      </c>
      <c r="U17" s="44">
        <v>94.1</v>
      </c>
      <c r="V17" s="44">
        <v>309</v>
      </c>
      <c r="W17" s="44">
        <v>12900</v>
      </c>
      <c r="X17" s="44">
        <v>11614</v>
      </c>
      <c r="Y17" s="44">
        <v>1286</v>
      </c>
    </row>
    <row r="18" spans="1:25" x14ac:dyDescent="0.2">
      <c r="A18" s="50">
        <f t="shared" si="0"/>
        <v>45674</v>
      </c>
      <c r="B18" s="51">
        <v>7095.26</v>
      </c>
      <c r="C18" s="52">
        <v>4345.42</v>
      </c>
      <c r="D18" s="52">
        <v>3975.98</v>
      </c>
      <c r="E18" s="52">
        <v>2395.36</v>
      </c>
      <c r="F18" s="52">
        <v>3709.97</v>
      </c>
      <c r="G18" s="52">
        <v>5320.92</v>
      </c>
      <c r="H18" s="52">
        <v>0</v>
      </c>
      <c r="I18" s="52">
        <v>0</v>
      </c>
      <c r="J18" s="52">
        <v>3541.2700000000004</v>
      </c>
      <c r="K18" s="53">
        <v>23301.640000000003</v>
      </c>
      <c r="L18" s="49">
        <v>50</v>
      </c>
      <c r="M18" s="44">
        <v>17.899999999999864</v>
      </c>
      <c r="N18" s="44">
        <v>20.839999999999989</v>
      </c>
      <c r="O18" s="44">
        <v>106297</v>
      </c>
      <c r="P18" s="44">
        <v>13354.96</v>
      </c>
      <c r="Q18" s="44">
        <v>0</v>
      </c>
      <c r="R18" s="44">
        <v>32228.58</v>
      </c>
      <c r="S18" s="44">
        <v>5.53</v>
      </c>
      <c r="T18" s="44">
        <v>259.37</v>
      </c>
      <c r="U18" s="44">
        <v>94.9</v>
      </c>
      <c r="V18" s="44">
        <v>320</v>
      </c>
      <c r="W18" s="44">
        <v>15235</v>
      </c>
      <c r="X18" s="44">
        <v>13841</v>
      </c>
      <c r="Y18" s="44">
        <v>1394</v>
      </c>
    </row>
    <row r="19" spans="1:25" x14ac:dyDescent="0.2">
      <c r="A19" s="50">
        <f t="shared" si="0"/>
        <v>45675</v>
      </c>
      <c r="B19" s="51">
        <v>7243.49</v>
      </c>
      <c r="C19" s="52">
        <v>4217.7</v>
      </c>
      <c r="D19" s="52">
        <v>3266.27</v>
      </c>
      <c r="E19" s="52">
        <v>2806.44</v>
      </c>
      <c r="F19" s="52">
        <v>4024.64</v>
      </c>
      <c r="G19" s="52">
        <v>3765.59</v>
      </c>
      <c r="H19" s="52">
        <v>0</v>
      </c>
      <c r="I19" s="52">
        <v>0</v>
      </c>
      <c r="J19" s="52">
        <v>2841.5899999999997</v>
      </c>
      <c r="K19" s="53">
        <v>22482.539999999997</v>
      </c>
      <c r="L19" s="49">
        <v>38</v>
      </c>
      <c r="M19" s="44">
        <v>17.400000000000091</v>
      </c>
      <c r="N19" s="44">
        <v>21.650000000000006</v>
      </c>
      <c r="O19" s="44">
        <v>95345</v>
      </c>
      <c r="P19" s="44">
        <v>10879.69</v>
      </c>
      <c r="Q19" s="44">
        <v>0</v>
      </c>
      <c r="R19" s="44">
        <v>28074.45</v>
      </c>
      <c r="S19" s="44">
        <v>6.04</v>
      </c>
      <c r="T19" s="44">
        <v>254</v>
      </c>
      <c r="U19" s="44">
        <v>91.9</v>
      </c>
      <c r="V19" s="44">
        <v>307</v>
      </c>
      <c r="W19" s="44">
        <v>13548</v>
      </c>
      <c r="X19" s="44">
        <v>12194</v>
      </c>
      <c r="Y19" s="44">
        <v>1354</v>
      </c>
    </row>
    <row r="20" spans="1:25" x14ac:dyDescent="0.2">
      <c r="A20" s="50">
        <f t="shared" si="0"/>
        <v>45676</v>
      </c>
      <c r="B20" s="51">
        <v>6523.5</v>
      </c>
      <c r="C20" s="52">
        <v>4359.6000000000004</v>
      </c>
      <c r="D20" s="52">
        <v>3559.7</v>
      </c>
      <c r="E20" s="52">
        <v>1671</v>
      </c>
      <c r="F20" s="52">
        <v>3421.98</v>
      </c>
      <c r="G20" s="52">
        <v>3621.3</v>
      </c>
      <c r="H20" s="52">
        <v>0</v>
      </c>
      <c r="I20" s="52">
        <v>0</v>
      </c>
      <c r="J20" s="52">
        <v>2578.4399999999996</v>
      </c>
      <c r="K20" s="53">
        <v>20578.64</v>
      </c>
      <c r="L20" s="49">
        <v>37</v>
      </c>
      <c r="M20" s="44">
        <v>15.799999999999955</v>
      </c>
      <c r="N20" s="44">
        <v>19.100000000000009</v>
      </c>
      <c r="O20" s="44">
        <v>81512</v>
      </c>
      <c r="P20" s="44">
        <v>12000.51</v>
      </c>
      <c r="Q20" s="44">
        <v>0</v>
      </c>
      <c r="R20" s="44">
        <v>19912.740000000002</v>
      </c>
      <c r="S20" s="44">
        <v>5.64</v>
      </c>
      <c r="T20" s="44">
        <v>241</v>
      </c>
      <c r="U20" s="44">
        <v>87.8</v>
      </c>
      <c r="V20" s="44">
        <v>291</v>
      </c>
      <c r="W20" s="44">
        <v>12148</v>
      </c>
      <c r="X20" s="44">
        <v>10984</v>
      </c>
      <c r="Y20" s="44">
        <v>1164</v>
      </c>
    </row>
    <row r="21" spans="1:25" x14ac:dyDescent="0.2">
      <c r="A21" s="50">
        <f t="shared" si="0"/>
        <v>45677</v>
      </c>
      <c r="B21" s="51">
        <v>6917.28</v>
      </c>
      <c r="C21" s="52">
        <v>4403.83</v>
      </c>
      <c r="D21" s="52">
        <v>3797.35</v>
      </c>
      <c r="E21" s="52">
        <v>2612.52</v>
      </c>
      <c r="F21" s="52">
        <v>3971.92</v>
      </c>
      <c r="G21" s="52">
        <v>5979.19</v>
      </c>
      <c r="H21" s="52">
        <v>0</v>
      </c>
      <c r="I21" s="52">
        <v>0</v>
      </c>
      <c r="J21" s="52">
        <v>3381.77</v>
      </c>
      <c r="K21" s="53">
        <v>24300.32</v>
      </c>
      <c r="L21" s="49">
        <v>65</v>
      </c>
      <c r="M21" s="44">
        <v>15.799999999999955</v>
      </c>
      <c r="N21" s="44">
        <v>18.420000000000002</v>
      </c>
      <c r="O21" s="44">
        <v>111093.86</v>
      </c>
      <c r="P21" s="44">
        <v>11715.08</v>
      </c>
      <c r="Q21" s="44">
        <v>0</v>
      </c>
      <c r="R21" s="44">
        <v>31176.39</v>
      </c>
      <c r="S21" s="44">
        <v>5.66</v>
      </c>
      <c r="T21" s="44">
        <v>243.84</v>
      </c>
      <c r="U21" s="44">
        <v>87.9</v>
      </c>
      <c r="V21" s="44">
        <v>291</v>
      </c>
      <c r="W21" s="44">
        <v>12185</v>
      </c>
      <c r="X21" s="44">
        <v>11062</v>
      </c>
      <c r="Y21" s="44">
        <v>1123</v>
      </c>
    </row>
    <row r="22" spans="1:25" x14ac:dyDescent="0.2">
      <c r="A22" s="50">
        <f t="shared" si="0"/>
        <v>45678</v>
      </c>
      <c r="B22" s="51">
        <v>7752.27</v>
      </c>
      <c r="C22" s="52">
        <v>4680.22</v>
      </c>
      <c r="D22" s="52">
        <v>4051.42</v>
      </c>
      <c r="E22" s="52">
        <v>3202.95</v>
      </c>
      <c r="F22" s="52">
        <v>4310.6499999999996</v>
      </c>
      <c r="G22" s="52">
        <v>6582.57</v>
      </c>
      <c r="H22" s="52">
        <v>0</v>
      </c>
      <c r="I22" s="52">
        <v>0</v>
      </c>
      <c r="J22" s="52">
        <v>3702</v>
      </c>
      <c r="K22" s="53">
        <v>26878.080000000002</v>
      </c>
      <c r="L22" s="49">
        <v>56</v>
      </c>
      <c r="M22" s="44">
        <v>18.799999999999955</v>
      </c>
      <c r="N22" s="44">
        <v>22</v>
      </c>
      <c r="O22" s="44">
        <v>128388</v>
      </c>
      <c r="P22" s="44">
        <v>12273.44</v>
      </c>
      <c r="Q22" s="44">
        <v>0</v>
      </c>
      <c r="R22" s="44">
        <v>36241.51</v>
      </c>
      <c r="S22" s="44">
        <v>5.65</v>
      </c>
      <c r="T22" s="44">
        <v>260.8</v>
      </c>
      <c r="U22" s="44">
        <v>95</v>
      </c>
      <c r="V22" s="44">
        <v>324</v>
      </c>
      <c r="W22" s="44">
        <v>13820</v>
      </c>
      <c r="X22" s="44">
        <v>12475</v>
      </c>
      <c r="Y22" s="44">
        <v>1345</v>
      </c>
    </row>
    <row r="23" spans="1:25" x14ac:dyDescent="0.2">
      <c r="A23" s="50">
        <f t="shared" si="0"/>
        <v>45679</v>
      </c>
      <c r="B23" s="51">
        <v>8162.96</v>
      </c>
      <c r="C23" s="52">
        <v>5102.79</v>
      </c>
      <c r="D23" s="52">
        <v>4504.7299999999996</v>
      </c>
      <c r="E23" s="52">
        <v>3525.52</v>
      </c>
      <c r="F23" s="52">
        <v>3861.1</v>
      </c>
      <c r="G23" s="52">
        <v>7056.88</v>
      </c>
      <c r="H23" s="52">
        <v>0</v>
      </c>
      <c r="I23" s="52">
        <v>0</v>
      </c>
      <c r="J23" s="52">
        <v>3762.4900000000002</v>
      </c>
      <c r="K23" s="53">
        <v>28451.489999999998</v>
      </c>
      <c r="L23" s="49">
        <v>52</v>
      </c>
      <c r="M23" s="44">
        <v>21</v>
      </c>
      <c r="N23" s="44">
        <v>26.13000000000001</v>
      </c>
      <c r="O23" s="44">
        <v>133051</v>
      </c>
      <c r="P23" s="44">
        <v>3137.33</v>
      </c>
      <c r="Q23" s="44">
        <v>0</v>
      </c>
      <c r="R23" s="44">
        <v>35260.769999999997</v>
      </c>
      <c r="S23" s="44">
        <v>6.09</v>
      </c>
      <c r="T23" s="44">
        <v>289.803</v>
      </c>
      <c r="U23" s="44">
        <v>102.5</v>
      </c>
      <c r="V23" s="44">
        <v>356</v>
      </c>
      <c r="W23" s="44">
        <v>16640</v>
      </c>
      <c r="X23" s="44">
        <v>15173</v>
      </c>
      <c r="Y23" s="44">
        <v>1467</v>
      </c>
    </row>
    <row r="24" spans="1:25" x14ac:dyDescent="0.2">
      <c r="A24" s="50">
        <f t="shared" si="0"/>
        <v>45680</v>
      </c>
      <c r="B24" s="51">
        <v>8298.2999999999993</v>
      </c>
      <c r="C24" s="52">
        <v>5267.7</v>
      </c>
      <c r="D24" s="52">
        <v>4594.8</v>
      </c>
      <c r="E24" s="52">
        <v>3401.2</v>
      </c>
      <c r="F24" s="52">
        <v>3238.1</v>
      </c>
      <c r="G24" s="52">
        <v>6211.4</v>
      </c>
      <c r="H24" s="52">
        <v>0</v>
      </c>
      <c r="I24" s="52">
        <v>0</v>
      </c>
      <c r="J24" s="52">
        <v>3820.6</v>
      </c>
      <c r="K24" s="53">
        <v>27190.9</v>
      </c>
      <c r="L24" s="49">
        <v>57</v>
      </c>
      <c r="M24" s="44">
        <v>20.700000000000045</v>
      </c>
      <c r="N24" s="44">
        <v>25.099999999999994</v>
      </c>
      <c r="O24" s="44">
        <v>94350</v>
      </c>
      <c r="P24" s="44">
        <v>11780.8</v>
      </c>
      <c r="Q24" s="44">
        <v>0</v>
      </c>
      <c r="R24" s="44">
        <v>30015.01</v>
      </c>
      <c r="S24" s="44">
        <v>6.54</v>
      </c>
      <c r="T24" s="44">
        <v>275.803</v>
      </c>
      <c r="U24" s="44">
        <v>104.9</v>
      </c>
      <c r="V24" s="44">
        <v>351</v>
      </c>
      <c r="W24" s="44">
        <v>15643</v>
      </c>
      <c r="X24" s="44">
        <v>14163</v>
      </c>
      <c r="Y24" s="44">
        <v>1480</v>
      </c>
    </row>
    <row r="25" spans="1:25" x14ac:dyDescent="0.2">
      <c r="A25" s="50">
        <f t="shared" si="0"/>
        <v>45681</v>
      </c>
      <c r="B25" s="51">
        <v>7224.12</v>
      </c>
      <c r="C25" s="52">
        <v>4828.53</v>
      </c>
      <c r="D25" s="52">
        <v>4219.22</v>
      </c>
      <c r="E25" s="52">
        <v>2381.27</v>
      </c>
      <c r="F25" s="52">
        <v>3340.22</v>
      </c>
      <c r="G25" s="52">
        <v>5598.35</v>
      </c>
      <c r="H25" s="52">
        <v>0</v>
      </c>
      <c r="I25" s="52">
        <v>0</v>
      </c>
      <c r="J25" s="52">
        <v>3795.17</v>
      </c>
      <c r="K25" s="53">
        <v>23796.54</v>
      </c>
      <c r="L25" s="49">
        <v>63</v>
      </c>
      <c r="M25" s="44">
        <v>20.700000000000045</v>
      </c>
      <c r="N25" s="44">
        <v>24.049999999999997</v>
      </c>
      <c r="O25" s="44">
        <v>118724.51</v>
      </c>
      <c r="P25" s="44">
        <v>10741.39</v>
      </c>
      <c r="Q25" s="44">
        <v>0</v>
      </c>
      <c r="R25" s="44">
        <v>27510.79</v>
      </c>
      <c r="S25" s="44">
        <v>5.56</v>
      </c>
      <c r="T25" s="44">
        <v>289.93</v>
      </c>
      <c r="U25" s="44">
        <v>103.7</v>
      </c>
      <c r="V25" s="44">
        <v>349</v>
      </c>
      <c r="W25" s="44">
        <v>16297</v>
      </c>
      <c r="X25" s="44">
        <v>14705</v>
      </c>
      <c r="Y25" s="44">
        <v>1592</v>
      </c>
    </row>
    <row r="26" spans="1:25" x14ac:dyDescent="0.2">
      <c r="A26" s="50">
        <f t="shared" si="0"/>
        <v>45682</v>
      </c>
      <c r="B26" s="51">
        <v>7057.58</v>
      </c>
      <c r="C26" s="52">
        <v>4117.5600000000004</v>
      </c>
      <c r="D26" s="52">
        <v>3927.05</v>
      </c>
      <c r="E26" s="52">
        <v>2686.23</v>
      </c>
      <c r="F26" s="52">
        <v>3951.57</v>
      </c>
      <c r="G26" s="52">
        <v>4060.43</v>
      </c>
      <c r="H26" s="52">
        <v>0</v>
      </c>
      <c r="I26" s="52">
        <v>0</v>
      </c>
      <c r="J26" s="52">
        <v>3144.5</v>
      </c>
      <c r="K26" s="53">
        <v>22655.919999999998</v>
      </c>
      <c r="L26" s="49">
        <v>40</v>
      </c>
      <c r="M26" s="44">
        <v>19.700000000000045</v>
      </c>
      <c r="N26" s="44">
        <v>24.010000000000005</v>
      </c>
      <c r="O26" s="44">
        <v>102875</v>
      </c>
      <c r="P26" s="44">
        <v>10518.12</v>
      </c>
      <c r="Q26" s="44">
        <v>0</v>
      </c>
      <c r="R26" s="44">
        <v>35438.660000000003</v>
      </c>
      <c r="S26" s="44">
        <v>5.38</v>
      </c>
      <c r="T26" s="44">
        <v>262.81</v>
      </c>
      <c r="U26" s="44">
        <v>95.6</v>
      </c>
      <c r="V26" s="44">
        <v>311</v>
      </c>
      <c r="W26" s="44">
        <v>14131</v>
      </c>
      <c r="X26" s="44">
        <v>12769</v>
      </c>
      <c r="Y26" s="44">
        <v>1362</v>
      </c>
    </row>
    <row r="27" spans="1:25" x14ac:dyDescent="0.2">
      <c r="A27" s="50">
        <f t="shared" si="0"/>
        <v>45683</v>
      </c>
      <c r="B27" s="51">
        <v>4642.41</v>
      </c>
      <c r="C27" s="52">
        <v>3476.32</v>
      </c>
      <c r="D27" s="52">
        <v>3374.39</v>
      </c>
      <c r="E27" s="52">
        <v>1951.21</v>
      </c>
      <c r="F27" s="52">
        <v>1831.84</v>
      </c>
      <c r="G27" s="52">
        <v>1733.12</v>
      </c>
      <c r="H27" s="52">
        <v>0</v>
      </c>
      <c r="I27" s="52">
        <v>0</v>
      </c>
      <c r="J27" s="52">
        <v>1460</v>
      </c>
      <c r="K27" s="53">
        <v>15549.289999999997</v>
      </c>
      <c r="L27" s="49">
        <v>38</v>
      </c>
      <c r="M27" s="44">
        <v>15.900000000000091</v>
      </c>
      <c r="N27" s="44">
        <v>19.879999999999995</v>
      </c>
      <c r="O27" s="44">
        <v>53224</v>
      </c>
      <c r="P27" s="44">
        <v>7891.63</v>
      </c>
      <c r="Q27" s="44">
        <v>0</v>
      </c>
      <c r="R27" s="44">
        <v>25503</v>
      </c>
      <c r="S27" s="44">
        <v>4.8099999999999996</v>
      </c>
      <c r="T27" s="44">
        <v>208</v>
      </c>
      <c r="U27" s="44">
        <v>74.300000000000011</v>
      </c>
      <c r="V27" s="44">
        <v>263</v>
      </c>
      <c r="W27" s="44">
        <v>11693</v>
      </c>
      <c r="X27" s="44">
        <v>10657</v>
      </c>
      <c r="Y27" s="44">
        <v>1036</v>
      </c>
    </row>
    <row r="28" spans="1:25" x14ac:dyDescent="0.2">
      <c r="A28" s="50">
        <f t="shared" si="0"/>
        <v>45684</v>
      </c>
      <c r="B28" s="51">
        <v>6808.1</v>
      </c>
      <c r="C28" s="52">
        <v>4762.1000000000004</v>
      </c>
      <c r="D28" s="52">
        <v>4147.8999999999996</v>
      </c>
      <c r="E28" s="52">
        <v>2641.2</v>
      </c>
      <c r="F28" s="52">
        <v>3843.9</v>
      </c>
      <c r="G28" s="52">
        <v>5998.2</v>
      </c>
      <c r="H28" s="52">
        <v>0</v>
      </c>
      <c r="I28" s="52">
        <v>0</v>
      </c>
      <c r="J28" s="52">
        <v>3551.86</v>
      </c>
      <c r="K28" s="53">
        <v>24649.54</v>
      </c>
      <c r="L28" s="49">
        <v>58</v>
      </c>
      <c r="M28" s="44">
        <v>16.799999999999955</v>
      </c>
      <c r="N28" s="44">
        <v>19.199999999999989</v>
      </c>
      <c r="O28" s="44">
        <v>123872</v>
      </c>
      <c r="P28" s="44">
        <v>13562.76</v>
      </c>
      <c r="Q28" s="44">
        <v>0</v>
      </c>
      <c r="R28" s="44">
        <v>34715.589999999997</v>
      </c>
      <c r="S28" s="44">
        <v>5.66</v>
      </c>
      <c r="T28" s="44">
        <v>295.77999999999997</v>
      </c>
      <c r="U28" s="44">
        <v>102.6</v>
      </c>
      <c r="V28" s="44">
        <v>337</v>
      </c>
      <c r="W28" s="44">
        <v>15108</v>
      </c>
      <c r="X28" s="44">
        <v>13574</v>
      </c>
      <c r="Y28" s="44">
        <v>1534</v>
      </c>
    </row>
    <row r="29" spans="1:25" x14ac:dyDescent="0.2">
      <c r="A29" s="50">
        <f t="shared" si="0"/>
        <v>45685</v>
      </c>
      <c r="B29" s="51">
        <v>6875.63</v>
      </c>
      <c r="C29" s="52">
        <v>4695.5</v>
      </c>
      <c r="D29" s="52">
        <v>3890.4</v>
      </c>
      <c r="E29" s="52">
        <v>2673.17</v>
      </c>
      <c r="F29" s="52">
        <v>4049.94</v>
      </c>
      <c r="G29" s="52">
        <v>5818.98</v>
      </c>
      <c r="H29" s="52">
        <v>0</v>
      </c>
      <c r="I29" s="52">
        <v>0</v>
      </c>
      <c r="J29" s="52">
        <v>3504.9900000000002</v>
      </c>
      <c r="K29" s="53">
        <v>24498.629999999997</v>
      </c>
      <c r="L29" s="49">
        <v>57</v>
      </c>
      <c r="M29" s="44">
        <v>14.899999999999864</v>
      </c>
      <c r="N29" s="44">
        <v>17.039999999999992</v>
      </c>
      <c r="O29" s="44">
        <v>106322.73</v>
      </c>
      <c r="P29" s="44">
        <v>11668.85</v>
      </c>
      <c r="Q29" s="44">
        <v>0</v>
      </c>
      <c r="R29" s="44">
        <v>25821</v>
      </c>
      <c r="S29" s="44">
        <v>6.05</v>
      </c>
      <c r="T29" s="44">
        <v>281</v>
      </c>
      <c r="U29" s="44">
        <v>102.19999999999999</v>
      </c>
      <c r="V29" s="44">
        <v>337</v>
      </c>
      <c r="W29" s="44">
        <v>14322</v>
      </c>
      <c r="X29" s="44">
        <v>12889</v>
      </c>
      <c r="Y29" s="44">
        <v>1433</v>
      </c>
    </row>
    <row r="30" spans="1:25" x14ac:dyDescent="0.2">
      <c r="A30" s="50">
        <f t="shared" si="0"/>
        <v>45686</v>
      </c>
      <c r="B30" s="51">
        <v>6966.85</v>
      </c>
      <c r="C30" s="52">
        <v>4652.5600000000004</v>
      </c>
      <c r="D30" s="52">
        <v>3883.68</v>
      </c>
      <c r="E30" s="52">
        <v>2357.48</v>
      </c>
      <c r="F30" s="52">
        <v>3976.39</v>
      </c>
      <c r="G30" s="52">
        <v>5793.84</v>
      </c>
      <c r="H30" s="52">
        <v>0</v>
      </c>
      <c r="I30" s="52">
        <v>0</v>
      </c>
      <c r="J30" s="52">
        <v>3748.84</v>
      </c>
      <c r="K30" s="53">
        <v>23881.96</v>
      </c>
      <c r="L30" s="49">
        <v>52</v>
      </c>
      <c r="M30" s="44">
        <v>15</v>
      </c>
      <c r="N30" s="44">
        <v>15.959999999999994</v>
      </c>
      <c r="O30" s="44">
        <v>119377</v>
      </c>
      <c r="P30" s="44">
        <v>13018.33</v>
      </c>
      <c r="Q30" s="44">
        <v>0</v>
      </c>
      <c r="R30" s="44">
        <v>20078.560000000001</v>
      </c>
      <c r="S30" s="44">
        <v>5.45</v>
      </c>
      <c r="T30" s="44">
        <v>286</v>
      </c>
      <c r="U30" s="44">
        <v>100.4</v>
      </c>
      <c r="V30" s="44">
        <v>330</v>
      </c>
      <c r="W30" s="44">
        <v>13891</v>
      </c>
      <c r="X30" s="44">
        <v>12562</v>
      </c>
      <c r="Y30" s="44">
        <v>1329</v>
      </c>
    </row>
    <row r="31" spans="1:25" x14ac:dyDescent="0.2">
      <c r="A31" s="50">
        <f>A30+1</f>
        <v>45687</v>
      </c>
      <c r="B31" s="51">
        <v>7071.06</v>
      </c>
      <c r="C31" s="52">
        <v>4626.5600000000004</v>
      </c>
      <c r="D31" s="52">
        <v>3958.35</v>
      </c>
      <c r="E31" s="52">
        <v>2588.1799999999998</v>
      </c>
      <c r="F31" s="52">
        <v>4124.87</v>
      </c>
      <c r="G31" s="52">
        <v>6258.97</v>
      </c>
      <c r="H31" s="52">
        <v>5.83</v>
      </c>
      <c r="I31" s="52">
        <v>0</v>
      </c>
      <c r="J31" s="52">
        <v>3625.26</v>
      </c>
      <c r="K31" s="53">
        <v>25008.560000000005</v>
      </c>
      <c r="L31" s="49">
        <v>63</v>
      </c>
      <c r="M31" s="44">
        <v>15.600000000000136</v>
      </c>
      <c r="N31" s="44">
        <v>17.459999999999994</v>
      </c>
      <c r="O31" s="44">
        <v>106092</v>
      </c>
      <c r="P31" s="44">
        <v>11350.73</v>
      </c>
      <c r="Q31" s="44">
        <v>0</v>
      </c>
      <c r="R31" s="44">
        <v>24710.49</v>
      </c>
      <c r="S31" s="44">
        <v>5.8</v>
      </c>
      <c r="T31" s="44">
        <v>242</v>
      </c>
      <c r="U31" s="44">
        <v>93.5</v>
      </c>
      <c r="V31" s="44">
        <v>308</v>
      </c>
      <c r="W31" s="44">
        <v>12639</v>
      </c>
      <c r="X31" s="44">
        <v>11370</v>
      </c>
      <c r="Y31" s="44">
        <v>1269</v>
      </c>
    </row>
    <row r="32" spans="1:25" x14ac:dyDescent="0.2">
      <c r="A32" s="50">
        <f t="shared" ref="A32:A95" si="1">A31+1</f>
        <v>45688</v>
      </c>
      <c r="B32" s="51">
        <v>7080.4</v>
      </c>
      <c r="C32" s="52">
        <v>4868.8</v>
      </c>
      <c r="D32" s="52">
        <v>4292.5</v>
      </c>
      <c r="E32" s="52">
        <v>3035.7</v>
      </c>
      <c r="F32" s="52">
        <v>3999.1</v>
      </c>
      <c r="G32" s="52">
        <v>5422.1</v>
      </c>
      <c r="H32" s="52">
        <v>9.85</v>
      </c>
      <c r="I32" s="52">
        <v>0</v>
      </c>
      <c r="J32" s="52">
        <v>3588.02</v>
      </c>
      <c r="K32" s="53">
        <v>25120.429999999997</v>
      </c>
      <c r="L32" s="49">
        <v>61</v>
      </c>
      <c r="M32" s="44">
        <v>16.300000000000182</v>
      </c>
      <c r="N32" s="44">
        <v>15.910000000000011</v>
      </c>
      <c r="O32" s="44">
        <v>124152</v>
      </c>
      <c r="P32" s="44">
        <v>10235.74</v>
      </c>
      <c r="Q32" s="44">
        <v>0</v>
      </c>
      <c r="R32" s="44">
        <v>30904.240000000002</v>
      </c>
      <c r="S32" s="44">
        <v>6.04</v>
      </c>
      <c r="T32" s="44">
        <v>263</v>
      </c>
      <c r="U32" s="44">
        <v>93.699999999999989</v>
      </c>
      <c r="V32" s="44">
        <v>309</v>
      </c>
      <c r="W32" s="44">
        <v>12983</v>
      </c>
      <c r="X32" s="44">
        <v>11610</v>
      </c>
      <c r="Y32" s="44">
        <v>1373</v>
      </c>
    </row>
    <row r="33" spans="1:25" x14ac:dyDescent="0.2">
      <c r="A33" s="50">
        <f t="shared" si="1"/>
        <v>45689</v>
      </c>
      <c r="B33" s="51">
        <v>5896.97</v>
      </c>
      <c r="C33" s="52">
        <v>4011.64</v>
      </c>
      <c r="D33" s="52">
        <v>3433.2</v>
      </c>
      <c r="E33" s="52">
        <v>1886.78</v>
      </c>
      <c r="F33" s="52">
        <v>3470</v>
      </c>
      <c r="G33" s="52">
        <v>3284.44</v>
      </c>
      <c r="H33" s="52">
        <v>10.1</v>
      </c>
      <c r="I33" s="52">
        <v>0</v>
      </c>
      <c r="J33" s="52">
        <v>2777.3799999999997</v>
      </c>
      <c r="K33" s="53">
        <v>19215.75</v>
      </c>
      <c r="L33" s="49">
        <v>37.899999999999636</v>
      </c>
      <c r="M33" s="44">
        <v>13</v>
      </c>
      <c r="N33" s="44">
        <v>14.509999999999991</v>
      </c>
      <c r="O33" s="44">
        <v>54893.760000000002</v>
      </c>
      <c r="P33" s="44">
        <v>9215.86</v>
      </c>
      <c r="Q33" s="44">
        <v>0</v>
      </c>
      <c r="R33" s="44">
        <v>9538.68</v>
      </c>
      <c r="S33" s="44">
        <v>4.6900000000000004</v>
      </c>
      <c r="T33" s="44">
        <v>201</v>
      </c>
      <c r="U33" s="44">
        <v>74.199999999999989</v>
      </c>
      <c r="V33" s="44">
        <v>246</v>
      </c>
      <c r="W33" s="44">
        <v>10346</v>
      </c>
      <c r="X33" s="44">
        <v>9330</v>
      </c>
      <c r="Y33" s="44">
        <v>1016</v>
      </c>
    </row>
    <row r="34" spans="1:25" x14ac:dyDescent="0.2">
      <c r="A34" s="50">
        <f t="shared" si="1"/>
        <v>45690</v>
      </c>
      <c r="B34" s="51">
        <v>1940.14</v>
      </c>
      <c r="C34" s="52">
        <v>2004.15</v>
      </c>
      <c r="D34" s="52">
        <v>1919.43</v>
      </c>
      <c r="E34" s="52">
        <v>255.81</v>
      </c>
      <c r="F34" s="52">
        <v>2018.5</v>
      </c>
      <c r="G34" s="52">
        <v>3639.74</v>
      </c>
      <c r="H34" s="52">
        <v>12.21</v>
      </c>
      <c r="I34" s="52">
        <v>0</v>
      </c>
      <c r="J34" s="52">
        <v>2795.85</v>
      </c>
      <c r="K34" s="53">
        <v>8994.1299999999992</v>
      </c>
      <c r="L34" s="49">
        <v>8.1000000000003638</v>
      </c>
      <c r="M34" s="44">
        <v>12.600000000000136</v>
      </c>
      <c r="N34" s="44">
        <v>14.620000000000005</v>
      </c>
      <c r="O34" s="44">
        <v>56.64</v>
      </c>
      <c r="P34" s="44">
        <v>724.62</v>
      </c>
      <c r="Q34" s="44">
        <v>0</v>
      </c>
      <c r="R34" s="44">
        <v>23568.17</v>
      </c>
      <c r="S34" s="44">
        <v>3.76</v>
      </c>
      <c r="T34" s="44">
        <v>139</v>
      </c>
      <c r="U34" s="44">
        <v>49.2</v>
      </c>
      <c r="V34" s="44">
        <v>177</v>
      </c>
      <c r="W34" s="44">
        <v>6188</v>
      </c>
      <c r="X34" s="44">
        <v>6051</v>
      </c>
      <c r="Y34" s="44">
        <v>137</v>
      </c>
    </row>
    <row r="35" spans="1:25" x14ac:dyDescent="0.2">
      <c r="A35" s="50">
        <f t="shared" si="1"/>
        <v>45691</v>
      </c>
      <c r="B35" s="51">
        <v>5416.1</v>
      </c>
      <c r="C35" s="52">
        <v>4248.6400000000003</v>
      </c>
      <c r="D35" s="52">
        <v>3135.47</v>
      </c>
      <c r="E35" s="52">
        <v>1579.67</v>
      </c>
      <c r="F35" s="52">
        <v>3622.77</v>
      </c>
      <c r="G35" s="52">
        <v>6523.4</v>
      </c>
      <c r="H35" s="52">
        <v>10.58</v>
      </c>
      <c r="I35" s="52">
        <v>55.2</v>
      </c>
      <c r="J35" s="52">
        <v>3632.5400000000004</v>
      </c>
      <c r="K35" s="53">
        <v>20959.290000000005</v>
      </c>
      <c r="L35" s="49">
        <v>52</v>
      </c>
      <c r="M35" s="44">
        <v>14.400000000000091</v>
      </c>
      <c r="N35" s="44">
        <v>16.569999999999993</v>
      </c>
      <c r="O35" s="44">
        <v>100465</v>
      </c>
      <c r="P35" s="44">
        <v>12576.45</v>
      </c>
      <c r="Q35" s="44">
        <v>0</v>
      </c>
      <c r="R35" s="44">
        <v>28021.71</v>
      </c>
      <c r="S35" s="44">
        <v>6.59</v>
      </c>
      <c r="T35" s="44">
        <v>260</v>
      </c>
      <c r="U35" s="44">
        <v>95.800000000000011</v>
      </c>
      <c r="V35" s="44">
        <v>325</v>
      </c>
      <c r="W35" s="44">
        <v>13737</v>
      </c>
      <c r="X35" s="44">
        <v>12389</v>
      </c>
      <c r="Y35" s="44">
        <v>1348</v>
      </c>
    </row>
    <row r="36" spans="1:25" x14ac:dyDescent="0.2">
      <c r="A36" s="50">
        <f t="shared" si="1"/>
        <v>45692</v>
      </c>
      <c r="B36" s="51">
        <v>6766.1</v>
      </c>
      <c r="C36" s="52">
        <v>4643.3999999999996</v>
      </c>
      <c r="D36" s="52">
        <v>4023.6</v>
      </c>
      <c r="E36" s="52">
        <v>2306.6999999999998</v>
      </c>
      <c r="F36" s="52">
        <v>3590.4</v>
      </c>
      <c r="G36" s="52">
        <v>6463.7</v>
      </c>
      <c r="H36" s="52">
        <v>13.75</v>
      </c>
      <c r="I36" s="52">
        <v>103.66</v>
      </c>
      <c r="J36" s="52">
        <v>3711.7</v>
      </c>
      <c r="K36" s="53">
        <v>24199.61</v>
      </c>
      <c r="L36" s="49">
        <v>58.100000000000364</v>
      </c>
      <c r="M36" s="44">
        <v>15</v>
      </c>
      <c r="N36" s="44">
        <v>17.980000000000004</v>
      </c>
      <c r="O36" s="44">
        <v>117568</v>
      </c>
      <c r="P36" s="44">
        <v>10355.780000000001</v>
      </c>
      <c r="Q36" s="44">
        <v>0</v>
      </c>
      <c r="R36" s="44">
        <v>24428.47</v>
      </c>
      <c r="S36" s="44">
        <v>6.41</v>
      </c>
      <c r="T36" s="44">
        <v>278</v>
      </c>
      <c r="U36" s="44">
        <v>98.300000000000011</v>
      </c>
      <c r="V36" s="44">
        <v>331</v>
      </c>
      <c r="W36" s="44">
        <v>14213</v>
      </c>
      <c r="X36" s="44">
        <v>12729</v>
      </c>
      <c r="Y36" s="44">
        <v>1484</v>
      </c>
    </row>
    <row r="37" spans="1:25" x14ac:dyDescent="0.2">
      <c r="A37" s="50">
        <f t="shared" si="1"/>
        <v>45693</v>
      </c>
      <c r="B37" s="51">
        <v>6387.04</v>
      </c>
      <c r="C37" s="52">
        <v>4536.49</v>
      </c>
      <c r="D37" s="52">
        <v>3888.97</v>
      </c>
      <c r="E37" s="52">
        <v>1995.68</v>
      </c>
      <c r="F37" s="52">
        <v>3368.58</v>
      </c>
      <c r="G37" s="52">
        <v>6672.65</v>
      </c>
      <c r="H37" s="52">
        <v>15.17</v>
      </c>
      <c r="I37" s="52">
        <v>98.02</v>
      </c>
      <c r="J37" s="52">
        <v>3783.7799999999997</v>
      </c>
      <c r="K37" s="53">
        <v>23178.819999999996</v>
      </c>
      <c r="L37" s="49">
        <v>138.89999999999964</v>
      </c>
      <c r="M37" s="44">
        <v>17.400000000000091</v>
      </c>
      <c r="N37" s="44">
        <v>20.410000000000011</v>
      </c>
      <c r="O37" s="44">
        <v>103371</v>
      </c>
      <c r="P37" s="44">
        <v>11438.19</v>
      </c>
      <c r="Q37" s="44">
        <v>0</v>
      </c>
      <c r="R37" s="44">
        <v>24641.87</v>
      </c>
      <c r="S37" s="44">
        <v>5.54</v>
      </c>
      <c r="T37" s="44">
        <v>254</v>
      </c>
      <c r="U37" s="44">
        <v>91</v>
      </c>
      <c r="V37" s="44">
        <v>300</v>
      </c>
      <c r="W37" s="44">
        <v>13389</v>
      </c>
      <c r="X37" s="44">
        <v>11892</v>
      </c>
      <c r="Y37" s="44">
        <v>1497</v>
      </c>
    </row>
    <row r="38" spans="1:25" x14ac:dyDescent="0.2">
      <c r="A38" s="50">
        <f t="shared" si="1"/>
        <v>45694</v>
      </c>
      <c r="B38" s="51">
        <v>6661</v>
      </c>
      <c r="C38" s="52">
        <v>4327.71</v>
      </c>
      <c r="D38" s="52">
        <v>3735.01</v>
      </c>
      <c r="E38" s="52">
        <v>2404.04</v>
      </c>
      <c r="F38" s="52">
        <v>3752.2</v>
      </c>
      <c r="G38" s="52">
        <v>6428.62</v>
      </c>
      <c r="H38" s="52">
        <v>13.98</v>
      </c>
      <c r="I38" s="52">
        <v>100.78</v>
      </c>
      <c r="J38" s="52">
        <v>3603.08</v>
      </c>
      <c r="K38" s="53">
        <v>23820.259999999995</v>
      </c>
      <c r="L38" s="49">
        <v>51</v>
      </c>
      <c r="M38" s="44">
        <v>18.699999999999818</v>
      </c>
      <c r="N38" s="44">
        <v>19.659999999999997</v>
      </c>
      <c r="O38" s="44">
        <v>113384</v>
      </c>
      <c r="P38" s="44">
        <v>10713.98</v>
      </c>
      <c r="Q38" s="44">
        <v>0</v>
      </c>
      <c r="R38" s="44">
        <v>32169.279999999999</v>
      </c>
      <c r="S38" s="44">
        <v>6.07</v>
      </c>
      <c r="T38" s="44">
        <v>245</v>
      </c>
      <c r="U38" s="44">
        <v>88.5</v>
      </c>
      <c r="V38" s="44">
        <v>291</v>
      </c>
      <c r="W38" s="44">
        <v>13364</v>
      </c>
      <c r="X38" s="44">
        <v>11806</v>
      </c>
      <c r="Y38" s="44">
        <v>1558</v>
      </c>
    </row>
    <row r="39" spans="1:25" x14ac:dyDescent="0.2">
      <c r="A39" s="50">
        <f t="shared" si="1"/>
        <v>45695</v>
      </c>
      <c r="B39" s="51">
        <v>6583.79</v>
      </c>
      <c r="C39" s="52">
        <v>4418.32</v>
      </c>
      <c r="D39" s="52">
        <v>3663.41</v>
      </c>
      <c r="E39" s="52">
        <v>2383.39</v>
      </c>
      <c r="F39" s="52">
        <v>3771.66</v>
      </c>
      <c r="G39" s="52">
        <v>5441.43</v>
      </c>
      <c r="H39" s="52">
        <v>4.9000000000000004</v>
      </c>
      <c r="I39" s="52">
        <v>107.8</v>
      </c>
      <c r="J39" s="52">
        <v>3253.8999999999996</v>
      </c>
      <c r="K39" s="53">
        <v>23120.800000000003</v>
      </c>
      <c r="L39" s="49">
        <v>69</v>
      </c>
      <c r="M39" s="44">
        <v>17.299999999999955</v>
      </c>
      <c r="N39" s="44">
        <v>19.320000000000007</v>
      </c>
      <c r="O39" s="44">
        <v>100914</v>
      </c>
      <c r="P39" s="44">
        <v>10764.38</v>
      </c>
      <c r="Q39" s="44">
        <v>0</v>
      </c>
      <c r="R39" s="44">
        <v>24634.04</v>
      </c>
      <c r="S39" s="44">
        <v>5.71</v>
      </c>
      <c r="T39" s="44">
        <v>237</v>
      </c>
      <c r="U39" s="44">
        <v>86.6</v>
      </c>
      <c r="V39" s="44">
        <v>292</v>
      </c>
      <c r="W39" s="44">
        <v>12186</v>
      </c>
      <c r="X39" s="44">
        <v>10840</v>
      </c>
      <c r="Y39" s="44">
        <v>1346</v>
      </c>
    </row>
    <row r="40" spans="1:25" x14ac:dyDescent="0.2">
      <c r="A40" s="50">
        <f t="shared" si="1"/>
        <v>45696</v>
      </c>
      <c r="B40" s="51">
        <v>2994.1</v>
      </c>
      <c r="C40" s="52">
        <v>2417.5</v>
      </c>
      <c r="D40" s="52">
        <v>2860.4</v>
      </c>
      <c r="E40" s="52">
        <v>836.7</v>
      </c>
      <c r="F40" s="52">
        <v>1903.5</v>
      </c>
      <c r="G40" s="52">
        <v>3346.8</v>
      </c>
      <c r="H40" s="52">
        <v>6.86</v>
      </c>
      <c r="I40" s="52">
        <v>79.48</v>
      </c>
      <c r="J40" s="52">
        <v>2561</v>
      </c>
      <c r="K40" s="53">
        <v>11884.34</v>
      </c>
      <c r="L40" s="49">
        <v>26</v>
      </c>
      <c r="M40" s="44">
        <v>15.299999999999955</v>
      </c>
      <c r="N40" s="44">
        <v>18.600000000000009</v>
      </c>
      <c r="O40" s="44">
        <v>17720</v>
      </c>
      <c r="P40" s="44">
        <v>661.57</v>
      </c>
      <c r="Q40" s="44">
        <v>0</v>
      </c>
      <c r="R40" s="44">
        <v>24933.26</v>
      </c>
      <c r="S40" s="44">
        <v>3.25</v>
      </c>
      <c r="T40" s="44">
        <v>155</v>
      </c>
      <c r="U40" s="44">
        <v>52.800000000000004</v>
      </c>
      <c r="V40" s="44">
        <v>194</v>
      </c>
      <c r="W40" s="44">
        <v>7696</v>
      </c>
      <c r="X40" s="44">
        <v>7333</v>
      </c>
      <c r="Y40" s="44">
        <v>363</v>
      </c>
    </row>
    <row r="41" spans="1:25" x14ac:dyDescent="0.2">
      <c r="A41" s="50">
        <f t="shared" si="1"/>
        <v>45697</v>
      </c>
      <c r="B41" s="51">
        <v>1727.16</v>
      </c>
      <c r="C41" s="52">
        <v>1671.6</v>
      </c>
      <c r="D41" s="52">
        <v>1811.26</v>
      </c>
      <c r="E41" s="52">
        <v>181.6</v>
      </c>
      <c r="F41" s="52">
        <v>1832.56</v>
      </c>
      <c r="G41" s="52">
        <v>3315.05</v>
      </c>
      <c r="H41" s="52">
        <v>5.86</v>
      </c>
      <c r="I41" s="52">
        <v>74.319999999999993</v>
      </c>
      <c r="J41" s="52">
        <v>2442.1999999999998</v>
      </c>
      <c r="K41" s="53">
        <v>8177.21</v>
      </c>
      <c r="L41" s="49">
        <v>12</v>
      </c>
      <c r="M41" s="44">
        <v>15</v>
      </c>
      <c r="N41" s="44">
        <v>17.870000000000005</v>
      </c>
      <c r="O41" s="44">
        <v>500.06</v>
      </c>
      <c r="P41" s="44">
        <v>286.58</v>
      </c>
      <c r="Q41" s="44">
        <v>0</v>
      </c>
      <c r="R41" s="44">
        <v>26121.81</v>
      </c>
      <c r="S41" s="44">
        <v>3.42</v>
      </c>
      <c r="T41" s="44">
        <v>140</v>
      </c>
      <c r="U41" s="44">
        <v>51</v>
      </c>
      <c r="V41" s="44">
        <v>182</v>
      </c>
      <c r="W41" s="44">
        <v>6984</v>
      </c>
      <c r="X41" s="44">
        <v>6874</v>
      </c>
      <c r="Y41" s="44">
        <v>110</v>
      </c>
    </row>
    <row r="42" spans="1:25" x14ac:dyDescent="0.2">
      <c r="A42" s="50">
        <f t="shared" si="1"/>
        <v>45698</v>
      </c>
      <c r="B42" s="51">
        <v>6547.69</v>
      </c>
      <c r="C42" s="52">
        <v>4110.8100000000004</v>
      </c>
      <c r="D42" s="52">
        <v>3708.98</v>
      </c>
      <c r="E42" s="52">
        <v>1784.65</v>
      </c>
      <c r="F42" s="52">
        <v>4320.8100000000004</v>
      </c>
      <c r="G42" s="52">
        <v>6068.84</v>
      </c>
      <c r="H42" s="52">
        <v>3.92</v>
      </c>
      <c r="I42" s="52">
        <v>90.5</v>
      </c>
      <c r="J42" s="52">
        <v>3383.7200000000003</v>
      </c>
      <c r="K42" s="53">
        <v>23252.479999999996</v>
      </c>
      <c r="L42" s="49">
        <v>42</v>
      </c>
      <c r="M42" s="44">
        <v>15.5</v>
      </c>
      <c r="N42" s="44">
        <v>18.570000000000007</v>
      </c>
      <c r="O42" s="44">
        <v>104516</v>
      </c>
      <c r="P42" s="44">
        <v>11289.39</v>
      </c>
      <c r="Q42" s="44">
        <v>0</v>
      </c>
      <c r="R42" s="44">
        <v>37577.51</v>
      </c>
      <c r="S42" s="44">
        <v>6.14</v>
      </c>
      <c r="T42" s="44">
        <v>271.99599999999998</v>
      </c>
      <c r="U42" s="44">
        <v>97.1</v>
      </c>
      <c r="V42" s="44">
        <v>319</v>
      </c>
      <c r="W42" s="44">
        <v>13392</v>
      </c>
      <c r="X42" s="44">
        <v>12187</v>
      </c>
      <c r="Y42" s="44">
        <v>1205</v>
      </c>
    </row>
    <row r="43" spans="1:25" x14ac:dyDescent="0.2">
      <c r="A43" s="50">
        <f t="shared" si="1"/>
        <v>45699</v>
      </c>
      <c r="B43" s="51">
        <v>7626.89</v>
      </c>
      <c r="C43" s="52">
        <v>4484.8999999999996</v>
      </c>
      <c r="D43" s="52">
        <v>4553.84</v>
      </c>
      <c r="E43" s="52">
        <v>1295.05</v>
      </c>
      <c r="F43" s="52">
        <v>4821.5600000000004</v>
      </c>
      <c r="G43" s="52">
        <v>5602.34</v>
      </c>
      <c r="H43" s="52">
        <v>4.7</v>
      </c>
      <c r="I43" s="52">
        <v>93.18</v>
      </c>
      <c r="J43" s="52">
        <v>3305.21</v>
      </c>
      <c r="K43" s="53">
        <v>25177.250000000004</v>
      </c>
      <c r="L43" s="49">
        <v>46</v>
      </c>
      <c r="M43" s="44">
        <v>14.799999999999955</v>
      </c>
      <c r="N43" s="44">
        <v>17.939999999999984</v>
      </c>
      <c r="O43" s="44">
        <v>106134</v>
      </c>
      <c r="P43" s="44">
        <v>12111.45</v>
      </c>
      <c r="Q43" s="44">
        <v>0</v>
      </c>
      <c r="R43" s="44">
        <v>25417.08</v>
      </c>
      <c r="S43" s="44">
        <v>5.96</v>
      </c>
      <c r="T43" s="44">
        <v>251</v>
      </c>
      <c r="U43" s="44">
        <v>93.9</v>
      </c>
      <c r="V43" s="44">
        <v>311</v>
      </c>
      <c r="W43" s="44">
        <v>13098</v>
      </c>
      <c r="X43" s="44">
        <v>12025</v>
      </c>
      <c r="Y43" s="44">
        <v>1073</v>
      </c>
    </row>
    <row r="44" spans="1:25" x14ac:dyDescent="0.2">
      <c r="A44" s="50">
        <f t="shared" si="1"/>
        <v>45700</v>
      </c>
      <c r="B44" s="51">
        <v>6892.7</v>
      </c>
      <c r="C44" s="52">
        <v>4603.5</v>
      </c>
      <c r="D44" s="52">
        <v>4600.8999999999996</v>
      </c>
      <c r="E44" s="52">
        <v>1172.4000000000001</v>
      </c>
      <c r="F44" s="52">
        <v>4566.7</v>
      </c>
      <c r="G44" s="52">
        <v>6068.1</v>
      </c>
      <c r="H44" s="52">
        <v>4.8099999999999996</v>
      </c>
      <c r="I44" s="52">
        <v>89.64</v>
      </c>
      <c r="J44" s="52">
        <v>3454.1000000000004</v>
      </c>
      <c r="K44" s="53">
        <v>24544.65</v>
      </c>
      <c r="L44" s="49">
        <v>50</v>
      </c>
      <c r="M44" s="44">
        <v>15.599999999999909</v>
      </c>
      <c r="N44" s="44">
        <v>18.639999999999986</v>
      </c>
      <c r="O44" s="44">
        <v>110137</v>
      </c>
      <c r="P44" s="44">
        <v>11205.77</v>
      </c>
      <c r="Q44" s="44">
        <v>0</v>
      </c>
      <c r="R44" s="44">
        <v>31432.13</v>
      </c>
      <c r="S44" s="44">
        <v>6.3</v>
      </c>
      <c r="T44" s="44">
        <v>253</v>
      </c>
      <c r="U44" s="44">
        <v>86.8</v>
      </c>
      <c r="V44" s="44">
        <v>288</v>
      </c>
      <c r="W44" s="44">
        <v>11931</v>
      </c>
      <c r="X44" s="44">
        <v>10989</v>
      </c>
      <c r="Y44" s="44">
        <v>942</v>
      </c>
    </row>
    <row r="45" spans="1:25" x14ac:dyDescent="0.2">
      <c r="A45" s="50">
        <f t="shared" si="1"/>
        <v>45701</v>
      </c>
      <c r="B45" s="51">
        <v>6894.5</v>
      </c>
      <c r="C45" s="52">
        <v>4502.3</v>
      </c>
      <c r="D45" s="52">
        <v>4582.8</v>
      </c>
      <c r="E45" s="52">
        <v>1372.8</v>
      </c>
      <c r="F45" s="52">
        <v>4776.3999999999996</v>
      </c>
      <c r="G45" s="52">
        <v>6182.3</v>
      </c>
      <c r="H45" s="52">
        <v>3.03</v>
      </c>
      <c r="I45" s="52">
        <v>89.02</v>
      </c>
      <c r="J45" s="52">
        <v>3453</v>
      </c>
      <c r="K45" s="53">
        <v>24950.149999999994</v>
      </c>
      <c r="L45" s="49">
        <v>58</v>
      </c>
      <c r="M45" s="44">
        <v>17.799999999999955</v>
      </c>
      <c r="N45" s="44">
        <v>19.949999999999989</v>
      </c>
      <c r="O45" s="44">
        <v>111252.2</v>
      </c>
      <c r="P45" s="44">
        <v>11777.67</v>
      </c>
      <c r="Q45" s="44">
        <v>0</v>
      </c>
      <c r="R45" s="44">
        <v>25399.87</v>
      </c>
      <c r="S45" s="44">
        <v>5.78</v>
      </c>
      <c r="T45" s="44">
        <v>264</v>
      </c>
      <c r="U45" s="44">
        <v>94.4</v>
      </c>
      <c r="V45" s="44">
        <v>307</v>
      </c>
      <c r="W45" s="44">
        <v>13195</v>
      </c>
      <c r="X45" s="44">
        <v>12255</v>
      </c>
      <c r="Y45" s="44">
        <v>940</v>
      </c>
    </row>
    <row r="46" spans="1:25" x14ac:dyDescent="0.2">
      <c r="A46" s="50">
        <f t="shared" si="1"/>
        <v>45702</v>
      </c>
      <c r="B46" s="51">
        <v>7011.18</v>
      </c>
      <c r="C46" s="52">
        <v>4512.5200000000004</v>
      </c>
      <c r="D46" s="52">
        <v>4460.54</v>
      </c>
      <c r="E46" s="52">
        <v>1068.97</v>
      </c>
      <c r="F46" s="52">
        <v>4723.37</v>
      </c>
      <c r="G46" s="52">
        <v>6322.63</v>
      </c>
      <c r="H46" s="52">
        <v>4.79</v>
      </c>
      <c r="I46" s="52">
        <v>92.98</v>
      </c>
      <c r="J46" s="52">
        <v>3426.3499999999995</v>
      </c>
      <c r="K46" s="53">
        <v>24770.630000000005</v>
      </c>
      <c r="L46" s="49">
        <v>71</v>
      </c>
      <c r="M46" s="44">
        <v>17.700000000000045</v>
      </c>
      <c r="N46" s="44">
        <v>21.009999999999991</v>
      </c>
      <c r="O46" s="44">
        <v>124847</v>
      </c>
      <c r="P46" s="44">
        <v>10883.4</v>
      </c>
      <c r="Q46" s="44">
        <v>0</v>
      </c>
      <c r="R46" s="44">
        <v>26182.74</v>
      </c>
      <c r="S46" s="44">
        <v>6.54</v>
      </c>
      <c r="T46" s="44">
        <v>274</v>
      </c>
      <c r="U46" s="44">
        <v>95.399999999999991</v>
      </c>
      <c r="V46" s="44">
        <v>318</v>
      </c>
      <c r="W46" s="44">
        <v>13948</v>
      </c>
      <c r="X46" s="44">
        <v>12688</v>
      </c>
      <c r="Y46" s="44">
        <v>1260</v>
      </c>
    </row>
    <row r="47" spans="1:25" x14ac:dyDescent="0.2">
      <c r="A47" s="50">
        <f t="shared" si="1"/>
        <v>45703</v>
      </c>
      <c r="B47" s="51">
        <v>6365.49</v>
      </c>
      <c r="C47" s="52">
        <v>4314.91</v>
      </c>
      <c r="D47" s="52">
        <v>4267.7700000000004</v>
      </c>
      <c r="E47" s="52">
        <v>721.28</v>
      </c>
      <c r="F47" s="52">
        <v>4389.2299999999996</v>
      </c>
      <c r="G47" s="52">
        <v>5043.8</v>
      </c>
      <c r="H47" s="52">
        <v>2.5</v>
      </c>
      <c r="I47" s="52">
        <v>86.88</v>
      </c>
      <c r="J47" s="52">
        <v>2639.5699999999997</v>
      </c>
      <c r="K47" s="53">
        <v>22552.29</v>
      </c>
      <c r="L47" s="49">
        <v>36</v>
      </c>
      <c r="M47" s="44">
        <v>17</v>
      </c>
      <c r="N47" s="44">
        <v>22.010000000000005</v>
      </c>
      <c r="O47" s="44">
        <v>103299</v>
      </c>
      <c r="P47" s="44">
        <v>11648.28</v>
      </c>
      <c r="Q47" s="44">
        <v>0</v>
      </c>
      <c r="R47" s="44">
        <v>23053.46</v>
      </c>
      <c r="S47" s="44">
        <v>6.28</v>
      </c>
      <c r="T47" s="44">
        <v>245</v>
      </c>
      <c r="U47" s="44">
        <v>93.6</v>
      </c>
      <c r="V47" s="44">
        <v>307</v>
      </c>
      <c r="W47" s="44">
        <v>12969</v>
      </c>
      <c r="X47" s="44">
        <v>11754</v>
      </c>
      <c r="Y47" s="44">
        <v>1215</v>
      </c>
    </row>
    <row r="48" spans="1:25" x14ac:dyDescent="0.2">
      <c r="A48" s="50">
        <f t="shared" si="1"/>
        <v>45704</v>
      </c>
      <c r="B48" s="51">
        <v>6761.6</v>
      </c>
      <c r="C48" s="52">
        <v>4466.8999999999996</v>
      </c>
      <c r="D48" s="52">
        <v>4192.8</v>
      </c>
      <c r="E48" s="52">
        <v>1309.7</v>
      </c>
      <c r="F48" s="52">
        <v>4629.3</v>
      </c>
      <c r="G48" s="52">
        <v>5150.7</v>
      </c>
      <c r="H48" s="52">
        <v>3.62</v>
      </c>
      <c r="I48" s="52">
        <v>85.02</v>
      </c>
      <c r="J48" s="52">
        <v>2695.9999999999995</v>
      </c>
      <c r="K48" s="53">
        <v>23903.64</v>
      </c>
      <c r="L48" s="49">
        <v>29</v>
      </c>
      <c r="M48" s="44">
        <v>17.100000000000136</v>
      </c>
      <c r="N48" s="44">
        <v>21.350000000000009</v>
      </c>
      <c r="O48" s="44">
        <v>108849</v>
      </c>
      <c r="P48" s="44">
        <v>11492.77</v>
      </c>
      <c r="Q48" s="44">
        <v>0</v>
      </c>
      <c r="R48" s="44">
        <v>30179.23</v>
      </c>
      <c r="S48" s="44">
        <v>6.3</v>
      </c>
      <c r="T48" s="44">
        <v>261</v>
      </c>
      <c r="U48" s="44">
        <v>92.199999999999989</v>
      </c>
      <c r="V48" s="44">
        <v>300</v>
      </c>
      <c r="W48" s="44">
        <v>15022</v>
      </c>
      <c r="X48" s="44">
        <v>14196</v>
      </c>
      <c r="Y48" s="44">
        <v>826</v>
      </c>
    </row>
    <row r="49" spans="1:25" x14ac:dyDescent="0.2">
      <c r="A49" s="50">
        <f t="shared" si="1"/>
        <v>45705</v>
      </c>
      <c r="B49" s="51">
        <v>7603.3</v>
      </c>
      <c r="C49" s="52">
        <v>4785.5</v>
      </c>
      <c r="D49" s="52">
        <v>4387.5</v>
      </c>
      <c r="E49" s="52">
        <v>1414.2</v>
      </c>
      <c r="F49" s="52">
        <v>4938.7</v>
      </c>
      <c r="G49" s="52">
        <v>6157.1</v>
      </c>
      <c r="H49" s="52">
        <v>4.84</v>
      </c>
      <c r="I49" s="52">
        <v>93.16</v>
      </c>
      <c r="J49" s="52">
        <v>3627.3</v>
      </c>
      <c r="K49" s="53">
        <v>25757.000000000004</v>
      </c>
      <c r="L49" s="49">
        <v>60</v>
      </c>
      <c r="M49" s="44">
        <v>17.100000000000136</v>
      </c>
      <c r="N49" s="44">
        <v>20.800000000000011</v>
      </c>
      <c r="O49" s="44">
        <v>120153</v>
      </c>
      <c r="P49" s="44">
        <v>12210.9</v>
      </c>
      <c r="Q49" s="44">
        <v>0</v>
      </c>
      <c r="R49" s="44">
        <v>36408.019999999997</v>
      </c>
      <c r="S49" s="44">
        <v>7</v>
      </c>
      <c r="T49" s="44">
        <v>279</v>
      </c>
      <c r="U49" s="44">
        <v>100.4</v>
      </c>
      <c r="V49" s="44">
        <v>329</v>
      </c>
      <c r="W49" s="44">
        <v>14496</v>
      </c>
      <c r="X49" s="44">
        <v>13220</v>
      </c>
      <c r="Y49" s="44">
        <v>1276</v>
      </c>
    </row>
    <row r="50" spans="1:25" x14ac:dyDescent="0.2">
      <c r="A50" s="50">
        <f t="shared" si="1"/>
        <v>45706</v>
      </c>
      <c r="B50" s="51">
        <v>8242.68</v>
      </c>
      <c r="C50" s="52">
        <v>4783.51</v>
      </c>
      <c r="D50" s="52">
        <v>4871.63</v>
      </c>
      <c r="E50" s="52">
        <v>3880.63</v>
      </c>
      <c r="F50" s="52">
        <v>3881.38</v>
      </c>
      <c r="G50" s="52">
        <v>6671.97</v>
      </c>
      <c r="H50" s="52">
        <v>4.7699999999999996</v>
      </c>
      <c r="I50" s="52">
        <v>94.92</v>
      </c>
      <c r="J50" s="52">
        <v>3601.55</v>
      </c>
      <c r="K50" s="53">
        <v>28829.940000000002</v>
      </c>
      <c r="L50" s="49">
        <v>69</v>
      </c>
      <c r="M50" s="44">
        <v>19.299999999999955</v>
      </c>
      <c r="N50" s="44">
        <v>24.63000000000001</v>
      </c>
      <c r="O50" s="44">
        <v>94700</v>
      </c>
      <c r="P50" s="44">
        <v>12557.97</v>
      </c>
      <c r="Q50" s="44">
        <v>0</v>
      </c>
      <c r="R50" s="44">
        <v>35572.43</v>
      </c>
      <c r="S50" s="44">
        <v>7.07</v>
      </c>
      <c r="T50" s="44">
        <v>292</v>
      </c>
      <c r="U50" s="44">
        <v>102.60000000000001</v>
      </c>
      <c r="V50" s="44">
        <v>339</v>
      </c>
      <c r="W50" s="44">
        <v>14187</v>
      </c>
      <c r="X50" s="44">
        <v>13095</v>
      </c>
      <c r="Y50" s="44">
        <v>1092</v>
      </c>
    </row>
    <row r="51" spans="1:25" x14ac:dyDescent="0.2">
      <c r="A51" s="50">
        <f t="shared" si="1"/>
        <v>45707</v>
      </c>
      <c r="B51" s="51">
        <v>7677.63</v>
      </c>
      <c r="C51" s="52">
        <v>4826.72</v>
      </c>
      <c r="D51" s="52">
        <v>4984.46</v>
      </c>
      <c r="E51" s="52">
        <v>3654.41</v>
      </c>
      <c r="F51" s="52">
        <v>3212.87</v>
      </c>
      <c r="G51" s="52">
        <v>6601.95</v>
      </c>
      <c r="H51" s="52">
        <v>3.64</v>
      </c>
      <c r="I51" s="52">
        <v>94.82</v>
      </c>
      <c r="J51" s="52">
        <v>3629.1200000000003</v>
      </c>
      <c r="K51" s="53">
        <v>27427.38</v>
      </c>
      <c r="L51" s="49">
        <v>51</v>
      </c>
      <c r="M51" s="44">
        <v>20.099999999999909</v>
      </c>
      <c r="N51" s="44">
        <v>25.849999999999994</v>
      </c>
      <c r="O51" s="44">
        <v>80789</v>
      </c>
      <c r="P51" s="44">
        <v>11875</v>
      </c>
      <c r="Q51" s="44">
        <v>0</v>
      </c>
      <c r="R51" s="44">
        <v>28764.74</v>
      </c>
      <c r="S51" s="44">
        <v>7.87</v>
      </c>
      <c r="T51" s="44">
        <v>279</v>
      </c>
      <c r="U51" s="44">
        <v>104.5</v>
      </c>
      <c r="V51" s="44">
        <v>335</v>
      </c>
      <c r="W51" s="44">
        <v>14230</v>
      </c>
      <c r="X51" s="44">
        <v>13060</v>
      </c>
      <c r="Y51" s="44">
        <v>1170</v>
      </c>
    </row>
    <row r="52" spans="1:25" x14ac:dyDescent="0.2">
      <c r="A52" s="50">
        <f t="shared" si="1"/>
        <v>45708</v>
      </c>
      <c r="B52" s="51">
        <v>7305.4</v>
      </c>
      <c r="C52" s="52">
        <v>4737.8999999999996</v>
      </c>
      <c r="D52" s="52">
        <v>4782.7</v>
      </c>
      <c r="E52" s="52">
        <v>2893.9</v>
      </c>
      <c r="F52" s="52">
        <v>2845.7</v>
      </c>
      <c r="G52" s="52">
        <v>7120.4</v>
      </c>
      <c r="H52" s="52">
        <v>1.6</v>
      </c>
      <c r="I52" s="52">
        <v>99.9</v>
      </c>
      <c r="J52" s="52">
        <v>3925.3</v>
      </c>
      <c r="K52" s="53">
        <v>25862.2</v>
      </c>
      <c r="L52" s="49">
        <v>55</v>
      </c>
      <c r="M52" s="44">
        <v>20.300000000000182</v>
      </c>
      <c r="N52" s="44">
        <v>25.450000000000003</v>
      </c>
      <c r="O52" s="44">
        <v>74543</v>
      </c>
      <c r="P52" s="44">
        <v>11782.77</v>
      </c>
      <c r="Q52" s="44">
        <v>0</v>
      </c>
      <c r="R52" s="44">
        <v>23514.99</v>
      </c>
      <c r="S52" s="44">
        <v>8.36</v>
      </c>
      <c r="T52" s="44">
        <v>271</v>
      </c>
      <c r="U52" s="44">
        <v>100</v>
      </c>
      <c r="V52" s="44">
        <v>322</v>
      </c>
      <c r="W52" s="44">
        <v>13635</v>
      </c>
      <c r="X52" s="44">
        <v>12503</v>
      </c>
      <c r="Y52" s="44">
        <v>1132</v>
      </c>
    </row>
    <row r="53" spans="1:25" x14ac:dyDescent="0.2">
      <c r="A53" s="50">
        <f t="shared" si="1"/>
        <v>45709</v>
      </c>
      <c r="B53" s="51">
        <v>7739.6</v>
      </c>
      <c r="C53" s="52">
        <v>4763.2</v>
      </c>
      <c r="D53" s="52">
        <v>4748.1000000000004</v>
      </c>
      <c r="E53" s="52">
        <v>3321.8</v>
      </c>
      <c r="F53" s="52">
        <v>3139.8</v>
      </c>
      <c r="G53" s="52">
        <v>7006.4</v>
      </c>
      <c r="H53" s="52">
        <v>4</v>
      </c>
      <c r="I53" s="52">
        <v>95.7</v>
      </c>
      <c r="J53" s="52">
        <v>4010.7999999999997</v>
      </c>
      <c r="K53" s="53">
        <v>26807.800000000003</v>
      </c>
      <c r="L53" s="49">
        <v>64</v>
      </c>
      <c r="M53" s="44">
        <v>21.700000000000045</v>
      </c>
      <c r="N53" s="44">
        <v>26.099999999999994</v>
      </c>
      <c r="O53" s="44">
        <v>81371.399999999994</v>
      </c>
      <c r="P53" s="44">
        <v>12384.36</v>
      </c>
      <c r="Q53" s="44">
        <v>0</v>
      </c>
      <c r="R53" s="44">
        <v>28466.7</v>
      </c>
      <c r="S53" s="44">
        <v>8.4700000000000006</v>
      </c>
      <c r="T53" s="44">
        <v>274</v>
      </c>
      <c r="U53" s="44">
        <v>102</v>
      </c>
      <c r="V53" s="44">
        <v>332</v>
      </c>
      <c r="W53" s="44">
        <v>14106</v>
      </c>
      <c r="X53" s="44">
        <v>13023</v>
      </c>
      <c r="Y53" s="44">
        <v>1083</v>
      </c>
    </row>
    <row r="54" spans="1:25" x14ac:dyDescent="0.2">
      <c r="A54" s="50">
        <f t="shared" si="1"/>
        <v>45710</v>
      </c>
      <c r="B54" s="51">
        <v>6349.99</v>
      </c>
      <c r="C54" s="52">
        <v>3839.28</v>
      </c>
      <c r="D54" s="52">
        <v>4869.99</v>
      </c>
      <c r="E54" s="52">
        <v>2686.38</v>
      </c>
      <c r="F54" s="52">
        <v>2313.5300000000002</v>
      </c>
      <c r="G54" s="52">
        <v>5334.91</v>
      </c>
      <c r="H54" s="52">
        <v>6.38</v>
      </c>
      <c r="I54" s="52">
        <v>83.96</v>
      </c>
      <c r="J54" s="52">
        <v>2812.16</v>
      </c>
      <c r="K54" s="53">
        <v>22672.26</v>
      </c>
      <c r="L54" s="49">
        <v>47</v>
      </c>
      <c r="M54" s="44">
        <v>20.200000000000045</v>
      </c>
      <c r="N54" s="44">
        <v>24.920000000000016</v>
      </c>
      <c r="O54" s="44">
        <v>38125</v>
      </c>
      <c r="P54" s="44">
        <v>7148.68</v>
      </c>
      <c r="Q54" s="44">
        <v>0</v>
      </c>
      <c r="R54" s="44">
        <v>25241.79</v>
      </c>
      <c r="S54" s="44">
        <v>6.2</v>
      </c>
      <c r="T54" s="44">
        <v>253</v>
      </c>
      <c r="U54" s="44">
        <v>89.899999999999991</v>
      </c>
      <c r="V54" s="44">
        <v>305</v>
      </c>
      <c r="W54" s="44">
        <v>12604</v>
      </c>
      <c r="X54" s="44">
        <v>11596</v>
      </c>
      <c r="Y54" s="44">
        <v>1008</v>
      </c>
    </row>
    <row r="55" spans="1:25" x14ac:dyDescent="0.2">
      <c r="A55" s="50">
        <f t="shared" si="1"/>
        <v>45711</v>
      </c>
      <c r="B55" s="51">
        <v>2234.87</v>
      </c>
      <c r="C55" s="52">
        <v>1700.44</v>
      </c>
      <c r="D55" s="52">
        <v>2022.37</v>
      </c>
      <c r="E55" s="52">
        <v>2777.96</v>
      </c>
      <c r="F55" s="52">
        <v>799.76</v>
      </c>
      <c r="G55" s="52">
        <v>4884.87</v>
      </c>
      <c r="H55" s="52">
        <v>7.06</v>
      </c>
      <c r="I55" s="52">
        <v>78.08</v>
      </c>
      <c r="J55" s="52">
        <v>2628.9199999999996</v>
      </c>
      <c r="K55" s="53">
        <v>11876.49</v>
      </c>
      <c r="L55" s="49">
        <v>15</v>
      </c>
      <c r="M55" s="44">
        <v>17.100000000000136</v>
      </c>
      <c r="N55" s="44">
        <v>22.599999999999994</v>
      </c>
      <c r="O55" s="44">
        <v>23826</v>
      </c>
      <c r="P55" s="44">
        <v>269.88</v>
      </c>
      <c r="Q55" s="44">
        <v>0</v>
      </c>
      <c r="R55" s="44">
        <v>32077.43</v>
      </c>
      <c r="S55" s="44">
        <v>3.76</v>
      </c>
      <c r="T55" s="44">
        <v>146</v>
      </c>
      <c r="U55" s="44">
        <v>54.5</v>
      </c>
      <c r="V55" s="44">
        <v>200</v>
      </c>
      <c r="W55" s="44">
        <v>7032</v>
      </c>
      <c r="X55" s="44">
        <v>6881</v>
      </c>
      <c r="Y55" s="44">
        <v>151</v>
      </c>
    </row>
    <row r="56" spans="1:25" x14ac:dyDescent="0.2">
      <c r="A56" s="50">
        <f t="shared" si="1"/>
        <v>45712</v>
      </c>
      <c r="B56" s="51">
        <v>7202</v>
      </c>
      <c r="C56" s="52">
        <v>4460.3</v>
      </c>
      <c r="D56" s="52">
        <v>4000.1</v>
      </c>
      <c r="E56" s="52">
        <v>3166.7</v>
      </c>
      <c r="F56" s="52">
        <v>4001.4</v>
      </c>
      <c r="G56" s="52">
        <v>6298.1</v>
      </c>
      <c r="H56" s="52">
        <v>3.6</v>
      </c>
      <c r="I56" s="52">
        <v>94</v>
      </c>
      <c r="J56" s="52">
        <v>3427.0999999999995</v>
      </c>
      <c r="K56" s="53">
        <v>25799.1</v>
      </c>
      <c r="L56" s="49">
        <v>43</v>
      </c>
      <c r="M56" s="44">
        <v>17.599999999999909</v>
      </c>
      <c r="N56" s="44">
        <v>22.58</v>
      </c>
      <c r="O56" s="44">
        <v>113875</v>
      </c>
      <c r="P56" s="44">
        <v>11930.74</v>
      </c>
      <c r="Q56" s="44">
        <v>0</v>
      </c>
      <c r="R56" s="44">
        <v>41835.519999999997</v>
      </c>
      <c r="S56" s="44">
        <v>8.6199999999999992</v>
      </c>
      <c r="T56" s="44">
        <v>278</v>
      </c>
      <c r="U56" s="44">
        <v>98.1</v>
      </c>
      <c r="V56" s="44">
        <v>323</v>
      </c>
      <c r="W56" s="44">
        <v>13944</v>
      </c>
      <c r="X56" s="44">
        <v>12715</v>
      </c>
      <c r="Y56" s="44">
        <v>1229</v>
      </c>
    </row>
    <row r="57" spans="1:25" x14ac:dyDescent="0.2">
      <c r="A57" s="50">
        <f t="shared" si="1"/>
        <v>45713</v>
      </c>
      <c r="B57" s="51">
        <v>8216.2999999999993</v>
      </c>
      <c r="C57" s="52">
        <v>4779.8999999999996</v>
      </c>
      <c r="D57" s="52">
        <v>4712.1000000000004</v>
      </c>
      <c r="E57" s="52">
        <v>3022</v>
      </c>
      <c r="F57" s="52">
        <v>4293.5</v>
      </c>
      <c r="G57" s="52">
        <v>5909.4</v>
      </c>
      <c r="H57" s="52">
        <v>3.6</v>
      </c>
      <c r="I57" s="52">
        <v>92.3</v>
      </c>
      <c r="J57" s="52">
        <v>3385.8</v>
      </c>
      <c r="K57" s="53">
        <v>27643.299999999996</v>
      </c>
      <c r="L57" s="49">
        <v>65</v>
      </c>
      <c r="M57" s="44">
        <v>17.599999999999909</v>
      </c>
      <c r="N57" s="44">
        <v>20.300000000000011</v>
      </c>
      <c r="O57" s="44">
        <v>92846.9</v>
      </c>
      <c r="P57" s="44">
        <v>11341.8</v>
      </c>
      <c r="Q57" s="44">
        <v>0</v>
      </c>
      <c r="R57" s="44">
        <v>32369.200000000001</v>
      </c>
      <c r="S57" s="44">
        <v>8.5</v>
      </c>
      <c r="T57" s="44">
        <v>281</v>
      </c>
      <c r="U57" s="44">
        <v>101.6</v>
      </c>
      <c r="V57" s="44">
        <v>329</v>
      </c>
      <c r="W57" s="44">
        <v>14228</v>
      </c>
      <c r="X57" s="44">
        <v>13005</v>
      </c>
      <c r="Y57" s="44">
        <v>1223</v>
      </c>
    </row>
    <row r="58" spans="1:25" x14ac:dyDescent="0.2">
      <c r="A58" s="50">
        <f t="shared" si="1"/>
        <v>45714</v>
      </c>
      <c r="B58" s="51">
        <v>7359.38</v>
      </c>
      <c r="C58" s="52">
        <v>4483.17</v>
      </c>
      <c r="D58" s="52">
        <v>4656.01</v>
      </c>
      <c r="E58" s="52">
        <v>2901.27</v>
      </c>
      <c r="F58" s="52">
        <v>3664.78</v>
      </c>
      <c r="G58" s="52">
        <v>6110.28</v>
      </c>
      <c r="H58" s="52">
        <v>6.6</v>
      </c>
      <c r="I58" s="52">
        <v>98.66</v>
      </c>
      <c r="J58" s="52">
        <v>3559.74</v>
      </c>
      <c r="K58" s="53">
        <v>25720.409999999996</v>
      </c>
      <c r="L58" s="49">
        <v>60</v>
      </c>
      <c r="M58" s="44">
        <v>16.100000000000136</v>
      </c>
      <c r="N58" s="44">
        <v>19.560000000000002</v>
      </c>
      <c r="O58" s="44">
        <v>101476</v>
      </c>
      <c r="P58" s="44">
        <v>11374.4</v>
      </c>
      <c r="Q58" s="44">
        <v>0</v>
      </c>
      <c r="R58" s="44">
        <v>30516.6</v>
      </c>
      <c r="S58" s="44">
        <v>8.1999999999999993</v>
      </c>
      <c r="T58" s="44">
        <v>272</v>
      </c>
      <c r="U58" s="44">
        <v>98.7</v>
      </c>
      <c r="V58" s="44">
        <v>321</v>
      </c>
      <c r="W58" s="44">
        <v>14244</v>
      </c>
      <c r="X58" s="44">
        <v>13229</v>
      </c>
      <c r="Y58" s="44">
        <v>1015</v>
      </c>
    </row>
    <row r="59" spans="1:25" x14ac:dyDescent="0.2">
      <c r="A59" s="50">
        <f t="shared" si="1"/>
        <v>45715</v>
      </c>
      <c r="B59" s="51">
        <v>7839.24</v>
      </c>
      <c r="C59" s="52">
        <v>4730.7</v>
      </c>
      <c r="D59" s="52">
        <v>4839.8599999999997</v>
      </c>
      <c r="E59" s="52">
        <v>3600.56</v>
      </c>
      <c r="F59" s="52">
        <v>4005.05</v>
      </c>
      <c r="G59" s="52">
        <v>5920.03</v>
      </c>
      <c r="H59" s="52">
        <v>5.59</v>
      </c>
      <c r="I59" s="52">
        <v>109.88</v>
      </c>
      <c r="J59" s="52">
        <v>3422.5</v>
      </c>
      <c r="K59" s="53">
        <v>27628.41</v>
      </c>
      <c r="L59" s="49">
        <v>61</v>
      </c>
      <c r="M59" s="44">
        <v>16.200000000000045</v>
      </c>
      <c r="N59" s="44">
        <v>19.490000000000009</v>
      </c>
      <c r="O59" s="44">
        <v>122643</v>
      </c>
      <c r="P59" s="44">
        <v>11506.7</v>
      </c>
      <c r="Q59" s="44">
        <v>0</v>
      </c>
      <c r="R59" s="44">
        <v>29312.89</v>
      </c>
      <c r="S59" s="44">
        <v>8.1999999999999993</v>
      </c>
      <c r="T59" s="44">
        <v>283</v>
      </c>
      <c r="U59" s="44">
        <v>97.7</v>
      </c>
      <c r="V59" s="44">
        <v>318</v>
      </c>
      <c r="W59" s="44">
        <v>13271</v>
      </c>
      <c r="X59" s="44">
        <v>12038</v>
      </c>
      <c r="Y59" s="44">
        <v>1233</v>
      </c>
    </row>
    <row r="60" spans="1:25" x14ac:dyDescent="0.2">
      <c r="A60" s="50">
        <f t="shared" si="1"/>
        <v>45716</v>
      </c>
      <c r="B60" s="51">
        <v>7503.1</v>
      </c>
      <c r="C60" s="52">
        <v>4595.8999999999996</v>
      </c>
      <c r="D60" s="52">
        <v>4616.1000000000004</v>
      </c>
      <c r="E60" s="52">
        <v>2579.8000000000002</v>
      </c>
      <c r="F60" s="52">
        <v>3594.2</v>
      </c>
      <c r="G60" s="52">
        <v>5922.2</v>
      </c>
      <c r="H60" s="52">
        <v>6.4</v>
      </c>
      <c r="I60" s="52">
        <v>108.7</v>
      </c>
      <c r="J60" s="52">
        <v>3613.8999999999996</v>
      </c>
      <c r="K60" s="53">
        <v>25312.5</v>
      </c>
      <c r="L60" s="49">
        <v>57</v>
      </c>
      <c r="M60" s="44">
        <v>15.900000000000091</v>
      </c>
      <c r="N60" s="44">
        <v>19.649999999999991</v>
      </c>
      <c r="O60" s="44">
        <v>115007</v>
      </c>
      <c r="P60" s="44">
        <v>11033.04</v>
      </c>
      <c r="Q60" s="44">
        <v>0</v>
      </c>
      <c r="R60" s="44">
        <v>24187.83</v>
      </c>
      <c r="S60" s="44">
        <v>7.4</v>
      </c>
      <c r="T60" s="44">
        <v>263</v>
      </c>
      <c r="U60" s="44">
        <v>97.6</v>
      </c>
      <c r="V60" s="44">
        <v>320</v>
      </c>
      <c r="W60" s="44">
        <v>13390</v>
      </c>
      <c r="X60" s="44">
        <v>12338</v>
      </c>
      <c r="Y60" s="44">
        <v>1052</v>
      </c>
    </row>
    <row r="61" spans="1:25" x14ac:dyDescent="0.2">
      <c r="A61" s="50">
        <f t="shared" si="1"/>
        <v>45717</v>
      </c>
      <c r="B61" s="51">
        <v>3765.8</v>
      </c>
      <c r="C61" s="52">
        <v>2401.6</v>
      </c>
      <c r="D61" s="52">
        <v>3378.3</v>
      </c>
      <c r="E61" s="52">
        <v>671.5</v>
      </c>
      <c r="F61" s="52">
        <v>2155.3000000000002</v>
      </c>
      <c r="G61" s="52">
        <v>4540.8</v>
      </c>
      <c r="H61" s="52">
        <v>5.9</v>
      </c>
      <c r="I61" s="52">
        <v>78.3</v>
      </c>
      <c r="J61" s="52">
        <v>2700.2000000000003</v>
      </c>
      <c r="K61" s="53">
        <v>14297.3</v>
      </c>
      <c r="L61" s="49">
        <v>29</v>
      </c>
      <c r="M61" s="44">
        <v>15.5</v>
      </c>
      <c r="N61" s="44">
        <v>19</v>
      </c>
      <c r="O61" s="44">
        <v>66208.100000000006</v>
      </c>
      <c r="P61" s="44">
        <v>57.8</v>
      </c>
      <c r="Q61" s="44">
        <v>0</v>
      </c>
      <c r="R61" s="44">
        <v>20750.5</v>
      </c>
      <c r="S61" s="44">
        <v>3.7</v>
      </c>
      <c r="T61" s="44">
        <v>173</v>
      </c>
      <c r="U61" s="44">
        <v>62.199999999999996</v>
      </c>
      <c r="V61" s="44">
        <v>213</v>
      </c>
      <c r="W61" s="44">
        <v>8098</v>
      </c>
      <c r="X61" s="44">
        <v>7886</v>
      </c>
      <c r="Y61" s="44">
        <v>212</v>
      </c>
    </row>
    <row r="62" spans="1:25" x14ac:dyDescent="0.2">
      <c r="A62" s="50">
        <f t="shared" si="1"/>
        <v>45718</v>
      </c>
      <c r="B62" s="51">
        <v>1708.81</v>
      </c>
      <c r="C62" s="52">
        <v>1518.54</v>
      </c>
      <c r="D62" s="52">
        <v>1547.35</v>
      </c>
      <c r="E62" s="52">
        <v>174.68</v>
      </c>
      <c r="F62" s="52">
        <v>1984.99</v>
      </c>
      <c r="G62" s="52">
        <v>3088.07</v>
      </c>
      <c r="H62" s="52">
        <v>7.72</v>
      </c>
      <c r="I62" s="52">
        <v>73.760000000000005</v>
      </c>
      <c r="J62" s="52">
        <v>2184.0400000000004</v>
      </c>
      <c r="K62" s="53">
        <v>7919.8799999999992</v>
      </c>
      <c r="L62" s="49">
        <v>10</v>
      </c>
      <c r="M62" s="44">
        <v>14.100000000000136</v>
      </c>
      <c r="N62" s="44">
        <v>11.679999999999993</v>
      </c>
      <c r="O62" s="44">
        <v>56680</v>
      </c>
      <c r="P62" s="44">
        <v>381.29</v>
      </c>
      <c r="Q62" s="44">
        <v>0</v>
      </c>
      <c r="R62" s="44">
        <v>26455.26</v>
      </c>
      <c r="S62" s="44">
        <v>3.4</v>
      </c>
      <c r="T62" s="44">
        <v>161</v>
      </c>
      <c r="U62" s="44">
        <v>54.500000000000007</v>
      </c>
      <c r="V62" s="44">
        <v>198</v>
      </c>
      <c r="W62" s="44">
        <v>7233</v>
      </c>
      <c r="X62" s="44">
        <v>7097</v>
      </c>
      <c r="Y62" s="44">
        <v>136</v>
      </c>
    </row>
    <row r="63" spans="1:25" x14ac:dyDescent="0.2">
      <c r="A63" s="50">
        <f t="shared" si="1"/>
        <v>45719</v>
      </c>
      <c r="B63" s="51">
        <v>6693.13</v>
      </c>
      <c r="C63" s="52">
        <v>4065.59</v>
      </c>
      <c r="D63" s="52">
        <v>3593.56</v>
      </c>
      <c r="E63" s="52">
        <v>3196.15</v>
      </c>
      <c r="F63" s="52">
        <v>2865.39</v>
      </c>
      <c r="G63" s="52">
        <v>5615.44</v>
      </c>
      <c r="H63" s="52">
        <v>5.87</v>
      </c>
      <c r="I63" s="52">
        <v>98.64</v>
      </c>
      <c r="J63" s="52">
        <v>3617.0899999999997</v>
      </c>
      <c r="K63" s="53">
        <v>22516.679999999997</v>
      </c>
      <c r="L63" s="49">
        <v>49</v>
      </c>
      <c r="M63" s="44">
        <v>16.300000000000182</v>
      </c>
      <c r="N63" s="44">
        <v>20.570000000000007</v>
      </c>
      <c r="O63" s="44">
        <v>99235</v>
      </c>
      <c r="P63" s="44">
        <v>10382.299999999999</v>
      </c>
      <c r="Q63" s="44">
        <v>0</v>
      </c>
      <c r="R63" s="44">
        <v>33911.129999999997</v>
      </c>
      <c r="S63" s="44">
        <v>5.8</v>
      </c>
      <c r="T63" s="44">
        <v>273</v>
      </c>
      <c r="U63" s="44">
        <v>93.699999999999989</v>
      </c>
      <c r="V63" s="44">
        <v>323</v>
      </c>
      <c r="W63" s="44">
        <v>13617</v>
      </c>
      <c r="X63" s="44">
        <v>12385</v>
      </c>
      <c r="Y63" s="44">
        <v>1232</v>
      </c>
    </row>
    <row r="64" spans="1:25" x14ac:dyDescent="0.2">
      <c r="A64" s="50">
        <f t="shared" si="1"/>
        <v>45720</v>
      </c>
      <c r="B64" s="51">
        <v>6636.4</v>
      </c>
      <c r="C64" s="52">
        <v>4295.8</v>
      </c>
      <c r="D64" s="52">
        <v>4361.5</v>
      </c>
      <c r="E64" s="52">
        <v>3959.3</v>
      </c>
      <c r="F64" s="52">
        <v>2401.8000000000002</v>
      </c>
      <c r="G64" s="52">
        <v>5914.2</v>
      </c>
      <c r="H64" s="52">
        <v>4.7</v>
      </c>
      <c r="I64" s="52">
        <v>90.9</v>
      </c>
      <c r="J64" s="52">
        <v>3750.4</v>
      </c>
      <c r="K64" s="53">
        <v>23914.2</v>
      </c>
      <c r="L64" s="49">
        <v>52</v>
      </c>
      <c r="M64" s="44">
        <v>17.199999999999818</v>
      </c>
      <c r="N64" s="44">
        <v>19.879999999999995</v>
      </c>
      <c r="O64" s="44">
        <v>83352</v>
      </c>
      <c r="P64" s="44">
        <v>11067.2</v>
      </c>
      <c r="Q64" s="44">
        <v>0</v>
      </c>
      <c r="R64" s="44">
        <v>35545.9</v>
      </c>
      <c r="S64" s="44">
        <v>5.0999999999999996</v>
      </c>
      <c r="T64" s="44">
        <v>236</v>
      </c>
      <c r="U64" s="44">
        <v>87.7</v>
      </c>
      <c r="V64" s="44">
        <v>292</v>
      </c>
      <c r="W64" s="44">
        <v>12683</v>
      </c>
      <c r="X64" s="44">
        <v>11624</v>
      </c>
      <c r="Y64" s="44">
        <v>1059</v>
      </c>
    </row>
    <row r="65" spans="1:25" x14ac:dyDescent="0.2">
      <c r="A65" s="50">
        <f t="shared" si="1"/>
        <v>45721</v>
      </c>
      <c r="B65" s="51">
        <v>5766.8</v>
      </c>
      <c r="C65" s="52">
        <v>4268.8</v>
      </c>
      <c r="D65" s="52">
        <v>3851.7</v>
      </c>
      <c r="E65" s="52">
        <v>3809.4</v>
      </c>
      <c r="F65" s="52">
        <v>2075.1</v>
      </c>
      <c r="G65" s="52">
        <v>6245.3</v>
      </c>
      <c r="H65" s="52">
        <v>6.8</v>
      </c>
      <c r="I65" s="52">
        <v>223.7</v>
      </c>
      <c r="J65" s="52">
        <v>3746.9999999999995</v>
      </c>
      <c r="K65" s="53">
        <v>22500.6</v>
      </c>
      <c r="L65" s="49">
        <v>60</v>
      </c>
      <c r="M65" s="44">
        <v>17.100000000000136</v>
      </c>
      <c r="N65" s="44">
        <v>19.799999999999997</v>
      </c>
      <c r="O65" s="44">
        <v>90810</v>
      </c>
      <c r="P65" s="44">
        <v>8576.2999999999993</v>
      </c>
      <c r="Q65" s="44">
        <v>0</v>
      </c>
      <c r="R65" s="44">
        <v>31232.7</v>
      </c>
      <c r="S65" s="44">
        <v>4.8</v>
      </c>
      <c r="T65" s="44">
        <v>248</v>
      </c>
      <c r="U65" s="44">
        <v>87.3</v>
      </c>
      <c r="V65" s="44">
        <v>275</v>
      </c>
      <c r="W65" s="44">
        <v>12041</v>
      </c>
      <c r="X65" s="44">
        <v>10911</v>
      </c>
      <c r="Y65" s="44">
        <v>1130</v>
      </c>
    </row>
    <row r="66" spans="1:25" x14ac:dyDescent="0.2">
      <c r="A66" s="50">
        <f t="shared" si="1"/>
        <v>45722</v>
      </c>
      <c r="B66" s="51">
        <v>6155.59</v>
      </c>
      <c r="C66" s="52">
        <v>3965.22</v>
      </c>
      <c r="D66" s="52">
        <v>4123.57</v>
      </c>
      <c r="E66" s="52">
        <v>3180.52</v>
      </c>
      <c r="F66" s="52">
        <v>1879.94</v>
      </c>
      <c r="G66" s="52">
        <v>4785.45</v>
      </c>
      <c r="H66" s="52">
        <v>6.9</v>
      </c>
      <c r="I66" s="52">
        <v>204.72</v>
      </c>
      <c r="J66" s="52">
        <v>3286.0200000000004</v>
      </c>
      <c r="K66" s="53">
        <v>21015.89</v>
      </c>
      <c r="L66" s="49">
        <v>54</v>
      </c>
      <c r="M66" s="44">
        <v>16.200000000000045</v>
      </c>
      <c r="N66" s="44">
        <v>18.689999999999998</v>
      </c>
      <c r="O66" s="44">
        <v>66952.39</v>
      </c>
      <c r="P66" s="44">
        <v>10514.9</v>
      </c>
      <c r="Q66" s="44">
        <v>0</v>
      </c>
      <c r="R66" s="44">
        <v>27035.68</v>
      </c>
      <c r="S66" s="44">
        <v>4.8</v>
      </c>
      <c r="T66" s="44">
        <v>240</v>
      </c>
      <c r="U66" s="44">
        <v>84.6</v>
      </c>
      <c r="V66" s="44">
        <v>277</v>
      </c>
      <c r="W66" s="44">
        <v>11664</v>
      </c>
      <c r="X66" s="44">
        <v>10552</v>
      </c>
      <c r="Y66" s="44">
        <v>1112</v>
      </c>
    </row>
    <row r="67" spans="1:25" x14ac:dyDescent="0.2">
      <c r="A67" s="50">
        <f t="shared" si="1"/>
        <v>45723</v>
      </c>
      <c r="B67" s="51">
        <v>5706.83</v>
      </c>
      <c r="C67" s="52">
        <v>3564.19</v>
      </c>
      <c r="D67" s="52">
        <v>4213.97</v>
      </c>
      <c r="E67" s="52">
        <v>2940.35</v>
      </c>
      <c r="F67" s="52">
        <v>1514.76</v>
      </c>
      <c r="G67" s="52">
        <v>3940.55</v>
      </c>
      <c r="H67" s="52">
        <v>6.2</v>
      </c>
      <c r="I67" s="52">
        <v>215.58</v>
      </c>
      <c r="J67" s="52">
        <v>2838.18</v>
      </c>
      <c r="K67" s="53">
        <v>19264.25</v>
      </c>
      <c r="L67" s="49">
        <v>47</v>
      </c>
      <c r="M67" s="44">
        <v>17.299999999999955</v>
      </c>
      <c r="N67" s="44">
        <v>18.420000000000002</v>
      </c>
      <c r="O67" s="44">
        <v>47412</v>
      </c>
      <c r="P67" s="44">
        <v>6959.6</v>
      </c>
      <c r="Q67" s="44">
        <v>0</v>
      </c>
      <c r="R67" s="44">
        <v>25949.5</v>
      </c>
      <c r="S67" s="44">
        <v>4.45</v>
      </c>
      <c r="T67" s="44">
        <v>207</v>
      </c>
      <c r="U67" s="44">
        <v>76.099999999999994</v>
      </c>
      <c r="V67" s="44">
        <v>247</v>
      </c>
      <c r="W67" s="44">
        <v>10522</v>
      </c>
      <c r="X67" s="44">
        <v>9593</v>
      </c>
      <c r="Y67" s="44">
        <v>929</v>
      </c>
    </row>
    <row r="68" spans="1:25" x14ac:dyDescent="0.2">
      <c r="A68" s="50">
        <f t="shared" si="1"/>
        <v>45724</v>
      </c>
      <c r="B68" s="51">
        <v>1741.9</v>
      </c>
      <c r="C68" s="52">
        <v>1564.1</v>
      </c>
      <c r="D68" s="52">
        <v>1922.5</v>
      </c>
      <c r="E68" s="52">
        <v>1073.8</v>
      </c>
      <c r="F68" s="52">
        <v>1122.3</v>
      </c>
      <c r="G68" s="52">
        <v>3211.1</v>
      </c>
      <c r="H68" s="52">
        <v>8.1999999999999993</v>
      </c>
      <c r="I68" s="52">
        <v>74.900000000000006</v>
      </c>
      <c r="J68" s="52">
        <v>2517.1</v>
      </c>
      <c r="K68" s="53">
        <v>8201.7000000000007</v>
      </c>
      <c r="L68" s="49">
        <v>16</v>
      </c>
      <c r="M68" s="44">
        <v>14.200000000000045</v>
      </c>
      <c r="N68" s="44">
        <v>16.97999999999999</v>
      </c>
      <c r="O68" s="44">
        <v>162</v>
      </c>
      <c r="P68" s="44">
        <v>65.760000000000005</v>
      </c>
      <c r="Q68" s="44">
        <v>0</v>
      </c>
      <c r="R68" s="44">
        <v>26367.9</v>
      </c>
      <c r="S68" s="44">
        <v>3</v>
      </c>
      <c r="T68" s="44">
        <v>138</v>
      </c>
      <c r="U68" s="44">
        <v>49.3</v>
      </c>
      <c r="V68" s="44">
        <v>182</v>
      </c>
      <c r="W68" s="44">
        <v>6410</v>
      </c>
      <c r="X68" s="44">
        <v>6392</v>
      </c>
      <c r="Y68" s="44">
        <v>18</v>
      </c>
    </row>
    <row r="69" spans="1:25" x14ac:dyDescent="0.2">
      <c r="A69" s="50">
        <f t="shared" si="1"/>
        <v>45725</v>
      </c>
      <c r="B69" s="51">
        <v>1575.2</v>
      </c>
      <c r="C69" s="52">
        <v>1494.1</v>
      </c>
      <c r="D69" s="52">
        <v>1577.6</v>
      </c>
      <c r="E69" s="52">
        <v>114.8</v>
      </c>
      <c r="F69" s="52">
        <v>2114.3000000000002</v>
      </c>
      <c r="G69" s="52">
        <v>3015.7</v>
      </c>
      <c r="H69" s="52">
        <v>7.77</v>
      </c>
      <c r="I69" s="52">
        <v>74.5</v>
      </c>
      <c r="J69" s="52">
        <v>2284.8999999999996</v>
      </c>
      <c r="K69" s="53">
        <v>7689.0700000000015</v>
      </c>
      <c r="L69" s="49">
        <v>12</v>
      </c>
      <c r="M69" s="44">
        <v>13.599999999999909</v>
      </c>
      <c r="N69" s="44">
        <v>16.900000000000006</v>
      </c>
      <c r="O69" s="44">
        <v>210.67</v>
      </c>
      <c r="P69" s="44">
        <v>278.45</v>
      </c>
      <c r="Q69" s="44">
        <v>0</v>
      </c>
      <c r="R69" s="44">
        <v>26368.799999999999</v>
      </c>
      <c r="S69" s="44">
        <v>3</v>
      </c>
      <c r="T69" s="44">
        <v>146</v>
      </c>
      <c r="U69" s="44">
        <v>50.599999999999994</v>
      </c>
      <c r="V69" s="44">
        <v>176</v>
      </c>
      <c r="W69" s="44">
        <v>7091</v>
      </c>
      <c r="X69" s="44">
        <v>6950</v>
      </c>
      <c r="Y69" s="44">
        <v>141</v>
      </c>
    </row>
    <row r="70" spans="1:25" x14ac:dyDescent="0.2">
      <c r="A70" s="50">
        <f t="shared" si="1"/>
        <v>45726</v>
      </c>
      <c r="B70" s="51">
        <v>6094.57</v>
      </c>
      <c r="C70" s="52">
        <v>3973.41</v>
      </c>
      <c r="D70" s="52">
        <v>3452.77</v>
      </c>
      <c r="E70" s="52">
        <v>1518.25</v>
      </c>
      <c r="F70" s="52">
        <v>4266.42</v>
      </c>
      <c r="G70" s="52">
        <v>4783.5</v>
      </c>
      <c r="H70" s="52">
        <v>5.35</v>
      </c>
      <c r="I70" s="52">
        <v>352.88</v>
      </c>
      <c r="J70" s="52">
        <v>3083.17</v>
      </c>
      <c r="K70" s="53">
        <v>21363.979999999996</v>
      </c>
      <c r="L70" s="49">
        <v>48</v>
      </c>
      <c r="M70" s="44">
        <v>14.799999999999955</v>
      </c>
      <c r="N70" s="44">
        <v>16.509999999999991</v>
      </c>
      <c r="O70" s="44">
        <v>75254</v>
      </c>
      <c r="P70" s="44">
        <v>10273.459999999999</v>
      </c>
      <c r="Q70" s="44">
        <v>2210</v>
      </c>
      <c r="R70" s="44">
        <v>34100.949999999997</v>
      </c>
      <c r="S70" s="44">
        <v>5.5</v>
      </c>
      <c r="T70" s="44">
        <v>274</v>
      </c>
      <c r="U70" s="44">
        <v>98.3</v>
      </c>
      <c r="V70" s="44">
        <v>323</v>
      </c>
      <c r="W70" s="44">
        <v>14042</v>
      </c>
      <c r="X70" s="44">
        <v>12568</v>
      </c>
      <c r="Y70" s="44">
        <v>1474</v>
      </c>
    </row>
    <row r="71" spans="1:25" x14ac:dyDescent="0.2">
      <c r="A71" s="50">
        <f t="shared" si="1"/>
        <v>45727</v>
      </c>
      <c r="B71" s="51">
        <v>5575.91</v>
      </c>
      <c r="C71" s="52">
        <v>3979.66</v>
      </c>
      <c r="D71" s="52">
        <v>3719.85</v>
      </c>
      <c r="E71" s="52">
        <v>1222.72</v>
      </c>
      <c r="F71" s="52">
        <v>3869.97</v>
      </c>
      <c r="G71" s="52">
        <v>5734.83</v>
      </c>
      <c r="H71" s="52">
        <v>5.5</v>
      </c>
      <c r="I71" s="52">
        <v>452.26</v>
      </c>
      <c r="J71" s="52">
        <v>3131.3300000000004</v>
      </c>
      <c r="K71" s="53">
        <v>21429.37</v>
      </c>
      <c r="L71" s="49">
        <v>63</v>
      </c>
      <c r="M71" s="44">
        <v>14.300000000000182</v>
      </c>
      <c r="N71" s="44">
        <v>16.129999999999995</v>
      </c>
      <c r="O71" s="44">
        <v>51528</v>
      </c>
      <c r="P71" s="44">
        <v>8120</v>
      </c>
      <c r="Q71" s="44">
        <v>3329</v>
      </c>
      <c r="R71" s="44">
        <v>25535</v>
      </c>
      <c r="S71" s="44">
        <v>5.09</v>
      </c>
      <c r="T71" s="44">
        <v>260</v>
      </c>
      <c r="U71" s="44">
        <v>87.399999999999991</v>
      </c>
      <c r="V71" s="44">
        <v>290</v>
      </c>
      <c r="W71" s="44">
        <v>11951</v>
      </c>
      <c r="X71" s="44">
        <v>10762</v>
      </c>
      <c r="Y71" s="44">
        <v>1189</v>
      </c>
    </row>
    <row r="72" spans="1:25" x14ac:dyDescent="0.2">
      <c r="A72" s="50">
        <f t="shared" si="1"/>
        <v>45728</v>
      </c>
      <c r="B72" s="51">
        <v>5371.9</v>
      </c>
      <c r="C72" s="52">
        <v>3831.4</v>
      </c>
      <c r="D72" s="52">
        <v>3907.9</v>
      </c>
      <c r="E72" s="52">
        <v>1400.5</v>
      </c>
      <c r="F72" s="52">
        <v>4208.2</v>
      </c>
      <c r="G72" s="52">
        <v>5765.3</v>
      </c>
      <c r="H72" s="52">
        <v>3.6</v>
      </c>
      <c r="I72" s="52">
        <v>503.8</v>
      </c>
      <c r="J72" s="52">
        <v>3555.5000000000005</v>
      </c>
      <c r="K72" s="53">
        <v>21437.099999999995</v>
      </c>
      <c r="L72" s="49">
        <v>52</v>
      </c>
      <c r="M72" s="44">
        <v>15.400000000000091</v>
      </c>
      <c r="N72" s="44">
        <v>15.980000000000004</v>
      </c>
      <c r="O72" s="44">
        <v>68421</v>
      </c>
      <c r="P72" s="44">
        <v>8397.75</v>
      </c>
      <c r="Q72" s="44">
        <v>4011</v>
      </c>
      <c r="R72" s="44">
        <v>31398.07</v>
      </c>
      <c r="S72" s="44">
        <v>4.79</v>
      </c>
      <c r="T72" s="44">
        <v>234</v>
      </c>
      <c r="U72" s="44">
        <v>83.5</v>
      </c>
      <c r="V72" s="44">
        <v>275</v>
      </c>
      <c r="W72" s="44">
        <v>11886</v>
      </c>
      <c r="X72" s="44">
        <v>10756</v>
      </c>
      <c r="Y72" s="44">
        <v>1130</v>
      </c>
    </row>
    <row r="73" spans="1:25" x14ac:dyDescent="0.2">
      <c r="A73" s="50">
        <f t="shared" si="1"/>
        <v>45729</v>
      </c>
      <c r="B73" s="51">
        <v>5361.6</v>
      </c>
      <c r="C73" s="52">
        <v>3838</v>
      </c>
      <c r="D73" s="52">
        <v>3678.7</v>
      </c>
      <c r="E73" s="52">
        <v>729.5</v>
      </c>
      <c r="F73" s="52">
        <v>4022.7</v>
      </c>
      <c r="G73" s="52">
        <v>4444.3</v>
      </c>
      <c r="H73" s="52">
        <v>2.46</v>
      </c>
      <c r="I73" s="52">
        <v>502.7</v>
      </c>
      <c r="J73" s="52">
        <v>3263.6</v>
      </c>
      <c r="K73" s="53">
        <v>19316.36</v>
      </c>
      <c r="L73" s="49">
        <v>47</v>
      </c>
      <c r="M73" s="44">
        <v>13.400000000000091</v>
      </c>
      <c r="N73" s="44">
        <v>14.819999999999993</v>
      </c>
      <c r="O73" s="44">
        <v>38302</v>
      </c>
      <c r="P73" s="44">
        <v>8881</v>
      </c>
      <c r="Q73" s="44">
        <v>3306</v>
      </c>
      <c r="R73" s="44">
        <v>15813.16</v>
      </c>
      <c r="S73" s="44">
        <v>4.6500000000000004</v>
      </c>
      <c r="T73" s="44">
        <v>227</v>
      </c>
      <c r="U73" s="44">
        <v>77.900000000000006</v>
      </c>
      <c r="V73" s="44">
        <v>269</v>
      </c>
      <c r="W73" s="44">
        <v>10643</v>
      </c>
      <c r="X73" s="44">
        <v>9587</v>
      </c>
      <c r="Y73" s="44">
        <v>1056</v>
      </c>
    </row>
    <row r="74" spans="1:25" x14ac:dyDescent="0.2">
      <c r="A74" s="50">
        <f t="shared" si="1"/>
        <v>45730</v>
      </c>
      <c r="B74" s="51">
        <v>5677.88</v>
      </c>
      <c r="C74" s="52">
        <v>3770.5</v>
      </c>
      <c r="D74" s="52">
        <v>3407.97</v>
      </c>
      <c r="E74" s="52">
        <v>1160.32</v>
      </c>
      <c r="F74" s="52">
        <v>4012.55</v>
      </c>
      <c r="G74" s="52">
        <v>3948.72</v>
      </c>
      <c r="H74" s="52">
        <v>3.32</v>
      </c>
      <c r="I74" s="52">
        <v>522.24</v>
      </c>
      <c r="J74" s="52">
        <v>3019.7099999999996</v>
      </c>
      <c r="K74" s="53">
        <v>19483.790000000005</v>
      </c>
      <c r="L74" s="49">
        <v>49</v>
      </c>
      <c r="M74" s="44">
        <v>12.700000000000045</v>
      </c>
      <c r="N74" s="44">
        <v>13.989999999999995</v>
      </c>
      <c r="O74" s="44">
        <v>53190</v>
      </c>
      <c r="P74" s="44">
        <v>9175.82</v>
      </c>
      <c r="Q74" s="44">
        <v>2985</v>
      </c>
      <c r="R74" s="44">
        <v>23858.3</v>
      </c>
      <c r="S74" s="44">
        <v>4.8</v>
      </c>
      <c r="T74" s="44">
        <v>194</v>
      </c>
      <c r="U74" s="44">
        <v>68.2</v>
      </c>
      <c r="V74" s="44">
        <v>258</v>
      </c>
      <c r="W74" s="44">
        <v>9736</v>
      </c>
      <c r="X74" s="44">
        <v>8632</v>
      </c>
      <c r="Y74" s="44">
        <v>1104</v>
      </c>
    </row>
    <row r="75" spans="1:25" x14ac:dyDescent="0.2">
      <c r="A75" s="50">
        <f t="shared" si="1"/>
        <v>45731</v>
      </c>
      <c r="B75" s="51">
        <v>2279.52</v>
      </c>
      <c r="C75" s="52">
        <v>1731.21</v>
      </c>
      <c r="D75" s="52">
        <v>1864.71</v>
      </c>
      <c r="E75" s="52">
        <v>194.97</v>
      </c>
      <c r="F75" s="52">
        <v>1922.34</v>
      </c>
      <c r="G75" s="52">
        <v>3114.44</v>
      </c>
      <c r="H75" s="52">
        <v>1.87</v>
      </c>
      <c r="I75" s="52">
        <v>481.46</v>
      </c>
      <c r="J75" s="52">
        <v>2404.92</v>
      </c>
      <c r="K75" s="53">
        <v>9185.6</v>
      </c>
      <c r="L75" s="49">
        <v>17</v>
      </c>
      <c r="M75" s="44">
        <v>11.900000000000091</v>
      </c>
      <c r="N75" s="44">
        <v>13.709999999999994</v>
      </c>
      <c r="O75" s="44">
        <v>0</v>
      </c>
      <c r="P75" s="44">
        <v>68.66</v>
      </c>
      <c r="Q75" s="44">
        <v>2850</v>
      </c>
      <c r="R75" s="44">
        <v>25711.8</v>
      </c>
      <c r="S75" s="44">
        <v>3</v>
      </c>
      <c r="T75" s="44">
        <v>137</v>
      </c>
      <c r="U75" s="44">
        <v>47.4</v>
      </c>
      <c r="V75" s="44">
        <v>171</v>
      </c>
      <c r="W75" s="44">
        <v>5746</v>
      </c>
      <c r="X75" s="44">
        <v>5727</v>
      </c>
      <c r="Y75" s="44">
        <v>19</v>
      </c>
    </row>
    <row r="76" spans="1:25" x14ac:dyDescent="0.2">
      <c r="A76" s="50">
        <f t="shared" si="1"/>
        <v>45732</v>
      </c>
      <c r="B76" s="51">
        <v>1416.3</v>
      </c>
      <c r="C76" s="52">
        <v>1529.1</v>
      </c>
      <c r="D76" s="52">
        <v>1677.2</v>
      </c>
      <c r="E76" s="52">
        <v>119.6</v>
      </c>
      <c r="F76" s="52">
        <v>1665.6</v>
      </c>
      <c r="G76" s="52">
        <v>3628.4</v>
      </c>
      <c r="H76" s="52">
        <v>6.1</v>
      </c>
      <c r="I76" s="52">
        <v>526.20000000000005</v>
      </c>
      <c r="J76" s="52">
        <v>2839.7000000000003</v>
      </c>
      <c r="K76" s="53">
        <v>7728.7999999999993</v>
      </c>
      <c r="L76" s="49">
        <v>-5</v>
      </c>
      <c r="M76" s="44">
        <v>11.900000000000091</v>
      </c>
      <c r="N76" s="44">
        <v>13.870000000000005</v>
      </c>
      <c r="O76" s="44">
        <v>0</v>
      </c>
      <c r="P76" s="44">
        <v>282.23</v>
      </c>
      <c r="Q76" s="44">
        <v>3562</v>
      </c>
      <c r="R76" s="44">
        <v>26277.46</v>
      </c>
      <c r="S76" s="44">
        <v>2.97</v>
      </c>
      <c r="T76" s="44">
        <v>130</v>
      </c>
      <c r="U76" s="44">
        <v>47</v>
      </c>
      <c r="V76" s="44">
        <v>172</v>
      </c>
      <c r="W76" s="44">
        <v>5907</v>
      </c>
      <c r="X76" s="44">
        <v>5694</v>
      </c>
      <c r="Y76" s="44">
        <v>213</v>
      </c>
    </row>
    <row r="77" spans="1:25" x14ac:dyDescent="0.2">
      <c r="A77" s="50">
        <f t="shared" si="1"/>
        <v>45733</v>
      </c>
      <c r="B77" s="51">
        <v>4609.1000000000004</v>
      </c>
      <c r="C77" s="52">
        <v>4262.7</v>
      </c>
      <c r="D77" s="52">
        <v>3626.3</v>
      </c>
      <c r="E77" s="52">
        <v>1257.5999999999999</v>
      </c>
      <c r="F77" s="52">
        <v>3719.2</v>
      </c>
      <c r="G77" s="52">
        <v>5676.1</v>
      </c>
      <c r="H77" s="52">
        <v>3.16</v>
      </c>
      <c r="I77" s="52">
        <v>536.1</v>
      </c>
      <c r="J77" s="52">
        <v>3454.6000000000004</v>
      </c>
      <c r="K77" s="53">
        <v>20235.659999999996</v>
      </c>
      <c r="L77" s="49">
        <v>52</v>
      </c>
      <c r="M77" s="44">
        <v>12.700000000000045</v>
      </c>
      <c r="N77" s="44">
        <v>14.329999999999998</v>
      </c>
      <c r="O77" s="44">
        <v>68699.8</v>
      </c>
      <c r="P77" s="44">
        <v>11541.85</v>
      </c>
      <c r="Q77" s="44">
        <v>3548.1</v>
      </c>
      <c r="R77" s="44">
        <v>30689.06</v>
      </c>
      <c r="S77" s="44">
        <v>6.25</v>
      </c>
      <c r="T77" s="44">
        <v>274.87</v>
      </c>
      <c r="U77" s="44">
        <v>97.2</v>
      </c>
      <c r="V77" s="44">
        <v>325</v>
      </c>
      <c r="W77" s="44">
        <v>13223</v>
      </c>
      <c r="X77" s="44">
        <v>12041</v>
      </c>
      <c r="Y77" s="44">
        <v>1182</v>
      </c>
    </row>
    <row r="78" spans="1:25" x14ac:dyDescent="0.2">
      <c r="A78" s="50">
        <f t="shared" si="1"/>
        <v>45734</v>
      </c>
      <c r="B78" s="51">
        <v>6480.12</v>
      </c>
      <c r="C78" s="52">
        <v>4722.7700000000004</v>
      </c>
      <c r="D78" s="52">
        <v>4073.7</v>
      </c>
      <c r="E78" s="52">
        <v>1889.05</v>
      </c>
      <c r="F78" s="52">
        <v>4423.99</v>
      </c>
      <c r="G78" s="52">
        <v>5810.67</v>
      </c>
      <c r="H78" s="52">
        <v>6.07</v>
      </c>
      <c r="I78" s="52">
        <v>513.5</v>
      </c>
      <c r="J78" s="52">
        <v>3259.8</v>
      </c>
      <c r="K78" s="53">
        <v>24660.069999999996</v>
      </c>
      <c r="L78" s="49">
        <v>59</v>
      </c>
      <c r="M78" s="44">
        <v>13.400000000000091</v>
      </c>
      <c r="N78" s="44">
        <v>14.990000000000009</v>
      </c>
      <c r="O78" s="44">
        <v>91313.35</v>
      </c>
      <c r="P78" s="44">
        <v>12304.03</v>
      </c>
      <c r="Q78" s="44">
        <v>4437.2</v>
      </c>
      <c r="R78" s="44">
        <v>27330.77</v>
      </c>
      <c r="S78" s="44">
        <v>7.14</v>
      </c>
      <c r="T78" s="44">
        <v>261.91000000000003</v>
      </c>
      <c r="U78" s="44">
        <v>93</v>
      </c>
      <c r="V78" s="44">
        <v>307</v>
      </c>
      <c r="W78" s="44">
        <v>12893</v>
      </c>
      <c r="X78" s="44">
        <v>11387</v>
      </c>
      <c r="Y78" s="44">
        <v>1506</v>
      </c>
    </row>
    <row r="79" spans="1:25" x14ac:dyDescent="0.2">
      <c r="A79" s="50">
        <f t="shared" si="1"/>
        <v>45735</v>
      </c>
      <c r="B79" s="51">
        <v>5978.13</v>
      </c>
      <c r="C79" s="52">
        <v>4567.91</v>
      </c>
      <c r="D79" s="52">
        <v>3740.02</v>
      </c>
      <c r="E79" s="52">
        <v>1983.95</v>
      </c>
      <c r="F79" s="52">
        <v>4447.04</v>
      </c>
      <c r="G79" s="52">
        <v>6119.04</v>
      </c>
      <c r="H79" s="52">
        <v>3.54</v>
      </c>
      <c r="I79" s="52">
        <v>485.86</v>
      </c>
      <c r="J79" s="52">
        <v>3568.27</v>
      </c>
      <c r="K79" s="53">
        <v>23757.220000000005</v>
      </c>
      <c r="L79" s="49">
        <v>51</v>
      </c>
      <c r="M79" s="44">
        <v>13.700000000000045</v>
      </c>
      <c r="N79" s="44">
        <v>14.960000000000008</v>
      </c>
      <c r="O79" s="44">
        <v>92071</v>
      </c>
      <c r="P79" s="44">
        <v>11616.9</v>
      </c>
      <c r="Q79" s="44">
        <v>3705</v>
      </c>
      <c r="R79" s="44">
        <v>27070</v>
      </c>
      <c r="S79" s="44">
        <v>6.86</v>
      </c>
      <c r="T79" s="44">
        <v>256.77999999999997</v>
      </c>
      <c r="U79" s="44">
        <v>90.800000000000011</v>
      </c>
      <c r="V79" s="44">
        <v>300</v>
      </c>
      <c r="W79" s="44">
        <v>12560</v>
      </c>
      <c r="X79" s="44">
        <v>11150</v>
      </c>
      <c r="Y79" s="44">
        <v>1410</v>
      </c>
    </row>
    <row r="80" spans="1:25" x14ac:dyDescent="0.2">
      <c r="A80" s="50">
        <f t="shared" si="1"/>
        <v>45736</v>
      </c>
      <c r="B80" s="51">
        <v>4549.3999999999996</v>
      </c>
      <c r="C80" s="52">
        <v>4056.7</v>
      </c>
      <c r="D80" s="52">
        <v>3911.1</v>
      </c>
      <c r="E80" s="52">
        <v>1164.9000000000001</v>
      </c>
      <c r="F80" s="52">
        <v>3640.4</v>
      </c>
      <c r="G80" s="52">
        <v>5120.2</v>
      </c>
      <c r="H80" s="52">
        <v>6.7</v>
      </c>
      <c r="I80" s="52">
        <v>496.2</v>
      </c>
      <c r="J80" s="52">
        <v>3473.0800000000004</v>
      </c>
      <c r="K80" s="53">
        <v>19472.52</v>
      </c>
      <c r="L80" s="49">
        <v>58</v>
      </c>
      <c r="M80" s="44">
        <v>12.399999999999864</v>
      </c>
      <c r="N80" s="44">
        <v>14.150000000000006</v>
      </c>
      <c r="O80" s="44">
        <v>36481</v>
      </c>
      <c r="P80" s="44">
        <v>7166.2</v>
      </c>
      <c r="Q80" s="44">
        <v>3698.2</v>
      </c>
      <c r="R80" s="44">
        <v>26122.1</v>
      </c>
      <c r="S80" s="44">
        <v>4.43</v>
      </c>
      <c r="T80" s="44">
        <v>196.7</v>
      </c>
      <c r="U80" s="44">
        <v>70.100000000000009</v>
      </c>
      <c r="V80" s="44">
        <v>247</v>
      </c>
      <c r="W80" s="44">
        <v>9490</v>
      </c>
      <c r="X80" s="44">
        <v>8623</v>
      </c>
      <c r="Y80" s="44">
        <v>867</v>
      </c>
    </row>
    <row r="81" spans="1:25" x14ac:dyDescent="0.2">
      <c r="A81" s="50">
        <f t="shared" si="1"/>
        <v>45737</v>
      </c>
      <c r="B81" s="51">
        <v>1342.1</v>
      </c>
      <c r="C81" s="52">
        <v>1725.7</v>
      </c>
      <c r="D81" s="52">
        <v>1952.2</v>
      </c>
      <c r="E81" s="52">
        <v>105</v>
      </c>
      <c r="F81" s="52">
        <v>1769.4</v>
      </c>
      <c r="G81" s="52">
        <v>3798.1</v>
      </c>
      <c r="H81" s="52">
        <v>6.7</v>
      </c>
      <c r="I81" s="52">
        <v>442.4</v>
      </c>
      <c r="J81" s="52">
        <v>3228.2299999999996</v>
      </c>
      <c r="K81" s="53">
        <v>7913.3700000000008</v>
      </c>
      <c r="L81" s="49">
        <v>15</v>
      </c>
      <c r="M81" s="44">
        <v>12.799999999999955</v>
      </c>
      <c r="N81" s="44">
        <v>13.5</v>
      </c>
      <c r="O81" s="44">
        <v>0</v>
      </c>
      <c r="P81" s="44">
        <v>64.569999999999993</v>
      </c>
      <c r="Q81" s="44">
        <v>3656.3</v>
      </c>
      <c r="R81" s="44">
        <v>27120.799999999999</v>
      </c>
      <c r="S81" s="44">
        <v>3.35</v>
      </c>
      <c r="T81" s="44">
        <v>124</v>
      </c>
      <c r="U81" s="44">
        <v>42.4</v>
      </c>
      <c r="V81" s="44">
        <v>152</v>
      </c>
      <c r="W81" s="44">
        <v>4973</v>
      </c>
      <c r="X81" s="44">
        <v>4952</v>
      </c>
      <c r="Y81" s="44">
        <v>21</v>
      </c>
    </row>
    <row r="82" spans="1:25" x14ac:dyDescent="0.2">
      <c r="A82" s="50">
        <f t="shared" si="1"/>
        <v>45738</v>
      </c>
      <c r="B82" s="51">
        <v>1401.23</v>
      </c>
      <c r="C82" s="52">
        <v>1448.11</v>
      </c>
      <c r="D82" s="52">
        <v>1559.77</v>
      </c>
      <c r="E82" s="52">
        <v>562.08000000000004</v>
      </c>
      <c r="F82" s="52">
        <v>1573.92</v>
      </c>
      <c r="G82" s="52">
        <v>3206.04</v>
      </c>
      <c r="H82" s="52">
        <v>8.6300000000000008</v>
      </c>
      <c r="I82" s="52">
        <v>467.98</v>
      </c>
      <c r="J82" s="52">
        <v>2635.2799999999997</v>
      </c>
      <c r="K82" s="53">
        <v>7592.4800000000005</v>
      </c>
      <c r="L82" s="49">
        <v>6</v>
      </c>
      <c r="M82" s="44">
        <v>12.300000000000182</v>
      </c>
      <c r="N82" s="44">
        <v>14.460000000000008</v>
      </c>
      <c r="O82" s="44">
        <v>15048</v>
      </c>
      <c r="P82" s="44">
        <v>199.9</v>
      </c>
      <c r="Q82" s="44">
        <v>3797.17</v>
      </c>
      <c r="R82" s="44">
        <v>18131.830000000002</v>
      </c>
      <c r="S82" s="44">
        <v>3.46</v>
      </c>
      <c r="T82" s="44">
        <v>102</v>
      </c>
      <c r="U82" s="44">
        <v>34.1</v>
      </c>
      <c r="V82" s="44">
        <v>146</v>
      </c>
      <c r="W82" s="44">
        <v>4656</v>
      </c>
      <c r="X82" s="44">
        <v>4637</v>
      </c>
      <c r="Y82" s="44">
        <v>19</v>
      </c>
    </row>
    <row r="83" spans="1:25" x14ac:dyDescent="0.2">
      <c r="A83" s="50">
        <f t="shared" si="1"/>
        <v>45739</v>
      </c>
      <c r="B83" s="51">
        <v>1078.8699999999999</v>
      </c>
      <c r="C83" s="52">
        <v>1578.15</v>
      </c>
      <c r="D83" s="52">
        <v>1560.69</v>
      </c>
      <c r="E83" s="52">
        <v>105.45</v>
      </c>
      <c r="F83" s="52">
        <v>178.93</v>
      </c>
      <c r="G83" s="52">
        <v>2895.12</v>
      </c>
      <c r="H83" s="52">
        <v>7.88</v>
      </c>
      <c r="I83" s="52">
        <v>440.34</v>
      </c>
      <c r="J83" s="52">
        <v>2314.65</v>
      </c>
      <c r="K83" s="53">
        <v>5530.7800000000007</v>
      </c>
      <c r="L83" s="49">
        <v>7</v>
      </c>
      <c r="M83" s="44">
        <v>12.700000000000045</v>
      </c>
      <c r="N83" s="44">
        <v>14.730000000000004</v>
      </c>
      <c r="O83" s="44">
        <v>344</v>
      </c>
      <c r="P83" s="44">
        <v>87.76</v>
      </c>
      <c r="Q83" s="44">
        <v>3184</v>
      </c>
      <c r="R83" s="44">
        <v>4129.97</v>
      </c>
      <c r="S83" s="44">
        <v>3.87</v>
      </c>
      <c r="T83" s="44">
        <v>143</v>
      </c>
      <c r="U83" s="44">
        <v>48.8</v>
      </c>
      <c r="V83" s="44">
        <v>187</v>
      </c>
      <c r="W83" s="44">
        <v>6600</v>
      </c>
      <c r="X83" s="44">
        <v>6386</v>
      </c>
      <c r="Y83" s="44">
        <v>214</v>
      </c>
    </row>
    <row r="84" spans="1:25" x14ac:dyDescent="0.2">
      <c r="A84" s="50">
        <f t="shared" si="1"/>
        <v>45740</v>
      </c>
      <c r="B84" s="51">
        <v>3957.5</v>
      </c>
      <c r="C84" s="52">
        <v>3750.2</v>
      </c>
      <c r="D84" s="52">
        <v>3449.6</v>
      </c>
      <c r="E84" s="52">
        <v>603.79999999999995</v>
      </c>
      <c r="F84" s="52">
        <v>3975.3</v>
      </c>
      <c r="G84" s="52">
        <v>4520.3</v>
      </c>
      <c r="H84" s="52">
        <v>6.6</v>
      </c>
      <c r="I84" s="52">
        <v>316.60000000000002</v>
      </c>
      <c r="J84" s="52">
        <v>3130.9999999999995</v>
      </c>
      <c r="K84" s="53">
        <v>17448.899999999994</v>
      </c>
      <c r="L84" s="49">
        <v>50</v>
      </c>
      <c r="M84" s="44">
        <v>13.5</v>
      </c>
      <c r="N84" s="44">
        <v>14.849999999999994</v>
      </c>
      <c r="O84" s="44">
        <v>71663</v>
      </c>
      <c r="P84" s="44">
        <v>7227.6</v>
      </c>
      <c r="Q84" s="44">
        <v>3057.59</v>
      </c>
      <c r="R84" s="44">
        <v>24553.74</v>
      </c>
      <c r="S84" s="44">
        <v>5.62</v>
      </c>
      <c r="T84" s="44">
        <v>261.86</v>
      </c>
      <c r="U84" s="44">
        <v>90.300000000000011</v>
      </c>
      <c r="V84" s="44">
        <v>305</v>
      </c>
      <c r="W84" s="44">
        <v>12581</v>
      </c>
      <c r="X84" s="44">
        <v>11266</v>
      </c>
      <c r="Y84" s="44">
        <v>1315</v>
      </c>
    </row>
    <row r="85" spans="1:25" x14ac:dyDescent="0.2">
      <c r="A85" s="50">
        <f t="shared" si="1"/>
        <v>45741</v>
      </c>
      <c r="B85" s="51">
        <v>4338.1000000000004</v>
      </c>
      <c r="C85" s="52">
        <v>4019.7</v>
      </c>
      <c r="D85" s="52">
        <v>3726.1</v>
      </c>
      <c r="E85" s="52">
        <v>537.4</v>
      </c>
      <c r="F85" s="52">
        <v>3935.1</v>
      </c>
      <c r="G85" s="52">
        <v>3824.9</v>
      </c>
      <c r="H85" s="52">
        <v>5.4</v>
      </c>
      <c r="I85" s="52">
        <v>391.7</v>
      </c>
      <c r="J85" s="52">
        <v>3047.8000000000006</v>
      </c>
      <c r="K85" s="53">
        <v>17730.600000000002</v>
      </c>
      <c r="L85" s="49">
        <v>56</v>
      </c>
      <c r="M85" s="44">
        <v>13.199999999999818</v>
      </c>
      <c r="N85" s="44">
        <v>12.540000000000006</v>
      </c>
      <c r="O85" s="44">
        <v>40603</v>
      </c>
      <c r="P85" s="44">
        <v>9931.6</v>
      </c>
      <c r="Q85" s="44">
        <v>2790.5</v>
      </c>
      <c r="R85" s="44">
        <v>25879.200000000001</v>
      </c>
      <c r="S85" s="44">
        <v>5.37</v>
      </c>
      <c r="T85" s="44">
        <v>225.63</v>
      </c>
      <c r="U85" s="44">
        <v>79</v>
      </c>
      <c r="V85" s="44">
        <v>290</v>
      </c>
      <c r="W85" s="44">
        <v>11519</v>
      </c>
      <c r="X85" s="44">
        <v>10159</v>
      </c>
      <c r="Y85" s="44">
        <v>1360</v>
      </c>
    </row>
    <row r="86" spans="1:25" x14ac:dyDescent="0.2">
      <c r="A86" s="50">
        <f t="shared" si="1"/>
        <v>45742</v>
      </c>
      <c r="B86" s="51">
        <v>4185.67</v>
      </c>
      <c r="C86" s="52">
        <v>3524.39</v>
      </c>
      <c r="D86" s="52">
        <v>3584.52</v>
      </c>
      <c r="E86" s="52">
        <v>1109.79</v>
      </c>
      <c r="F86" s="52">
        <v>3693.17</v>
      </c>
      <c r="G86" s="52">
        <v>3614.45</v>
      </c>
      <c r="H86" s="52">
        <v>7.79</v>
      </c>
      <c r="I86" s="52">
        <v>412.2</v>
      </c>
      <c r="J86" s="52">
        <v>3012.7400000000007</v>
      </c>
      <c r="K86" s="53">
        <v>17119.239999999998</v>
      </c>
      <c r="L86" s="49">
        <v>45</v>
      </c>
      <c r="M86" s="44">
        <v>11.600000000000136</v>
      </c>
      <c r="N86" s="44">
        <v>11.320000000000007</v>
      </c>
      <c r="O86" s="44">
        <v>46808</v>
      </c>
      <c r="P86" s="44">
        <v>6186.7</v>
      </c>
      <c r="Q86" s="44">
        <v>3143.45</v>
      </c>
      <c r="R86" s="44">
        <v>32676.36</v>
      </c>
      <c r="S86" s="44">
        <v>4.09</v>
      </c>
      <c r="T86" s="44">
        <v>200.34</v>
      </c>
      <c r="U86" s="44">
        <v>68.5</v>
      </c>
      <c r="V86" s="44">
        <v>253</v>
      </c>
      <c r="W86" s="44">
        <v>9953</v>
      </c>
      <c r="X86" s="44">
        <v>8693</v>
      </c>
      <c r="Y86" s="44">
        <v>1260</v>
      </c>
    </row>
    <row r="87" spans="1:25" x14ac:dyDescent="0.2">
      <c r="A87" s="50">
        <f t="shared" si="1"/>
        <v>45743</v>
      </c>
      <c r="B87" s="51">
        <v>2240.9699999999998</v>
      </c>
      <c r="C87" s="52">
        <v>2479.13</v>
      </c>
      <c r="D87" s="52">
        <v>2026.88</v>
      </c>
      <c r="E87" s="52">
        <v>235.86</v>
      </c>
      <c r="F87" s="52">
        <v>2648.77</v>
      </c>
      <c r="G87" s="52">
        <v>3556.09</v>
      </c>
      <c r="H87" s="52">
        <v>7.43</v>
      </c>
      <c r="I87" s="52">
        <v>381.18</v>
      </c>
      <c r="J87" s="52">
        <v>3058.9800000000005</v>
      </c>
      <c r="K87" s="53">
        <v>10517.330000000002</v>
      </c>
      <c r="L87" s="49">
        <v>44</v>
      </c>
      <c r="M87" s="44">
        <v>11.899999999999864</v>
      </c>
      <c r="N87" s="44">
        <v>11.170000000000002</v>
      </c>
      <c r="O87" s="44">
        <v>8858</v>
      </c>
      <c r="P87" s="44">
        <v>4395.3999999999996</v>
      </c>
      <c r="Q87" s="44">
        <v>3248.99</v>
      </c>
      <c r="R87" s="44">
        <v>20009.54</v>
      </c>
      <c r="S87" s="44">
        <v>3.93</v>
      </c>
      <c r="T87" s="44">
        <v>101.94</v>
      </c>
      <c r="U87" s="44">
        <v>38.200000000000003</v>
      </c>
      <c r="V87" s="44">
        <v>169</v>
      </c>
      <c r="W87" s="44">
        <v>5020</v>
      </c>
      <c r="X87" s="44">
        <v>4925</v>
      </c>
      <c r="Y87" s="44">
        <v>95</v>
      </c>
    </row>
    <row r="88" spans="1:25" x14ac:dyDescent="0.2">
      <c r="A88" s="50">
        <f t="shared" si="1"/>
        <v>45744</v>
      </c>
      <c r="B88" s="51">
        <v>1228.5</v>
      </c>
      <c r="C88" s="52">
        <v>1317.9</v>
      </c>
      <c r="D88" s="52">
        <v>688.7</v>
      </c>
      <c r="E88" s="52">
        <v>335</v>
      </c>
      <c r="F88" s="52">
        <v>1579.8</v>
      </c>
      <c r="G88" s="52">
        <v>3497.9</v>
      </c>
      <c r="H88" s="52">
        <v>7.4</v>
      </c>
      <c r="I88" s="52">
        <v>350.8</v>
      </c>
      <c r="J88" s="52">
        <v>3150.4</v>
      </c>
      <c r="K88" s="53">
        <v>5855.6</v>
      </c>
      <c r="L88" s="49">
        <v>11</v>
      </c>
      <c r="M88" s="44">
        <v>11.199999999999818</v>
      </c>
      <c r="N88" s="44">
        <v>11.030000000000001</v>
      </c>
      <c r="O88" s="44">
        <v>15979</v>
      </c>
      <c r="P88" s="44">
        <v>141.66999999999999</v>
      </c>
      <c r="Q88" s="44">
        <v>3133.1</v>
      </c>
      <c r="R88" s="44">
        <v>21021.58</v>
      </c>
      <c r="S88" s="44">
        <v>3.97</v>
      </c>
      <c r="T88" s="44">
        <v>95</v>
      </c>
      <c r="U88" s="44">
        <v>31.6</v>
      </c>
      <c r="V88" s="44">
        <v>136</v>
      </c>
      <c r="W88" s="44">
        <v>4212</v>
      </c>
      <c r="X88" s="44">
        <v>4193</v>
      </c>
      <c r="Y88" s="44">
        <v>19</v>
      </c>
    </row>
    <row r="89" spans="1:25" x14ac:dyDescent="0.2">
      <c r="A89" s="50">
        <f t="shared" si="1"/>
        <v>45745</v>
      </c>
      <c r="B89" s="51">
        <v>900.1</v>
      </c>
      <c r="C89" s="52">
        <v>1213.8</v>
      </c>
      <c r="D89" s="52">
        <v>487.8</v>
      </c>
      <c r="E89" s="52">
        <v>687.3</v>
      </c>
      <c r="F89" s="52">
        <v>200.2</v>
      </c>
      <c r="G89" s="52">
        <v>2840.2</v>
      </c>
      <c r="H89" s="52">
        <v>7.84</v>
      </c>
      <c r="I89" s="52">
        <v>360.5</v>
      </c>
      <c r="J89" s="52">
        <v>2579.7000000000003</v>
      </c>
      <c r="K89" s="53">
        <v>4118.0399999999991</v>
      </c>
      <c r="L89" s="49">
        <v>10</v>
      </c>
      <c r="M89" s="44">
        <v>10.899999999999864</v>
      </c>
      <c r="N89" s="44">
        <v>11.349999999999994</v>
      </c>
      <c r="O89" s="44">
        <v>572.5</v>
      </c>
      <c r="P89" s="44">
        <v>0</v>
      </c>
      <c r="Q89" s="44">
        <v>2892.4</v>
      </c>
      <c r="R89" s="44">
        <v>14944.4</v>
      </c>
      <c r="S89" s="44">
        <v>3.93</v>
      </c>
      <c r="T89" s="44">
        <v>82</v>
      </c>
      <c r="U89" s="44">
        <v>30.5</v>
      </c>
      <c r="V89" s="44">
        <v>134</v>
      </c>
      <c r="W89" s="44">
        <v>4112</v>
      </c>
      <c r="X89" s="44">
        <v>4093</v>
      </c>
      <c r="Y89" s="44">
        <v>19</v>
      </c>
    </row>
    <row r="90" spans="1:25" x14ac:dyDescent="0.2">
      <c r="A90" s="50">
        <f t="shared" si="1"/>
        <v>45746</v>
      </c>
      <c r="B90" s="51">
        <v>815.55</v>
      </c>
      <c r="C90" s="52">
        <v>1274.21</v>
      </c>
      <c r="D90" s="52">
        <v>479.93</v>
      </c>
      <c r="E90" s="52">
        <v>77.400000000000006</v>
      </c>
      <c r="F90" s="52">
        <v>874.37</v>
      </c>
      <c r="G90" s="52">
        <v>2725.84</v>
      </c>
      <c r="H90" s="52">
        <v>8.42</v>
      </c>
      <c r="I90" s="52">
        <v>371.04</v>
      </c>
      <c r="J90" s="52">
        <v>2415.79</v>
      </c>
      <c r="K90" s="53">
        <v>4210.97</v>
      </c>
      <c r="L90" s="49">
        <v>8</v>
      </c>
      <c r="M90" s="44">
        <v>10.100000000000136</v>
      </c>
      <c r="N90" s="44">
        <v>11.11999999999999</v>
      </c>
      <c r="O90" s="44">
        <v>1108.4000000000001</v>
      </c>
      <c r="P90" s="44">
        <v>128.9</v>
      </c>
      <c r="Q90" s="44">
        <v>2790.9</v>
      </c>
      <c r="R90" s="44">
        <v>17405.72</v>
      </c>
      <c r="S90" s="44">
        <v>3.79</v>
      </c>
      <c r="T90" s="44">
        <v>111</v>
      </c>
      <c r="U90" s="44">
        <v>39.900000000000006</v>
      </c>
      <c r="V90" s="44">
        <v>157</v>
      </c>
      <c r="W90" s="44">
        <v>5205</v>
      </c>
      <c r="X90" s="44">
        <v>5044</v>
      </c>
      <c r="Y90" s="44">
        <v>161</v>
      </c>
    </row>
    <row r="91" spans="1:25" x14ac:dyDescent="0.2">
      <c r="A91" s="50">
        <f t="shared" si="1"/>
        <v>45747</v>
      </c>
      <c r="B91" s="51">
        <v>3328.71</v>
      </c>
      <c r="C91" s="52">
        <v>3351.98</v>
      </c>
      <c r="D91" s="52">
        <v>1643.81</v>
      </c>
      <c r="E91" s="52">
        <v>784.75</v>
      </c>
      <c r="F91" s="52">
        <v>2948.63</v>
      </c>
      <c r="G91" s="52">
        <v>4771.6000000000004</v>
      </c>
      <c r="H91" s="52">
        <v>4.7</v>
      </c>
      <c r="I91" s="52">
        <v>391.52</v>
      </c>
      <c r="J91" s="52">
        <v>2973.94</v>
      </c>
      <c r="K91" s="53">
        <v>14251.760000000004</v>
      </c>
      <c r="L91" s="49">
        <v>47</v>
      </c>
      <c r="M91" s="44">
        <v>11</v>
      </c>
      <c r="N91" s="44">
        <v>10.760000000000005</v>
      </c>
      <c r="O91" s="44">
        <v>48531.47</v>
      </c>
      <c r="P91" s="44">
        <v>6802.91</v>
      </c>
      <c r="Q91" s="44">
        <v>3075.49</v>
      </c>
      <c r="R91" s="44">
        <v>26200.58</v>
      </c>
      <c r="S91" s="44">
        <v>4.8899999999999997</v>
      </c>
      <c r="T91" s="44">
        <v>200.94</v>
      </c>
      <c r="U91" s="44">
        <v>69.900000000000006</v>
      </c>
      <c r="V91" s="44">
        <v>275</v>
      </c>
      <c r="W91" s="44">
        <v>9589</v>
      </c>
      <c r="X91" s="44">
        <v>8837</v>
      </c>
      <c r="Y91" s="44">
        <v>752</v>
      </c>
    </row>
    <row r="92" spans="1:25" x14ac:dyDescent="0.2">
      <c r="A92" s="50">
        <f t="shared" si="1"/>
        <v>45748</v>
      </c>
      <c r="B92" s="51">
        <v>3325.7</v>
      </c>
      <c r="C92" s="52">
        <v>3152.2</v>
      </c>
      <c r="D92" s="52">
        <v>1577.7</v>
      </c>
      <c r="E92" s="52">
        <v>854.4</v>
      </c>
      <c r="F92" s="52">
        <v>3013.2</v>
      </c>
      <c r="G92" s="52">
        <v>4607.6000000000004</v>
      </c>
      <c r="H92" s="52">
        <v>7.1</v>
      </c>
      <c r="I92" s="52">
        <v>397</v>
      </c>
      <c r="J92" s="52">
        <v>3004.7999999999997</v>
      </c>
      <c r="K92" s="53">
        <v>13930.100000000002</v>
      </c>
      <c r="L92" s="49">
        <v>48</v>
      </c>
      <c r="M92" s="44">
        <v>10.199999999999932</v>
      </c>
      <c r="N92" s="44">
        <v>9.4799999999999969</v>
      </c>
      <c r="O92" s="44">
        <v>42027.87</v>
      </c>
      <c r="P92" s="44">
        <v>7047.27</v>
      </c>
      <c r="Q92" s="44">
        <v>2779.52</v>
      </c>
      <c r="R92" s="44">
        <v>20023.07</v>
      </c>
      <c r="S92" s="44">
        <v>3.86</v>
      </c>
      <c r="T92" s="44">
        <v>171.41</v>
      </c>
      <c r="U92" s="44">
        <v>57.100000000000009</v>
      </c>
      <c r="V92" s="44">
        <v>206</v>
      </c>
      <c r="W92" s="44">
        <v>7707</v>
      </c>
      <c r="X92" s="44">
        <v>7036</v>
      </c>
      <c r="Y92" s="44">
        <v>671</v>
      </c>
    </row>
    <row r="93" spans="1:25" x14ac:dyDescent="0.2">
      <c r="A93" s="50">
        <f t="shared" si="1"/>
        <v>45749</v>
      </c>
      <c r="B93" s="51">
        <v>3500.45</v>
      </c>
      <c r="C93" s="52">
        <v>2946.24</v>
      </c>
      <c r="D93" s="52">
        <v>1657.32</v>
      </c>
      <c r="E93" s="52">
        <v>1470.33</v>
      </c>
      <c r="F93" s="52">
        <v>3282.87</v>
      </c>
      <c r="G93" s="52">
        <v>4475.43</v>
      </c>
      <c r="H93" s="52">
        <v>4.37</v>
      </c>
      <c r="I93" s="52">
        <v>411.42</v>
      </c>
      <c r="J93" s="52">
        <v>3229.0800000000004</v>
      </c>
      <c r="K93" s="53">
        <v>14519.349999999997</v>
      </c>
      <c r="L93" s="49">
        <v>48</v>
      </c>
      <c r="M93" s="44">
        <v>10.799999999999955</v>
      </c>
      <c r="N93" s="44">
        <v>8.9600000000000009</v>
      </c>
      <c r="O93" s="44">
        <v>43679.29</v>
      </c>
      <c r="P93" s="44">
        <v>5775.37</v>
      </c>
      <c r="Q93" s="44">
        <v>2419.6999999999998</v>
      </c>
      <c r="R93" s="44">
        <v>34591</v>
      </c>
      <c r="S93" s="44">
        <v>3.75</v>
      </c>
      <c r="T93" s="44">
        <v>157.52000000000001</v>
      </c>
      <c r="U93" s="44">
        <v>51.5</v>
      </c>
      <c r="V93" s="44">
        <v>211</v>
      </c>
      <c r="W93" s="44">
        <v>7195</v>
      </c>
      <c r="X93" s="44">
        <v>6549</v>
      </c>
      <c r="Y93" s="44">
        <v>646</v>
      </c>
    </row>
    <row r="94" spans="1:25" x14ac:dyDescent="0.2">
      <c r="A94" s="50">
        <f t="shared" si="1"/>
        <v>45750</v>
      </c>
      <c r="B94" s="51">
        <v>2901.77</v>
      </c>
      <c r="C94" s="52">
        <v>2874.34</v>
      </c>
      <c r="D94" s="52">
        <v>1703.91</v>
      </c>
      <c r="E94" s="52">
        <v>819.08</v>
      </c>
      <c r="F94" s="52">
        <v>3113.04</v>
      </c>
      <c r="G94" s="52">
        <v>4146.57</v>
      </c>
      <c r="H94" s="52">
        <v>5.84</v>
      </c>
      <c r="I94" s="52">
        <v>432.58</v>
      </c>
      <c r="J94" s="52">
        <v>3049.9300000000003</v>
      </c>
      <c r="K94" s="53">
        <v>12947.199999999999</v>
      </c>
      <c r="L94" s="49">
        <v>48</v>
      </c>
      <c r="M94" s="44">
        <v>11</v>
      </c>
      <c r="N94" s="44">
        <v>9.3000000000000043</v>
      </c>
      <c r="O94" s="44">
        <v>41232</v>
      </c>
      <c r="P94" s="44">
        <v>5701.71</v>
      </c>
      <c r="Q94" s="44">
        <v>3853.2</v>
      </c>
      <c r="R94" s="44">
        <v>28288.61</v>
      </c>
      <c r="S94" s="44">
        <v>3.73</v>
      </c>
      <c r="T94" s="44">
        <v>150.47999999999999</v>
      </c>
      <c r="U94" s="44">
        <v>53.099999999999994</v>
      </c>
      <c r="V94" s="44">
        <v>195</v>
      </c>
      <c r="W94" s="44">
        <v>7299</v>
      </c>
      <c r="X94" s="44">
        <v>6736</v>
      </c>
      <c r="Y94" s="44">
        <v>563</v>
      </c>
    </row>
    <row r="95" spans="1:25" x14ac:dyDescent="0.2">
      <c r="A95" s="50">
        <f t="shared" si="1"/>
        <v>45751</v>
      </c>
      <c r="B95" s="51">
        <v>2608.09</v>
      </c>
      <c r="C95" s="52">
        <v>2741.52</v>
      </c>
      <c r="D95" s="52">
        <v>1303.47</v>
      </c>
      <c r="E95" s="52">
        <v>800.75</v>
      </c>
      <c r="F95" s="52">
        <v>2728.18</v>
      </c>
      <c r="G95" s="52">
        <v>4402.16</v>
      </c>
      <c r="H95" s="52">
        <v>7.57</v>
      </c>
      <c r="I95" s="52">
        <v>387.1</v>
      </c>
      <c r="J95" s="52">
        <v>3180.4400000000005</v>
      </c>
      <c r="K95" s="53">
        <v>11798.4</v>
      </c>
      <c r="L95" s="49">
        <v>42</v>
      </c>
      <c r="M95" s="44">
        <v>11.100000000000136</v>
      </c>
      <c r="N95" s="44">
        <v>9.7000000000000028</v>
      </c>
      <c r="O95" s="44">
        <v>32392</v>
      </c>
      <c r="P95" s="44">
        <v>5481</v>
      </c>
      <c r="Q95" s="44">
        <v>4140.83</v>
      </c>
      <c r="R95" s="44">
        <v>21988.97</v>
      </c>
      <c r="S95" s="44">
        <v>3.77</v>
      </c>
      <c r="T95" s="44">
        <v>117</v>
      </c>
      <c r="U95" s="44">
        <v>40.5</v>
      </c>
      <c r="V95" s="44">
        <v>172</v>
      </c>
      <c r="W95" s="44">
        <v>5543</v>
      </c>
      <c r="X95" s="44">
        <v>5318</v>
      </c>
      <c r="Y95" s="44">
        <v>225</v>
      </c>
    </row>
    <row r="96" spans="1:25" x14ac:dyDescent="0.2">
      <c r="A96" s="50">
        <f t="shared" ref="A96:A159" si="2">A95+1</f>
        <v>45752</v>
      </c>
      <c r="B96" s="51">
        <v>893.9</v>
      </c>
      <c r="C96" s="52">
        <v>1183.2</v>
      </c>
      <c r="D96" s="52">
        <v>550.79999999999995</v>
      </c>
      <c r="E96" s="52">
        <v>76.099999999999994</v>
      </c>
      <c r="F96" s="52">
        <v>900.5</v>
      </c>
      <c r="G96" s="52">
        <v>3000.4</v>
      </c>
      <c r="H96" s="52">
        <v>9.1</v>
      </c>
      <c r="I96" s="52">
        <v>353.7</v>
      </c>
      <c r="J96" s="52">
        <v>2695.7999999999997</v>
      </c>
      <c r="K96" s="53">
        <v>4271.8999999999996</v>
      </c>
      <c r="L96" s="49">
        <v>8</v>
      </c>
      <c r="M96" s="44">
        <v>9.2999999999999545</v>
      </c>
      <c r="N96" s="44">
        <v>9.36</v>
      </c>
      <c r="O96" s="44">
        <v>566</v>
      </c>
      <c r="P96" s="44">
        <v>79</v>
      </c>
      <c r="Q96" s="44">
        <v>2901</v>
      </c>
      <c r="R96" s="44">
        <v>15643.82</v>
      </c>
      <c r="S96" s="44">
        <v>3.88</v>
      </c>
      <c r="T96" s="44">
        <v>74</v>
      </c>
      <c r="U96" s="44">
        <v>25</v>
      </c>
      <c r="V96" s="44">
        <v>118</v>
      </c>
      <c r="W96" s="44">
        <v>3389</v>
      </c>
      <c r="X96" s="44">
        <v>3313</v>
      </c>
      <c r="Y96" s="44">
        <v>76</v>
      </c>
    </row>
    <row r="97" spans="1:25" x14ac:dyDescent="0.2">
      <c r="A97" s="50">
        <f t="shared" si="2"/>
        <v>45753</v>
      </c>
      <c r="B97" s="51">
        <v>831.09</v>
      </c>
      <c r="C97" s="52">
        <v>1187.3800000000001</v>
      </c>
      <c r="D97" s="52">
        <v>422.81</v>
      </c>
      <c r="E97" s="52">
        <v>58.91</v>
      </c>
      <c r="F97" s="52">
        <v>184.68</v>
      </c>
      <c r="G97" s="52">
        <v>2645</v>
      </c>
      <c r="H97" s="52">
        <v>7.39</v>
      </c>
      <c r="I97" s="52">
        <v>398.88</v>
      </c>
      <c r="J97" s="52">
        <v>2328.34</v>
      </c>
      <c r="K97" s="53">
        <v>3407.8</v>
      </c>
      <c r="L97" s="49">
        <v>14</v>
      </c>
      <c r="M97" s="44">
        <v>9.9000000000000909</v>
      </c>
      <c r="N97" s="44">
        <v>9.009999999999998</v>
      </c>
      <c r="O97" s="44">
        <v>697.63</v>
      </c>
      <c r="P97" s="44">
        <v>191.03</v>
      </c>
      <c r="Q97" s="44">
        <v>2879.65</v>
      </c>
      <c r="R97" s="44">
        <v>5035.91</v>
      </c>
      <c r="S97" s="44">
        <v>3.65</v>
      </c>
      <c r="T97" s="44">
        <v>86</v>
      </c>
      <c r="U97" s="44">
        <v>29.6</v>
      </c>
      <c r="V97" s="44">
        <v>132</v>
      </c>
      <c r="W97" s="44">
        <v>4082</v>
      </c>
      <c r="X97" s="44">
        <v>4006</v>
      </c>
      <c r="Y97" s="44">
        <v>76</v>
      </c>
    </row>
    <row r="98" spans="1:25" x14ac:dyDescent="0.2">
      <c r="A98" s="50">
        <f t="shared" si="2"/>
        <v>45754</v>
      </c>
      <c r="B98" s="51">
        <v>3384.56</v>
      </c>
      <c r="C98" s="52">
        <v>3219.03</v>
      </c>
      <c r="D98" s="52">
        <v>1462.72</v>
      </c>
      <c r="E98" s="52">
        <v>1401.05</v>
      </c>
      <c r="F98" s="52">
        <v>3272.74</v>
      </c>
      <c r="G98" s="52">
        <v>4451.9399999999996</v>
      </c>
      <c r="H98" s="52">
        <v>5.83</v>
      </c>
      <c r="I98" s="52">
        <v>474.48</v>
      </c>
      <c r="J98" s="52">
        <v>3134.44</v>
      </c>
      <c r="K98" s="53">
        <v>14537.910000000002</v>
      </c>
      <c r="L98" s="49">
        <v>51</v>
      </c>
      <c r="M98" s="44">
        <v>11.799999999999955</v>
      </c>
      <c r="N98" s="44">
        <v>8.9600000000000009</v>
      </c>
      <c r="O98" s="44">
        <v>44944</v>
      </c>
      <c r="P98" s="44">
        <v>6733.42</v>
      </c>
      <c r="Q98" s="44">
        <v>3381.55</v>
      </c>
      <c r="R98" s="44">
        <v>33363.25</v>
      </c>
      <c r="S98" s="44">
        <v>3.65</v>
      </c>
      <c r="T98" s="44">
        <v>172.65</v>
      </c>
      <c r="U98" s="44">
        <v>59.3</v>
      </c>
      <c r="V98" s="44">
        <v>234</v>
      </c>
      <c r="W98" s="44">
        <v>8399</v>
      </c>
      <c r="X98" s="44">
        <v>7711</v>
      </c>
      <c r="Y98" s="44">
        <v>688</v>
      </c>
    </row>
    <row r="99" spans="1:25" x14ac:dyDescent="0.2">
      <c r="A99" s="50">
        <f t="shared" si="2"/>
        <v>45755</v>
      </c>
      <c r="B99" s="51">
        <v>3151.62</v>
      </c>
      <c r="C99" s="52">
        <v>2952.32</v>
      </c>
      <c r="D99" s="52">
        <v>1484.95</v>
      </c>
      <c r="E99" s="52">
        <v>1682.36</v>
      </c>
      <c r="F99" s="52">
        <v>2189.5</v>
      </c>
      <c r="G99" s="52">
        <v>4301.22</v>
      </c>
      <c r="H99" s="52">
        <v>6.07</v>
      </c>
      <c r="I99" s="52">
        <v>419.64</v>
      </c>
      <c r="J99" s="52">
        <v>3128.52</v>
      </c>
      <c r="K99" s="53">
        <v>13059.16</v>
      </c>
      <c r="L99" s="49">
        <v>48</v>
      </c>
      <c r="M99" s="44">
        <v>10.800000000000182</v>
      </c>
      <c r="N99" s="44">
        <v>10.580000000000005</v>
      </c>
      <c r="O99" s="44">
        <v>51959.839999999997</v>
      </c>
      <c r="P99" s="44">
        <v>6539.06</v>
      </c>
      <c r="Q99" s="44">
        <v>2756.03</v>
      </c>
      <c r="R99" s="44">
        <v>20945.45</v>
      </c>
      <c r="S99" s="44">
        <v>3.75</v>
      </c>
      <c r="T99" s="44">
        <v>142.91999999999999</v>
      </c>
      <c r="U99" s="44">
        <v>52.2</v>
      </c>
      <c r="V99" s="44">
        <v>209</v>
      </c>
      <c r="W99" s="44">
        <v>7170</v>
      </c>
      <c r="X99" s="44">
        <v>6658</v>
      </c>
      <c r="Y99" s="44">
        <v>512</v>
      </c>
    </row>
    <row r="100" spans="1:25" x14ac:dyDescent="0.2">
      <c r="A100" s="50">
        <f t="shared" si="2"/>
        <v>45756</v>
      </c>
      <c r="B100" s="51">
        <v>3995.1</v>
      </c>
      <c r="C100" s="52">
        <v>2601.5</v>
      </c>
      <c r="D100" s="52">
        <v>1379.9</v>
      </c>
      <c r="E100" s="52">
        <v>2292.4</v>
      </c>
      <c r="F100" s="52">
        <v>2685.7</v>
      </c>
      <c r="G100" s="52">
        <v>4069.3</v>
      </c>
      <c r="H100" s="52">
        <v>5.9</v>
      </c>
      <c r="I100" s="52">
        <v>196.2</v>
      </c>
      <c r="J100" s="52">
        <v>2890</v>
      </c>
      <c r="K100" s="53">
        <v>14336</v>
      </c>
      <c r="L100" s="49">
        <v>47</v>
      </c>
      <c r="M100" s="44">
        <v>11.299999999999955</v>
      </c>
      <c r="N100" s="44">
        <v>10.189999999999998</v>
      </c>
      <c r="O100" s="44">
        <v>55898</v>
      </c>
      <c r="P100" s="44">
        <v>6004.61</v>
      </c>
      <c r="Q100" s="44">
        <v>1320</v>
      </c>
      <c r="R100" s="44">
        <v>36090.769999999997</v>
      </c>
      <c r="S100" s="44">
        <v>3.63</v>
      </c>
      <c r="T100" s="44">
        <v>141.16</v>
      </c>
      <c r="U100" s="44">
        <v>47.3</v>
      </c>
      <c r="V100" s="44">
        <v>203</v>
      </c>
      <c r="W100" s="44">
        <v>6720</v>
      </c>
      <c r="X100" s="44">
        <v>6226</v>
      </c>
      <c r="Y100" s="44">
        <v>494</v>
      </c>
    </row>
    <row r="101" spans="1:25" x14ac:dyDescent="0.2">
      <c r="A101" s="50">
        <f t="shared" si="2"/>
        <v>45757</v>
      </c>
      <c r="B101" s="51">
        <v>3278.4</v>
      </c>
      <c r="C101" s="52">
        <v>2813</v>
      </c>
      <c r="D101" s="52">
        <v>1509.6</v>
      </c>
      <c r="E101" s="52">
        <v>2289.5</v>
      </c>
      <c r="F101" s="52">
        <v>2275.8000000000002</v>
      </c>
      <c r="G101" s="52">
        <v>4270.2</v>
      </c>
      <c r="H101" s="52">
        <v>5.05</v>
      </c>
      <c r="I101" s="52">
        <v>98.44</v>
      </c>
      <c r="J101" s="52">
        <v>2957.6100000000006</v>
      </c>
      <c r="K101" s="53">
        <v>13582.379999999997</v>
      </c>
      <c r="L101" s="49">
        <v>44</v>
      </c>
      <c r="M101" s="44">
        <v>10.099999999999909</v>
      </c>
      <c r="N101" s="44">
        <v>10.240000000000002</v>
      </c>
      <c r="O101" s="44">
        <v>53964.2</v>
      </c>
      <c r="P101" s="44">
        <v>6134.15</v>
      </c>
      <c r="Q101" s="44">
        <v>0</v>
      </c>
      <c r="R101" s="44">
        <v>28577.9</v>
      </c>
      <c r="S101" s="44">
        <v>3.45</v>
      </c>
      <c r="T101" s="44">
        <v>135.99</v>
      </c>
      <c r="U101" s="44">
        <v>47.2</v>
      </c>
      <c r="V101" s="44">
        <v>192</v>
      </c>
      <c r="W101" s="44">
        <v>6492</v>
      </c>
      <c r="X101" s="44">
        <v>5992</v>
      </c>
      <c r="Y101" s="44">
        <v>500</v>
      </c>
    </row>
    <row r="102" spans="1:25" x14ac:dyDescent="0.2">
      <c r="A102" s="50">
        <f t="shared" si="2"/>
        <v>45758</v>
      </c>
      <c r="B102" s="51">
        <v>2906.12</v>
      </c>
      <c r="C102" s="52">
        <v>2650.77</v>
      </c>
      <c r="D102" s="52">
        <v>1390.59</v>
      </c>
      <c r="E102" s="52">
        <v>2371.77</v>
      </c>
      <c r="F102" s="52">
        <v>1653.09</v>
      </c>
      <c r="G102" s="52">
        <v>4540.8</v>
      </c>
      <c r="H102" s="52">
        <v>6.35</v>
      </c>
      <c r="I102" s="52">
        <v>80.400000000000006</v>
      </c>
      <c r="J102" s="52">
        <v>2937.7799999999997</v>
      </c>
      <c r="K102" s="53">
        <v>12662.11</v>
      </c>
      <c r="L102" s="49">
        <v>40</v>
      </c>
      <c r="M102" s="44">
        <v>11.699999999999818</v>
      </c>
      <c r="N102" s="44">
        <v>10.749999999999993</v>
      </c>
      <c r="O102" s="44">
        <v>50637</v>
      </c>
      <c r="P102" s="44">
        <v>4953.12</v>
      </c>
      <c r="Q102" s="44">
        <v>0</v>
      </c>
      <c r="R102" s="44">
        <v>30588</v>
      </c>
      <c r="S102" s="44">
        <v>3.56</v>
      </c>
      <c r="T102" s="44">
        <v>147</v>
      </c>
      <c r="U102" s="44">
        <v>50.6</v>
      </c>
      <c r="V102" s="44">
        <v>207</v>
      </c>
      <c r="W102" s="44">
        <v>6773</v>
      </c>
      <c r="X102" s="44">
        <v>6519</v>
      </c>
      <c r="Y102" s="44">
        <v>254</v>
      </c>
    </row>
    <row r="103" spans="1:25" x14ac:dyDescent="0.2">
      <c r="A103" s="50">
        <f t="shared" si="2"/>
        <v>45759</v>
      </c>
      <c r="B103" s="51">
        <v>1114.08</v>
      </c>
      <c r="C103" s="52">
        <v>1205.33</v>
      </c>
      <c r="D103" s="52">
        <v>423.66</v>
      </c>
      <c r="E103" s="52">
        <v>1623.6</v>
      </c>
      <c r="F103" s="52">
        <v>203.12</v>
      </c>
      <c r="G103" s="52">
        <v>3019.25</v>
      </c>
      <c r="H103" s="52">
        <v>4.68</v>
      </c>
      <c r="I103" s="52">
        <v>69.2</v>
      </c>
      <c r="J103" s="52">
        <v>2503.5700000000002</v>
      </c>
      <c r="K103" s="53">
        <v>5159.3500000000004</v>
      </c>
      <c r="L103" s="49">
        <v>8</v>
      </c>
      <c r="M103" s="44">
        <v>9.5</v>
      </c>
      <c r="N103" s="44">
        <v>10.119999999999997</v>
      </c>
      <c r="O103" s="44">
        <v>17.3</v>
      </c>
      <c r="P103" s="44">
        <v>3.77</v>
      </c>
      <c r="Q103" s="44">
        <v>0</v>
      </c>
      <c r="R103" s="44">
        <v>20117.13</v>
      </c>
      <c r="S103" s="44">
        <v>3.72</v>
      </c>
      <c r="T103" s="44">
        <v>88</v>
      </c>
      <c r="U103" s="44">
        <v>29.9</v>
      </c>
      <c r="V103" s="44">
        <v>147</v>
      </c>
      <c r="W103" s="44">
        <v>4084</v>
      </c>
      <c r="X103" s="44">
        <v>4065</v>
      </c>
      <c r="Y103" s="44">
        <v>19</v>
      </c>
    </row>
    <row r="104" spans="1:25" x14ac:dyDescent="0.2">
      <c r="A104" s="50">
        <f t="shared" si="2"/>
        <v>45760</v>
      </c>
      <c r="B104" s="51">
        <v>978.4</v>
      </c>
      <c r="C104" s="52">
        <v>1307.3</v>
      </c>
      <c r="D104" s="52">
        <v>418</v>
      </c>
      <c r="E104" s="52">
        <v>1152.5999999999999</v>
      </c>
      <c r="F104" s="52">
        <v>223.3</v>
      </c>
      <c r="G104" s="52">
        <v>3092.7</v>
      </c>
      <c r="H104" s="52">
        <v>7.4</v>
      </c>
      <c r="I104" s="52">
        <v>71.7</v>
      </c>
      <c r="J104" s="52">
        <v>2637.7</v>
      </c>
      <c r="K104" s="53">
        <v>4613.6999999999989</v>
      </c>
      <c r="L104" s="49">
        <v>11</v>
      </c>
      <c r="M104" s="44">
        <v>9</v>
      </c>
      <c r="N104" s="44">
        <v>10.170000000000002</v>
      </c>
      <c r="O104" s="44">
        <v>756</v>
      </c>
      <c r="P104" s="44">
        <v>190.05</v>
      </c>
      <c r="Q104" s="44">
        <v>0</v>
      </c>
      <c r="R104" s="44">
        <v>20599.32</v>
      </c>
      <c r="S104" s="44">
        <v>3.71</v>
      </c>
      <c r="T104" s="44">
        <v>93</v>
      </c>
      <c r="U104" s="44">
        <v>33.799999999999997</v>
      </c>
      <c r="V104" s="44">
        <v>164</v>
      </c>
      <c r="W104" s="44">
        <v>4732</v>
      </c>
      <c r="X104" s="44">
        <v>4625</v>
      </c>
      <c r="Y104" s="44">
        <v>107</v>
      </c>
    </row>
    <row r="105" spans="1:25" x14ac:dyDescent="0.2">
      <c r="A105" s="50">
        <f t="shared" si="2"/>
        <v>45761</v>
      </c>
      <c r="B105" s="51">
        <v>3599.6</v>
      </c>
      <c r="C105" s="52">
        <v>3139.5</v>
      </c>
      <c r="D105" s="52">
        <v>1475.1</v>
      </c>
      <c r="E105" s="52">
        <v>3055.7</v>
      </c>
      <c r="F105" s="52">
        <v>2408.6</v>
      </c>
      <c r="G105" s="52">
        <v>4887.1000000000004</v>
      </c>
      <c r="H105" s="52">
        <v>3.26</v>
      </c>
      <c r="I105" s="52">
        <v>91.2</v>
      </c>
      <c r="J105" s="52">
        <v>3316.3</v>
      </c>
      <c r="K105" s="53">
        <v>15343.760000000002</v>
      </c>
      <c r="L105" s="49">
        <v>43.5</v>
      </c>
      <c r="M105" s="44">
        <v>11.099999999999909</v>
      </c>
      <c r="N105" s="44">
        <v>10.440000000000005</v>
      </c>
      <c r="O105" s="44">
        <v>62532</v>
      </c>
      <c r="P105" s="44">
        <v>5921.47</v>
      </c>
      <c r="Q105" s="44">
        <v>0</v>
      </c>
      <c r="R105" s="44">
        <v>35517.9</v>
      </c>
      <c r="S105" s="44">
        <v>3.01</v>
      </c>
      <c r="T105" s="44">
        <v>178.03</v>
      </c>
      <c r="U105" s="44">
        <v>59.7</v>
      </c>
      <c r="V105" s="44">
        <v>252</v>
      </c>
      <c r="W105" s="44">
        <v>8505</v>
      </c>
      <c r="X105" s="44">
        <v>7774</v>
      </c>
      <c r="Y105" s="44">
        <v>731</v>
      </c>
    </row>
    <row r="106" spans="1:25" x14ac:dyDescent="0.2">
      <c r="A106" s="50">
        <f t="shared" si="2"/>
        <v>45762</v>
      </c>
      <c r="B106" s="51">
        <v>0</v>
      </c>
      <c r="C106" s="52">
        <v>3096.24</v>
      </c>
      <c r="D106" s="52">
        <v>1511.21</v>
      </c>
      <c r="E106" s="52">
        <v>2884.46</v>
      </c>
      <c r="F106" s="52">
        <v>2187.79</v>
      </c>
      <c r="G106" s="52">
        <v>4452.3500000000004</v>
      </c>
      <c r="H106" s="52">
        <v>5.46</v>
      </c>
      <c r="I106" s="52">
        <v>81.44</v>
      </c>
      <c r="J106" s="52">
        <v>2864.91</v>
      </c>
      <c r="K106" s="53">
        <v>11354.04</v>
      </c>
      <c r="L106" s="49">
        <v>43.5</v>
      </c>
      <c r="M106" s="44">
        <v>25</v>
      </c>
      <c r="N106" s="44">
        <v>10.089999999999996</v>
      </c>
      <c r="O106" s="44">
        <v>63144</v>
      </c>
      <c r="P106" s="44">
        <v>6482.73</v>
      </c>
      <c r="Q106" s="44">
        <v>0</v>
      </c>
      <c r="R106" s="44">
        <v>29503.7</v>
      </c>
      <c r="S106" s="44">
        <v>2.83</v>
      </c>
      <c r="T106" s="44">
        <v>154.03</v>
      </c>
      <c r="U106" s="44">
        <v>52.5</v>
      </c>
      <c r="V106" s="44">
        <v>222</v>
      </c>
      <c r="W106" s="44">
        <v>7428</v>
      </c>
      <c r="X106" s="44">
        <v>6845</v>
      </c>
      <c r="Y106" s="44">
        <v>583</v>
      </c>
    </row>
    <row r="107" spans="1:25" x14ac:dyDescent="0.2">
      <c r="A107" s="50">
        <f t="shared" si="2"/>
        <v>45763</v>
      </c>
      <c r="B107" s="51">
        <v>0</v>
      </c>
      <c r="C107" s="52">
        <v>3055.8</v>
      </c>
      <c r="D107" s="52">
        <v>1482.3</v>
      </c>
      <c r="E107" s="52">
        <v>2386.66</v>
      </c>
      <c r="F107" s="52">
        <v>2207.27</v>
      </c>
      <c r="G107" s="52">
        <v>4574.7700000000004</v>
      </c>
      <c r="H107" s="52">
        <v>4.54</v>
      </c>
      <c r="I107" s="52">
        <v>81.900000000000006</v>
      </c>
      <c r="J107" s="52">
        <v>2972.74</v>
      </c>
      <c r="K107" s="53">
        <v>10820.500000000002</v>
      </c>
      <c r="L107" s="49">
        <v>44</v>
      </c>
      <c r="M107" s="44">
        <v>9</v>
      </c>
      <c r="N107" s="44">
        <v>7.8499999999999943</v>
      </c>
      <c r="O107" s="44">
        <v>69050</v>
      </c>
      <c r="P107" s="44">
        <v>5612.83</v>
      </c>
      <c r="Q107" s="44">
        <v>0</v>
      </c>
      <c r="R107" s="44">
        <v>28158.63</v>
      </c>
      <c r="S107" s="44">
        <v>2.99</v>
      </c>
      <c r="T107" s="44">
        <v>149.03</v>
      </c>
      <c r="U107" s="44">
        <v>49.3</v>
      </c>
      <c r="V107" s="44">
        <v>218</v>
      </c>
      <c r="W107" s="44">
        <v>7086</v>
      </c>
      <c r="X107" s="44">
        <v>6518</v>
      </c>
      <c r="Y107" s="44">
        <v>568</v>
      </c>
    </row>
    <row r="108" spans="1:25" x14ac:dyDescent="0.2">
      <c r="A108" s="50">
        <f t="shared" si="2"/>
        <v>45764</v>
      </c>
      <c r="B108" s="51">
        <v>3030.6</v>
      </c>
      <c r="C108" s="52">
        <v>2768.4</v>
      </c>
      <c r="D108" s="52">
        <v>1496.5</v>
      </c>
      <c r="E108" s="52">
        <v>2526</v>
      </c>
      <c r="F108" s="52">
        <v>2027.8</v>
      </c>
      <c r="G108" s="52">
        <v>4496.8</v>
      </c>
      <c r="H108" s="52">
        <v>5.0999999999999996</v>
      </c>
      <c r="I108" s="52">
        <v>81.3</v>
      </c>
      <c r="J108" s="52">
        <v>3001.3</v>
      </c>
      <c r="K108" s="53">
        <v>13431.2</v>
      </c>
      <c r="L108" s="49">
        <v>43</v>
      </c>
      <c r="M108" s="44">
        <v>10.099999999999909</v>
      </c>
      <c r="N108" s="44">
        <v>8.4200000000000017</v>
      </c>
      <c r="O108" s="44">
        <v>50669</v>
      </c>
      <c r="P108" s="44">
        <v>4600.26</v>
      </c>
      <c r="Q108" s="44">
        <v>0</v>
      </c>
      <c r="R108" s="44">
        <v>25838.99</v>
      </c>
      <c r="S108" s="44">
        <v>2.96</v>
      </c>
      <c r="T108" s="44">
        <v>129.03</v>
      </c>
      <c r="U108" s="44">
        <v>44</v>
      </c>
      <c r="V108" s="44">
        <v>196</v>
      </c>
      <c r="W108" s="44">
        <v>6349</v>
      </c>
      <c r="X108" s="44">
        <v>5867</v>
      </c>
      <c r="Y108" s="44">
        <v>482</v>
      </c>
    </row>
    <row r="109" spans="1:25" x14ac:dyDescent="0.2">
      <c r="A109" s="50">
        <f t="shared" si="2"/>
        <v>45765</v>
      </c>
      <c r="B109" s="51">
        <v>2702.4</v>
      </c>
      <c r="C109" s="52">
        <v>2588.1</v>
      </c>
      <c r="D109" s="52">
        <v>1324.3</v>
      </c>
      <c r="E109" s="52">
        <v>1687.4</v>
      </c>
      <c r="F109" s="52">
        <v>1645.6</v>
      </c>
      <c r="G109" s="52">
        <v>3758.2</v>
      </c>
      <c r="H109" s="52">
        <v>6.1</v>
      </c>
      <c r="I109" s="52">
        <v>89</v>
      </c>
      <c r="J109" s="52">
        <v>2710.9000000000005</v>
      </c>
      <c r="K109" s="53">
        <v>11090.2</v>
      </c>
      <c r="L109" s="49">
        <v>38</v>
      </c>
      <c r="M109" s="44">
        <v>11</v>
      </c>
      <c r="N109" s="44">
        <v>9.8400000000000034</v>
      </c>
      <c r="O109" s="44">
        <v>48273</v>
      </c>
      <c r="P109" s="44">
        <v>6133.66</v>
      </c>
      <c r="Q109" s="44">
        <v>0</v>
      </c>
      <c r="R109" s="44">
        <v>18496.02</v>
      </c>
      <c r="S109" s="44">
        <v>2.89</v>
      </c>
      <c r="T109" s="44">
        <v>103.03</v>
      </c>
      <c r="U109" s="44">
        <v>36.700000000000003</v>
      </c>
      <c r="V109" s="44">
        <v>174</v>
      </c>
      <c r="W109" s="44">
        <v>5182</v>
      </c>
      <c r="X109" s="44">
        <v>4950</v>
      </c>
      <c r="Y109" s="44">
        <v>232</v>
      </c>
    </row>
    <row r="110" spans="1:25" x14ac:dyDescent="0.2">
      <c r="A110" s="50">
        <f t="shared" si="2"/>
        <v>45766</v>
      </c>
      <c r="B110" s="51">
        <v>858.47</v>
      </c>
      <c r="C110" s="52">
        <v>1225.18</v>
      </c>
      <c r="D110" s="52">
        <v>569.48</v>
      </c>
      <c r="E110" s="52">
        <v>1034.26</v>
      </c>
      <c r="F110" s="52">
        <v>203.5</v>
      </c>
      <c r="G110" s="52">
        <v>2255.14</v>
      </c>
      <c r="H110" s="52">
        <v>7.78</v>
      </c>
      <c r="I110" s="52">
        <v>78</v>
      </c>
      <c r="J110" s="52">
        <v>1942.75</v>
      </c>
      <c r="K110" s="53">
        <v>4289.0600000000004</v>
      </c>
      <c r="L110" s="49">
        <v>6</v>
      </c>
      <c r="M110" s="44">
        <v>9.5</v>
      </c>
      <c r="N110" s="44">
        <v>9.6700000000000017</v>
      </c>
      <c r="O110" s="44">
        <v>824.27</v>
      </c>
      <c r="P110" s="44">
        <v>4.2699999999999996</v>
      </c>
      <c r="Q110" s="44">
        <v>0</v>
      </c>
      <c r="R110" s="44">
        <v>14944.98</v>
      </c>
      <c r="S110" s="44">
        <v>2.95</v>
      </c>
      <c r="T110" s="44">
        <v>67.03</v>
      </c>
      <c r="U110" s="44">
        <v>23.3</v>
      </c>
      <c r="V110" s="44">
        <v>118</v>
      </c>
      <c r="W110" s="44">
        <v>3127</v>
      </c>
      <c r="X110" s="44">
        <v>3109</v>
      </c>
      <c r="Y110" s="44">
        <v>18</v>
      </c>
    </row>
    <row r="111" spans="1:25" x14ac:dyDescent="0.2">
      <c r="A111" s="50">
        <f t="shared" si="2"/>
        <v>45767</v>
      </c>
      <c r="B111" s="51">
        <v>781.5</v>
      </c>
      <c r="C111" s="52">
        <v>1277.92</v>
      </c>
      <c r="D111" s="52">
        <v>533.48</v>
      </c>
      <c r="E111" s="52">
        <v>1230.17</v>
      </c>
      <c r="F111" s="52">
        <v>198.54</v>
      </c>
      <c r="G111" s="52">
        <v>2180.64</v>
      </c>
      <c r="H111" s="52">
        <v>7.15</v>
      </c>
      <c r="I111" s="52">
        <v>77.42</v>
      </c>
      <c r="J111" s="52">
        <v>1899.3700000000001</v>
      </c>
      <c r="K111" s="53">
        <v>4387.45</v>
      </c>
      <c r="L111" s="49">
        <v>7</v>
      </c>
      <c r="M111" s="44">
        <v>8.7999999999999545</v>
      </c>
      <c r="N111" s="44">
        <v>8.9699999999999989</v>
      </c>
      <c r="O111" s="44">
        <v>388.75</v>
      </c>
      <c r="P111" s="44">
        <v>152.63</v>
      </c>
      <c r="Q111" s="44">
        <v>0</v>
      </c>
      <c r="R111" s="44">
        <v>17707.84</v>
      </c>
      <c r="S111" s="44">
        <v>3.07</v>
      </c>
      <c r="T111" s="44">
        <v>77.03</v>
      </c>
      <c r="U111" s="44">
        <v>28.599999999999998</v>
      </c>
      <c r="V111" s="44">
        <v>142</v>
      </c>
      <c r="W111" s="44">
        <v>4034</v>
      </c>
      <c r="X111" s="44">
        <v>3937</v>
      </c>
      <c r="Y111" s="44">
        <v>97</v>
      </c>
    </row>
    <row r="112" spans="1:25" x14ac:dyDescent="0.2">
      <c r="A112" s="50">
        <f t="shared" si="2"/>
        <v>45768</v>
      </c>
      <c r="B112" s="51">
        <v>3146.6</v>
      </c>
      <c r="C112" s="52">
        <v>3082.5</v>
      </c>
      <c r="D112" s="52">
        <v>1478</v>
      </c>
      <c r="E112" s="52">
        <v>1848.9</v>
      </c>
      <c r="F112" s="52">
        <v>1923.6</v>
      </c>
      <c r="G112" s="52">
        <v>4456.3999999999996</v>
      </c>
      <c r="H112" s="52">
        <v>6.5</v>
      </c>
      <c r="I112" s="52">
        <v>92.76</v>
      </c>
      <c r="J112" s="52">
        <v>3016.7999999999997</v>
      </c>
      <c r="K112" s="53">
        <v>13018.460000000001</v>
      </c>
      <c r="L112" s="49">
        <v>51</v>
      </c>
      <c r="M112" s="44">
        <v>11.200000000000045</v>
      </c>
      <c r="N112" s="44">
        <v>9.3100000000000023</v>
      </c>
      <c r="O112" s="44">
        <v>42475</v>
      </c>
      <c r="P112" s="44">
        <v>5350.9</v>
      </c>
      <c r="Q112" s="44">
        <v>0</v>
      </c>
      <c r="R112" s="44">
        <v>20614.740000000002</v>
      </c>
      <c r="S112" s="44">
        <v>1.8</v>
      </c>
      <c r="T112" s="44">
        <v>144.03</v>
      </c>
      <c r="U112" s="44">
        <v>48.1</v>
      </c>
      <c r="V112" s="44">
        <v>207</v>
      </c>
      <c r="W112" s="44">
        <v>7030</v>
      </c>
      <c r="X112" s="44">
        <v>6369</v>
      </c>
      <c r="Y112" s="44">
        <v>661</v>
      </c>
    </row>
    <row r="113" spans="1:25" x14ac:dyDescent="0.2">
      <c r="A113" s="50">
        <f t="shared" si="2"/>
        <v>45769</v>
      </c>
      <c r="B113" s="51">
        <v>3266.5</v>
      </c>
      <c r="C113" s="52">
        <v>2872.7</v>
      </c>
      <c r="D113" s="52">
        <v>1458.8</v>
      </c>
      <c r="E113" s="52">
        <v>2353.8000000000002</v>
      </c>
      <c r="F113" s="52">
        <v>1658.1</v>
      </c>
      <c r="G113" s="52">
        <v>4099.6000000000004</v>
      </c>
      <c r="H113" s="52">
        <v>4.7300000000000004</v>
      </c>
      <c r="I113" s="52">
        <v>87.5</v>
      </c>
      <c r="J113" s="52">
        <v>2847.6000000000004</v>
      </c>
      <c r="K113" s="53">
        <v>12954.13</v>
      </c>
      <c r="L113" s="49">
        <v>43</v>
      </c>
      <c r="M113" s="44">
        <v>11</v>
      </c>
      <c r="N113" s="44">
        <v>9.3999999999999986</v>
      </c>
      <c r="O113" s="44">
        <v>41522</v>
      </c>
      <c r="P113" s="44">
        <v>5695.6</v>
      </c>
      <c r="Q113" s="44">
        <v>0</v>
      </c>
      <c r="R113" s="44">
        <v>19899.900000000001</v>
      </c>
      <c r="S113" s="44">
        <v>1.6</v>
      </c>
      <c r="T113" s="44">
        <v>105.03</v>
      </c>
      <c r="U113" s="44">
        <v>38.299999999999997</v>
      </c>
      <c r="V113" s="44">
        <v>179</v>
      </c>
      <c r="W113" s="44">
        <v>5744</v>
      </c>
      <c r="X113" s="44">
        <v>5107</v>
      </c>
      <c r="Y113" s="44">
        <v>637</v>
      </c>
    </row>
    <row r="114" spans="1:25" x14ac:dyDescent="0.2">
      <c r="A114" s="50">
        <f t="shared" si="2"/>
        <v>45770</v>
      </c>
      <c r="B114" s="51">
        <v>3892.75</v>
      </c>
      <c r="C114" s="52">
        <v>3054.74</v>
      </c>
      <c r="D114" s="52">
        <v>2157.1799999999998</v>
      </c>
      <c r="E114" s="52">
        <v>2741.32</v>
      </c>
      <c r="F114" s="52">
        <v>1907.78</v>
      </c>
      <c r="G114" s="52">
        <v>4530.5</v>
      </c>
      <c r="H114" s="52">
        <v>5.93</v>
      </c>
      <c r="I114" s="52">
        <v>86.24</v>
      </c>
      <c r="J114" s="52">
        <v>3088.86</v>
      </c>
      <c r="K114" s="53">
        <v>15287.580000000002</v>
      </c>
      <c r="L114" s="49">
        <v>46</v>
      </c>
      <c r="M114" s="44">
        <v>11.900000000000091</v>
      </c>
      <c r="N114" s="44">
        <v>9.5500000000000043</v>
      </c>
      <c r="O114" s="44">
        <v>60072</v>
      </c>
      <c r="P114" s="44">
        <v>5744.02</v>
      </c>
      <c r="Q114" s="44">
        <v>0</v>
      </c>
      <c r="R114" s="44">
        <v>26590.83</v>
      </c>
      <c r="S114" s="44">
        <v>1.5</v>
      </c>
      <c r="T114" s="44">
        <v>103.03</v>
      </c>
      <c r="U114" s="44">
        <v>36.799999999999997</v>
      </c>
      <c r="V114" s="44">
        <v>176</v>
      </c>
      <c r="W114" s="44">
        <v>5356</v>
      </c>
      <c r="X114" s="44">
        <v>4830</v>
      </c>
      <c r="Y114" s="44">
        <v>526</v>
      </c>
    </row>
    <row r="115" spans="1:25" x14ac:dyDescent="0.2">
      <c r="A115" s="50">
        <f t="shared" si="2"/>
        <v>45771</v>
      </c>
      <c r="B115" s="51">
        <v>3610.28</v>
      </c>
      <c r="C115" s="52">
        <v>2865.01</v>
      </c>
      <c r="D115" s="52">
        <v>1779.78</v>
      </c>
      <c r="E115" s="52">
        <v>1984.99</v>
      </c>
      <c r="F115" s="52">
        <v>1505.9</v>
      </c>
      <c r="G115" s="52">
        <v>4461.8999999999996</v>
      </c>
      <c r="H115" s="52">
        <v>5.03</v>
      </c>
      <c r="I115" s="52">
        <v>378.94</v>
      </c>
      <c r="J115" s="52">
        <v>3298.1800000000003</v>
      </c>
      <c r="K115" s="53">
        <v>13293.650000000001</v>
      </c>
      <c r="L115" s="49">
        <v>46</v>
      </c>
      <c r="M115" s="44">
        <v>11.799999999999955</v>
      </c>
      <c r="N115" s="44">
        <v>9.5399999999999991</v>
      </c>
      <c r="O115" s="44">
        <v>35268</v>
      </c>
      <c r="P115" s="44">
        <v>6536.15</v>
      </c>
      <c r="Q115" s="44">
        <v>2453.44</v>
      </c>
      <c r="R115" s="44">
        <v>17157.349999999999</v>
      </c>
      <c r="S115" s="44">
        <v>1.59</v>
      </c>
      <c r="T115" s="44">
        <v>97.03</v>
      </c>
      <c r="U115" s="44">
        <v>33.200000000000003</v>
      </c>
      <c r="V115" s="44">
        <v>160</v>
      </c>
      <c r="W115" s="44">
        <v>5047</v>
      </c>
      <c r="X115" s="44">
        <v>4547</v>
      </c>
      <c r="Y115" s="44">
        <v>500</v>
      </c>
    </row>
    <row r="116" spans="1:25" x14ac:dyDescent="0.2">
      <c r="A116" s="50">
        <f t="shared" si="2"/>
        <v>45772</v>
      </c>
      <c r="B116" s="51">
        <v>3277.3</v>
      </c>
      <c r="C116" s="52">
        <v>2616.6999999999998</v>
      </c>
      <c r="D116" s="52">
        <v>1613.3</v>
      </c>
      <c r="E116" s="52">
        <v>1869.8</v>
      </c>
      <c r="F116" s="52">
        <v>1548.9</v>
      </c>
      <c r="G116" s="52">
        <v>3988.7</v>
      </c>
      <c r="H116" s="52">
        <v>6.6</v>
      </c>
      <c r="I116" s="52">
        <v>484.8</v>
      </c>
      <c r="J116" s="52">
        <v>3086.5</v>
      </c>
      <c r="K116" s="53">
        <v>12319.6</v>
      </c>
      <c r="L116" s="49">
        <v>37</v>
      </c>
      <c r="M116" s="44">
        <v>11.900000000000091</v>
      </c>
      <c r="N116" s="44">
        <v>9.3800000000000026</v>
      </c>
      <c r="O116" s="44">
        <v>42357</v>
      </c>
      <c r="P116" s="44">
        <v>5675.5</v>
      </c>
      <c r="Q116" s="44">
        <v>2429.9699999999998</v>
      </c>
      <c r="R116" s="44">
        <v>15559.8</v>
      </c>
      <c r="S116" s="44">
        <v>1.63</v>
      </c>
      <c r="T116" s="44">
        <v>86.03</v>
      </c>
      <c r="U116" s="44">
        <v>29.7</v>
      </c>
      <c r="V116" s="44">
        <v>142</v>
      </c>
      <c r="W116" s="44">
        <v>4282</v>
      </c>
      <c r="X116" s="44">
        <v>4012</v>
      </c>
      <c r="Y116" s="44">
        <v>270</v>
      </c>
    </row>
    <row r="117" spans="1:25" x14ac:dyDescent="0.2">
      <c r="A117" s="50">
        <f t="shared" si="2"/>
        <v>45773</v>
      </c>
      <c r="B117" s="51">
        <v>1216.8</v>
      </c>
      <c r="C117" s="52">
        <v>1152.3</v>
      </c>
      <c r="D117" s="52">
        <v>529.9</v>
      </c>
      <c r="E117" s="52">
        <v>1514</v>
      </c>
      <c r="F117" s="52">
        <v>879.1</v>
      </c>
      <c r="G117" s="52">
        <v>2503.3000000000002</v>
      </c>
      <c r="H117" s="52">
        <v>6.9</v>
      </c>
      <c r="I117" s="52">
        <v>480.2</v>
      </c>
      <c r="J117" s="52">
        <v>2275.1</v>
      </c>
      <c r="K117" s="53">
        <v>6007.4</v>
      </c>
      <c r="L117" s="49">
        <v>9</v>
      </c>
      <c r="M117" s="44">
        <v>10.900000000000091</v>
      </c>
      <c r="N117" s="44">
        <v>9.3700000000000045</v>
      </c>
      <c r="O117" s="44">
        <v>21896</v>
      </c>
      <c r="P117" s="44">
        <v>1.57</v>
      </c>
      <c r="Q117" s="44">
        <v>3076.16</v>
      </c>
      <c r="R117" s="44">
        <v>24308.400000000001</v>
      </c>
      <c r="S117" s="44">
        <v>1.59</v>
      </c>
      <c r="T117" s="44">
        <v>49.03</v>
      </c>
      <c r="U117" s="44">
        <v>18</v>
      </c>
      <c r="V117" s="44">
        <v>96</v>
      </c>
      <c r="W117" s="44">
        <v>2373</v>
      </c>
      <c r="X117" s="44">
        <v>2355</v>
      </c>
      <c r="Y117" s="44">
        <v>18</v>
      </c>
    </row>
    <row r="118" spans="1:25" x14ac:dyDescent="0.2">
      <c r="A118" s="50">
        <f t="shared" si="2"/>
        <v>45774</v>
      </c>
      <c r="B118" s="51">
        <v>1153.05</v>
      </c>
      <c r="C118" s="52">
        <v>1254.17</v>
      </c>
      <c r="D118" s="52">
        <v>405.4</v>
      </c>
      <c r="E118" s="52">
        <v>1892.55</v>
      </c>
      <c r="F118" s="52">
        <v>938.39</v>
      </c>
      <c r="G118" s="52">
        <v>2395.65</v>
      </c>
      <c r="H118" s="52">
        <v>8.14</v>
      </c>
      <c r="I118" s="52">
        <v>468.74</v>
      </c>
      <c r="J118" s="52">
        <v>2126.09</v>
      </c>
      <c r="K118" s="53">
        <v>6390.0000000000018</v>
      </c>
      <c r="L118" s="49">
        <v>10</v>
      </c>
      <c r="M118" s="44">
        <v>10.900000000000091</v>
      </c>
      <c r="N118" s="44">
        <v>9.2999999999999972</v>
      </c>
      <c r="O118" s="44">
        <v>27266</v>
      </c>
      <c r="P118" s="44">
        <v>234.17</v>
      </c>
      <c r="Q118" s="44">
        <v>2237.29</v>
      </c>
      <c r="R118" s="44">
        <v>31332.27</v>
      </c>
      <c r="S118" s="44">
        <v>1.57</v>
      </c>
      <c r="T118" s="44">
        <v>65.03</v>
      </c>
      <c r="U118" s="44">
        <v>24.9</v>
      </c>
      <c r="V118" s="44">
        <v>131</v>
      </c>
      <c r="W118" s="44">
        <v>3470</v>
      </c>
      <c r="X118" s="44">
        <v>3367</v>
      </c>
      <c r="Y118" s="44">
        <v>103</v>
      </c>
    </row>
    <row r="119" spans="1:25" x14ac:dyDescent="0.2">
      <c r="A119" s="50">
        <f t="shared" si="2"/>
        <v>45775</v>
      </c>
      <c r="B119" s="51">
        <v>3579.76</v>
      </c>
      <c r="C119" s="52">
        <v>3020.78</v>
      </c>
      <c r="D119" s="52">
        <v>1625.88</v>
      </c>
      <c r="E119" s="52">
        <v>1799.42</v>
      </c>
      <c r="F119" s="52">
        <v>3458.5</v>
      </c>
      <c r="G119" s="52">
        <v>3810.47</v>
      </c>
      <c r="H119" s="52">
        <v>6.74</v>
      </c>
      <c r="I119" s="52">
        <v>478.98</v>
      </c>
      <c r="J119" s="52">
        <v>2658.8199999999997</v>
      </c>
      <c r="K119" s="53">
        <v>15121.710000000003</v>
      </c>
      <c r="L119" s="49">
        <v>41</v>
      </c>
      <c r="M119" s="44">
        <v>11.700000000000045</v>
      </c>
      <c r="N119" s="44">
        <v>9.990000000000002</v>
      </c>
      <c r="O119" s="44">
        <v>56574.8</v>
      </c>
      <c r="P119" s="44">
        <v>5283.03</v>
      </c>
      <c r="Q119" s="44">
        <v>3458.05</v>
      </c>
      <c r="R119" s="44">
        <v>35501.199999999997</v>
      </c>
      <c r="S119" s="44">
        <v>1.6</v>
      </c>
      <c r="T119" s="44">
        <v>127.03</v>
      </c>
      <c r="U119" s="44">
        <v>42.2</v>
      </c>
      <c r="V119" s="44">
        <v>195</v>
      </c>
      <c r="W119" s="44">
        <v>6375</v>
      </c>
      <c r="X119" s="44">
        <v>5701</v>
      </c>
      <c r="Y119" s="44">
        <v>674</v>
      </c>
    </row>
    <row r="120" spans="1:25" x14ac:dyDescent="0.2">
      <c r="A120" s="50">
        <f t="shared" si="2"/>
        <v>45776</v>
      </c>
      <c r="B120" s="51">
        <v>2975.1</v>
      </c>
      <c r="C120" s="52">
        <v>2433</v>
      </c>
      <c r="D120" s="52">
        <v>2071.6999999999998</v>
      </c>
      <c r="E120" s="52">
        <v>985.2</v>
      </c>
      <c r="F120" s="52">
        <v>2043</v>
      </c>
      <c r="G120" s="52">
        <v>4439.7</v>
      </c>
      <c r="H120" s="52">
        <v>6.9</v>
      </c>
      <c r="I120" s="52">
        <v>477.1</v>
      </c>
      <c r="J120" s="52">
        <v>3085.1</v>
      </c>
      <c r="K120" s="53">
        <v>12346.6</v>
      </c>
      <c r="L120" s="49">
        <v>26</v>
      </c>
      <c r="M120" s="44">
        <v>12</v>
      </c>
      <c r="N120" s="44">
        <v>10.479999999999997</v>
      </c>
      <c r="O120" s="44">
        <v>40725</v>
      </c>
      <c r="P120" s="44">
        <v>1098.06</v>
      </c>
      <c r="Q120" s="44">
        <v>3693.62</v>
      </c>
      <c r="R120" s="44">
        <v>19845.07</v>
      </c>
      <c r="S120" s="44">
        <v>1.5</v>
      </c>
      <c r="T120" s="44">
        <v>124.03</v>
      </c>
      <c r="U120" s="44">
        <v>44.400000000000006</v>
      </c>
      <c r="V120" s="44">
        <v>195</v>
      </c>
      <c r="W120" s="44">
        <v>6532</v>
      </c>
      <c r="X120" s="44">
        <v>5879</v>
      </c>
      <c r="Y120" s="44">
        <v>653</v>
      </c>
    </row>
    <row r="121" spans="1:25" x14ac:dyDescent="0.2">
      <c r="A121" s="50">
        <f t="shared" si="2"/>
        <v>45777</v>
      </c>
      <c r="B121" s="51">
        <v>1893.6</v>
      </c>
      <c r="C121" s="52">
        <v>2618.1999999999998</v>
      </c>
      <c r="D121" s="52">
        <v>923.1</v>
      </c>
      <c r="E121" s="52">
        <v>186.5</v>
      </c>
      <c r="F121" s="52">
        <v>2178.8000000000002</v>
      </c>
      <c r="G121" s="52">
        <v>3928.1</v>
      </c>
      <c r="H121" s="52">
        <v>7.2</v>
      </c>
      <c r="I121" s="52">
        <v>468.8</v>
      </c>
      <c r="J121" s="52">
        <v>2868.4</v>
      </c>
      <c r="K121" s="53">
        <v>9335.9</v>
      </c>
      <c r="L121" s="49">
        <v>60</v>
      </c>
      <c r="M121" s="44">
        <v>12.399999999999864</v>
      </c>
      <c r="N121" s="44">
        <v>10.120000000000005</v>
      </c>
      <c r="O121" s="44">
        <v>11354.6</v>
      </c>
      <c r="P121" s="44">
        <v>6312.7</v>
      </c>
      <c r="Q121" s="44">
        <v>2774.26</v>
      </c>
      <c r="R121" s="44">
        <v>19110.46</v>
      </c>
      <c r="S121" s="44">
        <v>1.6</v>
      </c>
      <c r="T121" s="44">
        <v>69.03</v>
      </c>
      <c r="U121" s="44">
        <v>23.8</v>
      </c>
      <c r="V121" s="44">
        <v>120</v>
      </c>
      <c r="W121" s="44">
        <v>3296</v>
      </c>
      <c r="X121" s="44">
        <v>3189</v>
      </c>
      <c r="Y121" s="44">
        <v>107</v>
      </c>
    </row>
    <row r="122" spans="1:25" x14ac:dyDescent="0.2">
      <c r="A122" s="50">
        <f t="shared" si="2"/>
        <v>45778</v>
      </c>
      <c r="B122" s="51">
        <v>846.78</v>
      </c>
      <c r="C122" s="52">
        <v>1069.1099999999999</v>
      </c>
      <c r="D122" s="52">
        <v>319.85000000000002</v>
      </c>
      <c r="E122" s="52">
        <v>65.87</v>
      </c>
      <c r="F122" s="52">
        <v>895.47</v>
      </c>
      <c r="G122" s="52">
        <v>2793.16</v>
      </c>
      <c r="H122" s="52">
        <v>9.1300000000000008</v>
      </c>
      <c r="I122" s="52">
        <v>489.9</v>
      </c>
      <c r="J122" s="52">
        <v>2559.2799999999997</v>
      </c>
      <c r="K122" s="53">
        <v>3929.99</v>
      </c>
      <c r="L122" s="49">
        <v>6</v>
      </c>
      <c r="M122" s="44">
        <v>10.700000000000045</v>
      </c>
      <c r="N122" s="44">
        <v>10.11</v>
      </c>
      <c r="O122" s="44">
        <v>193</v>
      </c>
      <c r="P122" s="44">
        <v>30.27</v>
      </c>
      <c r="Q122" s="44">
        <v>3096.94</v>
      </c>
      <c r="R122" s="44">
        <v>17334.349999999999</v>
      </c>
      <c r="S122" s="44">
        <v>1.67</v>
      </c>
      <c r="T122" s="44">
        <v>63</v>
      </c>
      <c r="U122" s="44">
        <v>22.2</v>
      </c>
      <c r="V122" s="44">
        <v>116</v>
      </c>
      <c r="W122" s="44">
        <v>3002</v>
      </c>
      <c r="X122" s="44">
        <v>2985</v>
      </c>
      <c r="Y122" s="44">
        <v>17</v>
      </c>
    </row>
    <row r="123" spans="1:25" x14ac:dyDescent="0.2">
      <c r="A123" s="50">
        <f t="shared" si="2"/>
        <v>45779</v>
      </c>
      <c r="B123" s="51">
        <v>846.72</v>
      </c>
      <c r="C123" s="52">
        <v>1130.07</v>
      </c>
      <c r="D123" s="52">
        <v>328.52</v>
      </c>
      <c r="E123" s="52">
        <v>76.45</v>
      </c>
      <c r="F123" s="52">
        <v>840.59</v>
      </c>
      <c r="G123" s="52">
        <v>2556.17</v>
      </c>
      <c r="H123" s="52">
        <v>7.96</v>
      </c>
      <c r="I123" s="52">
        <v>449.64</v>
      </c>
      <c r="J123" s="52">
        <v>2297.29</v>
      </c>
      <c r="K123" s="53">
        <v>3938.8300000000008</v>
      </c>
      <c r="L123" s="49">
        <v>5</v>
      </c>
      <c r="M123" s="44">
        <v>11.800000000000182</v>
      </c>
      <c r="N123" s="44">
        <v>10</v>
      </c>
      <c r="O123" s="44">
        <v>599.26</v>
      </c>
      <c r="P123" s="44">
        <v>4.0000000000000001E-3</v>
      </c>
      <c r="Q123" s="44">
        <v>2498.71</v>
      </c>
      <c r="R123" s="44">
        <v>14248.96</v>
      </c>
      <c r="S123" s="44">
        <v>1.55</v>
      </c>
      <c r="T123" s="44">
        <v>73</v>
      </c>
      <c r="U123" s="44">
        <v>22.1</v>
      </c>
      <c r="V123" s="44">
        <v>114</v>
      </c>
      <c r="W123" s="44">
        <v>2993</v>
      </c>
      <c r="X123" s="44">
        <v>2977</v>
      </c>
      <c r="Y123" s="44">
        <v>16</v>
      </c>
    </row>
    <row r="124" spans="1:25" x14ac:dyDescent="0.2">
      <c r="A124" s="50">
        <f t="shared" si="2"/>
        <v>45780</v>
      </c>
      <c r="B124" s="51">
        <v>872.2</v>
      </c>
      <c r="C124" s="52">
        <v>1052.9000000000001</v>
      </c>
      <c r="D124" s="52">
        <v>345.7</v>
      </c>
      <c r="E124" s="52">
        <v>74.099999999999994</v>
      </c>
      <c r="F124" s="52">
        <v>874.3</v>
      </c>
      <c r="G124" s="52">
        <v>2729.5</v>
      </c>
      <c r="H124" s="52">
        <v>7.2</v>
      </c>
      <c r="I124" s="52">
        <v>476.9</v>
      </c>
      <c r="J124" s="52">
        <v>2494.1000000000004</v>
      </c>
      <c r="K124" s="53">
        <v>3938.6999999999989</v>
      </c>
      <c r="L124" s="49">
        <v>5</v>
      </c>
      <c r="M124" s="44">
        <v>10.199999999999818</v>
      </c>
      <c r="N124" s="44">
        <v>9.7800000000000011</v>
      </c>
      <c r="O124" s="44">
        <v>600</v>
      </c>
      <c r="P124" s="44">
        <v>5.74</v>
      </c>
      <c r="Q124" s="44">
        <v>3002.68</v>
      </c>
      <c r="R124" s="44">
        <v>15851.03</v>
      </c>
      <c r="S124" s="44">
        <v>1.57</v>
      </c>
      <c r="T124" s="44">
        <v>67</v>
      </c>
      <c r="U124" s="44">
        <v>24.7</v>
      </c>
      <c r="V124" s="44">
        <v>119</v>
      </c>
      <c r="W124" s="44">
        <v>3304</v>
      </c>
      <c r="X124" s="44">
        <v>3288</v>
      </c>
      <c r="Y124" s="44">
        <v>16</v>
      </c>
    </row>
    <row r="125" spans="1:25" x14ac:dyDescent="0.2">
      <c r="A125" s="50">
        <f t="shared" si="2"/>
        <v>45781</v>
      </c>
      <c r="B125" s="51">
        <v>764.6</v>
      </c>
      <c r="C125" s="52">
        <v>1147.4000000000001</v>
      </c>
      <c r="D125" s="52">
        <v>343.23</v>
      </c>
      <c r="E125" s="52">
        <v>62.7</v>
      </c>
      <c r="F125" s="52">
        <v>178.2</v>
      </c>
      <c r="G125" s="52">
        <v>2360.3000000000002</v>
      </c>
      <c r="H125" s="52">
        <v>8.1</v>
      </c>
      <c r="I125" s="52">
        <v>462.2</v>
      </c>
      <c r="J125" s="52">
        <v>2144.8000000000002</v>
      </c>
      <c r="K125" s="53">
        <v>3181.9300000000003</v>
      </c>
      <c r="L125" s="49">
        <v>8</v>
      </c>
      <c r="M125" s="44">
        <v>10.599999999999909</v>
      </c>
      <c r="N125" s="44">
        <v>9.8100000000000023</v>
      </c>
      <c r="O125" s="44">
        <v>187.7</v>
      </c>
      <c r="P125" s="44">
        <v>178.2</v>
      </c>
      <c r="Q125" s="44">
        <v>2301.3000000000002</v>
      </c>
      <c r="R125" s="44">
        <v>5133.43</v>
      </c>
      <c r="S125" s="44">
        <v>1.39</v>
      </c>
      <c r="T125" s="44">
        <v>87</v>
      </c>
      <c r="U125" s="44">
        <v>28.9</v>
      </c>
      <c r="V125" s="44">
        <v>137</v>
      </c>
      <c r="W125" s="44">
        <v>3929</v>
      </c>
      <c r="X125" s="44">
        <v>3878</v>
      </c>
      <c r="Y125" s="44">
        <v>51</v>
      </c>
    </row>
    <row r="126" spans="1:25" x14ac:dyDescent="0.2">
      <c r="A126" s="50">
        <f t="shared" si="2"/>
        <v>45782</v>
      </c>
      <c r="B126" s="51">
        <v>3353.04</v>
      </c>
      <c r="C126" s="52">
        <v>2926.86</v>
      </c>
      <c r="D126" s="52">
        <v>1399.11</v>
      </c>
      <c r="E126" s="52">
        <v>913.3</v>
      </c>
      <c r="F126" s="52">
        <v>2469.77</v>
      </c>
      <c r="G126" s="52">
        <v>4149.62</v>
      </c>
      <c r="H126" s="52">
        <v>5.59</v>
      </c>
      <c r="I126" s="52">
        <v>463.48</v>
      </c>
      <c r="J126" s="52">
        <v>3041.46</v>
      </c>
      <c r="K126" s="53">
        <v>12639.310000000001</v>
      </c>
      <c r="L126" s="49">
        <v>46</v>
      </c>
      <c r="M126" s="44">
        <v>4</v>
      </c>
      <c r="N126" s="44">
        <v>3.7800000000000011</v>
      </c>
      <c r="O126" s="44">
        <v>38407</v>
      </c>
      <c r="P126" s="44">
        <v>6212.9</v>
      </c>
      <c r="Q126" s="44">
        <v>1767.79</v>
      </c>
      <c r="R126" s="44">
        <v>18956.48</v>
      </c>
      <c r="S126" s="44">
        <v>1.51</v>
      </c>
      <c r="T126" s="44">
        <v>137</v>
      </c>
      <c r="U126" s="44">
        <v>50.3</v>
      </c>
      <c r="V126" s="44">
        <v>205</v>
      </c>
      <c r="W126" s="44">
        <v>7347</v>
      </c>
      <c r="X126" s="44">
        <v>6547</v>
      </c>
      <c r="Y126" s="44">
        <v>800</v>
      </c>
    </row>
    <row r="127" spans="1:25" x14ac:dyDescent="0.2">
      <c r="A127" s="50">
        <f t="shared" si="2"/>
        <v>45783</v>
      </c>
      <c r="B127" s="51">
        <v>3454.09</v>
      </c>
      <c r="C127" s="52">
        <v>2749.62</v>
      </c>
      <c r="D127" s="52">
        <v>1911.93</v>
      </c>
      <c r="E127" s="52">
        <v>1250.45</v>
      </c>
      <c r="F127" s="52">
        <v>2324.4299999999998</v>
      </c>
      <c r="G127" s="52">
        <v>4424.05</v>
      </c>
      <c r="H127" s="52">
        <v>4.37</v>
      </c>
      <c r="I127" s="52">
        <v>495.16</v>
      </c>
      <c r="J127" s="52">
        <v>2923.93</v>
      </c>
      <c r="K127" s="53">
        <v>13690.170000000002</v>
      </c>
      <c r="L127" s="49">
        <v>44</v>
      </c>
      <c r="M127" s="44">
        <v>0</v>
      </c>
      <c r="N127" s="44">
        <v>0</v>
      </c>
      <c r="O127" s="44">
        <v>48150</v>
      </c>
      <c r="P127" s="44">
        <v>4525.7</v>
      </c>
      <c r="Q127" s="44">
        <v>2057.92</v>
      </c>
      <c r="R127" s="44">
        <v>18920.490000000002</v>
      </c>
      <c r="S127" s="44">
        <v>2.2200000000000002</v>
      </c>
      <c r="T127" s="44">
        <v>114</v>
      </c>
      <c r="U127" s="44">
        <v>38.5</v>
      </c>
      <c r="V127" s="44">
        <v>178</v>
      </c>
      <c r="W127" s="44">
        <v>5739</v>
      </c>
      <c r="X127" s="44">
        <v>5141</v>
      </c>
      <c r="Y127" s="44">
        <v>598</v>
      </c>
    </row>
    <row r="128" spans="1:25" x14ac:dyDescent="0.2">
      <c r="A128" s="50">
        <f t="shared" si="2"/>
        <v>45784</v>
      </c>
      <c r="B128" s="51">
        <v>1911.2</v>
      </c>
      <c r="C128" s="52">
        <v>2215.6999999999998</v>
      </c>
      <c r="D128" s="52">
        <v>1215.9000000000001</v>
      </c>
      <c r="E128" s="52">
        <v>132.1</v>
      </c>
      <c r="F128" s="52">
        <v>2047.3</v>
      </c>
      <c r="G128" s="52">
        <v>4160</v>
      </c>
      <c r="H128" s="52">
        <v>6.7</v>
      </c>
      <c r="I128" s="52">
        <v>498</v>
      </c>
      <c r="J128" s="52">
        <v>2578</v>
      </c>
      <c r="K128" s="53">
        <v>9608.9000000000015</v>
      </c>
      <c r="L128" s="49">
        <v>46</v>
      </c>
      <c r="M128" s="44">
        <v>0</v>
      </c>
      <c r="N128" s="44">
        <v>0</v>
      </c>
      <c r="O128" s="44">
        <v>3836</v>
      </c>
      <c r="P128" s="44">
        <v>4575</v>
      </c>
      <c r="Q128" s="44">
        <v>1956.43</v>
      </c>
      <c r="R128" s="44">
        <v>17268.95</v>
      </c>
      <c r="S128" s="44">
        <v>1.53</v>
      </c>
      <c r="T128" s="44">
        <v>30</v>
      </c>
      <c r="U128" s="44">
        <v>9.1</v>
      </c>
      <c r="V128" s="44">
        <v>56</v>
      </c>
      <c r="W128" s="44">
        <v>1335</v>
      </c>
      <c r="X128" s="44">
        <v>1241</v>
      </c>
      <c r="Y128" s="44">
        <v>94</v>
      </c>
    </row>
    <row r="129" spans="1:25" x14ac:dyDescent="0.2">
      <c r="A129" s="50">
        <f t="shared" si="2"/>
        <v>45785</v>
      </c>
      <c r="B129" s="51">
        <v>725.9</v>
      </c>
      <c r="C129" s="52">
        <v>816.9</v>
      </c>
      <c r="D129" s="52">
        <v>504.4</v>
      </c>
      <c r="E129" s="52">
        <v>74.099999999999994</v>
      </c>
      <c r="F129" s="52">
        <v>919.9</v>
      </c>
      <c r="G129" s="52">
        <v>2008.1</v>
      </c>
      <c r="H129" s="52">
        <v>8.6999999999999993</v>
      </c>
      <c r="I129" s="52">
        <v>472.4</v>
      </c>
      <c r="J129" s="52">
        <v>1591.4</v>
      </c>
      <c r="K129" s="53">
        <v>3938.9999999999986</v>
      </c>
      <c r="L129" s="49">
        <v>4</v>
      </c>
      <c r="M129" s="44">
        <v>0</v>
      </c>
      <c r="N129" s="44">
        <v>0</v>
      </c>
      <c r="O129" s="44">
        <v>524.79999999999995</v>
      </c>
      <c r="P129" s="44">
        <v>8.8999999999999999E-3</v>
      </c>
      <c r="Q129" s="44">
        <v>1816.3</v>
      </c>
      <c r="R129" s="44">
        <v>15033.8</v>
      </c>
      <c r="S129" s="44">
        <v>5.0000000000000001E-3</v>
      </c>
      <c r="T129" s="44">
        <v>0</v>
      </c>
      <c r="U129" s="44">
        <v>0</v>
      </c>
      <c r="V129" s="44">
        <v>14</v>
      </c>
      <c r="W129" s="44">
        <v>13</v>
      </c>
      <c r="X129" s="44">
        <v>-1</v>
      </c>
      <c r="Y129" s="44">
        <v>14</v>
      </c>
    </row>
    <row r="130" spans="1:25" x14ac:dyDescent="0.2">
      <c r="A130" s="50">
        <f t="shared" si="2"/>
        <v>45786</v>
      </c>
      <c r="B130" s="51">
        <v>688.24</v>
      </c>
      <c r="C130" s="52">
        <v>802.57</v>
      </c>
      <c r="D130" s="52">
        <v>318.83</v>
      </c>
      <c r="E130" s="52">
        <v>66.06</v>
      </c>
      <c r="F130" s="52">
        <v>325.23</v>
      </c>
      <c r="G130" s="52">
        <v>1965.71</v>
      </c>
      <c r="H130" s="52">
        <v>9.94</v>
      </c>
      <c r="I130" s="52">
        <v>460.84</v>
      </c>
      <c r="J130" s="52">
        <v>1639.1100000000001</v>
      </c>
      <c r="K130" s="53">
        <v>2998.309999999999</v>
      </c>
      <c r="L130" s="49">
        <v>3</v>
      </c>
      <c r="M130" s="44">
        <v>0</v>
      </c>
      <c r="N130" s="44">
        <v>0</v>
      </c>
      <c r="O130" s="44">
        <v>206</v>
      </c>
      <c r="P130" s="44">
        <v>11.29</v>
      </c>
      <c r="Q130" s="44">
        <v>1683.15</v>
      </c>
      <c r="R130" s="44">
        <v>5699.47</v>
      </c>
      <c r="S130" s="44">
        <v>4.0000000000000001E-3</v>
      </c>
      <c r="T130" s="44">
        <v>0</v>
      </c>
      <c r="U130" s="44">
        <v>0</v>
      </c>
      <c r="V130" s="44">
        <v>15</v>
      </c>
      <c r="W130" s="44">
        <v>14</v>
      </c>
      <c r="X130" s="44">
        <v>0</v>
      </c>
      <c r="Y130" s="44">
        <v>14</v>
      </c>
    </row>
    <row r="131" spans="1:25" x14ac:dyDescent="0.2">
      <c r="A131" s="50">
        <f t="shared" si="2"/>
        <v>45787</v>
      </c>
      <c r="B131" s="51">
        <v>793.38</v>
      </c>
      <c r="C131" s="52">
        <v>977.88</v>
      </c>
      <c r="D131" s="52">
        <v>316.06</v>
      </c>
      <c r="E131" s="52">
        <v>79.989999999999995</v>
      </c>
      <c r="F131" s="52">
        <v>977.65</v>
      </c>
      <c r="G131" s="52">
        <v>2098.6999999999998</v>
      </c>
      <c r="H131" s="52">
        <v>10.76</v>
      </c>
      <c r="I131" s="52">
        <v>441.2</v>
      </c>
      <c r="J131" s="52">
        <v>1771.82</v>
      </c>
      <c r="K131" s="53">
        <v>3923.8</v>
      </c>
      <c r="L131" s="49">
        <v>3</v>
      </c>
      <c r="M131" s="44">
        <v>0</v>
      </c>
      <c r="N131" s="44">
        <v>0</v>
      </c>
      <c r="O131" s="44">
        <v>807.98</v>
      </c>
      <c r="P131" s="44">
        <v>209.8</v>
      </c>
      <c r="Q131" s="44">
        <v>1425.23</v>
      </c>
      <c r="R131" s="44">
        <v>15586.85</v>
      </c>
      <c r="S131" s="44">
        <v>2.84</v>
      </c>
      <c r="T131" s="44">
        <v>72</v>
      </c>
      <c r="U131" s="44">
        <v>24.4</v>
      </c>
      <c r="V131" s="44">
        <v>125</v>
      </c>
      <c r="W131" s="44">
        <v>3499</v>
      </c>
      <c r="X131" s="44">
        <v>3353</v>
      </c>
      <c r="Y131" s="44">
        <v>146</v>
      </c>
    </row>
    <row r="132" spans="1:25" x14ac:dyDescent="0.2">
      <c r="A132" s="50">
        <f t="shared" si="2"/>
        <v>45788</v>
      </c>
      <c r="B132" s="51">
        <v>2869.1</v>
      </c>
      <c r="C132" s="52">
        <v>2689.4</v>
      </c>
      <c r="D132" s="52">
        <v>1229.5999999999999</v>
      </c>
      <c r="E132" s="52">
        <v>906.1</v>
      </c>
      <c r="F132" s="52">
        <v>2158.5</v>
      </c>
      <c r="G132" s="52">
        <v>2980.5</v>
      </c>
      <c r="H132" s="52">
        <v>6.1</v>
      </c>
      <c r="I132" s="52">
        <v>415.1</v>
      </c>
      <c r="J132" s="52">
        <v>1700.03</v>
      </c>
      <c r="K132" s="53">
        <v>11554.37</v>
      </c>
      <c r="L132" s="49">
        <v>27</v>
      </c>
      <c r="M132" s="44">
        <v>0</v>
      </c>
      <c r="N132" s="44">
        <v>0</v>
      </c>
      <c r="O132" s="44">
        <v>43133</v>
      </c>
      <c r="P132" s="44">
        <v>5800.23</v>
      </c>
      <c r="Q132" s="44">
        <v>1049.21</v>
      </c>
      <c r="R132" s="44">
        <v>18549.21</v>
      </c>
      <c r="S132" s="44">
        <v>3.2</v>
      </c>
      <c r="T132" s="44">
        <v>158</v>
      </c>
      <c r="U132" s="44">
        <v>53.300000000000004</v>
      </c>
      <c r="V132" s="44">
        <v>226</v>
      </c>
      <c r="W132" s="44">
        <v>7673</v>
      </c>
      <c r="X132" s="44">
        <v>7018</v>
      </c>
      <c r="Y132" s="44">
        <v>655</v>
      </c>
    </row>
    <row r="133" spans="1:25" x14ac:dyDescent="0.2">
      <c r="A133" s="50">
        <f t="shared" si="2"/>
        <v>45789</v>
      </c>
      <c r="B133" s="51">
        <v>3426.9</v>
      </c>
      <c r="C133" s="52">
        <v>2870.9</v>
      </c>
      <c r="D133" s="52">
        <v>1463.9</v>
      </c>
      <c r="E133" s="52">
        <v>1091.9000000000001</v>
      </c>
      <c r="F133" s="52">
        <v>2565.3000000000002</v>
      </c>
      <c r="G133" s="52">
        <v>4440.6000000000004</v>
      </c>
      <c r="H133" s="52">
        <v>4.4000000000000004</v>
      </c>
      <c r="I133" s="52">
        <v>455.5</v>
      </c>
      <c r="J133" s="52">
        <v>2891.7</v>
      </c>
      <c r="K133" s="53">
        <v>13427.7</v>
      </c>
      <c r="L133" s="49">
        <v>49</v>
      </c>
      <c r="M133" s="44">
        <v>0</v>
      </c>
      <c r="N133" s="44">
        <v>0</v>
      </c>
      <c r="O133" s="44">
        <v>46941.5</v>
      </c>
      <c r="P133" s="44">
        <v>5593.3</v>
      </c>
      <c r="Q133" s="44">
        <v>1717.8</v>
      </c>
      <c r="R133" s="44">
        <v>27925.7</v>
      </c>
      <c r="S133" s="44">
        <v>3.2</v>
      </c>
      <c r="T133" s="44">
        <v>121</v>
      </c>
      <c r="U133" s="44">
        <v>38.700000000000003</v>
      </c>
      <c r="V133" s="44">
        <v>183</v>
      </c>
      <c r="W133" s="44">
        <v>5907</v>
      </c>
      <c r="X133" s="44">
        <v>5296</v>
      </c>
      <c r="Y133" s="44">
        <v>611</v>
      </c>
    </row>
    <row r="134" spans="1:25" x14ac:dyDescent="0.2">
      <c r="A134" s="50">
        <f t="shared" si="2"/>
        <v>45790</v>
      </c>
      <c r="B134" s="51">
        <v>2888.84</v>
      </c>
      <c r="C134" s="52">
        <v>2742.84</v>
      </c>
      <c r="D134" s="52">
        <v>1374.21</v>
      </c>
      <c r="E134" s="52">
        <v>1068.68</v>
      </c>
      <c r="F134" s="52">
        <v>2452.1999999999998</v>
      </c>
      <c r="G134" s="52">
        <v>4485.58</v>
      </c>
      <c r="H134" s="52">
        <v>1.66</v>
      </c>
      <c r="I134" s="52">
        <v>482.62</v>
      </c>
      <c r="J134" s="52">
        <v>2770.5399999999995</v>
      </c>
      <c r="K134" s="53">
        <v>12726.090000000002</v>
      </c>
      <c r="L134" s="49">
        <v>48</v>
      </c>
      <c r="M134" s="44">
        <v>0</v>
      </c>
      <c r="N134" s="44">
        <v>0</v>
      </c>
      <c r="O134" s="44">
        <v>49052</v>
      </c>
      <c r="P134" s="44">
        <v>4814.38</v>
      </c>
      <c r="Q134" s="44">
        <v>2035.08</v>
      </c>
      <c r="R134" s="44">
        <v>19326.080000000002</v>
      </c>
      <c r="S134" s="44">
        <v>3.3</v>
      </c>
      <c r="T134" s="44">
        <v>107</v>
      </c>
      <c r="U134" s="44">
        <v>38.200000000000003</v>
      </c>
      <c r="V134" s="44">
        <v>183</v>
      </c>
      <c r="W134" s="44">
        <v>5823</v>
      </c>
      <c r="X134" s="44">
        <v>5219</v>
      </c>
      <c r="Y134" s="44">
        <v>604</v>
      </c>
    </row>
    <row r="135" spans="1:25" x14ac:dyDescent="0.2">
      <c r="A135" s="50">
        <f t="shared" si="2"/>
        <v>45791</v>
      </c>
      <c r="B135" s="51">
        <v>2571.5500000000002</v>
      </c>
      <c r="C135" s="52">
        <v>2683.69</v>
      </c>
      <c r="D135" s="52">
        <v>1260.51</v>
      </c>
      <c r="E135" s="52">
        <v>943.14</v>
      </c>
      <c r="F135" s="52">
        <v>2106.84</v>
      </c>
      <c r="G135" s="52">
        <v>4571.6899999999996</v>
      </c>
      <c r="H135" s="52">
        <v>3.43</v>
      </c>
      <c r="I135" s="52">
        <v>458.74</v>
      </c>
      <c r="J135" s="52">
        <v>2798.48</v>
      </c>
      <c r="K135" s="53">
        <v>11801.109999999999</v>
      </c>
      <c r="L135" s="49">
        <v>12</v>
      </c>
      <c r="M135" s="44">
        <v>0</v>
      </c>
      <c r="N135" s="44">
        <v>0</v>
      </c>
      <c r="O135" s="44">
        <v>39038</v>
      </c>
      <c r="P135" s="44">
        <v>3999.27</v>
      </c>
      <c r="Q135" s="44">
        <v>1822.47</v>
      </c>
      <c r="R135" s="44">
        <v>18602.669999999998</v>
      </c>
      <c r="S135" s="44">
        <v>3.29</v>
      </c>
      <c r="T135" s="44">
        <v>103</v>
      </c>
      <c r="U135" s="44">
        <v>33.9</v>
      </c>
      <c r="V135" s="44">
        <v>162</v>
      </c>
      <c r="W135" s="44">
        <v>5198</v>
      </c>
      <c r="X135" s="44">
        <v>4580</v>
      </c>
      <c r="Y135" s="44">
        <v>618</v>
      </c>
    </row>
    <row r="136" spans="1:25" x14ac:dyDescent="0.2">
      <c r="A136" s="50">
        <f t="shared" si="2"/>
        <v>45792</v>
      </c>
      <c r="B136" s="51">
        <v>2486.1</v>
      </c>
      <c r="C136" s="52">
        <v>2660</v>
      </c>
      <c r="D136" s="52">
        <v>1165.0999999999999</v>
      </c>
      <c r="E136" s="52">
        <v>1250.2</v>
      </c>
      <c r="F136" s="52">
        <v>1646.6</v>
      </c>
      <c r="G136" s="52">
        <v>3871.6</v>
      </c>
      <c r="H136" s="52">
        <v>2.67</v>
      </c>
      <c r="I136" s="52">
        <v>447.1</v>
      </c>
      <c r="J136" s="52">
        <v>2887.2</v>
      </c>
      <c r="K136" s="53">
        <v>10642.170000000002</v>
      </c>
      <c r="L136" s="49">
        <v>94</v>
      </c>
      <c r="M136" s="44">
        <v>0</v>
      </c>
      <c r="N136" s="44">
        <v>0</v>
      </c>
      <c r="O136" s="44">
        <v>30161</v>
      </c>
      <c r="P136" s="44">
        <v>5506.8</v>
      </c>
      <c r="Q136" s="44">
        <v>1657.57</v>
      </c>
      <c r="R136" s="44">
        <v>17665.46</v>
      </c>
      <c r="S136" s="44">
        <v>3.34</v>
      </c>
      <c r="T136" s="44">
        <v>89</v>
      </c>
      <c r="U136" s="44">
        <v>30.6</v>
      </c>
      <c r="V136" s="44">
        <v>150</v>
      </c>
      <c r="W136" s="44">
        <v>4640</v>
      </c>
      <c r="X136" s="44">
        <v>4147</v>
      </c>
      <c r="Y136" s="44">
        <v>493</v>
      </c>
    </row>
    <row r="137" spans="1:25" x14ac:dyDescent="0.2">
      <c r="A137" s="50">
        <f t="shared" si="2"/>
        <v>45793</v>
      </c>
      <c r="B137" s="51">
        <v>3530.8</v>
      </c>
      <c r="C137" s="52">
        <v>2573.9</v>
      </c>
      <c r="D137" s="52">
        <v>972.3</v>
      </c>
      <c r="E137" s="52">
        <v>2521.6</v>
      </c>
      <c r="F137" s="52">
        <v>2558.6</v>
      </c>
      <c r="G137" s="52">
        <v>3641.6</v>
      </c>
      <c r="H137" s="52">
        <v>2.9</v>
      </c>
      <c r="I137" s="52">
        <v>489.4</v>
      </c>
      <c r="J137" s="52">
        <v>3011.5</v>
      </c>
      <c r="K137" s="53">
        <v>13279.6</v>
      </c>
      <c r="L137" s="49">
        <v>41</v>
      </c>
      <c r="M137" s="44">
        <v>0</v>
      </c>
      <c r="N137" s="44">
        <v>0</v>
      </c>
      <c r="O137" s="44">
        <v>67353.7</v>
      </c>
      <c r="P137" s="44">
        <v>5752.2</v>
      </c>
      <c r="Q137" s="44">
        <v>2115.6999999999998</v>
      </c>
      <c r="R137" s="44">
        <v>36933.9</v>
      </c>
      <c r="S137" s="44">
        <v>1.75</v>
      </c>
      <c r="T137" s="44">
        <v>75</v>
      </c>
      <c r="U137" s="44">
        <v>23.700000000000003</v>
      </c>
      <c r="V137" s="44">
        <v>118</v>
      </c>
      <c r="W137" s="44">
        <v>3470</v>
      </c>
      <c r="X137" s="44">
        <v>3270</v>
      </c>
      <c r="Y137" s="44">
        <v>200</v>
      </c>
    </row>
    <row r="138" spans="1:25" x14ac:dyDescent="0.2">
      <c r="A138" s="50">
        <f t="shared" si="2"/>
        <v>45794</v>
      </c>
      <c r="B138" s="51">
        <v>948.06</v>
      </c>
      <c r="C138" s="52">
        <v>930.32</v>
      </c>
      <c r="D138" s="52">
        <v>306.86</v>
      </c>
      <c r="E138" s="52">
        <v>751.4</v>
      </c>
      <c r="F138" s="52">
        <v>366.08</v>
      </c>
      <c r="G138" s="52">
        <v>3217.7</v>
      </c>
      <c r="H138" s="52">
        <v>3.81</v>
      </c>
      <c r="I138" s="52">
        <v>445.4</v>
      </c>
      <c r="J138" s="52">
        <v>2648.13</v>
      </c>
      <c r="K138" s="53">
        <v>4321.5</v>
      </c>
      <c r="L138" s="49">
        <v>14</v>
      </c>
      <c r="M138" s="44">
        <v>0</v>
      </c>
      <c r="N138" s="44">
        <v>0</v>
      </c>
      <c r="O138" s="44">
        <v>2570</v>
      </c>
      <c r="P138" s="44">
        <v>0.15</v>
      </c>
      <c r="Q138" s="44">
        <v>1665.29</v>
      </c>
      <c r="R138" s="44">
        <v>11043.14</v>
      </c>
      <c r="S138" s="44">
        <v>5.0000000000000001E-3</v>
      </c>
      <c r="T138" s="44">
        <v>0</v>
      </c>
      <c r="U138" s="44">
        <v>0</v>
      </c>
      <c r="V138" s="44">
        <v>14</v>
      </c>
      <c r="W138" s="44">
        <v>14</v>
      </c>
      <c r="X138" s="44">
        <v>0</v>
      </c>
      <c r="Y138" s="44">
        <v>14</v>
      </c>
    </row>
    <row r="139" spans="1:25" x14ac:dyDescent="0.2">
      <c r="A139" s="50">
        <f t="shared" si="2"/>
        <v>45795</v>
      </c>
      <c r="B139" s="51">
        <v>740.84</v>
      </c>
      <c r="C139" s="52">
        <v>1104.79</v>
      </c>
      <c r="D139" s="52">
        <v>263.20999999999998</v>
      </c>
      <c r="E139" s="52">
        <v>426.79</v>
      </c>
      <c r="F139" s="52">
        <v>486.44</v>
      </c>
      <c r="G139" s="52">
        <v>2907.59</v>
      </c>
      <c r="H139" s="52">
        <v>2.35</v>
      </c>
      <c r="I139" s="52">
        <v>442.5</v>
      </c>
      <c r="J139" s="52">
        <v>2415.02</v>
      </c>
      <c r="K139" s="53">
        <v>3959.4900000000002</v>
      </c>
      <c r="L139" s="49">
        <v>10</v>
      </c>
      <c r="M139" s="44">
        <v>0</v>
      </c>
      <c r="N139" s="44">
        <v>0</v>
      </c>
      <c r="O139" s="44">
        <v>10496.14</v>
      </c>
      <c r="P139" s="44">
        <v>127.17</v>
      </c>
      <c r="Q139" s="44">
        <v>1636.09</v>
      </c>
      <c r="R139" s="44">
        <v>13888.4</v>
      </c>
      <c r="S139" s="44">
        <v>2.88</v>
      </c>
      <c r="T139" s="44">
        <v>73</v>
      </c>
      <c r="U139" s="44">
        <v>24.3</v>
      </c>
      <c r="V139" s="44">
        <v>113</v>
      </c>
      <c r="W139" s="44">
        <v>3421</v>
      </c>
      <c r="X139" s="44">
        <v>3293</v>
      </c>
      <c r="Y139" s="44">
        <v>128</v>
      </c>
    </row>
    <row r="140" spans="1:25" x14ac:dyDescent="0.2">
      <c r="A140" s="50">
        <f t="shared" si="2"/>
        <v>45796</v>
      </c>
      <c r="B140" s="51">
        <v>2965.2</v>
      </c>
      <c r="C140" s="52">
        <v>2946.4</v>
      </c>
      <c r="D140" s="52">
        <v>1260.3</v>
      </c>
      <c r="E140" s="52">
        <v>1713.2</v>
      </c>
      <c r="F140" s="52">
        <v>1876.1</v>
      </c>
      <c r="G140" s="52">
        <v>4636.7</v>
      </c>
      <c r="H140" s="52">
        <v>2.4</v>
      </c>
      <c r="I140" s="52">
        <v>466.2</v>
      </c>
      <c r="J140" s="52">
        <v>2972.7</v>
      </c>
      <c r="K140" s="53">
        <v>12893.800000000003</v>
      </c>
      <c r="L140" s="49">
        <v>49</v>
      </c>
      <c r="M140" s="44">
        <v>0</v>
      </c>
      <c r="N140" s="44">
        <v>0</v>
      </c>
      <c r="O140" s="44">
        <v>50865.1</v>
      </c>
      <c r="P140" s="44">
        <v>5965.4</v>
      </c>
      <c r="Q140" s="44">
        <v>1887.3</v>
      </c>
      <c r="R140" s="44">
        <v>19151.599999999999</v>
      </c>
      <c r="S140" s="44">
        <v>3.22</v>
      </c>
      <c r="T140" s="44">
        <v>125</v>
      </c>
      <c r="U140" s="44">
        <v>42.9</v>
      </c>
      <c r="V140" s="44">
        <v>196</v>
      </c>
      <c r="W140" s="44">
        <v>6471</v>
      </c>
      <c r="X140" s="44">
        <v>5807</v>
      </c>
      <c r="Y140" s="44">
        <v>664</v>
      </c>
    </row>
    <row r="141" spans="1:25" x14ac:dyDescent="0.2">
      <c r="A141" s="50">
        <f t="shared" si="2"/>
        <v>45797</v>
      </c>
      <c r="B141" s="51">
        <v>3028.69</v>
      </c>
      <c r="C141" s="52">
        <v>2771.61</v>
      </c>
      <c r="D141" s="52">
        <v>1340.72</v>
      </c>
      <c r="E141" s="52">
        <v>1897.31</v>
      </c>
      <c r="F141" s="52">
        <v>1616.46</v>
      </c>
      <c r="G141" s="52">
        <v>4230.53</v>
      </c>
      <c r="H141" s="52">
        <v>2.78</v>
      </c>
      <c r="I141" s="52">
        <v>482.82</v>
      </c>
      <c r="J141" s="52">
        <v>2919.4799999999996</v>
      </c>
      <c r="K141" s="53">
        <v>12451.44</v>
      </c>
      <c r="L141" s="49">
        <v>51</v>
      </c>
      <c r="M141" s="44">
        <v>0</v>
      </c>
      <c r="N141" s="44">
        <v>0</v>
      </c>
      <c r="O141" s="44">
        <v>47774</v>
      </c>
      <c r="P141" s="44">
        <v>4539.87</v>
      </c>
      <c r="Q141" s="44">
        <v>1895.22</v>
      </c>
      <c r="R141" s="44">
        <v>26546.59</v>
      </c>
      <c r="S141" s="44">
        <v>3.16</v>
      </c>
      <c r="T141" s="44">
        <v>110</v>
      </c>
      <c r="U141" s="44">
        <v>37.299999999999997</v>
      </c>
      <c r="V141" s="44">
        <v>174</v>
      </c>
      <c r="W141" s="44">
        <v>5658</v>
      </c>
      <c r="X141" s="44">
        <v>5084</v>
      </c>
      <c r="Y141" s="44">
        <v>574</v>
      </c>
    </row>
    <row r="142" spans="1:25" x14ac:dyDescent="0.2">
      <c r="A142" s="50">
        <f t="shared" si="2"/>
        <v>45798</v>
      </c>
      <c r="B142" s="51">
        <v>2789.41</v>
      </c>
      <c r="C142" s="52">
        <v>2656.18</v>
      </c>
      <c r="D142" s="52">
        <v>1457.3</v>
      </c>
      <c r="E142" s="52">
        <v>1676.08</v>
      </c>
      <c r="F142" s="52">
        <v>1379.32</v>
      </c>
      <c r="G142" s="52">
        <v>4180.8599999999997</v>
      </c>
      <c r="H142" s="52">
        <v>5.42</v>
      </c>
      <c r="I142" s="52">
        <v>459.04</v>
      </c>
      <c r="J142" s="52">
        <v>2807.69</v>
      </c>
      <c r="K142" s="53">
        <v>11795.920000000002</v>
      </c>
      <c r="L142" s="49">
        <v>47</v>
      </c>
      <c r="M142" s="44">
        <v>0</v>
      </c>
      <c r="N142" s="44">
        <v>0</v>
      </c>
      <c r="O142" s="44">
        <v>36178</v>
      </c>
      <c r="P142" s="44">
        <v>4116.1000000000004</v>
      </c>
      <c r="Q142" s="44">
        <v>1498.67</v>
      </c>
      <c r="R142" s="44">
        <v>16903.22</v>
      </c>
      <c r="S142" s="44">
        <v>3.31</v>
      </c>
      <c r="T142" s="44">
        <v>103</v>
      </c>
      <c r="U142" s="44">
        <v>35.700000000000003</v>
      </c>
      <c r="V142" s="44">
        <v>173</v>
      </c>
      <c r="W142" s="44">
        <v>5484</v>
      </c>
      <c r="X142" s="44">
        <v>4885</v>
      </c>
      <c r="Y142" s="44">
        <v>599</v>
      </c>
    </row>
    <row r="143" spans="1:25" x14ac:dyDescent="0.2">
      <c r="A143" s="50">
        <f t="shared" si="2"/>
        <v>45799</v>
      </c>
      <c r="B143" s="51">
        <v>3457.3</v>
      </c>
      <c r="C143" s="52">
        <v>2367.96</v>
      </c>
      <c r="D143" s="52">
        <v>1626.84</v>
      </c>
      <c r="E143" s="52">
        <v>1737.99</v>
      </c>
      <c r="F143" s="52">
        <v>1781.26</v>
      </c>
      <c r="G143" s="52">
        <v>3997.07</v>
      </c>
      <c r="H143" s="52">
        <v>9.41</v>
      </c>
      <c r="I143" s="52">
        <v>450.76</v>
      </c>
      <c r="J143" s="52">
        <v>2640.85</v>
      </c>
      <c r="K143" s="53">
        <v>12787.74</v>
      </c>
      <c r="L143" s="49">
        <v>49</v>
      </c>
      <c r="M143" s="44">
        <v>0</v>
      </c>
      <c r="N143" s="44">
        <v>0</v>
      </c>
      <c r="O143" s="44">
        <v>40817.660000000003</v>
      </c>
      <c r="P143" s="44">
        <v>5420.11</v>
      </c>
      <c r="Q143" s="44">
        <v>1438.48</v>
      </c>
      <c r="R143" s="44">
        <v>20618.41</v>
      </c>
      <c r="S143" s="44">
        <v>3.28</v>
      </c>
      <c r="T143" s="44">
        <v>110</v>
      </c>
      <c r="U143" s="44">
        <v>36.299999999999997</v>
      </c>
      <c r="V143" s="44">
        <v>176</v>
      </c>
      <c r="W143" s="44">
        <v>5544</v>
      </c>
      <c r="X143" s="44">
        <v>4977</v>
      </c>
      <c r="Y143" s="44">
        <v>567</v>
      </c>
    </row>
    <row r="144" spans="1:25" x14ac:dyDescent="0.2">
      <c r="A144" s="50">
        <f t="shared" si="2"/>
        <v>45800</v>
      </c>
      <c r="B144" s="51">
        <v>3640.7</v>
      </c>
      <c r="C144" s="52">
        <v>2165.1</v>
      </c>
      <c r="D144" s="52">
        <v>1584.5</v>
      </c>
      <c r="E144" s="52">
        <v>1652.6</v>
      </c>
      <c r="F144" s="52">
        <v>1722.6</v>
      </c>
      <c r="G144" s="52">
        <v>4264.3</v>
      </c>
      <c r="H144" s="52">
        <v>10.4</v>
      </c>
      <c r="I144" s="52">
        <v>379.4</v>
      </c>
      <c r="J144" s="52">
        <v>2775.8999999999996</v>
      </c>
      <c r="K144" s="53">
        <v>12643.699999999999</v>
      </c>
      <c r="L144" s="49">
        <v>43</v>
      </c>
      <c r="M144" s="44">
        <v>0</v>
      </c>
      <c r="N144" s="44">
        <v>0</v>
      </c>
      <c r="O144" s="44">
        <v>42027</v>
      </c>
      <c r="P144" s="44">
        <v>5644.06</v>
      </c>
      <c r="Q144" s="44">
        <v>1014.38</v>
      </c>
      <c r="R144" s="44">
        <v>19505.55</v>
      </c>
      <c r="S144" s="44">
        <v>1.58</v>
      </c>
      <c r="T144" s="44">
        <v>103</v>
      </c>
      <c r="U144" s="44">
        <v>33.799999999999997</v>
      </c>
      <c r="V144" s="44">
        <v>160</v>
      </c>
      <c r="W144" s="44">
        <v>5146</v>
      </c>
      <c r="X144" s="44">
        <v>4592</v>
      </c>
      <c r="Y144" s="44">
        <v>554</v>
      </c>
    </row>
    <row r="145" spans="1:25" x14ac:dyDescent="0.2">
      <c r="A145" s="50">
        <f t="shared" si="2"/>
        <v>45801</v>
      </c>
      <c r="B145" s="51">
        <v>3393.68</v>
      </c>
      <c r="C145" s="52">
        <v>2017.27</v>
      </c>
      <c r="D145" s="52">
        <v>1414.86</v>
      </c>
      <c r="E145" s="52">
        <v>1571.13</v>
      </c>
      <c r="F145" s="52">
        <v>1397.05</v>
      </c>
      <c r="G145" s="52">
        <v>3754.65</v>
      </c>
      <c r="H145" s="52">
        <v>10.25</v>
      </c>
      <c r="I145" s="52">
        <v>396.78</v>
      </c>
      <c r="J145" s="52">
        <v>2368.5499999999997</v>
      </c>
      <c r="K145" s="53">
        <v>11587.119999999999</v>
      </c>
      <c r="L145" s="49">
        <v>31</v>
      </c>
      <c r="M145" s="44">
        <v>0</v>
      </c>
      <c r="N145" s="44">
        <v>0</v>
      </c>
      <c r="O145" s="44">
        <v>43596</v>
      </c>
      <c r="P145" s="44">
        <v>4320.75</v>
      </c>
      <c r="Q145" s="44">
        <v>1558.81</v>
      </c>
      <c r="R145" s="44">
        <v>17197.759999999998</v>
      </c>
      <c r="S145" s="44">
        <v>1.51</v>
      </c>
      <c r="T145" s="44">
        <v>90</v>
      </c>
      <c r="U145" s="44">
        <v>32.700000000000003</v>
      </c>
      <c r="V145" s="44">
        <v>154</v>
      </c>
      <c r="W145" s="44">
        <v>4681</v>
      </c>
      <c r="X145" s="44">
        <v>4421</v>
      </c>
      <c r="Y145" s="44">
        <v>260</v>
      </c>
    </row>
    <row r="146" spans="1:25" x14ac:dyDescent="0.2">
      <c r="A146" s="50">
        <f t="shared" si="2"/>
        <v>45802</v>
      </c>
      <c r="B146" s="51">
        <v>1217.0999999999999</v>
      </c>
      <c r="C146" s="52">
        <v>677.68</v>
      </c>
      <c r="D146" s="52">
        <v>560.36</v>
      </c>
      <c r="E146" s="52">
        <v>559.15</v>
      </c>
      <c r="F146" s="52">
        <v>293.39</v>
      </c>
      <c r="G146" s="52">
        <v>3031.16</v>
      </c>
      <c r="H146" s="52">
        <v>13.06</v>
      </c>
      <c r="I146" s="52">
        <v>485.1</v>
      </c>
      <c r="J146" s="52">
        <v>2413.13</v>
      </c>
      <c r="K146" s="53">
        <v>4423.8700000000008</v>
      </c>
      <c r="L146" s="49">
        <v>11</v>
      </c>
      <c r="M146" s="44">
        <v>0</v>
      </c>
      <c r="N146" s="44">
        <v>0</v>
      </c>
      <c r="O146" s="44">
        <v>6628</v>
      </c>
      <c r="P146" s="44">
        <v>152.16999999999999</v>
      </c>
      <c r="Q146" s="44">
        <v>1935.57</v>
      </c>
      <c r="R146" s="44">
        <v>12693.19</v>
      </c>
      <c r="S146" s="44">
        <v>1.59</v>
      </c>
      <c r="T146" s="44">
        <v>71</v>
      </c>
      <c r="U146" s="44">
        <v>21.3</v>
      </c>
      <c r="V146" s="44">
        <v>112</v>
      </c>
      <c r="W146" s="44">
        <v>2980</v>
      </c>
      <c r="X146" s="44">
        <v>2900</v>
      </c>
      <c r="Y146" s="44">
        <v>80</v>
      </c>
    </row>
    <row r="147" spans="1:25" x14ac:dyDescent="0.2">
      <c r="A147" s="50">
        <f t="shared" si="2"/>
        <v>45803</v>
      </c>
      <c r="B147" s="51">
        <v>4082.37</v>
      </c>
      <c r="C147" s="52">
        <v>2255.34</v>
      </c>
      <c r="D147" s="52">
        <v>1673.49</v>
      </c>
      <c r="E147" s="52">
        <v>1839.79</v>
      </c>
      <c r="F147" s="52">
        <v>2692.79</v>
      </c>
      <c r="G147" s="52">
        <v>4666.25</v>
      </c>
      <c r="H147" s="52">
        <v>10.34</v>
      </c>
      <c r="I147" s="52">
        <v>498.94</v>
      </c>
      <c r="J147" s="52">
        <v>3238</v>
      </c>
      <c r="K147" s="53">
        <v>14481.309999999998</v>
      </c>
      <c r="L147" s="49">
        <v>51</v>
      </c>
      <c r="M147" s="44">
        <v>0</v>
      </c>
      <c r="N147" s="44">
        <v>0</v>
      </c>
      <c r="O147" s="44">
        <v>53427</v>
      </c>
      <c r="P147" s="44">
        <v>6998.02</v>
      </c>
      <c r="Q147" s="44">
        <v>2053.48</v>
      </c>
      <c r="R147" s="44">
        <v>24133.3</v>
      </c>
      <c r="S147" s="44">
        <v>1.56</v>
      </c>
      <c r="T147" s="44">
        <v>111</v>
      </c>
      <c r="U147" s="44">
        <v>40.799999999999997</v>
      </c>
      <c r="V147" s="44">
        <v>199</v>
      </c>
      <c r="W147" s="44">
        <v>6320</v>
      </c>
      <c r="X147" s="44">
        <v>5643</v>
      </c>
      <c r="Y147" s="44">
        <v>677</v>
      </c>
    </row>
    <row r="148" spans="1:25" x14ac:dyDescent="0.2">
      <c r="A148" s="50">
        <f t="shared" si="2"/>
        <v>45804</v>
      </c>
      <c r="B148" s="51">
        <v>3653.1</v>
      </c>
      <c r="C148" s="52">
        <v>2167.9</v>
      </c>
      <c r="D148" s="52">
        <v>1603.5</v>
      </c>
      <c r="E148" s="52">
        <v>1271.4000000000001</v>
      </c>
      <c r="F148" s="52">
        <v>2290.1</v>
      </c>
      <c r="G148" s="52">
        <v>4535.8999999999996</v>
      </c>
      <c r="H148" s="52">
        <v>10.1</v>
      </c>
      <c r="I148" s="52">
        <v>489.9</v>
      </c>
      <c r="J148" s="52">
        <v>2973.66</v>
      </c>
      <c r="K148" s="53">
        <v>13048.24</v>
      </c>
      <c r="L148" s="49">
        <v>52</v>
      </c>
      <c r="M148" s="44">
        <v>0</v>
      </c>
      <c r="N148" s="44">
        <v>0</v>
      </c>
      <c r="O148" s="44">
        <v>40881</v>
      </c>
      <c r="P148" s="44">
        <v>6850.16</v>
      </c>
      <c r="Q148" s="44">
        <v>2069.69</v>
      </c>
      <c r="R148" s="44">
        <v>18665.169999999998</v>
      </c>
      <c r="S148" s="44">
        <v>1.56</v>
      </c>
      <c r="T148" s="44">
        <v>115</v>
      </c>
      <c r="U148" s="44">
        <v>37.5</v>
      </c>
      <c r="V148" s="44">
        <v>179</v>
      </c>
      <c r="W148" s="44">
        <v>5684</v>
      </c>
      <c r="X148" s="44">
        <v>5130</v>
      </c>
      <c r="Y148" s="44">
        <v>554</v>
      </c>
    </row>
    <row r="149" spans="1:25" x14ac:dyDescent="0.2">
      <c r="A149" s="50">
        <f t="shared" si="2"/>
        <v>45805</v>
      </c>
      <c r="B149" s="51">
        <v>4118.92</v>
      </c>
      <c r="C149" s="52">
        <v>2199.2399999999998</v>
      </c>
      <c r="D149" s="52">
        <v>1899.76</v>
      </c>
      <c r="E149" s="52">
        <v>1788.51</v>
      </c>
      <c r="F149" s="52">
        <v>3056.87</v>
      </c>
      <c r="G149" s="52">
        <v>4430.9399999999996</v>
      </c>
      <c r="H149" s="52">
        <v>9.7200000000000006</v>
      </c>
      <c r="I149" s="52">
        <v>509.1</v>
      </c>
      <c r="J149" s="52">
        <v>3131.6400000000003</v>
      </c>
      <c r="K149" s="53">
        <v>14881.419999999998</v>
      </c>
      <c r="L149" s="49">
        <v>52</v>
      </c>
      <c r="M149" s="44">
        <v>0</v>
      </c>
      <c r="N149" s="44">
        <v>0</v>
      </c>
      <c r="O149" s="44">
        <v>53015</v>
      </c>
      <c r="P149" s="44">
        <v>6546.71</v>
      </c>
      <c r="Q149" s="44">
        <v>2349.39</v>
      </c>
      <c r="R149" s="44">
        <v>22570.26</v>
      </c>
      <c r="S149" s="44">
        <v>3.72</v>
      </c>
      <c r="T149" s="44">
        <v>113</v>
      </c>
      <c r="U149" s="44">
        <v>40.5</v>
      </c>
      <c r="V149" s="44">
        <v>197</v>
      </c>
      <c r="W149" s="44">
        <v>5982</v>
      </c>
      <c r="X149" s="44">
        <v>5452</v>
      </c>
      <c r="Y149" s="44">
        <v>530</v>
      </c>
    </row>
    <row r="150" spans="1:25" x14ac:dyDescent="0.2">
      <c r="A150" s="50">
        <f t="shared" si="2"/>
        <v>45806</v>
      </c>
      <c r="B150" s="51">
        <v>3648.43</v>
      </c>
      <c r="C150" s="52">
        <v>2207.71</v>
      </c>
      <c r="D150" s="52">
        <v>1957.57</v>
      </c>
      <c r="E150" s="52">
        <v>1378.25</v>
      </c>
      <c r="F150" s="52">
        <v>2261.9</v>
      </c>
      <c r="G150" s="52">
        <v>4297.04</v>
      </c>
      <c r="H150" s="52">
        <v>10.88</v>
      </c>
      <c r="I150" s="52">
        <v>504.34</v>
      </c>
      <c r="J150" s="52">
        <v>2974.4700000000003</v>
      </c>
      <c r="K150" s="53">
        <v>13291.649999999998</v>
      </c>
      <c r="L150" s="49">
        <v>53</v>
      </c>
      <c r="M150" s="44">
        <v>0</v>
      </c>
      <c r="N150" s="44">
        <v>0</v>
      </c>
      <c r="O150" s="44">
        <v>43061</v>
      </c>
      <c r="P150" s="44">
        <v>5989.56</v>
      </c>
      <c r="Q150" s="44">
        <v>2368.5700000000002</v>
      </c>
      <c r="R150" s="44">
        <v>11111.51</v>
      </c>
      <c r="S150" s="44">
        <v>2.31</v>
      </c>
      <c r="T150" s="44">
        <v>110</v>
      </c>
      <c r="U150" s="44">
        <v>36.700000000000003</v>
      </c>
      <c r="V150" s="44">
        <v>178</v>
      </c>
      <c r="W150" s="44">
        <v>5560</v>
      </c>
      <c r="X150" s="44">
        <v>5010</v>
      </c>
      <c r="Y150" s="44">
        <v>550</v>
      </c>
    </row>
    <row r="151" spans="1:25" x14ac:dyDescent="0.2">
      <c r="A151" s="50">
        <f t="shared" si="2"/>
        <v>45807</v>
      </c>
      <c r="B151" s="51">
        <v>4048.52</v>
      </c>
      <c r="C151" s="52">
        <v>1977.68</v>
      </c>
      <c r="D151" s="52">
        <v>1914.4</v>
      </c>
      <c r="E151" s="52">
        <v>1344.23</v>
      </c>
      <c r="F151" s="52">
        <v>2115.52</v>
      </c>
      <c r="G151" s="52">
        <v>4342.59</v>
      </c>
      <c r="H151" s="52">
        <v>10.45</v>
      </c>
      <c r="I151" s="52">
        <v>489.12</v>
      </c>
      <c r="J151" s="52">
        <v>3038</v>
      </c>
      <c r="K151" s="53">
        <v>13204.510000000002</v>
      </c>
      <c r="L151" s="49">
        <v>44</v>
      </c>
      <c r="M151" s="44">
        <v>0</v>
      </c>
      <c r="N151" s="44">
        <v>0</v>
      </c>
      <c r="O151" s="44">
        <v>40637.949999999997</v>
      </c>
      <c r="P151" s="44">
        <v>5519.46</v>
      </c>
      <c r="Q151" s="44">
        <v>2101.81</v>
      </c>
      <c r="R151" s="44">
        <v>10292.07</v>
      </c>
      <c r="S151" s="44">
        <v>1.56</v>
      </c>
      <c r="T151" s="44">
        <v>111</v>
      </c>
      <c r="U151" s="44">
        <v>35.5</v>
      </c>
      <c r="V151" s="44">
        <v>165</v>
      </c>
      <c r="W151" s="44">
        <v>5321</v>
      </c>
      <c r="X151" s="44">
        <v>4745</v>
      </c>
      <c r="Y151" s="44">
        <v>576</v>
      </c>
    </row>
    <row r="152" spans="1:25" x14ac:dyDescent="0.2">
      <c r="A152" s="50">
        <f t="shared" si="2"/>
        <v>45808</v>
      </c>
      <c r="B152" s="51">
        <v>3923</v>
      </c>
      <c r="C152" s="52">
        <v>1607</v>
      </c>
      <c r="D152" s="52">
        <v>1561.6</v>
      </c>
      <c r="E152" s="52">
        <v>1684.5</v>
      </c>
      <c r="F152" s="52">
        <v>3265.7</v>
      </c>
      <c r="G152" s="52">
        <v>3729.2</v>
      </c>
      <c r="H152" s="52">
        <v>8.24</v>
      </c>
      <c r="I152" s="52">
        <v>481.6</v>
      </c>
      <c r="J152" s="52">
        <v>2514.88</v>
      </c>
      <c r="K152" s="53">
        <v>13745.96</v>
      </c>
      <c r="L152" s="49">
        <v>24</v>
      </c>
      <c r="M152" s="44">
        <v>0</v>
      </c>
      <c r="O152" s="44">
        <v>58098</v>
      </c>
      <c r="P152" s="44">
        <v>4504</v>
      </c>
      <c r="Q152" s="44">
        <v>1991.16</v>
      </c>
      <c r="R152" s="44">
        <v>25841.24</v>
      </c>
      <c r="S152" s="44">
        <v>1.55</v>
      </c>
      <c r="T152" s="44">
        <v>81</v>
      </c>
      <c r="U152" s="44">
        <v>30</v>
      </c>
      <c r="V152" s="44">
        <v>149</v>
      </c>
      <c r="W152" s="44">
        <v>4201</v>
      </c>
      <c r="X152" s="44">
        <v>4057</v>
      </c>
      <c r="Y152" s="44">
        <v>144</v>
      </c>
    </row>
    <row r="153" spans="1:25" x14ac:dyDescent="0.2">
      <c r="A153" s="50">
        <f t="shared" si="2"/>
        <v>45809</v>
      </c>
      <c r="B153" s="51">
        <v>3544.9</v>
      </c>
      <c r="C153" s="52">
        <v>2041.8</v>
      </c>
      <c r="D153" s="52">
        <v>1929.2</v>
      </c>
      <c r="E153" s="52">
        <v>1313.8</v>
      </c>
      <c r="F153" s="52">
        <v>2388.9</v>
      </c>
      <c r="G153" s="52">
        <v>3321.8</v>
      </c>
      <c r="H153" s="52">
        <v>8.9</v>
      </c>
      <c r="I153" s="52">
        <v>499.6</v>
      </c>
      <c r="J153" s="52">
        <v>2206.4499999999998</v>
      </c>
      <c r="K153" s="53">
        <v>12842.449999999997</v>
      </c>
      <c r="L153" s="49">
        <v>37</v>
      </c>
      <c r="M153" s="44">
        <v>0</v>
      </c>
      <c r="N153" s="44">
        <v>0</v>
      </c>
      <c r="O153" s="44">
        <v>39733.9</v>
      </c>
      <c r="P153" s="44">
        <v>6670</v>
      </c>
      <c r="Q153" s="44">
        <v>2218.34</v>
      </c>
      <c r="R153" s="44">
        <v>11490.9</v>
      </c>
      <c r="S153" s="44">
        <v>1.53</v>
      </c>
      <c r="T153" s="44">
        <v>109</v>
      </c>
      <c r="U153" s="44">
        <v>35.6</v>
      </c>
      <c r="V153" s="44">
        <v>182</v>
      </c>
      <c r="W153" s="44">
        <v>5237</v>
      </c>
      <c r="X153" s="44">
        <v>4859</v>
      </c>
      <c r="Y153" s="44">
        <v>378</v>
      </c>
    </row>
    <row r="154" spans="1:25" x14ac:dyDescent="0.2">
      <c r="A154" s="50">
        <f t="shared" si="2"/>
        <v>45810</v>
      </c>
      <c r="B154" s="51">
        <v>4156.22</v>
      </c>
      <c r="C154" s="52">
        <v>2494.19</v>
      </c>
      <c r="D154" s="52">
        <v>2061.4499999999998</v>
      </c>
      <c r="E154" s="52">
        <v>1830.49</v>
      </c>
      <c r="F154" s="52">
        <v>2311.59</v>
      </c>
      <c r="G154" s="52">
        <v>4177.2299999999996</v>
      </c>
      <c r="H154" s="52">
        <v>8.83</v>
      </c>
      <c r="I154" s="52">
        <v>492.68</v>
      </c>
      <c r="J154" s="52">
        <v>2818.31</v>
      </c>
      <c r="K154" s="53">
        <v>14714.37</v>
      </c>
      <c r="L154" s="49">
        <v>49</v>
      </c>
      <c r="M154" s="44">
        <v>0</v>
      </c>
      <c r="N154" s="44">
        <v>0</v>
      </c>
      <c r="O154" s="44">
        <v>46698</v>
      </c>
      <c r="P154" s="44">
        <v>6733</v>
      </c>
      <c r="Q154" s="44">
        <v>1991.16</v>
      </c>
      <c r="R154" s="44">
        <v>12965.65</v>
      </c>
      <c r="S154" s="44">
        <v>1.52</v>
      </c>
      <c r="T154" s="44">
        <v>101</v>
      </c>
      <c r="U154" s="44">
        <v>35.900000000000006</v>
      </c>
      <c r="V154" s="44">
        <v>174</v>
      </c>
      <c r="W154" s="44">
        <v>5467</v>
      </c>
      <c r="X154" s="44">
        <v>4940</v>
      </c>
      <c r="Y154" s="44">
        <v>527</v>
      </c>
    </row>
    <row r="155" spans="1:25" x14ac:dyDescent="0.2">
      <c r="A155" s="50">
        <f t="shared" si="2"/>
        <v>45811</v>
      </c>
      <c r="B155" s="51">
        <v>3850.47</v>
      </c>
      <c r="C155" s="52">
        <v>2721.93</v>
      </c>
      <c r="D155" s="52">
        <v>1813.98</v>
      </c>
      <c r="E155" s="52">
        <v>1698.17</v>
      </c>
      <c r="F155" s="52">
        <v>2100.0500000000002</v>
      </c>
      <c r="G155" s="52">
        <v>4546.5200000000004</v>
      </c>
      <c r="H155" s="52">
        <v>10.15</v>
      </c>
      <c r="I155" s="52">
        <v>506.18</v>
      </c>
      <c r="J155" s="52">
        <v>3209.6699999999996</v>
      </c>
      <c r="K155" s="53">
        <v>14037.78</v>
      </c>
      <c r="L155" s="49">
        <v>46</v>
      </c>
      <c r="M155" s="44">
        <v>0</v>
      </c>
      <c r="N155" s="44">
        <v>0</v>
      </c>
      <c r="O155" s="44">
        <v>44344</v>
      </c>
      <c r="P155" s="44">
        <v>6579</v>
      </c>
      <c r="Q155" s="44">
        <v>2179.8200000000002</v>
      </c>
      <c r="R155" s="44">
        <v>11379.68</v>
      </c>
      <c r="S155" s="44">
        <v>1.55</v>
      </c>
      <c r="T155" s="44">
        <v>110</v>
      </c>
      <c r="U155" s="44">
        <v>35.6</v>
      </c>
      <c r="V155" s="44">
        <v>168</v>
      </c>
      <c r="W155" s="44">
        <v>5387</v>
      </c>
      <c r="X155" s="44">
        <v>4842</v>
      </c>
      <c r="Y155" s="44">
        <v>545</v>
      </c>
    </row>
    <row r="156" spans="1:25" x14ac:dyDescent="0.2">
      <c r="A156" s="50">
        <f t="shared" si="2"/>
        <v>45812</v>
      </c>
      <c r="B156" s="51">
        <v>4134.7</v>
      </c>
      <c r="C156" s="52">
        <v>2354.4</v>
      </c>
      <c r="D156" s="52">
        <v>1632.3</v>
      </c>
      <c r="E156" s="52">
        <v>2269.5</v>
      </c>
      <c r="F156" s="52">
        <v>2562.5</v>
      </c>
      <c r="G156" s="52">
        <v>4489.6000000000004</v>
      </c>
      <c r="H156" s="52">
        <v>8.5</v>
      </c>
      <c r="I156" s="52">
        <v>491.3</v>
      </c>
      <c r="J156" s="52">
        <v>3150.7</v>
      </c>
      <c r="K156" s="53">
        <v>14792.099999999999</v>
      </c>
      <c r="L156" s="49">
        <v>48</v>
      </c>
      <c r="M156" s="44">
        <v>0</v>
      </c>
      <c r="N156" s="44">
        <v>0</v>
      </c>
      <c r="O156" s="44">
        <v>51805</v>
      </c>
      <c r="P156" s="44">
        <v>6368</v>
      </c>
      <c r="Q156" s="44">
        <v>1823.1</v>
      </c>
      <c r="R156" s="44">
        <v>25033.49</v>
      </c>
      <c r="S156" s="44">
        <v>1.49</v>
      </c>
      <c r="T156" s="44">
        <v>96</v>
      </c>
      <c r="U156" s="44">
        <v>35.9</v>
      </c>
      <c r="V156" s="44">
        <v>167</v>
      </c>
      <c r="W156" s="44">
        <v>5356</v>
      </c>
      <c r="X156" s="44">
        <v>4833</v>
      </c>
      <c r="Y156" s="44">
        <v>523</v>
      </c>
    </row>
    <row r="157" spans="1:25" x14ac:dyDescent="0.2">
      <c r="A157" s="50">
        <f t="shared" si="2"/>
        <v>45813</v>
      </c>
      <c r="B157" s="51">
        <v>3635.3</v>
      </c>
      <c r="C157" s="52">
        <v>2218.8000000000002</v>
      </c>
      <c r="D157" s="52">
        <v>1841.8</v>
      </c>
      <c r="E157" s="52">
        <v>1900.2</v>
      </c>
      <c r="F157" s="52">
        <v>2400.3000000000002</v>
      </c>
      <c r="G157" s="52">
        <v>4483.8999999999996</v>
      </c>
      <c r="H157" s="52">
        <v>9.27</v>
      </c>
      <c r="I157" s="52">
        <v>424.4</v>
      </c>
      <c r="J157" s="52">
        <v>3060.9999999999995</v>
      </c>
      <c r="K157" s="53">
        <v>13852.970000000005</v>
      </c>
      <c r="L157" s="49">
        <v>56</v>
      </c>
      <c r="M157" s="44">
        <v>0</v>
      </c>
      <c r="N157" s="44">
        <v>0</v>
      </c>
      <c r="O157" s="44">
        <v>56621.3</v>
      </c>
      <c r="P157" s="44">
        <v>6209.4</v>
      </c>
      <c r="Q157" s="44">
        <v>1310.7</v>
      </c>
      <c r="R157" s="44">
        <v>21300.7</v>
      </c>
      <c r="S157" s="44">
        <v>1.52</v>
      </c>
      <c r="T157" s="44">
        <v>114</v>
      </c>
      <c r="U157" s="44">
        <v>36.5</v>
      </c>
      <c r="V157" s="44">
        <v>178</v>
      </c>
      <c r="W157" s="44">
        <v>5682</v>
      </c>
      <c r="X157" s="44">
        <v>4965</v>
      </c>
      <c r="Y157" s="44">
        <v>717</v>
      </c>
    </row>
    <row r="158" spans="1:25" x14ac:dyDescent="0.2">
      <c r="A158" s="50">
        <f t="shared" si="2"/>
        <v>45814</v>
      </c>
      <c r="B158" s="51">
        <v>3677.6</v>
      </c>
      <c r="C158" s="52">
        <v>2331.35</v>
      </c>
      <c r="D158" s="52">
        <v>1835.68</v>
      </c>
      <c r="E158" s="52">
        <v>1719.19</v>
      </c>
      <c r="F158" s="52">
        <v>2057.42</v>
      </c>
      <c r="G158" s="52">
        <v>4067.76</v>
      </c>
      <c r="H158" s="52">
        <v>9.9499999999999993</v>
      </c>
      <c r="I158" s="52">
        <v>444.54</v>
      </c>
      <c r="J158" s="52">
        <v>2739.63</v>
      </c>
      <c r="K158" s="53">
        <v>13403.86</v>
      </c>
      <c r="L158" s="49">
        <v>47</v>
      </c>
      <c r="M158" s="44">
        <v>0</v>
      </c>
      <c r="N158" s="44">
        <v>0</v>
      </c>
      <c r="O158" s="44">
        <v>41593</v>
      </c>
      <c r="P158" s="44">
        <v>5934.8</v>
      </c>
      <c r="Q158" s="44">
        <v>1507.2</v>
      </c>
      <c r="R158" s="44">
        <v>21112.26</v>
      </c>
      <c r="S158" s="44">
        <v>1.55</v>
      </c>
      <c r="T158" s="44">
        <v>105</v>
      </c>
      <c r="U158" s="44">
        <v>35.4</v>
      </c>
      <c r="V158" s="44">
        <v>168</v>
      </c>
      <c r="W158" s="44">
        <v>5622</v>
      </c>
      <c r="X158" s="44">
        <v>4949</v>
      </c>
      <c r="Y158" s="44">
        <v>673</v>
      </c>
    </row>
    <row r="159" spans="1:25" x14ac:dyDescent="0.2">
      <c r="A159" s="50">
        <f t="shared" si="2"/>
        <v>45815</v>
      </c>
      <c r="B159" s="51">
        <v>3367.87</v>
      </c>
      <c r="C159" s="52">
        <v>1947.36</v>
      </c>
      <c r="D159" s="52">
        <v>1601.38</v>
      </c>
      <c r="E159" s="52">
        <v>1248.0899999999999</v>
      </c>
      <c r="F159" s="52">
        <v>1553.54</v>
      </c>
      <c r="G159" s="52">
        <v>3403.01</v>
      </c>
      <c r="H159" s="52">
        <v>8.11</v>
      </c>
      <c r="I159" s="52">
        <v>412.72</v>
      </c>
      <c r="J159" s="52">
        <v>2214.9499999999998</v>
      </c>
      <c r="K159" s="53">
        <v>11327.130000000001</v>
      </c>
      <c r="L159" s="49">
        <v>35</v>
      </c>
      <c r="M159" s="44">
        <v>0</v>
      </c>
      <c r="N159" s="44">
        <v>0</v>
      </c>
      <c r="O159" s="44">
        <v>40340</v>
      </c>
      <c r="P159" s="44">
        <v>3649</v>
      </c>
      <c r="Q159" s="44">
        <v>1196.1300000000001</v>
      </c>
      <c r="R159" s="44">
        <v>15199.26</v>
      </c>
      <c r="S159" s="44">
        <v>1.56</v>
      </c>
      <c r="T159" s="44">
        <v>111</v>
      </c>
      <c r="U159" s="44">
        <v>34.299999999999997</v>
      </c>
      <c r="V159" s="44">
        <v>169</v>
      </c>
      <c r="W159" s="44">
        <v>5221</v>
      </c>
      <c r="X159" s="44">
        <v>4744</v>
      </c>
      <c r="Y159" s="44">
        <v>477</v>
      </c>
    </row>
    <row r="160" spans="1:25" x14ac:dyDescent="0.2">
      <c r="A160" s="50">
        <f t="shared" ref="A160:A223" si="3">A159+1</f>
        <v>45816</v>
      </c>
      <c r="B160" s="51">
        <v>3654.11</v>
      </c>
      <c r="C160" s="52">
        <v>1925.15</v>
      </c>
      <c r="D160" s="52">
        <v>1580.43</v>
      </c>
      <c r="E160" s="52">
        <v>2117.6999999999998</v>
      </c>
      <c r="F160" s="52">
        <v>2079.48</v>
      </c>
      <c r="G160" s="52">
        <v>3399.56</v>
      </c>
      <c r="H160" s="52">
        <v>9.24</v>
      </c>
      <c r="I160" s="52">
        <v>405.54</v>
      </c>
      <c r="J160" s="52">
        <v>2198.73</v>
      </c>
      <c r="K160" s="53">
        <v>12972.48</v>
      </c>
      <c r="L160" s="49">
        <v>34</v>
      </c>
      <c r="M160" s="44">
        <v>0</v>
      </c>
      <c r="N160" s="44">
        <v>0</v>
      </c>
      <c r="O160" s="44">
        <v>47123</v>
      </c>
      <c r="P160" s="44">
        <v>3786</v>
      </c>
      <c r="Q160" s="44">
        <v>1147.79</v>
      </c>
      <c r="R160" s="44">
        <v>22658.34</v>
      </c>
      <c r="S160" s="44">
        <v>1.54</v>
      </c>
      <c r="T160" s="44">
        <v>100</v>
      </c>
      <c r="U160" s="44">
        <v>36.9</v>
      </c>
      <c r="V160" s="44">
        <v>170</v>
      </c>
      <c r="W160" s="44">
        <v>5472</v>
      </c>
      <c r="X160" s="44">
        <v>4981</v>
      </c>
      <c r="Y160" s="44">
        <v>491</v>
      </c>
    </row>
    <row r="161" spans="1:25" x14ac:dyDescent="0.2">
      <c r="A161" s="50">
        <f t="shared" si="3"/>
        <v>45817</v>
      </c>
      <c r="B161" s="51">
        <v>3895.8</v>
      </c>
      <c r="C161" s="52">
        <v>2248.1</v>
      </c>
      <c r="D161" s="52">
        <v>1797.4</v>
      </c>
      <c r="E161" s="52">
        <v>1814.7</v>
      </c>
      <c r="F161" s="52">
        <v>2244.9</v>
      </c>
      <c r="G161" s="52">
        <v>4304.6000000000004</v>
      </c>
      <c r="H161" s="52">
        <v>8.1999999999999993</v>
      </c>
      <c r="I161" s="52">
        <v>439.8</v>
      </c>
      <c r="J161" s="52">
        <v>2920.1</v>
      </c>
      <c r="K161" s="53">
        <v>13833.4</v>
      </c>
      <c r="L161" s="49">
        <v>48</v>
      </c>
      <c r="M161" s="44">
        <v>0</v>
      </c>
      <c r="N161" s="44">
        <v>0</v>
      </c>
      <c r="O161" s="44">
        <v>44772.2</v>
      </c>
      <c r="P161" s="44">
        <v>7088.1</v>
      </c>
      <c r="Q161" s="44">
        <v>1331.23</v>
      </c>
      <c r="R161" s="44">
        <v>15876.36</v>
      </c>
      <c r="S161" s="44">
        <v>1.53</v>
      </c>
      <c r="T161" s="44">
        <v>103</v>
      </c>
      <c r="U161" s="44">
        <v>36.200000000000003</v>
      </c>
      <c r="V161" s="44">
        <v>181</v>
      </c>
      <c r="W161" s="44">
        <v>5547</v>
      </c>
      <c r="X161" s="44">
        <v>4917</v>
      </c>
      <c r="Y161" s="44">
        <v>630</v>
      </c>
    </row>
    <row r="162" spans="1:25" x14ac:dyDescent="0.2">
      <c r="A162" s="50">
        <f t="shared" si="3"/>
        <v>45818</v>
      </c>
      <c r="B162" s="51">
        <v>3536.65</v>
      </c>
      <c r="C162" s="52">
        <v>2596.1</v>
      </c>
      <c r="D162" s="52">
        <v>1841.94</v>
      </c>
      <c r="E162" s="52">
        <v>1916.96</v>
      </c>
      <c r="F162" s="52">
        <v>2153.59</v>
      </c>
      <c r="G162" s="52">
        <v>4166.6099999999997</v>
      </c>
      <c r="H162" s="52">
        <v>8.99</v>
      </c>
      <c r="I162" s="52">
        <v>482.42</v>
      </c>
      <c r="J162" s="52">
        <v>2951.82</v>
      </c>
      <c r="K162" s="53">
        <v>13751.440000000002</v>
      </c>
      <c r="L162" s="49">
        <v>50</v>
      </c>
      <c r="M162" s="44">
        <v>0</v>
      </c>
      <c r="N162" s="44">
        <v>0</v>
      </c>
      <c r="O162" s="44">
        <v>41027</v>
      </c>
      <c r="P162" s="44">
        <v>6047.8</v>
      </c>
      <c r="Q162" s="44">
        <v>1713.61</v>
      </c>
      <c r="R162" s="44">
        <v>12865.77</v>
      </c>
      <c r="S162" s="44">
        <v>1.55</v>
      </c>
      <c r="T162" s="44">
        <v>110</v>
      </c>
      <c r="U162" s="44">
        <v>35</v>
      </c>
      <c r="V162" s="44">
        <v>169</v>
      </c>
      <c r="W162" s="44">
        <v>5368</v>
      </c>
      <c r="X162" s="44">
        <v>4770</v>
      </c>
      <c r="Y162" s="44">
        <v>598</v>
      </c>
    </row>
    <row r="163" spans="1:25" x14ac:dyDescent="0.2">
      <c r="A163" s="50">
        <f t="shared" si="3"/>
        <v>45819</v>
      </c>
      <c r="B163" s="51">
        <v>4170.45</v>
      </c>
      <c r="C163" s="52">
        <v>2541.9699999999998</v>
      </c>
      <c r="D163" s="52">
        <v>1806.49</v>
      </c>
      <c r="E163" s="52">
        <v>2285.12</v>
      </c>
      <c r="F163" s="52">
        <v>2436.39</v>
      </c>
      <c r="G163" s="52">
        <v>4337.3</v>
      </c>
      <c r="H163" s="52">
        <v>10.01</v>
      </c>
      <c r="I163" s="52">
        <v>450.42</v>
      </c>
      <c r="J163" s="52">
        <v>2928.6600000000003</v>
      </c>
      <c r="K163" s="53">
        <v>15109.489999999994</v>
      </c>
      <c r="L163" s="49">
        <v>45</v>
      </c>
      <c r="M163" s="44">
        <v>0</v>
      </c>
      <c r="N163" s="44">
        <v>0</v>
      </c>
      <c r="O163" s="44">
        <v>48023</v>
      </c>
      <c r="P163" s="44">
        <v>6023</v>
      </c>
      <c r="Q163" s="44">
        <v>1465.08</v>
      </c>
      <c r="R163" s="44">
        <v>17674.61</v>
      </c>
      <c r="S163" s="44">
        <v>1.53</v>
      </c>
      <c r="T163" s="44">
        <v>95</v>
      </c>
      <c r="U163" s="44">
        <v>34.299999999999997</v>
      </c>
      <c r="V163" s="44">
        <v>164</v>
      </c>
      <c r="W163" s="44">
        <v>5275</v>
      </c>
      <c r="X163" s="44">
        <v>4708</v>
      </c>
      <c r="Y163" s="44">
        <v>567</v>
      </c>
    </row>
    <row r="164" spans="1:25" x14ac:dyDescent="0.2">
      <c r="A164" s="50">
        <f t="shared" si="3"/>
        <v>45820</v>
      </c>
      <c r="B164" s="51">
        <v>3653.23</v>
      </c>
      <c r="C164" s="52">
        <v>2048.61</v>
      </c>
      <c r="D164" s="52">
        <v>1586.47</v>
      </c>
      <c r="E164" s="52">
        <v>1748.28</v>
      </c>
      <c r="F164" s="52">
        <v>2185.6799999999998</v>
      </c>
      <c r="G164" s="52">
        <v>3416.02</v>
      </c>
      <c r="H164" s="52">
        <v>9.1199999999999992</v>
      </c>
      <c r="I164" s="52">
        <v>428.92</v>
      </c>
      <c r="J164" s="52">
        <v>2296.7800000000002</v>
      </c>
      <c r="K164" s="53">
        <v>12779.550000000001</v>
      </c>
      <c r="L164" s="49">
        <v>35</v>
      </c>
      <c r="M164" s="44">
        <v>0</v>
      </c>
      <c r="N164" s="44">
        <v>0</v>
      </c>
      <c r="O164" s="44">
        <v>46452</v>
      </c>
      <c r="P164" s="44">
        <v>6262.82</v>
      </c>
      <c r="Q164" s="44">
        <v>1246.42</v>
      </c>
      <c r="R164" s="44">
        <v>14056.54</v>
      </c>
      <c r="S164" s="44">
        <v>1.53</v>
      </c>
      <c r="T164" s="44">
        <v>107</v>
      </c>
      <c r="U164" s="44">
        <v>34.700000000000003</v>
      </c>
      <c r="V164" s="44">
        <v>163</v>
      </c>
      <c r="W164" s="44">
        <v>5240</v>
      </c>
      <c r="X164" s="44">
        <v>4803</v>
      </c>
      <c r="Y164" s="44">
        <v>437</v>
      </c>
    </row>
    <row r="165" spans="1:25" x14ac:dyDescent="0.2">
      <c r="A165" s="50">
        <f t="shared" si="3"/>
        <v>45821</v>
      </c>
      <c r="B165" s="51">
        <v>3756.26</v>
      </c>
      <c r="C165" s="52">
        <v>1982.3</v>
      </c>
      <c r="D165" s="52">
        <v>1692.3</v>
      </c>
      <c r="E165" s="52">
        <v>1503.4</v>
      </c>
      <c r="F165" s="52">
        <v>1840.46</v>
      </c>
      <c r="G165" s="52">
        <v>3376.3</v>
      </c>
      <c r="H165" s="52">
        <v>7.86</v>
      </c>
      <c r="I165" s="52">
        <v>420.7</v>
      </c>
      <c r="J165" s="52">
        <v>2304.06</v>
      </c>
      <c r="K165" s="53">
        <v>12275.520000000002</v>
      </c>
      <c r="L165" s="49">
        <v>36</v>
      </c>
      <c r="M165" s="44">
        <v>0</v>
      </c>
      <c r="N165" s="44">
        <v>0</v>
      </c>
      <c r="O165" s="44">
        <v>37768.9</v>
      </c>
      <c r="P165" s="44">
        <v>5834.35</v>
      </c>
      <c r="Q165" s="44">
        <v>1244.9000000000001</v>
      </c>
      <c r="R165" s="44">
        <v>9749.4</v>
      </c>
      <c r="S165" s="44">
        <v>1.55</v>
      </c>
      <c r="T165" s="44">
        <v>98</v>
      </c>
      <c r="U165" s="44">
        <v>36.099999999999994</v>
      </c>
      <c r="V165" s="44">
        <v>170</v>
      </c>
      <c r="W165" s="44">
        <v>5498</v>
      </c>
      <c r="X165" s="44">
        <v>4869</v>
      </c>
      <c r="Y165" s="44">
        <v>629</v>
      </c>
    </row>
    <row r="166" spans="1:25" x14ac:dyDescent="0.2">
      <c r="A166" s="50">
        <f t="shared" si="3"/>
        <v>45822</v>
      </c>
      <c r="B166" s="51">
        <v>4279.78</v>
      </c>
      <c r="C166" s="52">
        <v>2190.29</v>
      </c>
      <c r="D166" s="52">
        <v>1630.09</v>
      </c>
      <c r="E166" s="52">
        <v>1458.06</v>
      </c>
      <c r="F166" s="52">
        <v>1511.84</v>
      </c>
      <c r="G166" s="52">
        <v>2938.16</v>
      </c>
      <c r="H166" s="52">
        <v>8.2799999999999994</v>
      </c>
      <c r="I166" s="52">
        <v>403.42</v>
      </c>
      <c r="J166" s="52">
        <v>1799.02</v>
      </c>
      <c r="K166" s="53">
        <v>12620.9</v>
      </c>
      <c r="L166" s="49">
        <v>32</v>
      </c>
      <c r="M166" s="44">
        <v>0</v>
      </c>
      <c r="N166" s="44">
        <v>0</v>
      </c>
      <c r="O166" s="44">
        <v>33030</v>
      </c>
      <c r="P166" s="44">
        <v>4365.5600000000004</v>
      </c>
      <c r="Q166" s="44">
        <v>1081.02</v>
      </c>
      <c r="R166" s="44">
        <v>9412.14</v>
      </c>
      <c r="S166" s="44">
        <v>1.48</v>
      </c>
      <c r="T166" s="44">
        <v>112</v>
      </c>
      <c r="U166" s="44">
        <v>37.5</v>
      </c>
      <c r="V166" s="44">
        <v>177</v>
      </c>
      <c r="W166" s="44">
        <v>5616</v>
      </c>
      <c r="X166" s="44">
        <v>5161</v>
      </c>
      <c r="Y166" s="44">
        <v>455</v>
      </c>
    </row>
    <row r="167" spans="1:25" x14ac:dyDescent="0.2">
      <c r="A167" s="50">
        <f t="shared" si="3"/>
        <v>45823</v>
      </c>
      <c r="B167" s="51">
        <v>4066.49</v>
      </c>
      <c r="C167" s="52">
        <v>2107.11</v>
      </c>
      <c r="D167" s="52">
        <v>1598.18</v>
      </c>
      <c r="E167" s="52">
        <v>1419.96</v>
      </c>
      <c r="F167" s="52">
        <v>1519.84</v>
      </c>
      <c r="G167" s="52">
        <v>2880.81</v>
      </c>
      <c r="H167" s="52">
        <v>8.92</v>
      </c>
      <c r="I167" s="52">
        <v>398.08</v>
      </c>
      <c r="J167" s="52">
        <v>1831.74</v>
      </c>
      <c r="K167" s="53">
        <v>12167.650000000001</v>
      </c>
      <c r="L167" s="49">
        <v>29</v>
      </c>
      <c r="M167" s="44">
        <v>0</v>
      </c>
      <c r="N167" s="44">
        <v>0</v>
      </c>
      <c r="O167" s="44">
        <v>33359</v>
      </c>
      <c r="P167" s="44">
        <v>4339</v>
      </c>
      <c r="Q167" s="44">
        <v>1047.4100000000001</v>
      </c>
      <c r="R167" s="44">
        <v>8060.03</v>
      </c>
      <c r="S167" s="44">
        <v>1.52</v>
      </c>
      <c r="T167" s="44">
        <v>108</v>
      </c>
      <c r="U167" s="44">
        <v>35.5</v>
      </c>
      <c r="V167" s="44">
        <v>168</v>
      </c>
      <c r="W167" s="44">
        <v>5500</v>
      </c>
      <c r="X167" s="44">
        <v>5023</v>
      </c>
      <c r="Y167" s="44">
        <v>477</v>
      </c>
    </row>
    <row r="168" spans="1:25" x14ac:dyDescent="0.2">
      <c r="A168" s="50">
        <f t="shared" si="3"/>
        <v>45824</v>
      </c>
      <c r="B168" s="51">
        <v>3978.57</v>
      </c>
      <c r="C168" s="52">
        <v>2433.9499999999998</v>
      </c>
      <c r="D168" s="52">
        <v>1627.77</v>
      </c>
      <c r="E168" s="52">
        <v>811.56</v>
      </c>
      <c r="F168" s="52">
        <v>4214.62</v>
      </c>
      <c r="G168" s="52">
        <v>4096.07</v>
      </c>
      <c r="H168" s="52">
        <v>2.92</v>
      </c>
      <c r="I168" s="52">
        <v>422.1</v>
      </c>
      <c r="J168" s="52">
        <v>2894.21</v>
      </c>
      <c r="K168" s="53">
        <v>14693.349999999999</v>
      </c>
      <c r="L168" s="49">
        <v>52</v>
      </c>
      <c r="M168" s="44">
        <v>0</v>
      </c>
      <c r="N168" s="44">
        <v>0</v>
      </c>
      <c r="O168" s="44">
        <v>51363</v>
      </c>
      <c r="P168" s="44">
        <v>6181.07</v>
      </c>
      <c r="Q168" s="44">
        <v>1376.82</v>
      </c>
      <c r="R168" s="44">
        <v>21059.16</v>
      </c>
      <c r="S168" s="44">
        <v>1.5</v>
      </c>
      <c r="T168" s="44">
        <v>99</v>
      </c>
      <c r="U168" s="44">
        <v>34.099999999999994</v>
      </c>
      <c r="V168" s="44">
        <v>161</v>
      </c>
      <c r="W168" s="44">
        <v>5284</v>
      </c>
      <c r="X168" s="44">
        <v>4667</v>
      </c>
      <c r="Y168" s="44">
        <v>617</v>
      </c>
    </row>
    <row r="169" spans="1:25" x14ac:dyDescent="0.2">
      <c r="A169" s="50">
        <f t="shared" si="3"/>
        <v>45825</v>
      </c>
      <c r="B169" s="51">
        <v>4144.3</v>
      </c>
      <c r="C169" s="52">
        <v>2308.4</v>
      </c>
      <c r="D169" s="52">
        <v>1726.3</v>
      </c>
      <c r="E169" s="52">
        <v>0</v>
      </c>
      <c r="F169" s="52">
        <v>3767.7</v>
      </c>
      <c r="G169" s="52">
        <v>4431.7</v>
      </c>
      <c r="H169" s="52">
        <v>5.73</v>
      </c>
      <c r="I169" s="52">
        <v>436.3</v>
      </c>
      <c r="J169" s="52">
        <v>3128.6</v>
      </c>
      <c r="K169" s="53">
        <v>13691.83</v>
      </c>
      <c r="L169" s="49">
        <v>48</v>
      </c>
      <c r="M169" s="44">
        <v>0</v>
      </c>
      <c r="N169" s="44">
        <v>0</v>
      </c>
      <c r="O169" s="44">
        <v>46733</v>
      </c>
      <c r="P169" s="44">
        <v>6907.04</v>
      </c>
      <c r="Q169" s="44">
        <v>1443.71</v>
      </c>
      <c r="R169" s="44">
        <v>15938.3</v>
      </c>
      <c r="S169" s="44">
        <v>1.49</v>
      </c>
      <c r="T169" s="44">
        <v>108</v>
      </c>
      <c r="U169" s="44">
        <v>36.299999999999997</v>
      </c>
      <c r="V169" s="44">
        <v>173</v>
      </c>
      <c r="W169" s="44">
        <v>5562</v>
      </c>
      <c r="X169" s="44">
        <v>4932</v>
      </c>
      <c r="Y169" s="44">
        <v>630</v>
      </c>
    </row>
    <row r="170" spans="1:25" x14ac:dyDescent="0.2">
      <c r="A170" s="50">
        <f t="shared" si="3"/>
        <v>45826</v>
      </c>
      <c r="B170" s="51">
        <v>3912.77</v>
      </c>
      <c r="C170" s="52">
        <v>2277.36</v>
      </c>
      <c r="D170" s="52">
        <v>1891.73</v>
      </c>
      <c r="E170" s="52">
        <v>1289.1500000000001</v>
      </c>
      <c r="F170" s="52">
        <v>2532.46</v>
      </c>
      <c r="G170" s="52">
        <v>4337.1400000000003</v>
      </c>
      <c r="H170" s="52">
        <v>8.4</v>
      </c>
      <c r="I170" s="52">
        <v>448.43</v>
      </c>
      <c r="J170" s="52">
        <v>2950.68</v>
      </c>
      <c r="K170" s="53">
        <v>13746.759999999998</v>
      </c>
      <c r="L170" s="49">
        <v>43</v>
      </c>
      <c r="M170" s="44">
        <v>0</v>
      </c>
      <c r="N170" s="44">
        <v>0</v>
      </c>
      <c r="O170" s="44">
        <v>45349</v>
      </c>
      <c r="P170" s="44">
        <v>6967.86</v>
      </c>
      <c r="Q170" s="44">
        <v>1356.71</v>
      </c>
      <c r="R170" s="44">
        <v>23162.03</v>
      </c>
      <c r="S170" s="44">
        <v>1.57</v>
      </c>
      <c r="T170" s="44">
        <v>106</v>
      </c>
      <c r="U170" s="44">
        <v>36.6</v>
      </c>
      <c r="V170" s="44">
        <v>178</v>
      </c>
      <c r="W170" s="44">
        <v>5658</v>
      </c>
      <c r="X170" s="44">
        <v>5045</v>
      </c>
      <c r="Y170" s="44">
        <v>613</v>
      </c>
    </row>
    <row r="171" spans="1:25" x14ac:dyDescent="0.2">
      <c r="A171" s="50">
        <f t="shared" si="3"/>
        <v>45827</v>
      </c>
      <c r="B171" s="51">
        <v>4102.26</v>
      </c>
      <c r="C171" s="52">
        <v>2260.04</v>
      </c>
      <c r="D171" s="52">
        <v>1897.52</v>
      </c>
      <c r="E171" s="52">
        <v>1712.21</v>
      </c>
      <c r="F171" s="52">
        <v>2101.75</v>
      </c>
      <c r="G171" s="52">
        <v>4172.2299999999996</v>
      </c>
      <c r="H171" s="52">
        <v>8.0299999999999994</v>
      </c>
      <c r="I171" s="52">
        <v>430.2</v>
      </c>
      <c r="J171" s="52">
        <v>2964.16</v>
      </c>
      <c r="K171" s="53">
        <v>13720.079999999998</v>
      </c>
      <c r="L171" s="49">
        <v>46</v>
      </c>
      <c r="M171" s="44">
        <v>0</v>
      </c>
      <c r="N171" s="44">
        <v>0</v>
      </c>
      <c r="O171" s="44">
        <v>40138</v>
      </c>
      <c r="P171" s="44">
        <v>6941.63</v>
      </c>
      <c r="Q171" s="44">
        <v>1198.78</v>
      </c>
      <c r="R171" s="44">
        <v>17861.830000000002</v>
      </c>
      <c r="S171" s="44">
        <v>1.51</v>
      </c>
      <c r="T171" s="44">
        <v>102</v>
      </c>
      <c r="U171" s="44">
        <v>35.799999999999997</v>
      </c>
      <c r="V171" s="44">
        <v>169</v>
      </c>
      <c r="W171" s="44">
        <v>5515</v>
      </c>
      <c r="X171" s="44">
        <v>4887</v>
      </c>
      <c r="Y171" s="44">
        <v>628</v>
      </c>
    </row>
    <row r="172" spans="1:25" x14ac:dyDescent="0.2">
      <c r="A172" s="50">
        <f t="shared" si="3"/>
        <v>45828</v>
      </c>
      <c r="B172" s="51">
        <v>4661.4799999999996</v>
      </c>
      <c r="C172" s="52">
        <v>2173.86</v>
      </c>
      <c r="D172" s="52">
        <v>2129.4899999999998</v>
      </c>
      <c r="E172" s="52">
        <v>1838.47</v>
      </c>
      <c r="F172" s="52">
        <v>2196</v>
      </c>
      <c r="G172" s="52">
        <v>4289.04</v>
      </c>
      <c r="H172" s="52">
        <v>8.51</v>
      </c>
      <c r="I172" s="52">
        <v>434.5</v>
      </c>
      <c r="J172" s="52">
        <v>2940.5899999999997</v>
      </c>
      <c r="K172" s="53">
        <v>14790.759999999998</v>
      </c>
      <c r="L172" s="49">
        <v>49</v>
      </c>
      <c r="M172" s="44">
        <v>0</v>
      </c>
      <c r="N172" s="44">
        <v>0</v>
      </c>
      <c r="O172" s="44">
        <v>51307</v>
      </c>
      <c r="P172" s="44">
        <v>6778.94</v>
      </c>
      <c r="Q172" s="44">
        <v>1445.17</v>
      </c>
      <c r="R172" s="44">
        <v>19594</v>
      </c>
      <c r="S172" s="44">
        <v>1.56</v>
      </c>
      <c r="T172" s="44">
        <v>115</v>
      </c>
      <c r="U172" s="44">
        <v>36</v>
      </c>
      <c r="V172" s="44">
        <v>169</v>
      </c>
      <c r="W172" s="44">
        <v>5579</v>
      </c>
      <c r="X172" s="44">
        <v>4984</v>
      </c>
      <c r="Y172" s="44">
        <v>595</v>
      </c>
    </row>
    <row r="173" spans="1:25" x14ac:dyDescent="0.2">
      <c r="A173" s="50">
        <f t="shared" si="3"/>
        <v>45829</v>
      </c>
      <c r="B173" s="51">
        <v>4939</v>
      </c>
      <c r="C173" s="52">
        <v>1941.4</v>
      </c>
      <c r="D173" s="52">
        <v>2032.2</v>
      </c>
      <c r="E173" s="52">
        <v>2679.6</v>
      </c>
      <c r="F173" s="52">
        <v>2350.6</v>
      </c>
      <c r="G173" s="52">
        <v>3565.1</v>
      </c>
      <c r="H173" s="52">
        <v>8.1199999999999992</v>
      </c>
      <c r="I173" s="52">
        <v>425.16</v>
      </c>
      <c r="J173" s="52">
        <v>2454.1999999999998</v>
      </c>
      <c r="K173" s="53">
        <v>15486.98</v>
      </c>
      <c r="L173" s="49">
        <v>32</v>
      </c>
      <c r="M173" s="44">
        <v>0</v>
      </c>
      <c r="N173" s="44">
        <v>0</v>
      </c>
      <c r="O173" s="44">
        <v>56906.1</v>
      </c>
      <c r="P173" s="44">
        <v>4559.3</v>
      </c>
      <c r="Q173" s="44">
        <v>1291.0999999999999</v>
      </c>
      <c r="R173" s="44">
        <v>31414.6</v>
      </c>
      <c r="S173" s="44">
        <v>1.51</v>
      </c>
      <c r="T173" s="44">
        <v>99</v>
      </c>
      <c r="U173" s="44">
        <v>36</v>
      </c>
      <c r="V173" s="44">
        <v>169</v>
      </c>
      <c r="W173" s="44">
        <v>5601</v>
      </c>
      <c r="X173" s="44">
        <v>5022</v>
      </c>
      <c r="Y173" s="44">
        <v>579</v>
      </c>
    </row>
    <row r="174" spans="1:25" x14ac:dyDescent="0.2">
      <c r="A174" s="50">
        <f t="shared" si="3"/>
        <v>45830</v>
      </c>
      <c r="B174" s="51">
        <v>3787.62</v>
      </c>
      <c r="C174" s="52">
        <v>1951.96</v>
      </c>
      <c r="D174" s="52">
        <v>1960.89</v>
      </c>
      <c r="E174" s="52">
        <v>1571.07</v>
      </c>
      <c r="F174" s="52">
        <v>1486.62</v>
      </c>
      <c r="G174" s="52">
        <v>3442.55</v>
      </c>
      <c r="H174" s="52">
        <v>9.41</v>
      </c>
      <c r="I174" s="52">
        <v>406.78</v>
      </c>
      <c r="J174" s="52">
        <v>2298.63</v>
      </c>
      <c r="K174" s="53">
        <v>12318.27</v>
      </c>
      <c r="L174" s="49">
        <v>25</v>
      </c>
      <c r="M174" s="44">
        <v>0</v>
      </c>
      <c r="N174" s="44">
        <v>0</v>
      </c>
      <c r="O174" s="44">
        <v>44006</v>
      </c>
      <c r="P174" s="44">
        <v>3719.92</v>
      </c>
      <c r="Q174" s="44">
        <v>1117.94</v>
      </c>
      <c r="R174" s="44">
        <v>26073.69</v>
      </c>
      <c r="S174" s="44">
        <v>1.52</v>
      </c>
      <c r="T174" s="44">
        <v>113</v>
      </c>
      <c r="U174" s="44">
        <v>35.299999999999997</v>
      </c>
      <c r="V174" s="44">
        <v>168</v>
      </c>
      <c r="W174" s="44">
        <v>5545</v>
      </c>
      <c r="X174" s="44">
        <v>4946</v>
      </c>
      <c r="Y174" s="44">
        <v>599</v>
      </c>
    </row>
    <row r="175" spans="1:25" x14ac:dyDescent="0.2">
      <c r="A175" s="50">
        <f t="shared" si="3"/>
        <v>45831</v>
      </c>
      <c r="B175" s="51">
        <v>4542.5200000000004</v>
      </c>
      <c r="C175" s="52">
        <v>2179.2199999999998</v>
      </c>
      <c r="D175" s="52">
        <v>2071.5</v>
      </c>
      <c r="E175" s="52">
        <v>2203.87</v>
      </c>
      <c r="F175" s="52">
        <v>2384.81</v>
      </c>
      <c r="G175" s="52">
        <v>4387.08</v>
      </c>
      <c r="H175" s="52">
        <v>10.88</v>
      </c>
      <c r="I175" s="52">
        <v>433.52</v>
      </c>
      <c r="J175" s="52">
        <v>3001.6800000000003</v>
      </c>
      <c r="K175" s="53">
        <v>15211.720000000001</v>
      </c>
      <c r="L175" s="49">
        <v>52</v>
      </c>
      <c r="M175" s="44">
        <v>0</v>
      </c>
      <c r="N175" s="44">
        <v>0</v>
      </c>
      <c r="O175" s="44">
        <v>51386</v>
      </c>
      <c r="P175" s="44">
        <v>6373.64</v>
      </c>
      <c r="Q175" s="44">
        <v>1443.65</v>
      </c>
      <c r="R175" s="44">
        <v>24556.63</v>
      </c>
      <c r="S175" s="44">
        <v>1.51</v>
      </c>
      <c r="T175" s="44">
        <v>107</v>
      </c>
      <c r="U175" s="44">
        <v>36.1</v>
      </c>
      <c r="V175" s="44">
        <v>174</v>
      </c>
      <c r="W175" s="44">
        <v>5829</v>
      </c>
      <c r="X175" s="44">
        <v>5055</v>
      </c>
      <c r="Y175" s="44">
        <v>774</v>
      </c>
    </row>
    <row r="176" spans="1:25" x14ac:dyDescent="0.2">
      <c r="A176" s="50">
        <f t="shared" si="3"/>
        <v>45832</v>
      </c>
      <c r="B176" s="51">
        <v>2911.5</v>
      </c>
      <c r="C176" s="52">
        <v>1940.7</v>
      </c>
      <c r="D176" s="52">
        <v>1586.3</v>
      </c>
      <c r="E176" s="52">
        <v>1634.3</v>
      </c>
      <c r="F176" s="52">
        <v>1695.1</v>
      </c>
      <c r="G176" s="52">
        <v>4243.6000000000004</v>
      </c>
      <c r="H176" s="52">
        <v>10.4</v>
      </c>
      <c r="I176" s="52">
        <v>416.3</v>
      </c>
      <c r="J176" s="52">
        <v>2927.2999999999997</v>
      </c>
      <c r="K176" s="53">
        <v>11510.9</v>
      </c>
      <c r="L176" s="49">
        <v>49</v>
      </c>
      <c r="M176" s="44">
        <v>0</v>
      </c>
      <c r="N176" s="44">
        <v>0</v>
      </c>
      <c r="O176" s="44">
        <v>36750</v>
      </c>
      <c r="P176" s="44">
        <v>5762.33</v>
      </c>
      <c r="Q176" s="44">
        <v>1126.52</v>
      </c>
      <c r="R176" s="44">
        <v>25925.19</v>
      </c>
      <c r="S176" s="44">
        <v>1.54</v>
      </c>
      <c r="T176" s="44">
        <v>108</v>
      </c>
      <c r="U176" s="44">
        <v>33.599999999999994</v>
      </c>
      <c r="V176" s="44">
        <v>163</v>
      </c>
      <c r="W176" s="44">
        <v>5187</v>
      </c>
      <c r="X176" s="44">
        <v>4565</v>
      </c>
      <c r="Y176" s="44">
        <v>622</v>
      </c>
    </row>
    <row r="177" spans="1:25" x14ac:dyDescent="0.2">
      <c r="A177" s="50">
        <f t="shared" si="3"/>
        <v>45833</v>
      </c>
      <c r="B177" s="51">
        <v>3274.5</v>
      </c>
      <c r="C177" s="52">
        <v>1896.8</v>
      </c>
      <c r="D177" s="52">
        <v>1783.7</v>
      </c>
      <c r="E177" s="52">
        <v>1778.5</v>
      </c>
      <c r="F177" s="52">
        <v>1678.9</v>
      </c>
      <c r="G177" s="52">
        <v>4120.8999999999996</v>
      </c>
      <c r="H177" s="52">
        <v>9.81</v>
      </c>
      <c r="I177" s="52">
        <v>431.6</v>
      </c>
      <c r="J177" s="52">
        <v>2778.5</v>
      </c>
      <c r="K177" s="53">
        <v>12196.21</v>
      </c>
      <c r="L177" s="49">
        <v>43</v>
      </c>
      <c r="M177" s="44">
        <v>0</v>
      </c>
      <c r="N177" s="44">
        <v>0</v>
      </c>
      <c r="O177" s="44">
        <v>38740</v>
      </c>
      <c r="P177" s="44">
        <v>4275</v>
      </c>
      <c r="Q177" s="44">
        <v>1318.53</v>
      </c>
      <c r="R177" s="44">
        <v>19014.64</v>
      </c>
      <c r="S177" s="44">
        <v>1.49</v>
      </c>
      <c r="T177" s="44">
        <v>104</v>
      </c>
      <c r="U177" s="44">
        <v>33.6</v>
      </c>
      <c r="V177" s="44">
        <v>159</v>
      </c>
      <c r="W177" s="44">
        <v>5165</v>
      </c>
      <c r="X177" s="44">
        <v>4506</v>
      </c>
      <c r="Y177" s="44">
        <v>659</v>
      </c>
    </row>
    <row r="178" spans="1:25" x14ac:dyDescent="0.2">
      <c r="A178" s="50">
        <f t="shared" si="3"/>
        <v>45834</v>
      </c>
      <c r="B178" s="51">
        <v>2910.16</v>
      </c>
      <c r="C178" s="52">
        <v>1894.75</v>
      </c>
      <c r="D178" s="52">
        <v>1489.89</v>
      </c>
      <c r="E178" s="52">
        <v>1496.11</v>
      </c>
      <c r="F178" s="52">
        <v>1446.67</v>
      </c>
      <c r="G178" s="52">
        <v>4491.74</v>
      </c>
      <c r="H178" s="52">
        <v>8.3000000000000007</v>
      </c>
      <c r="I178" s="52">
        <v>441.44</v>
      </c>
      <c r="J178" s="52">
        <v>3172.29</v>
      </c>
      <c r="K178" s="53">
        <v>11006.77</v>
      </c>
      <c r="L178" s="49">
        <v>25</v>
      </c>
      <c r="M178" s="44">
        <v>0</v>
      </c>
      <c r="N178" s="44">
        <v>0</v>
      </c>
      <c r="O178" s="44">
        <v>23943</v>
      </c>
      <c r="P178" s="44">
        <v>4472.1899999999996</v>
      </c>
      <c r="Q178" s="44">
        <v>1369.19</v>
      </c>
      <c r="R178" s="44">
        <v>26504.38</v>
      </c>
      <c r="S178" s="44">
        <v>1.52</v>
      </c>
      <c r="T178" s="44">
        <v>78</v>
      </c>
      <c r="U178" s="44">
        <v>26.8</v>
      </c>
      <c r="V178" s="44">
        <v>137</v>
      </c>
      <c r="W178" s="44">
        <v>4096</v>
      </c>
      <c r="X178" s="44">
        <v>3437</v>
      </c>
      <c r="Y178" s="44">
        <v>659</v>
      </c>
    </row>
    <row r="179" spans="1:25" x14ac:dyDescent="0.2">
      <c r="A179" s="50">
        <f t="shared" si="3"/>
        <v>45835</v>
      </c>
      <c r="B179" s="51">
        <v>1449.99</v>
      </c>
      <c r="C179" s="52">
        <v>1369.41</v>
      </c>
      <c r="D179" s="52">
        <v>851.46</v>
      </c>
      <c r="E179" s="52">
        <v>920.2</v>
      </c>
      <c r="F179" s="52">
        <v>811.12</v>
      </c>
      <c r="G179" s="52">
        <v>3369.56</v>
      </c>
      <c r="H179" s="52">
        <v>5.18</v>
      </c>
      <c r="I179" s="52">
        <v>420.82</v>
      </c>
      <c r="J179" s="52">
        <v>2849.17</v>
      </c>
      <c r="K179" s="53">
        <v>6348.57</v>
      </c>
      <c r="L179" s="49">
        <v>81</v>
      </c>
      <c r="M179" s="44">
        <v>0</v>
      </c>
      <c r="N179" s="44">
        <v>0</v>
      </c>
      <c r="O179" s="44">
        <v>7236</v>
      </c>
      <c r="P179" s="44">
        <v>796</v>
      </c>
      <c r="Q179" s="44">
        <v>1262.1199999999999</v>
      </c>
      <c r="R179" s="44">
        <v>16414.73</v>
      </c>
      <c r="S179" s="44">
        <v>0.12</v>
      </c>
      <c r="T179" s="44">
        <v>4</v>
      </c>
      <c r="U179" s="44">
        <v>1.4</v>
      </c>
      <c r="V179" s="44">
        <v>17</v>
      </c>
      <c r="W179" s="44">
        <v>251</v>
      </c>
      <c r="X179" s="44">
        <v>200</v>
      </c>
      <c r="Y179" s="44">
        <v>51</v>
      </c>
    </row>
    <row r="180" spans="1:25" x14ac:dyDescent="0.2">
      <c r="A180" s="50">
        <f t="shared" si="3"/>
        <v>45836</v>
      </c>
      <c r="B180" s="51">
        <v>877.2</v>
      </c>
      <c r="C180" s="52">
        <v>643.1</v>
      </c>
      <c r="D180" s="52">
        <v>360.1</v>
      </c>
      <c r="E180" s="52">
        <v>62.5</v>
      </c>
      <c r="F180" s="52">
        <v>178.3</v>
      </c>
      <c r="G180" s="52">
        <v>2675.7</v>
      </c>
      <c r="H180" s="52">
        <v>7.2</v>
      </c>
      <c r="I180" s="52">
        <v>422</v>
      </c>
      <c r="J180" s="52">
        <v>2307.6</v>
      </c>
      <c r="K180" s="53">
        <v>2918.4999999999995</v>
      </c>
      <c r="L180" s="49">
        <v>80</v>
      </c>
      <c r="M180" s="44">
        <v>0</v>
      </c>
      <c r="N180" s="44">
        <v>0</v>
      </c>
      <c r="O180" s="44">
        <v>0</v>
      </c>
      <c r="P180" s="44">
        <v>0</v>
      </c>
      <c r="Q180" s="44">
        <v>1325</v>
      </c>
      <c r="R180" s="44">
        <v>3725.91</v>
      </c>
      <c r="S180" s="44">
        <v>0</v>
      </c>
      <c r="T180" s="44">
        <v>0</v>
      </c>
      <c r="U180" s="44">
        <v>0</v>
      </c>
      <c r="V180" s="44">
        <v>14</v>
      </c>
      <c r="W180" s="44">
        <v>0</v>
      </c>
      <c r="X180" s="44">
        <v>0</v>
      </c>
      <c r="Y180" s="44">
        <v>0</v>
      </c>
    </row>
    <row r="181" spans="1:25" x14ac:dyDescent="0.2">
      <c r="A181" s="50">
        <f t="shared" si="3"/>
        <v>45837</v>
      </c>
      <c r="B181" s="51">
        <v>905.4</v>
      </c>
      <c r="C181" s="52">
        <v>773.3</v>
      </c>
      <c r="D181" s="52">
        <v>421.3</v>
      </c>
      <c r="E181" s="52">
        <v>64.3</v>
      </c>
      <c r="F181" s="52">
        <v>180.1</v>
      </c>
      <c r="G181" s="52">
        <v>2510.4</v>
      </c>
      <c r="H181" s="52">
        <v>7.72</v>
      </c>
      <c r="I181" s="52">
        <v>434.9</v>
      </c>
      <c r="J181" s="52">
        <v>2086.52</v>
      </c>
      <c r="K181" s="53">
        <v>3210.9</v>
      </c>
      <c r="L181" s="49">
        <v>30</v>
      </c>
      <c r="M181" s="44">
        <v>0</v>
      </c>
      <c r="N181" s="44">
        <v>0</v>
      </c>
      <c r="O181" s="44">
        <v>649</v>
      </c>
      <c r="P181" s="44">
        <v>140.19999999999999</v>
      </c>
      <c r="Q181" s="44">
        <v>1479.5</v>
      </c>
      <c r="R181" s="44">
        <v>4695.8</v>
      </c>
      <c r="S181" s="44">
        <v>1.36</v>
      </c>
      <c r="T181" s="44">
        <v>40</v>
      </c>
      <c r="U181" s="44">
        <v>14.5</v>
      </c>
      <c r="V181" s="44">
        <v>76</v>
      </c>
      <c r="W181" s="44">
        <v>2149</v>
      </c>
      <c r="X181" s="44">
        <v>2149</v>
      </c>
      <c r="Y181" s="44">
        <v>0</v>
      </c>
    </row>
    <row r="182" spans="1:25" x14ac:dyDescent="0.2">
      <c r="A182" s="50">
        <f t="shared" si="3"/>
        <v>45838</v>
      </c>
      <c r="B182" s="51">
        <v>3157.58</v>
      </c>
      <c r="C182" s="52">
        <v>2112.21</v>
      </c>
      <c r="D182" s="52">
        <v>1508.99</v>
      </c>
      <c r="E182" s="52">
        <v>2292.33</v>
      </c>
      <c r="F182" s="52">
        <v>2284.5500000000002</v>
      </c>
      <c r="G182" s="52">
        <v>3958.8</v>
      </c>
      <c r="H182" s="52">
        <v>4.3</v>
      </c>
      <c r="I182" s="52">
        <v>415.4</v>
      </c>
      <c r="J182" s="52">
        <v>2614.5400000000004</v>
      </c>
      <c r="K182" s="53">
        <v>13119.619999999997</v>
      </c>
      <c r="L182" s="49">
        <v>49</v>
      </c>
      <c r="M182" s="44">
        <v>0</v>
      </c>
      <c r="N182" s="44">
        <v>0</v>
      </c>
      <c r="O182" s="44">
        <v>40590</v>
      </c>
      <c r="P182" s="44">
        <v>4717.75</v>
      </c>
      <c r="Q182" s="44">
        <v>1119.8599999999999</v>
      </c>
      <c r="R182" s="44">
        <v>36471.410000000003</v>
      </c>
      <c r="S182" s="44">
        <v>2.12</v>
      </c>
      <c r="T182" s="44">
        <v>121</v>
      </c>
      <c r="U182" s="44">
        <v>37.799999999999997</v>
      </c>
      <c r="V182" s="44">
        <v>184</v>
      </c>
      <c r="W182" s="44">
        <v>6043</v>
      </c>
      <c r="X182" s="44">
        <v>5384</v>
      </c>
      <c r="Y182" s="44">
        <v>659</v>
      </c>
    </row>
    <row r="183" spans="1:25" x14ac:dyDescent="0.2">
      <c r="A183" s="50">
        <f t="shared" si="3"/>
        <v>45839</v>
      </c>
      <c r="B183" s="51">
        <v>3220.13</v>
      </c>
      <c r="C183" s="52">
        <v>2125.1</v>
      </c>
      <c r="D183" s="52">
        <v>1619.81</v>
      </c>
      <c r="E183" s="52">
        <v>1438.62</v>
      </c>
      <c r="F183" s="52">
        <v>1794.53</v>
      </c>
      <c r="G183" s="52">
        <v>3603.4</v>
      </c>
      <c r="H183" s="52">
        <v>4.38</v>
      </c>
      <c r="I183" s="52">
        <v>336.92</v>
      </c>
      <c r="J183" s="52">
        <v>2479.9299999999998</v>
      </c>
      <c r="K183" s="53">
        <v>11662.96</v>
      </c>
      <c r="L183" s="49">
        <v>46</v>
      </c>
      <c r="M183" s="44">
        <v>0</v>
      </c>
      <c r="N183" s="44">
        <v>0</v>
      </c>
      <c r="O183" s="44">
        <v>34928.97</v>
      </c>
      <c r="P183" s="44">
        <v>4840.87</v>
      </c>
      <c r="Q183" s="44">
        <v>1621.21</v>
      </c>
      <c r="R183" s="44">
        <v>14082.21</v>
      </c>
      <c r="S183" s="44">
        <v>2.35</v>
      </c>
      <c r="T183" s="44">
        <v>94</v>
      </c>
      <c r="U183" s="44">
        <v>35.5</v>
      </c>
      <c r="V183" s="44">
        <v>157</v>
      </c>
      <c r="W183" s="44">
        <v>5073</v>
      </c>
      <c r="X183" s="44">
        <v>4414</v>
      </c>
      <c r="Y183" s="44">
        <v>659</v>
      </c>
    </row>
    <row r="184" spans="1:25" x14ac:dyDescent="0.2">
      <c r="A184" s="50">
        <f t="shared" si="3"/>
        <v>45840</v>
      </c>
      <c r="B184" s="51">
        <v>3277.7</v>
      </c>
      <c r="C184" s="52">
        <v>2087.1</v>
      </c>
      <c r="D184" s="52">
        <v>1648.7</v>
      </c>
      <c r="E184" s="52">
        <v>1548.8</v>
      </c>
      <c r="F184" s="52">
        <v>1807.1</v>
      </c>
      <c r="G184" s="52">
        <v>3527.3</v>
      </c>
      <c r="H184" s="52">
        <v>5.0999999999999996</v>
      </c>
      <c r="I184" s="52">
        <v>313.8</v>
      </c>
      <c r="J184" s="52">
        <v>2222.1999999999998</v>
      </c>
      <c r="K184" s="53">
        <v>11993.400000000001</v>
      </c>
      <c r="L184" s="49">
        <v>44</v>
      </c>
      <c r="M184" s="44">
        <v>0</v>
      </c>
      <c r="N184" s="44">
        <v>0</v>
      </c>
      <c r="O184" s="44">
        <v>33359</v>
      </c>
      <c r="P184" s="44">
        <v>4514.9399999999996</v>
      </c>
      <c r="Q184" s="44">
        <v>931.42</v>
      </c>
      <c r="R184" s="44">
        <v>16391.59</v>
      </c>
      <c r="S184" s="44">
        <v>2.35</v>
      </c>
      <c r="T184" s="44">
        <v>103</v>
      </c>
      <c r="U184" s="44">
        <v>33</v>
      </c>
      <c r="V184" s="44">
        <v>162</v>
      </c>
      <c r="W184" s="44">
        <v>5044</v>
      </c>
      <c r="X184" s="44">
        <v>4385</v>
      </c>
      <c r="Y184" s="44">
        <v>659</v>
      </c>
    </row>
    <row r="185" spans="1:25" x14ac:dyDescent="0.2">
      <c r="A185" s="50">
        <f t="shared" si="3"/>
        <v>45841</v>
      </c>
      <c r="B185" s="51">
        <v>3090.2</v>
      </c>
      <c r="C185" s="52">
        <v>1965.1</v>
      </c>
      <c r="D185" s="52">
        <v>1643.6</v>
      </c>
      <c r="E185" s="52">
        <v>1612.3</v>
      </c>
      <c r="F185" s="52">
        <v>1442.2</v>
      </c>
      <c r="G185" s="52">
        <v>3468.6</v>
      </c>
      <c r="H185" s="52">
        <v>4.59</v>
      </c>
      <c r="I185" s="52">
        <v>150.96</v>
      </c>
      <c r="J185" s="52">
        <v>2287.4499999999998</v>
      </c>
      <c r="K185" s="53">
        <v>11090.099999999999</v>
      </c>
      <c r="L185" s="49">
        <v>43</v>
      </c>
      <c r="M185" s="44">
        <v>0</v>
      </c>
      <c r="N185" s="44">
        <v>0</v>
      </c>
      <c r="O185" s="44">
        <v>25352.5</v>
      </c>
      <c r="P185" s="44">
        <v>4246.6000000000004</v>
      </c>
      <c r="Q185" s="44">
        <v>688.67</v>
      </c>
      <c r="R185" s="44">
        <v>19866.599999999999</v>
      </c>
      <c r="S185" s="44">
        <v>2.2200000000000002</v>
      </c>
      <c r="T185" s="44">
        <v>88</v>
      </c>
      <c r="U185" s="44">
        <v>30.1</v>
      </c>
      <c r="V185" s="44">
        <v>161</v>
      </c>
      <c r="W185" s="44">
        <v>4600</v>
      </c>
      <c r="X185" s="44">
        <v>3941</v>
      </c>
      <c r="Y185" s="44">
        <v>659</v>
      </c>
    </row>
    <row r="186" spans="1:25" x14ac:dyDescent="0.2">
      <c r="A186" s="50">
        <f t="shared" si="3"/>
        <v>45842</v>
      </c>
      <c r="B186" s="51">
        <v>1785.28</v>
      </c>
      <c r="C186" s="52">
        <v>1325.11</v>
      </c>
      <c r="D186" s="52">
        <v>964.45</v>
      </c>
      <c r="E186" s="52">
        <v>1314.54</v>
      </c>
      <c r="F186" s="52">
        <v>836.85</v>
      </c>
      <c r="G186" s="52">
        <v>2780.29</v>
      </c>
      <c r="H186" s="52">
        <v>4.66</v>
      </c>
      <c r="I186" s="52">
        <v>74.900000000000006</v>
      </c>
      <c r="J186" s="52">
        <v>2050.4700000000003</v>
      </c>
      <c r="K186" s="53">
        <v>7035.61</v>
      </c>
      <c r="L186" s="49">
        <v>29</v>
      </c>
      <c r="M186" s="44">
        <v>0</v>
      </c>
      <c r="N186" s="44">
        <v>0</v>
      </c>
      <c r="O186" s="44">
        <v>10916</v>
      </c>
      <c r="P186" s="44">
        <v>1799.77</v>
      </c>
      <c r="Q186" s="44">
        <v>240.65</v>
      </c>
      <c r="R186" s="44">
        <v>15848.61</v>
      </c>
      <c r="S186" s="44">
        <v>0.85</v>
      </c>
      <c r="T186" s="44">
        <v>19</v>
      </c>
      <c r="U186" s="44">
        <v>4.8999999999999995</v>
      </c>
      <c r="V186" s="44">
        <v>42</v>
      </c>
      <c r="W186" s="44">
        <v>863</v>
      </c>
      <c r="X186" s="44">
        <v>644</v>
      </c>
      <c r="Y186" s="44">
        <v>219</v>
      </c>
    </row>
    <row r="187" spans="1:25" x14ac:dyDescent="0.2">
      <c r="A187" s="50">
        <f t="shared" si="3"/>
        <v>45843</v>
      </c>
      <c r="B187" s="51">
        <v>1001.15</v>
      </c>
      <c r="C187" s="52">
        <v>919.43</v>
      </c>
      <c r="D187" s="52">
        <v>467.04</v>
      </c>
      <c r="E187" s="52">
        <v>764.11</v>
      </c>
      <c r="F187" s="52">
        <v>607.55999999999995</v>
      </c>
      <c r="G187" s="52">
        <v>1998.75</v>
      </c>
      <c r="H187" s="52">
        <v>6.25</v>
      </c>
      <c r="I187" s="52">
        <v>71.42</v>
      </c>
      <c r="J187" s="52">
        <v>1691.03</v>
      </c>
      <c r="K187" s="53">
        <v>4144.68</v>
      </c>
      <c r="L187" s="49">
        <v>11</v>
      </c>
      <c r="M187" s="44">
        <v>0</v>
      </c>
      <c r="N187" s="44">
        <v>0</v>
      </c>
      <c r="O187" s="44">
        <v>7599.53</v>
      </c>
      <c r="P187" s="44">
        <v>48.51</v>
      </c>
      <c r="Q187" s="44">
        <v>296.13</v>
      </c>
      <c r="R187" s="44">
        <v>16546.84</v>
      </c>
      <c r="S187" s="44">
        <v>0.2</v>
      </c>
      <c r="T187" s="44">
        <v>8</v>
      </c>
      <c r="U187" s="44">
        <v>1.7</v>
      </c>
      <c r="V187" s="44">
        <v>21</v>
      </c>
      <c r="W187" s="44">
        <v>278</v>
      </c>
      <c r="X187" s="44">
        <v>278</v>
      </c>
      <c r="Y187" s="44">
        <v>0</v>
      </c>
    </row>
    <row r="188" spans="1:25" x14ac:dyDescent="0.2">
      <c r="A188" s="50">
        <f t="shared" si="3"/>
        <v>45844</v>
      </c>
      <c r="B188" s="51">
        <v>1031.7</v>
      </c>
      <c r="C188" s="52">
        <v>730.4</v>
      </c>
      <c r="D188" s="52">
        <v>417.7</v>
      </c>
      <c r="E188" s="52">
        <v>934.6</v>
      </c>
      <c r="F188" s="52">
        <v>184.8</v>
      </c>
      <c r="G188" s="52">
        <v>1758.8</v>
      </c>
      <c r="H188" s="52">
        <v>5.7</v>
      </c>
      <c r="I188" s="52">
        <v>71.2</v>
      </c>
      <c r="J188" s="52">
        <v>1481.1</v>
      </c>
      <c r="K188" s="53">
        <v>3653.7999999999997</v>
      </c>
      <c r="L188" s="49">
        <v>10</v>
      </c>
      <c r="M188" s="44">
        <v>0</v>
      </c>
      <c r="N188" s="44">
        <v>0</v>
      </c>
      <c r="O188" s="44">
        <v>1296.8399999999999</v>
      </c>
      <c r="P188" s="44">
        <v>145.43</v>
      </c>
      <c r="Q188" s="44">
        <v>140.71</v>
      </c>
      <c r="R188" s="44">
        <v>16866.13</v>
      </c>
      <c r="S188" s="44">
        <v>1.03</v>
      </c>
      <c r="T188" s="44">
        <v>39</v>
      </c>
      <c r="U188" s="44">
        <v>12.7</v>
      </c>
      <c r="V188" s="44">
        <v>69</v>
      </c>
      <c r="W188" s="44">
        <v>1791</v>
      </c>
      <c r="X188" s="44">
        <v>1791</v>
      </c>
      <c r="Y188" s="44">
        <v>0</v>
      </c>
    </row>
    <row r="189" spans="1:25" x14ac:dyDescent="0.2">
      <c r="A189" s="50">
        <f t="shared" si="3"/>
        <v>45845</v>
      </c>
      <c r="B189" s="51">
        <v>3647.66</v>
      </c>
      <c r="C189" s="52">
        <v>1944.62</v>
      </c>
      <c r="D189" s="52">
        <v>1784.09</v>
      </c>
      <c r="E189" s="52">
        <v>2247.1999999999998</v>
      </c>
      <c r="F189" s="52">
        <v>2153.7600000000002</v>
      </c>
      <c r="G189" s="52">
        <v>3895.68</v>
      </c>
      <c r="H189" s="52">
        <v>3.09</v>
      </c>
      <c r="I189" s="52">
        <v>70.06</v>
      </c>
      <c r="J189" s="52">
        <v>2531.2399999999998</v>
      </c>
      <c r="K189" s="53">
        <v>13214.92</v>
      </c>
      <c r="L189" s="49">
        <v>40</v>
      </c>
      <c r="M189" s="44">
        <v>0</v>
      </c>
      <c r="N189" s="44">
        <v>0</v>
      </c>
      <c r="O189" s="44">
        <v>46931</v>
      </c>
      <c r="P189" s="44">
        <v>4943.18</v>
      </c>
      <c r="Q189" s="44">
        <v>339.39</v>
      </c>
      <c r="R189" s="44">
        <v>27081.01</v>
      </c>
      <c r="S189" s="44">
        <v>2.15</v>
      </c>
      <c r="T189" s="44">
        <v>121</v>
      </c>
      <c r="U189" s="44">
        <v>43.099999999999994</v>
      </c>
      <c r="V189" s="44">
        <v>191</v>
      </c>
      <c r="W189" s="44">
        <v>6515</v>
      </c>
      <c r="X189" s="44">
        <v>5856</v>
      </c>
      <c r="Y189" s="44">
        <v>659</v>
      </c>
    </row>
    <row r="190" spans="1:25" x14ac:dyDescent="0.2">
      <c r="A190" s="50">
        <f t="shared" si="3"/>
        <v>45846</v>
      </c>
      <c r="B190" s="51">
        <v>3522.72</v>
      </c>
      <c r="C190" s="52">
        <v>1995.13</v>
      </c>
      <c r="D190" s="52">
        <v>1843.12</v>
      </c>
      <c r="E190" s="52">
        <v>1418.93</v>
      </c>
      <c r="F190" s="52">
        <v>1641.34</v>
      </c>
      <c r="G190" s="52">
        <v>3873.43</v>
      </c>
      <c r="H190" s="52">
        <v>1</v>
      </c>
      <c r="I190" s="52">
        <v>248.84</v>
      </c>
      <c r="J190" s="52">
        <v>2642.55</v>
      </c>
      <c r="K190" s="53">
        <v>11901.96</v>
      </c>
      <c r="L190" s="49">
        <v>40</v>
      </c>
      <c r="M190" s="44">
        <v>0</v>
      </c>
      <c r="N190" s="44">
        <v>0</v>
      </c>
      <c r="O190" s="44">
        <v>33937</v>
      </c>
      <c r="P190" s="44">
        <v>5210.1099999999997</v>
      </c>
      <c r="Q190" s="44">
        <v>1007.28</v>
      </c>
      <c r="R190" s="44">
        <v>16486.439999999999</v>
      </c>
      <c r="S190" s="44">
        <v>2.35</v>
      </c>
      <c r="T190" s="44">
        <v>106</v>
      </c>
      <c r="U190" s="44">
        <v>35.5</v>
      </c>
      <c r="V190" s="44">
        <v>169</v>
      </c>
      <c r="W190" s="44">
        <v>5517</v>
      </c>
      <c r="X190" s="44">
        <v>4858</v>
      </c>
      <c r="Y190" s="44">
        <v>659</v>
      </c>
    </row>
    <row r="191" spans="1:25" x14ac:dyDescent="0.2">
      <c r="A191" s="50">
        <f t="shared" si="3"/>
        <v>45847</v>
      </c>
      <c r="B191" s="51">
        <v>3286.11</v>
      </c>
      <c r="C191" s="52">
        <v>1954.24</v>
      </c>
      <c r="D191" s="52">
        <v>1709.21</v>
      </c>
      <c r="E191" s="52">
        <v>1472.14</v>
      </c>
      <c r="F191" s="52">
        <v>1469.88</v>
      </c>
      <c r="G191" s="52">
        <v>3991.41</v>
      </c>
      <c r="H191" s="52">
        <v>1.77</v>
      </c>
      <c r="I191" s="52">
        <v>336.92</v>
      </c>
      <c r="J191" s="52">
        <v>2855.73</v>
      </c>
      <c r="K191" s="53">
        <v>11365.950000000003</v>
      </c>
      <c r="L191" s="49">
        <v>52</v>
      </c>
      <c r="M191" s="44">
        <v>0</v>
      </c>
      <c r="N191" s="44">
        <v>0</v>
      </c>
      <c r="O191" s="44">
        <v>36391.39</v>
      </c>
      <c r="P191" s="44">
        <v>3884.27</v>
      </c>
      <c r="Q191" s="44">
        <v>1282.8800000000001</v>
      </c>
      <c r="R191" s="44">
        <v>11527.62</v>
      </c>
      <c r="S191" s="44">
        <v>1.21</v>
      </c>
      <c r="T191" s="44">
        <v>95</v>
      </c>
      <c r="U191" s="44">
        <v>31.799999999999997</v>
      </c>
      <c r="V191" s="44">
        <v>151</v>
      </c>
      <c r="W191" s="44">
        <v>4957</v>
      </c>
      <c r="X191" s="44">
        <v>4298</v>
      </c>
      <c r="Y191" s="44">
        <v>659</v>
      </c>
    </row>
    <row r="192" spans="1:25" x14ac:dyDescent="0.2">
      <c r="A192" s="50">
        <f t="shared" si="3"/>
        <v>45848</v>
      </c>
      <c r="B192" s="51">
        <v>2853.1</v>
      </c>
      <c r="C192" s="52">
        <v>1872.9</v>
      </c>
      <c r="D192" s="52">
        <v>1424.2</v>
      </c>
      <c r="E192" s="52">
        <v>1148.9000000000001</v>
      </c>
      <c r="F192" s="52">
        <v>1393.6</v>
      </c>
      <c r="G192" s="52">
        <v>3665.9</v>
      </c>
      <c r="H192" s="52">
        <v>2.2999999999999998</v>
      </c>
      <c r="I192" s="52">
        <v>335.5</v>
      </c>
      <c r="J192" s="52">
        <v>2813.4999999999995</v>
      </c>
      <c r="K192" s="53">
        <v>9882.9</v>
      </c>
      <c r="L192" s="49">
        <v>61</v>
      </c>
      <c r="M192" s="44">
        <v>0</v>
      </c>
      <c r="N192" s="44">
        <v>0</v>
      </c>
      <c r="O192" s="44">
        <v>24174.17</v>
      </c>
      <c r="P192" s="44">
        <v>4456.91</v>
      </c>
      <c r="Q192" s="44">
        <v>1191.06</v>
      </c>
      <c r="R192" s="44">
        <v>7305.87</v>
      </c>
      <c r="S192" s="44">
        <v>0.47</v>
      </c>
      <c r="T192" s="44">
        <v>51</v>
      </c>
      <c r="U192" s="44">
        <v>15.799999999999999</v>
      </c>
      <c r="V192" s="44">
        <v>87</v>
      </c>
      <c r="W192" s="44">
        <v>2398</v>
      </c>
      <c r="X192" s="44">
        <v>1798</v>
      </c>
      <c r="Y192" s="44">
        <v>600</v>
      </c>
    </row>
    <row r="193" spans="1:25" x14ac:dyDescent="0.2">
      <c r="A193" s="50">
        <f t="shared" si="3"/>
        <v>45849</v>
      </c>
      <c r="B193" s="51">
        <v>1279.28</v>
      </c>
      <c r="C193" s="52">
        <v>1001.73</v>
      </c>
      <c r="D193" s="52">
        <v>710.03</v>
      </c>
      <c r="E193" s="52">
        <v>844.51</v>
      </c>
      <c r="F193" s="52">
        <v>754.19</v>
      </c>
      <c r="G193" s="52">
        <v>2655.95</v>
      </c>
      <c r="H193" s="52">
        <v>1.53</v>
      </c>
      <c r="I193" s="52">
        <v>316.62</v>
      </c>
      <c r="J193" s="52">
        <v>2299.75</v>
      </c>
      <c r="K193" s="53">
        <v>5264.0899999999992</v>
      </c>
      <c r="L193" s="49">
        <v>22</v>
      </c>
      <c r="M193" s="44">
        <v>0</v>
      </c>
      <c r="N193" s="44">
        <v>0</v>
      </c>
      <c r="O193" s="44">
        <v>4011</v>
      </c>
      <c r="P193" s="44">
        <v>1219.3800000000001</v>
      </c>
      <c r="Q193" s="44">
        <v>1217.9000000000001</v>
      </c>
      <c r="R193" s="44">
        <v>14414.21</v>
      </c>
      <c r="S193" s="44">
        <v>0.2</v>
      </c>
      <c r="T193" s="44">
        <v>30</v>
      </c>
      <c r="U193" s="44">
        <v>9.6999999999999993</v>
      </c>
      <c r="V193" s="44">
        <v>64</v>
      </c>
      <c r="W193" s="44">
        <v>1354</v>
      </c>
      <c r="X193" s="44">
        <v>1354</v>
      </c>
      <c r="Y193" s="44">
        <v>0</v>
      </c>
    </row>
    <row r="194" spans="1:25" x14ac:dyDescent="0.2">
      <c r="A194" s="50">
        <f t="shared" si="3"/>
        <v>45850</v>
      </c>
      <c r="B194" s="51">
        <v>895.35</v>
      </c>
      <c r="C194" s="52">
        <v>554.79</v>
      </c>
      <c r="D194" s="52">
        <v>342.1</v>
      </c>
      <c r="E194" s="52">
        <v>49.12</v>
      </c>
      <c r="F194" s="52">
        <v>167.55</v>
      </c>
      <c r="G194" s="52">
        <v>1415.04</v>
      </c>
      <c r="H194" s="52">
        <v>0.82</v>
      </c>
      <c r="I194" s="52">
        <v>288.7</v>
      </c>
      <c r="J194" s="52">
        <v>1116.4499999999998</v>
      </c>
      <c r="K194" s="53">
        <v>2597.02</v>
      </c>
      <c r="L194" s="49">
        <v>3</v>
      </c>
      <c r="M194" s="44">
        <v>0</v>
      </c>
      <c r="N194" s="44">
        <v>0</v>
      </c>
      <c r="O194" s="44">
        <v>0</v>
      </c>
      <c r="P194" s="44">
        <v>0.01</v>
      </c>
      <c r="Q194" s="44">
        <v>870.35</v>
      </c>
      <c r="R194" s="44">
        <v>3699.62</v>
      </c>
      <c r="S194" s="44">
        <v>5.0000000000000001E-3</v>
      </c>
      <c r="T194" s="44">
        <v>0</v>
      </c>
      <c r="U194" s="44">
        <v>0</v>
      </c>
      <c r="V194" s="44">
        <v>15</v>
      </c>
      <c r="W194" s="44">
        <v>14</v>
      </c>
      <c r="X194" s="44">
        <v>14</v>
      </c>
      <c r="Y194" s="44">
        <v>0</v>
      </c>
    </row>
    <row r="195" spans="1:25" x14ac:dyDescent="0.2">
      <c r="A195" s="50">
        <f t="shared" si="3"/>
        <v>45851</v>
      </c>
      <c r="B195" s="51">
        <v>888.93</v>
      </c>
      <c r="C195" s="52">
        <v>657.43</v>
      </c>
      <c r="D195" s="52">
        <v>420.11</v>
      </c>
      <c r="E195" s="52">
        <v>48.03</v>
      </c>
      <c r="F195" s="52">
        <v>168.3</v>
      </c>
      <c r="G195" s="52">
        <v>1616.45</v>
      </c>
      <c r="H195" s="52">
        <v>0</v>
      </c>
      <c r="I195" s="52">
        <v>292.8</v>
      </c>
      <c r="J195" s="52">
        <v>1220.73</v>
      </c>
      <c r="K195" s="53">
        <v>2871.32</v>
      </c>
      <c r="L195" s="49">
        <v>8</v>
      </c>
      <c r="M195" s="44">
        <v>0</v>
      </c>
      <c r="N195" s="44">
        <v>0</v>
      </c>
      <c r="O195" s="44">
        <v>115.79</v>
      </c>
      <c r="P195" s="44">
        <v>837.22</v>
      </c>
      <c r="Q195" s="44">
        <v>961.38</v>
      </c>
      <c r="R195" s="44">
        <v>5108.1899999999996</v>
      </c>
      <c r="S195" s="44">
        <v>0.56000000000000005</v>
      </c>
      <c r="T195" s="44">
        <v>43</v>
      </c>
      <c r="U195" s="44">
        <v>15.3</v>
      </c>
      <c r="V195" s="44">
        <v>81</v>
      </c>
      <c r="W195" s="44">
        <v>2299</v>
      </c>
      <c r="X195" s="44">
        <v>1969</v>
      </c>
      <c r="Y195" s="44">
        <v>330</v>
      </c>
    </row>
    <row r="196" spans="1:25" x14ac:dyDescent="0.2">
      <c r="A196" s="50">
        <f t="shared" si="3"/>
        <v>45852</v>
      </c>
      <c r="B196" s="51">
        <v>3354.2</v>
      </c>
      <c r="C196" s="52">
        <v>2089.3000000000002</v>
      </c>
      <c r="D196" s="52">
        <v>1602.8</v>
      </c>
      <c r="E196" s="52">
        <v>1526.4</v>
      </c>
      <c r="F196" s="52">
        <v>1846.2</v>
      </c>
      <c r="G196" s="52">
        <v>3612.2</v>
      </c>
      <c r="H196" s="52">
        <v>0.8</v>
      </c>
      <c r="I196" s="52">
        <v>318.2</v>
      </c>
      <c r="J196" s="52">
        <v>2465.0000000000005</v>
      </c>
      <c r="K196" s="53">
        <v>11885.100000000002</v>
      </c>
      <c r="L196" s="49">
        <v>55</v>
      </c>
      <c r="M196" s="44">
        <v>0</v>
      </c>
      <c r="N196" s="44">
        <v>0</v>
      </c>
      <c r="O196" s="44">
        <v>43230</v>
      </c>
      <c r="P196" s="44">
        <v>5115.29</v>
      </c>
      <c r="Q196" s="44">
        <v>1060.29</v>
      </c>
      <c r="R196" s="44">
        <v>19566.55</v>
      </c>
      <c r="S196" s="44">
        <v>0.95</v>
      </c>
      <c r="T196" s="44">
        <v>128</v>
      </c>
      <c r="U196" s="44">
        <v>41.199999999999996</v>
      </c>
      <c r="V196" s="44">
        <v>182</v>
      </c>
      <c r="W196" s="44">
        <v>6274</v>
      </c>
      <c r="X196" s="44">
        <v>5615</v>
      </c>
      <c r="Y196" s="44">
        <v>659</v>
      </c>
    </row>
    <row r="197" spans="1:25" x14ac:dyDescent="0.2">
      <c r="A197" s="50">
        <f t="shared" si="3"/>
        <v>45853</v>
      </c>
      <c r="B197" s="51">
        <v>3454.43</v>
      </c>
      <c r="C197" s="52">
        <v>2036.3320000000001</v>
      </c>
      <c r="D197" s="52">
        <v>1732.28</v>
      </c>
      <c r="E197" s="52">
        <v>1742.77</v>
      </c>
      <c r="F197" s="52">
        <v>1794.24</v>
      </c>
      <c r="G197" s="52">
        <v>3785.09</v>
      </c>
      <c r="H197" s="52">
        <v>1.57</v>
      </c>
      <c r="I197" s="52">
        <v>338.4</v>
      </c>
      <c r="J197" s="52">
        <v>2560.13</v>
      </c>
      <c r="K197" s="53">
        <v>12324.982</v>
      </c>
      <c r="L197" s="49">
        <v>55</v>
      </c>
      <c r="M197" s="44">
        <v>0</v>
      </c>
      <c r="N197" s="44">
        <v>0</v>
      </c>
      <c r="O197" s="44">
        <v>39275.040000000001</v>
      </c>
      <c r="P197" s="44">
        <v>4625.13</v>
      </c>
      <c r="Q197" s="44">
        <v>1282.21</v>
      </c>
      <c r="R197" s="44">
        <v>21141.599999999999</v>
      </c>
      <c r="S197" s="44">
        <v>0.76</v>
      </c>
      <c r="T197" s="44">
        <v>98</v>
      </c>
      <c r="U197" s="44">
        <v>32.5</v>
      </c>
      <c r="V197" s="44">
        <v>155</v>
      </c>
      <c r="W197" s="44">
        <v>4989</v>
      </c>
      <c r="X197" s="44">
        <v>4330</v>
      </c>
      <c r="Y197" s="44">
        <v>659</v>
      </c>
    </row>
    <row r="198" spans="1:25" x14ac:dyDescent="0.2">
      <c r="A198" s="50">
        <f t="shared" si="3"/>
        <v>45854</v>
      </c>
      <c r="B198" s="51">
        <v>3116.52</v>
      </c>
      <c r="C198" s="52">
        <v>1969.17</v>
      </c>
      <c r="D198" s="52">
        <v>1665.37</v>
      </c>
      <c r="E198" s="52">
        <v>1664.02</v>
      </c>
      <c r="F198" s="52">
        <v>1948.6</v>
      </c>
      <c r="G198" s="52">
        <v>3637.42</v>
      </c>
      <c r="H198" s="52">
        <v>0.46</v>
      </c>
      <c r="I198" s="52">
        <v>335.5</v>
      </c>
      <c r="J198" s="52">
        <v>2442.48</v>
      </c>
      <c r="K198" s="53">
        <v>11894.58</v>
      </c>
      <c r="L198" s="49">
        <v>44</v>
      </c>
      <c r="M198" s="44">
        <v>0</v>
      </c>
      <c r="N198" s="44">
        <v>0</v>
      </c>
      <c r="O198" s="44">
        <v>46099</v>
      </c>
      <c r="P198" s="44">
        <v>4711.72</v>
      </c>
      <c r="Q198" s="44">
        <v>1232.01</v>
      </c>
      <c r="R198" s="44">
        <v>20211.84</v>
      </c>
      <c r="S198" s="44">
        <v>0.96</v>
      </c>
      <c r="T198" s="44">
        <v>99</v>
      </c>
      <c r="U198" s="44">
        <v>33.299999999999997</v>
      </c>
      <c r="V198" s="44">
        <v>158</v>
      </c>
      <c r="W198" s="44">
        <v>5222</v>
      </c>
      <c r="X198" s="44">
        <v>13650</v>
      </c>
      <c r="Y198" s="44">
        <v>-8428</v>
      </c>
    </row>
    <row r="199" spans="1:25" x14ac:dyDescent="0.2">
      <c r="A199" s="50">
        <f t="shared" si="3"/>
        <v>45855</v>
      </c>
      <c r="B199" s="51">
        <v>2960.46</v>
      </c>
      <c r="C199" s="52">
        <v>1972.04</v>
      </c>
      <c r="D199" s="52">
        <v>1759.15</v>
      </c>
      <c r="E199" s="52">
        <v>1473.95</v>
      </c>
      <c r="F199" s="52">
        <v>1608.85</v>
      </c>
      <c r="G199" s="52">
        <v>3792.31</v>
      </c>
      <c r="H199" s="52">
        <v>3.39</v>
      </c>
      <c r="I199" s="52">
        <v>394.02</v>
      </c>
      <c r="J199" s="52">
        <v>2628.52</v>
      </c>
      <c r="K199" s="53">
        <v>11335.649999999998</v>
      </c>
      <c r="L199" s="49">
        <v>46.600000000000364</v>
      </c>
      <c r="M199" s="44">
        <v>0</v>
      </c>
      <c r="N199" s="44">
        <v>0</v>
      </c>
      <c r="O199" s="44">
        <v>34783.449999999997</v>
      </c>
      <c r="P199" s="44">
        <v>3988.14</v>
      </c>
      <c r="Q199" s="44">
        <v>1496.27</v>
      </c>
      <c r="R199" s="44">
        <v>18205.02</v>
      </c>
      <c r="S199" s="44">
        <v>0.99</v>
      </c>
      <c r="T199" s="44">
        <v>94</v>
      </c>
      <c r="U199" s="44">
        <v>33.299999999999997</v>
      </c>
      <c r="V199" s="44">
        <v>157</v>
      </c>
      <c r="W199" s="44">
        <v>5050</v>
      </c>
      <c r="X199" s="44">
        <v>4455</v>
      </c>
      <c r="Y199" s="44">
        <v>595</v>
      </c>
    </row>
    <row r="200" spans="1:25" x14ac:dyDescent="0.2">
      <c r="A200" s="50">
        <f t="shared" si="3"/>
        <v>45856</v>
      </c>
      <c r="B200" s="51">
        <v>2646</v>
      </c>
      <c r="C200" s="52">
        <v>1439</v>
      </c>
      <c r="D200" s="52">
        <v>1308.7</v>
      </c>
      <c r="E200" s="52">
        <v>1690</v>
      </c>
      <c r="F200" s="52">
        <v>1484.8</v>
      </c>
      <c r="G200" s="52">
        <v>2604.8000000000002</v>
      </c>
      <c r="H200" s="52">
        <v>7.5</v>
      </c>
      <c r="I200" s="52">
        <v>418.2</v>
      </c>
      <c r="J200" s="52">
        <v>2171.3999999999996</v>
      </c>
      <c r="K200" s="53">
        <v>9427.6</v>
      </c>
      <c r="L200" s="49">
        <v>27.399999999999636</v>
      </c>
      <c r="M200" s="44">
        <v>0</v>
      </c>
      <c r="N200" s="44">
        <v>0</v>
      </c>
      <c r="O200" s="44">
        <v>31019</v>
      </c>
      <c r="P200" s="44">
        <v>2308.27</v>
      </c>
      <c r="Q200" s="44">
        <v>1350.87</v>
      </c>
      <c r="R200" s="44">
        <v>23041.119999999999</v>
      </c>
      <c r="S200" s="44">
        <v>0.46</v>
      </c>
      <c r="T200" s="44">
        <v>34</v>
      </c>
      <c r="U200" s="44">
        <v>11.700000000000001</v>
      </c>
      <c r="V200" s="44">
        <v>64</v>
      </c>
      <c r="W200" s="44">
        <v>1704</v>
      </c>
      <c r="X200" s="44">
        <v>1619</v>
      </c>
      <c r="Y200" s="44">
        <v>85</v>
      </c>
    </row>
    <row r="201" spans="1:25" x14ac:dyDescent="0.2">
      <c r="A201" s="50">
        <f t="shared" si="3"/>
        <v>45857</v>
      </c>
      <c r="B201" s="51">
        <v>984.72</v>
      </c>
      <c r="C201" s="52">
        <v>564.44000000000005</v>
      </c>
      <c r="D201" s="52">
        <v>460.86</v>
      </c>
      <c r="E201" s="52">
        <v>52.68</v>
      </c>
      <c r="F201" s="52">
        <v>177.29</v>
      </c>
      <c r="G201" s="52">
        <v>2071.87</v>
      </c>
      <c r="H201" s="52">
        <v>1.97</v>
      </c>
      <c r="I201" s="52">
        <v>371.3</v>
      </c>
      <c r="J201" s="52">
        <v>1688.81</v>
      </c>
      <c r="K201" s="53">
        <v>2996.32</v>
      </c>
      <c r="L201" s="49">
        <v>4</v>
      </c>
      <c r="M201" s="44">
        <v>0</v>
      </c>
      <c r="N201" s="44">
        <v>0</v>
      </c>
      <c r="O201" s="44">
        <v>0</v>
      </c>
      <c r="P201" s="44">
        <v>0</v>
      </c>
      <c r="Q201" s="44">
        <v>1116.76</v>
      </c>
      <c r="R201" s="44">
        <v>3729.69</v>
      </c>
      <c r="S201" s="44">
        <v>5.0000000000000001E-3</v>
      </c>
      <c r="T201" s="44">
        <v>1</v>
      </c>
      <c r="U201" s="44">
        <v>0</v>
      </c>
      <c r="V201" s="44">
        <v>11</v>
      </c>
      <c r="W201" s="44">
        <v>0</v>
      </c>
      <c r="X201" s="44">
        <v>0</v>
      </c>
      <c r="Y201" s="44">
        <v>0</v>
      </c>
    </row>
    <row r="202" spans="1:25" x14ac:dyDescent="0.2">
      <c r="A202" s="50">
        <f t="shared" si="3"/>
        <v>45858</v>
      </c>
      <c r="B202" s="51">
        <v>990.8</v>
      </c>
      <c r="C202" s="52">
        <v>635.78</v>
      </c>
      <c r="D202" s="52">
        <v>460.94</v>
      </c>
      <c r="E202" s="52">
        <v>638.84</v>
      </c>
      <c r="F202" s="52">
        <v>196.84</v>
      </c>
      <c r="G202" s="52">
        <v>1850.82</v>
      </c>
      <c r="H202" s="52">
        <v>2.85</v>
      </c>
      <c r="I202" s="52">
        <v>319.72000000000003</v>
      </c>
      <c r="J202" s="52">
        <v>1475.51</v>
      </c>
      <c r="K202" s="53">
        <v>3621.0800000000008</v>
      </c>
      <c r="L202" s="49">
        <v>3</v>
      </c>
      <c r="M202" s="44">
        <v>0</v>
      </c>
      <c r="N202" s="44">
        <v>0</v>
      </c>
      <c r="O202" s="44">
        <v>1053</v>
      </c>
      <c r="P202" s="44">
        <v>117</v>
      </c>
      <c r="Q202" s="44">
        <v>723.3</v>
      </c>
      <c r="R202" s="44">
        <v>15082.29</v>
      </c>
      <c r="S202" s="44">
        <v>0.38</v>
      </c>
      <c r="T202" s="44">
        <v>30</v>
      </c>
      <c r="U202" s="44">
        <v>9.8000000000000007</v>
      </c>
      <c r="V202" s="44">
        <v>59</v>
      </c>
      <c r="W202" s="44">
        <v>1760</v>
      </c>
      <c r="X202" s="44">
        <v>1541</v>
      </c>
      <c r="Y202" s="44">
        <v>219</v>
      </c>
    </row>
    <row r="203" spans="1:25" x14ac:dyDescent="0.2">
      <c r="A203" s="50">
        <f t="shared" si="3"/>
        <v>45859</v>
      </c>
      <c r="B203" s="51">
        <v>2887.76</v>
      </c>
      <c r="C203" s="52">
        <v>2035.41</v>
      </c>
      <c r="D203" s="52">
        <v>1789.05</v>
      </c>
      <c r="E203" s="52">
        <v>1315.68</v>
      </c>
      <c r="F203" s="52">
        <v>1582.06</v>
      </c>
      <c r="G203" s="52">
        <v>3842.16</v>
      </c>
      <c r="H203" s="52">
        <v>5.35</v>
      </c>
      <c r="I203" s="52">
        <v>372.34</v>
      </c>
      <c r="J203" s="52">
        <v>2717.63</v>
      </c>
      <c r="K203" s="53">
        <v>11112.18</v>
      </c>
      <c r="L203" s="49">
        <v>41.799999999999272</v>
      </c>
      <c r="M203" s="44">
        <v>0</v>
      </c>
      <c r="N203" s="44">
        <v>0</v>
      </c>
      <c r="O203" s="44">
        <v>34802.699999999997</v>
      </c>
      <c r="P203" s="44">
        <v>4072.45</v>
      </c>
      <c r="Q203" s="44">
        <v>1102.95</v>
      </c>
      <c r="R203" s="44">
        <v>17398.34</v>
      </c>
      <c r="S203" s="44">
        <v>1.22</v>
      </c>
      <c r="T203" s="44">
        <v>115</v>
      </c>
      <c r="U203" s="44">
        <v>37.799999999999997</v>
      </c>
      <c r="V203" s="44">
        <v>169</v>
      </c>
      <c r="W203" s="44">
        <v>5730</v>
      </c>
      <c r="X203" s="44">
        <v>4999</v>
      </c>
      <c r="Y203" s="44">
        <v>731</v>
      </c>
    </row>
    <row r="204" spans="1:25" x14ac:dyDescent="0.2">
      <c r="A204" s="50">
        <f t="shared" si="3"/>
        <v>45860</v>
      </c>
      <c r="B204" s="51">
        <v>2836.2</v>
      </c>
      <c r="C204" s="52">
        <v>1927.7</v>
      </c>
      <c r="D204" s="52">
        <v>1500</v>
      </c>
      <c r="E204" s="52">
        <v>1370.1</v>
      </c>
      <c r="F204" s="52">
        <v>1505.8</v>
      </c>
      <c r="G204" s="52">
        <v>4216.5</v>
      </c>
      <c r="H204" s="52">
        <v>5.9</v>
      </c>
      <c r="I204" s="52">
        <v>375.1</v>
      </c>
      <c r="J204" s="52">
        <v>2970.7</v>
      </c>
      <c r="K204" s="53">
        <v>10766.599999999999</v>
      </c>
      <c r="L204" s="49">
        <v>36.200000000000728</v>
      </c>
      <c r="M204" s="44">
        <v>0</v>
      </c>
      <c r="N204" s="44">
        <v>0</v>
      </c>
      <c r="O204" s="44">
        <v>30137</v>
      </c>
      <c r="P204" s="44">
        <v>4724.08</v>
      </c>
      <c r="Q204" s="44">
        <v>1168.29</v>
      </c>
      <c r="R204" s="44">
        <v>17846.89</v>
      </c>
      <c r="S204" s="44">
        <v>1.5</v>
      </c>
      <c r="T204" s="44">
        <v>94</v>
      </c>
      <c r="U204" s="44">
        <v>33.57</v>
      </c>
      <c r="V204" s="44">
        <v>160</v>
      </c>
      <c r="W204" s="44">
        <v>5171</v>
      </c>
      <c r="X204" s="44">
        <v>4530</v>
      </c>
      <c r="Y204" s="44">
        <v>641</v>
      </c>
    </row>
    <row r="205" spans="1:25" x14ac:dyDescent="0.2">
      <c r="A205" s="50">
        <f t="shared" si="3"/>
        <v>45861</v>
      </c>
      <c r="B205" s="51">
        <v>3200.2</v>
      </c>
      <c r="C205" s="52">
        <v>1912.2</v>
      </c>
      <c r="D205" s="52">
        <v>1657.6</v>
      </c>
      <c r="E205" s="52">
        <v>1434.5</v>
      </c>
      <c r="F205" s="52">
        <v>1626.6</v>
      </c>
      <c r="G205" s="52">
        <v>4001.3</v>
      </c>
      <c r="H205" s="52">
        <v>4.8</v>
      </c>
      <c r="I205" s="52">
        <v>430.6</v>
      </c>
      <c r="J205" s="52">
        <v>2829.21</v>
      </c>
      <c r="K205" s="53">
        <v>11438.59</v>
      </c>
      <c r="L205" s="49">
        <v>42</v>
      </c>
      <c r="M205" s="44">
        <v>0</v>
      </c>
      <c r="N205" s="44">
        <v>0</v>
      </c>
      <c r="O205" s="44">
        <v>35205.599999999999</v>
      </c>
      <c r="P205" s="44">
        <v>4934.5</v>
      </c>
      <c r="Q205" s="44">
        <v>1599</v>
      </c>
      <c r="R205" s="44">
        <v>18833.759999999998</v>
      </c>
      <c r="S205" s="44">
        <v>1.47</v>
      </c>
      <c r="T205" s="44">
        <v>102</v>
      </c>
      <c r="U205" s="44">
        <v>33.6</v>
      </c>
      <c r="V205" s="44">
        <v>153</v>
      </c>
      <c r="W205" s="44">
        <v>4854</v>
      </c>
      <c r="X205" s="44">
        <v>4291</v>
      </c>
      <c r="Y205" s="44">
        <v>563</v>
      </c>
    </row>
    <row r="206" spans="1:25" x14ac:dyDescent="0.2">
      <c r="A206" s="50">
        <f t="shared" si="3"/>
        <v>45862</v>
      </c>
      <c r="B206" s="51">
        <v>3375.18</v>
      </c>
      <c r="C206" s="52">
        <v>2090.7800000000002</v>
      </c>
      <c r="D206" s="52">
        <v>1644.37</v>
      </c>
      <c r="E206" s="52">
        <v>2574.15</v>
      </c>
      <c r="F206" s="52">
        <v>2307.77</v>
      </c>
      <c r="G206" s="52">
        <v>3632.75</v>
      </c>
      <c r="H206" s="52">
        <v>6.67</v>
      </c>
      <c r="I206" s="52">
        <v>465.78</v>
      </c>
      <c r="J206" s="52">
        <v>2569.7000000000003</v>
      </c>
      <c r="K206" s="53">
        <v>13527.75</v>
      </c>
      <c r="L206" s="49">
        <v>40</v>
      </c>
      <c r="M206" s="44">
        <v>0</v>
      </c>
      <c r="N206" s="44">
        <v>0</v>
      </c>
      <c r="O206" s="44">
        <v>48489</v>
      </c>
      <c r="P206" s="44">
        <v>4973.84</v>
      </c>
      <c r="Q206" s="44">
        <v>1842.15</v>
      </c>
      <c r="R206" s="44">
        <v>32796.559999999998</v>
      </c>
      <c r="S206" s="44">
        <v>1.31</v>
      </c>
      <c r="T206" s="44">
        <v>87</v>
      </c>
      <c r="U206" s="44">
        <v>31.5</v>
      </c>
      <c r="V206" s="44">
        <v>154</v>
      </c>
      <c r="W206" s="44">
        <v>4992</v>
      </c>
      <c r="X206" s="44">
        <v>4347</v>
      </c>
      <c r="Y206" s="44">
        <v>645</v>
      </c>
    </row>
    <row r="207" spans="1:25" x14ac:dyDescent="0.2">
      <c r="A207" s="50">
        <f t="shared" si="3"/>
        <v>45863</v>
      </c>
      <c r="B207" s="51">
        <v>3045.63</v>
      </c>
      <c r="C207" s="52">
        <v>1918.41</v>
      </c>
      <c r="D207" s="52">
        <v>1441.8</v>
      </c>
      <c r="E207" s="52">
        <v>1602.71</v>
      </c>
      <c r="F207" s="52">
        <v>1475.62</v>
      </c>
      <c r="G207" s="52">
        <v>3671.5</v>
      </c>
      <c r="H207" s="52">
        <v>10.15</v>
      </c>
      <c r="I207" s="52">
        <v>447.62</v>
      </c>
      <c r="J207" s="52">
        <v>2510.44</v>
      </c>
      <c r="K207" s="53">
        <v>11103</v>
      </c>
      <c r="L207" s="49">
        <v>39.600000000000364</v>
      </c>
      <c r="M207" s="44">
        <v>0</v>
      </c>
      <c r="N207" s="44">
        <v>0</v>
      </c>
      <c r="O207" s="44">
        <v>31806.85</v>
      </c>
      <c r="P207" s="44">
        <v>4566.6899999999996</v>
      </c>
      <c r="Q207" s="44">
        <v>1479.3040000000001</v>
      </c>
      <c r="R207" s="44">
        <v>13996.31</v>
      </c>
      <c r="S207" s="44">
        <v>0.77</v>
      </c>
      <c r="T207" s="44">
        <v>59</v>
      </c>
      <c r="U207" s="44">
        <v>16.3</v>
      </c>
      <c r="V207" s="44">
        <v>85</v>
      </c>
      <c r="W207" s="44">
        <v>2648</v>
      </c>
      <c r="X207" s="44">
        <v>2215</v>
      </c>
      <c r="Y207" s="44">
        <v>433</v>
      </c>
    </row>
    <row r="208" spans="1:25" x14ac:dyDescent="0.2">
      <c r="A208" s="50">
        <f t="shared" si="3"/>
        <v>45864</v>
      </c>
      <c r="B208" s="51">
        <v>1011.1</v>
      </c>
      <c r="C208" s="52">
        <v>730.6</v>
      </c>
      <c r="D208" s="52">
        <v>440.4</v>
      </c>
      <c r="E208" s="52">
        <v>638.70000000000005</v>
      </c>
      <c r="F208" s="52">
        <v>260.10000000000002</v>
      </c>
      <c r="G208" s="52">
        <v>2380.3000000000002</v>
      </c>
      <c r="H208" s="52">
        <v>4.7</v>
      </c>
      <c r="I208" s="52">
        <v>432.5</v>
      </c>
      <c r="J208" s="52">
        <v>2024.2</v>
      </c>
      <c r="K208" s="53">
        <v>3874.2000000000007</v>
      </c>
      <c r="L208" s="49">
        <v>8.3999999999996362</v>
      </c>
      <c r="M208" s="44">
        <v>0</v>
      </c>
      <c r="N208" s="44">
        <v>0</v>
      </c>
      <c r="O208" s="44">
        <v>2507</v>
      </c>
      <c r="P208" s="44">
        <v>163.01</v>
      </c>
      <c r="Q208" s="44">
        <v>1370.92</v>
      </c>
      <c r="R208" s="44">
        <v>14956.24</v>
      </c>
      <c r="S208" s="44">
        <v>0.35</v>
      </c>
      <c r="T208" s="44">
        <v>0</v>
      </c>
      <c r="U208" s="44">
        <v>0</v>
      </c>
      <c r="V208" s="44">
        <v>12</v>
      </c>
      <c r="W208" s="44">
        <v>0</v>
      </c>
      <c r="X208" s="44">
        <v>0</v>
      </c>
      <c r="Y208" s="44">
        <v>0</v>
      </c>
    </row>
    <row r="209" spans="1:25" x14ac:dyDescent="0.2">
      <c r="A209" s="50">
        <f t="shared" si="3"/>
        <v>45865</v>
      </c>
      <c r="B209" s="51">
        <v>2765.05</v>
      </c>
      <c r="C209" s="52">
        <v>1855.15</v>
      </c>
      <c r="D209" s="52">
        <v>1090.2</v>
      </c>
      <c r="E209" s="52">
        <v>1109.3</v>
      </c>
      <c r="F209" s="52">
        <v>1182.7</v>
      </c>
      <c r="G209" s="52">
        <v>2038.05</v>
      </c>
      <c r="H209" s="52">
        <v>1.45</v>
      </c>
      <c r="I209" s="52">
        <v>403.8</v>
      </c>
      <c r="J209" s="52">
        <v>1623.24</v>
      </c>
      <c r="K209" s="53">
        <v>8822.4600000000009</v>
      </c>
      <c r="L209" s="49">
        <v>24</v>
      </c>
      <c r="M209" s="44">
        <v>0</v>
      </c>
      <c r="N209" s="44">
        <v>0</v>
      </c>
      <c r="O209" s="44">
        <v>29408</v>
      </c>
      <c r="P209" s="44">
        <v>3639.88</v>
      </c>
      <c r="Q209" s="44">
        <v>1000.9</v>
      </c>
      <c r="R209" s="44">
        <v>16697.5</v>
      </c>
      <c r="S209" s="44">
        <v>0.78</v>
      </c>
      <c r="T209" s="44">
        <v>56</v>
      </c>
      <c r="U209" s="44">
        <v>21.200000000000003</v>
      </c>
      <c r="V209" s="44">
        <v>105</v>
      </c>
      <c r="W209" s="44">
        <v>3328</v>
      </c>
      <c r="X209" s="44">
        <v>2897</v>
      </c>
      <c r="Y209" s="44">
        <v>431</v>
      </c>
    </row>
    <row r="210" spans="1:25" x14ac:dyDescent="0.2">
      <c r="A210" s="50">
        <f t="shared" si="3"/>
        <v>45866</v>
      </c>
      <c r="B210" s="51">
        <v>3598.16</v>
      </c>
      <c r="C210" s="52">
        <v>2101.14</v>
      </c>
      <c r="D210" s="52">
        <v>2108.5100000000002</v>
      </c>
      <c r="E210" s="52">
        <v>1446.07</v>
      </c>
      <c r="F210" s="52">
        <v>1546.44</v>
      </c>
      <c r="G210" s="52">
        <v>4611.5</v>
      </c>
      <c r="H210" s="52">
        <v>6.41</v>
      </c>
      <c r="I210" s="52">
        <v>448.44</v>
      </c>
      <c r="J210" s="52">
        <v>3114.04</v>
      </c>
      <c r="K210" s="53">
        <v>12752.630000000001</v>
      </c>
      <c r="L210" s="49">
        <v>49</v>
      </c>
      <c r="M210" s="44">
        <v>0</v>
      </c>
      <c r="N210" s="44">
        <v>0</v>
      </c>
      <c r="O210" s="44">
        <v>45134</v>
      </c>
      <c r="P210" s="44">
        <v>3910.02</v>
      </c>
      <c r="Q210" s="44">
        <v>1588.08</v>
      </c>
      <c r="R210" s="44">
        <v>17642.55</v>
      </c>
      <c r="S210" s="44">
        <v>1.22</v>
      </c>
      <c r="T210" s="44">
        <v>124</v>
      </c>
      <c r="U210" s="44">
        <v>39.900000000000006</v>
      </c>
      <c r="V210" s="44">
        <v>181</v>
      </c>
      <c r="W210" s="44">
        <v>6142</v>
      </c>
      <c r="X210" s="44">
        <v>5398</v>
      </c>
      <c r="Y210" s="44">
        <v>744</v>
      </c>
    </row>
    <row r="211" spans="1:25" x14ac:dyDescent="0.2">
      <c r="A211" s="50">
        <f t="shared" si="3"/>
        <v>45867</v>
      </c>
      <c r="B211" s="51">
        <v>3344.26</v>
      </c>
      <c r="C211" s="52">
        <v>2119.85</v>
      </c>
      <c r="D211" s="52">
        <v>1827.23</v>
      </c>
      <c r="E211" s="52">
        <v>1567.45</v>
      </c>
      <c r="F211" s="52">
        <v>1737.41</v>
      </c>
      <c r="G211" s="52">
        <v>4670.3999999999996</v>
      </c>
      <c r="H211" s="52">
        <v>9.1999999999999993</v>
      </c>
      <c r="I211" s="52">
        <v>439.58</v>
      </c>
      <c r="J211" s="52">
        <v>3329.6</v>
      </c>
      <c r="K211" s="53">
        <v>12385.78</v>
      </c>
      <c r="L211" s="49">
        <v>46</v>
      </c>
      <c r="M211" s="44">
        <v>0</v>
      </c>
      <c r="N211" s="44">
        <v>0</v>
      </c>
      <c r="O211" s="44">
        <v>42657.89</v>
      </c>
      <c r="P211" s="44">
        <v>4367.88</v>
      </c>
      <c r="Q211" s="44">
        <v>1509.92</v>
      </c>
      <c r="R211" s="44">
        <v>19376.93</v>
      </c>
      <c r="S211" s="44">
        <v>1.18</v>
      </c>
      <c r="T211" s="44">
        <v>96</v>
      </c>
      <c r="U211" s="44">
        <v>36.5</v>
      </c>
      <c r="V211" s="44">
        <v>168</v>
      </c>
      <c r="W211" s="44">
        <v>5545</v>
      </c>
      <c r="X211" s="44">
        <v>4888</v>
      </c>
      <c r="Y211" s="44">
        <v>657</v>
      </c>
    </row>
    <row r="212" spans="1:25" x14ac:dyDescent="0.2">
      <c r="A212" s="50">
        <f t="shared" si="3"/>
        <v>45868</v>
      </c>
      <c r="B212" s="51">
        <v>3434.1</v>
      </c>
      <c r="C212" s="52">
        <v>2047.6</v>
      </c>
      <c r="D212" s="52">
        <v>1600.3</v>
      </c>
      <c r="E212" s="52">
        <v>2051.5</v>
      </c>
      <c r="F212" s="52">
        <v>2051.6999999999998</v>
      </c>
      <c r="G212" s="52">
        <v>4148.5</v>
      </c>
      <c r="H212" s="52">
        <v>8.6</v>
      </c>
      <c r="I212" s="52">
        <v>481.8</v>
      </c>
      <c r="J212" s="52">
        <v>2892.7000000000003</v>
      </c>
      <c r="K212" s="53">
        <v>12931.4</v>
      </c>
      <c r="L212" s="49">
        <v>45</v>
      </c>
      <c r="M212" s="44">
        <v>0</v>
      </c>
      <c r="N212" s="44">
        <v>0</v>
      </c>
      <c r="O212" s="44">
        <v>46151</v>
      </c>
      <c r="P212" s="44">
        <v>3727.32</v>
      </c>
      <c r="Q212" s="44">
        <v>1904.06</v>
      </c>
      <c r="R212" s="44">
        <v>27834.54</v>
      </c>
      <c r="S212" s="44">
        <v>1.2</v>
      </c>
      <c r="T212" s="44">
        <v>114</v>
      </c>
      <c r="U212" s="44">
        <v>35.799999999999997</v>
      </c>
      <c r="V212" s="44">
        <v>164</v>
      </c>
      <c r="W212" s="44">
        <v>5490</v>
      </c>
      <c r="X212" s="44">
        <v>4860</v>
      </c>
      <c r="Y212" s="44">
        <v>630</v>
      </c>
    </row>
    <row r="213" spans="1:25" x14ac:dyDescent="0.2">
      <c r="A213" s="50">
        <f t="shared" si="3"/>
        <v>45869</v>
      </c>
      <c r="B213" s="51">
        <v>3113.1</v>
      </c>
      <c r="C213" s="52">
        <v>1710.8</v>
      </c>
      <c r="D213" s="52">
        <v>1678.7</v>
      </c>
      <c r="E213" s="52">
        <v>1214.3</v>
      </c>
      <c r="F213" s="52">
        <v>1445.1</v>
      </c>
      <c r="G213" s="52">
        <v>4289.7</v>
      </c>
      <c r="H213" s="52">
        <v>7.8</v>
      </c>
      <c r="I213" s="52">
        <v>475.3</v>
      </c>
      <c r="J213" s="52">
        <v>2955</v>
      </c>
      <c r="K213" s="53">
        <v>10979.8</v>
      </c>
      <c r="L213" s="49">
        <v>40</v>
      </c>
      <c r="M213" s="44">
        <v>0</v>
      </c>
      <c r="O213" s="44">
        <v>35009</v>
      </c>
      <c r="P213" s="44">
        <v>3896.2</v>
      </c>
      <c r="Q213" s="44">
        <v>1671</v>
      </c>
      <c r="R213" s="44">
        <v>18025.05</v>
      </c>
      <c r="S213" s="44">
        <v>1.19</v>
      </c>
      <c r="T213" s="44">
        <v>82</v>
      </c>
      <c r="U213" s="44">
        <v>29.700000000000003</v>
      </c>
      <c r="V213" s="44">
        <v>149</v>
      </c>
      <c r="W213" s="44">
        <v>4669</v>
      </c>
      <c r="X213" s="44">
        <v>4075</v>
      </c>
      <c r="Y213" s="44">
        <v>594</v>
      </c>
    </row>
    <row r="214" spans="1:25" x14ac:dyDescent="0.2">
      <c r="A214" s="50">
        <f t="shared" si="3"/>
        <v>45870</v>
      </c>
      <c r="B214" s="51">
        <v>3078.68</v>
      </c>
      <c r="C214" s="52">
        <v>1736.53</v>
      </c>
      <c r="D214" s="52">
        <v>1367.26</v>
      </c>
      <c r="E214" s="52">
        <v>1309.1300000000001</v>
      </c>
      <c r="F214" s="52">
        <v>1348.97</v>
      </c>
      <c r="G214" s="52">
        <v>4338.1400000000003</v>
      </c>
      <c r="H214" s="52">
        <v>5.8</v>
      </c>
      <c r="I214" s="52">
        <v>398.64</v>
      </c>
      <c r="J214" s="52">
        <v>2891.15</v>
      </c>
      <c r="K214" s="53">
        <v>10691.999999999998</v>
      </c>
      <c r="L214" s="49">
        <v>39</v>
      </c>
      <c r="M214" s="44">
        <v>0</v>
      </c>
      <c r="N214" s="44">
        <v>0</v>
      </c>
      <c r="O214" s="44">
        <v>21874</v>
      </c>
      <c r="P214" s="44">
        <v>3225.05</v>
      </c>
      <c r="Q214" s="44">
        <v>1002.37</v>
      </c>
      <c r="R214" s="44">
        <v>15957.27</v>
      </c>
      <c r="S214" s="44">
        <v>0.89</v>
      </c>
      <c r="T214" s="44">
        <v>82</v>
      </c>
      <c r="U214" s="44">
        <v>24.1</v>
      </c>
      <c r="V214" s="44">
        <v>120</v>
      </c>
      <c r="W214" s="44">
        <v>3680</v>
      </c>
      <c r="X214" s="44">
        <v>3328</v>
      </c>
      <c r="Y214" s="44">
        <v>352</v>
      </c>
    </row>
    <row r="215" spans="1:25" x14ac:dyDescent="0.2">
      <c r="A215" s="50">
        <f t="shared" si="3"/>
        <v>45871</v>
      </c>
      <c r="B215" s="51">
        <v>1087.43</v>
      </c>
      <c r="C215" s="52">
        <v>520.91999999999996</v>
      </c>
      <c r="D215" s="52">
        <v>414.33</v>
      </c>
      <c r="E215" s="52">
        <v>59</v>
      </c>
      <c r="F215" s="52">
        <v>376.57</v>
      </c>
      <c r="G215" s="52">
        <v>2734.74</v>
      </c>
      <c r="H215" s="52">
        <v>6.01</v>
      </c>
      <c r="I215" s="52">
        <v>425.66</v>
      </c>
      <c r="J215" s="52">
        <v>2346.79</v>
      </c>
      <c r="K215" s="53">
        <v>3277.87</v>
      </c>
      <c r="L215" s="49">
        <v>5.6000000000003638</v>
      </c>
      <c r="M215" s="44">
        <v>0</v>
      </c>
      <c r="N215" s="44">
        <v>0</v>
      </c>
      <c r="O215" s="44">
        <v>176.24</v>
      </c>
      <c r="P215" s="44">
        <v>100.11</v>
      </c>
      <c r="Q215" s="44">
        <v>1308.01</v>
      </c>
      <c r="R215" s="44">
        <v>3504.2</v>
      </c>
      <c r="S215" s="44">
        <v>0.38</v>
      </c>
      <c r="T215" s="44">
        <v>0</v>
      </c>
      <c r="U215" s="44">
        <v>0</v>
      </c>
      <c r="V215" s="44">
        <v>13</v>
      </c>
      <c r="W215" s="44">
        <v>0</v>
      </c>
      <c r="X215" s="44">
        <v>0</v>
      </c>
      <c r="Y215" s="44">
        <v>0</v>
      </c>
    </row>
    <row r="216" spans="1:25" x14ac:dyDescent="0.2">
      <c r="A216" s="50">
        <f t="shared" si="3"/>
        <v>45872</v>
      </c>
      <c r="B216" s="51">
        <v>2953.5</v>
      </c>
      <c r="C216" s="52">
        <v>1535.3</v>
      </c>
      <c r="D216" s="52">
        <v>1134.2</v>
      </c>
      <c r="E216" s="52">
        <v>1434.8</v>
      </c>
      <c r="F216" s="52">
        <v>1519.6</v>
      </c>
      <c r="G216" s="52">
        <v>2643.8</v>
      </c>
      <c r="H216" s="52">
        <v>4.0999999999999996</v>
      </c>
      <c r="I216" s="52">
        <v>399.6</v>
      </c>
      <c r="J216" s="52">
        <v>1600.6000000000001</v>
      </c>
      <c r="K216" s="53">
        <v>10024.300000000001</v>
      </c>
      <c r="L216" s="49">
        <v>21.399999999999636</v>
      </c>
      <c r="M216" s="44">
        <v>0</v>
      </c>
      <c r="N216" s="44">
        <v>0</v>
      </c>
      <c r="O216" s="44">
        <v>31250</v>
      </c>
      <c r="P216" s="44">
        <v>2339.67</v>
      </c>
      <c r="Q216" s="44">
        <v>1005.8</v>
      </c>
      <c r="R216" s="44">
        <v>23400.2</v>
      </c>
      <c r="S216" s="44">
        <v>0.75</v>
      </c>
      <c r="T216" s="44">
        <v>47</v>
      </c>
      <c r="U216" s="44">
        <v>17.600000000000001</v>
      </c>
      <c r="V216" s="44">
        <v>97</v>
      </c>
      <c r="W216" s="44">
        <v>2596</v>
      </c>
      <c r="X216" s="44">
        <v>2492</v>
      </c>
      <c r="Y216" s="44">
        <v>104</v>
      </c>
    </row>
    <row r="217" spans="1:25" x14ac:dyDescent="0.2">
      <c r="A217" s="50">
        <f t="shared" si="3"/>
        <v>45873</v>
      </c>
      <c r="B217" s="51">
        <v>3441.1</v>
      </c>
      <c r="C217" s="52">
        <v>1881.9</v>
      </c>
      <c r="D217" s="52">
        <v>1560.1</v>
      </c>
      <c r="E217" s="52">
        <v>913.7</v>
      </c>
      <c r="F217" s="52">
        <v>2402.6999999999998</v>
      </c>
      <c r="G217" s="52">
        <v>4133.1000000000004</v>
      </c>
      <c r="H217" s="52">
        <v>2.8</v>
      </c>
      <c r="I217" s="52">
        <v>465.4</v>
      </c>
      <c r="J217" s="52">
        <v>2828.9000000000005</v>
      </c>
      <c r="K217" s="53">
        <v>11971.899999999998</v>
      </c>
      <c r="L217" s="49">
        <v>49</v>
      </c>
      <c r="M217" s="44">
        <v>0</v>
      </c>
      <c r="N217" s="44">
        <v>0</v>
      </c>
      <c r="O217" s="44">
        <v>28073.8</v>
      </c>
      <c r="P217" s="44">
        <v>4975.2</v>
      </c>
      <c r="Q217" s="44">
        <v>1707.6</v>
      </c>
      <c r="R217" s="44">
        <v>18665.2</v>
      </c>
      <c r="S217" s="44">
        <v>1.2</v>
      </c>
      <c r="T217" s="44">
        <v>98</v>
      </c>
      <c r="U217" s="44">
        <v>36.200000000000003</v>
      </c>
      <c r="V217" s="44">
        <v>168</v>
      </c>
      <c r="W217" s="44">
        <v>5502</v>
      </c>
      <c r="X217" s="44">
        <v>4887</v>
      </c>
      <c r="Y217" s="44">
        <v>615</v>
      </c>
    </row>
    <row r="218" spans="1:25" x14ac:dyDescent="0.2">
      <c r="A218" s="50">
        <f t="shared" si="3"/>
        <v>45874</v>
      </c>
      <c r="B218" s="51">
        <v>3453.01</v>
      </c>
      <c r="C218" s="52">
        <v>1961.51</v>
      </c>
      <c r="D218" s="52">
        <v>1614.32</v>
      </c>
      <c r="E218" s="52">
        <v>1628.72</v>
      </c>
      <c r="F218" s="52">
        <v>2642.8</v>
      </c>
      <c r="G218" s="52">
        <v>4280.53</v>
      </c>
      <c r="H218" s="52">
        <v>3.3</v>
      </c>
      <c r="I218" s="52">
        <v>441.22</v>
      </c>
      <c r="J218" s="52">
        <v>2945.7</v>
      </c>
      <c r="K218" s="53">
        <v>13079.71</v>
      </c>
      <c r="L218" s="49">
        <v>43</v>
      </c>
      <c r="M218" s="44">
        <v>0</v>
      </c>
      <c r="N218" s="44">
        <v>0</v>
      </c>
      <c r="O218" s="44">
        <v>39209</v>
      </c>
      <c r="P218" s="44">
        <v>4192.2299999999996</v>
      </c>
      <c r="Q218" s="44">
        <v>1485.26</v>
      </c>
      <c r="R218" s="44">
        <v>23153.58</v>
      </c>
      <c r="S218" s="44">
        <v>1.1599999999999999</v>
      </c>
      <c r="T218" s="44">
        <v>110</v>
      </c>
      <c r="U218" s="44">
        <v>34.6</v>
      </c>
      <c r="V218" s="44">
        <v>163</v>
      </c>
      <c r="W218" s="44">
        <v>5534</v>
      </c>
      <c r="X218" s="44">
        <v>4806</v>
      </c>
      <c r="Y218" s="44">
        <v>728</v>
      </c>
    </row>
    <row r="219" spans="1:25" x14ac:dyDescent="0.2">
      <c r="A219" s="50">
        <f t="shared" si="3"/>
        <v>45875</v>
      </c>
      <c r="B219" s="51">
        <v>3104.23</v>
      </c>
      <c r="C219" s="52">
        <v>1986.17</v>
      </c>
      <c r="D219" s="52">
        <v>1562</v>
      </c>
      <c r="E219" s="52">
        <v>871.65</v>
      </c>
      <c r="F219" s="52">
        <v>2325.84</v>
      </c>
      <c r="G219" s="52">
        <v>4477.97</v>
      </c>
      <c r="H219" s="52">
        <v>3.39</v>
      </c>
      <c r="I219" s="52">
        <v>455.9</v>
      </c>
      <c r="J219" s="52">
        <v>3061.7100000000005</v>
      </c>
      <c r="K219" s="53">
        <v>11725.439999999999</v>
      </c>
      <c r="L219" s="49">
        <v>48.299999999999272</v>
      </c>
      <c r="M219" s="44">
        <v>0</v>
      </c>
      <c r="N219" s="44">
        <v>0</v>
      </c>
      <c r="O219" s="44">
        <v>33874.629999999997</v>
      </c>
      <c r="P219" s="44">
        <v>3722.04</v>
      </c>
      <c r="Q219" s="44">
        <v>1572.88</v>
      </c>
      <c r="R219" s="44">
        <v>11927.9</v>
      </c>
      <c r="S219" s="44">
        <v>1.17</v>
      </c>
      <c r="T219" s="44">
        <v>101</v>
      </c>
      <c r="U219" s="44">
        <v>34.9</v>
      </c>
      <c r="V219" s="44">
        <v>166</v>
      </c>
      <c r="W219" s="44">
        <v>5414</v>
      </c>
      <c r="X219" s="44">
        <v>4766</v>
      </c>
      <c r="Y219" s="44">
        <v>648</v>
      </c>
    </row>
    <row r="220" spans="1:25" x14ac:dyDescent="0.2">
      <c r="A220" s="50">
        <f t="shared" si="3"/>
        <v>45876</v>
      </c>
      <c r="B220" s="51">
        <v>3276.1</v>
      </c>
      <c r="C220" s="52">
        <v>1994.1</v>
      </c>
      <c r="D220" s="52">
        <v>1593</v>
      </c>
      <c r="E220" s="52">
        <v>879.4</v>
      </c>
      <c r="F220" s="52">
        <v>2335.9</v>
      </c>
      <c r="G220" s="52">
        <v>4447.2</v>
      </c>
      <c r="H220" s="52">
        <v>4.5</v>
      </c>
      <c r="I220" s="52">
        <v>438.5</v>
      </c>
      <c r="J220" s="52">
        <v>3230.7</v>
      </c>
      <c r="K220" s="53">
        <v>11738</v>
      </c>
      <c r="L220" s="49">
        <v>46.700000000000728</v>
      </c>
      <c r="M220" s="44">
        <v>0</v>
      </c>
      <c r="N220" s="44">
        <v>0</v>
      </c>
      <c r="O220" s="44">
        <v>31498</v>
      </c>
      <c r="P220" s="44">
        <v>4230.8500000000004</v>
      </c>
      <c r="Q220" s="44">
        <v>1204.21</v>
      </c>
      <c r="R220" s="44">
        <v>13440.66</v>
      </c>
      <c r="S220" s="44">
        <v>1.1599999999999999</v>
      </c>
      <c r="T220" s="44">
        <v>99</v>
      </c>
      <c r="U220" s="44">
        <v>34</v>
      </c>
      <c r="V220" s="44">
        <v>156</v>
      </c>
      <c r="W220" s="44">
        <v>5272</v>
      </c>
      <c r="X220" s="44">
        <v>4619</v>
      </c>
      <c r="Y220" s="44">
        <v>653</v>
      </c>
    </row>
    <row r="221" spans="1:25" x14ac:dyDescent="0.2">
      <c r="A221" s="50">
        <f t="shared" si="3"/>
        <v>45877</v>
      </c>
      <c r="B221" s="51">
        <v>2935</v>
      </c>
      <c r="C221" s="52">
        <v>1787.9</v>
      </c>
      <c r="D221" s="52">
        <v>1464.5</v>
      </c>
      <c r="E221" s="52">
        <v>710.1</v>
      </c>
      <c r="F221" s="52">
        <v>2248.9</v>
      </c>
      <c r="G221" s="52">
        <v>4338.2</v>
      </c>
      <c r="H221" s="52">
        <v>4.9000000000000004</v>
      </c>
      <c r="I221" s="52">
        <v>460.5</v>
      </c>
      <c r="J221" s="52">
        <v>3088.7</v>
      </c>
      <c r="K221" s="53">
        <v>10861.3</v>
      </c>
      <c r="L221" s="49">
        <v>43</v>
      </c>
      <c r="M221" s="44">
        <v>0</v>
      </c>
      <c r="N221" s="44">
        <v>0</v>
      </c>
      <c r="O221" s="44">
        <v>28777.4</v>
      </c>
      <c r="P221" s="44">
        <v>4061.33</v>
      </c>
      <c r="Q221" s="44">
        <v>1617.7</v>
      </c>
      <c r="R221" s="44">
        <v>19116.3</v>
      </c>
      <c r="S221" s="44">
        <v>1.18</v>
      </c>
      <c r="T221" s="44">
        <v>87</v>
      </c>
      <c r="U221" s="44">
        <v>32.9</v>
      </c>
      <c r="V221" s="44">
        <v>145</v>
      </c>
      <c r="W221" s="44">
        <v>4707</v>
      </c>
      <c r="X221" s="44">
        <v>4087</v>
      </c>
      <c r="Y221" s="44">
        <v>620</v>
      </c>
    </row>
    <row r="222" spans="1:25" x14ac:dyDescent="0.2">
      <c r="A222" s="50">
        <f t="shared" si="3"/>
        <v>45878</v>
      </c>
      <c r="B222" s="51">
        <v>1909.63</v>
      </c>
      <c r="C222" s="52">
        <v>1173.71</v>
      </c>
      <c r="D222" s="52">
        <v>1130.78</v>
      </c>
      <c r="E222" s="52">
        <v>343.83</v>
      </c>
      <c r="F222" s="52">
        <v>1568.55</v>
      </c>
      <c r="G222" s="52">
        <v>3593.3</v>
      </c>
      <c r="H222" s="52">
        <v>5.45</v>
      </c>
      <c r="I222" s="52">
        <v>432.46</v>
      </c>
      <c r="J222" s="52">
        <v>2540.25</v>
      </c>
      <c r="K222" s="53">
        <v>7617.4599999999991</v>
      </c>
      <c r="L222" s="49">
        <v>19</v>
      </c>
      <c r="M222" s="44">
        <v>0</v>
      </c>
      <c r="N222" s="44">
        <v>0</v>
      </c>
      <c r="O222" s="44">
        <v>14429</v>
      </c>
      <c r="P222" s="44">
        <v>1778.44</v>
      </c>
      <c r="Q222" s="44">
        <v>1319.82</v>
      </c>
      <c r="R222" s="44">
        <v>17320.740000000002</v>
      </c>
      <c r="S222" s="44">
        <v>1.27</v>
      </c>
      <c r="T222" s="44">
        <v>67</v>
      </c>
      <c r="U222" s="44">
        <v>20.7</v>
      </c>
      <c r="V222" s="44">
        <v>108</v>
      </c>
      <c r="W222" s="44">
        <v>3263</v>
      </c>
      <c r="X222" s="44">
        <v>2860</v>
      </c>
      <c r="Y222" s="44">
        <v>403</v>
      </c>
    </row>
    <row r="223" spans="1:25" x14ac:dyDescent="0.2">
      <c r="A223" s="50">
        <f t="shared" si="3"/>
        <v>45879</v>
      </c>
      <c r="B223" s="51">
        <v>3154.19</v>
      </c>
      <c r="C223" s="52">
        <v>1618.39</v>
      </c>
      <c r="D223" s="52">
        <v>1222.97</v>
      </c>
      <c r="E223" s="52">
        <v>1114.33</v>
      </c>
      <c r="F223" s="52">
        <v>2124.09</v>
      </c>
      <c r="G223" s="52">
        <v>2669.43</v>
      </c>
      <c r="H223" s="52">
        <v>5.08</v>
      </c>
      <c r="I223" s="52">
        <v>398.26</v>
      </c>
      <c r="J223" s="52">
        <v>2308.42</v>
      </c>
      <c r="K223" s="53">
        <v>9998.3200000000015</v>
      </c>
      <c r="L223" s="49">
        <v>23.200000000000728</v>
      </c>
      <c r="M223" s="44">
        <v>0</v>
      </c>
      <c r="N223" s="44">
        <v>0</v>
      </c>
      <c r="O223" s="44">
        <v>28923.5</v>
      </c>
      <c r="P223" s="44">
        <v>3207.17</v>
      </c>
      <c r="Q223" s="44">
        <v>1012.83</v>
      </c>
      <c r="R223" s="44">
        <v>21444.2</v>
      </c>
      <c r="S223" s="44">
        <v>1.18</v>
      </c>
      <c r="T223" s="44">
        <v>93</v>
      </c>
      <c r="U223" s="44">
        <v>32.099999999999994</v>
      </c>
      <c r="V223" s="44">
        <v>151</v>
      </c>
      <c r="W223" s="44">
        <v>4809</v>
      </c>
      <c r="X223" s="44">
        <v>4361</v>
      </c>
      <c r="Y223" s="44">
        <v>448</v>
      </c>
    </row>
    <row r="224" spans="1:25" x14ac:dyDescent="0.2">
      <c r="A224" s="50">
        <f t="shared" ref="A224:A287" si="4">A223+1</f>
        <v>45880</v>
      </c>
      <c r="B224" s="51">
        <v>3647.7</v>
      </c>
      <c r="C224" s="52">
        <v>1975</v>
      </c>
      <c r="D224" s="52">
        <v>1710.1</v>
      </c>
      <c r="E224" s="52">
        <v>1103.5</v>
      </c>
      <c r="F224" s="52">
        <v>2489.5</v>
      </c>
      <c r="G224" s="52">
        <v>4154.3</v>
      </c>
      <c r="H224" s="52">
        <v>2.6</v>
      </c>
      <c r="I224" s="52">
        <v>436.2</v>
      </c>
      <c r="J224" s="52">
        <v>2960.7</v>
      </c>
      <c r="K224" s="53">
        <v>12558.2</v>
      </c>
      <c r="L224" s="49">
        <v>26.799999999999272</v>
      </c>
      <c r="M224" s="44">
        <v>0</v>
      </c>
      <c r="N224" s="44">
        <v>0</v>
      </c>
      <c r="O224" s="44">
        <v>43305</v>
      </c>
      <c r="P224" s="44">
        <v>4957.47</v>
      </c>
      <c r="Q224" s="44">
        <v>1356.37</v>
      </c>
      <c r="R224" s="44">
        <v>21103.4</v>
      </c>
      <c r="S224" s="44">
        <v>1.18</v>
      </c>
      <c r="T224" s="44">
        <v>103</v>
      </c>
      <c r="U224" s="44">
        <v>36.1</v>
      </c>
      <c r="V224" s="44">
        <v>165</v>
      </c>
      <c r="W224" s="44">
        <v>5927</v>
      </c>
      <c r="X224" s="44">
        <v>4910</v>
      </c>
      <c r="Y224" s="44">
        <v>1017</v>
      </c>
    </row>
    <row r="225" spans="1:25" x14ac:dyDescent="0.2">
      <c r="A225" s="50">
        <f t="shared" si="4"/>
        <v>45881</v>
      </c>
      <c r="B225" s="51">
        <v>3266.1</v>
      </c>
      <c r="C225" s="52">
        <v>1940.8</v>
      </c>
      <c r="D225" s="52">
        <v>1452.4</v>
      </c>
      <c r="E225" s="52">
        <v>695.5</v>
      </c>
      <c r="F225" s="52">
        <v>2274.6999999999998</v>
      </c>
      <c r="G225" s="52">
        <v>4170.5</v>
      </c>
      <c r="H225" s="52">
        <v>3.54</v>
      </c>
      <c r="I225" s="52">
        <v>470.5</v>
      </c>
      <c r="J225" s="52">
        <v>3021.4</v>
      </c>
      <c r="K225" s="53">
        <v>11252.640000000001</v>
      </c>
      <c r="L225" s="49">
        <v>0</v>
      </c>
      <c r="M225" s="44">
        <v>0</v>
      </c>
      <c r="N225" s="44">
        <v>0</v>
      </c>
      <c r="O225" s="44">
        <v>32239.7</v>
      </c>
      <c r="P225" s="44">
        <v>4461.6000000000004</v>
      </c>
      <c r="Q225" s="44">
        <v>1721.1</v>
      </c>
      <c r="R225" s="44">
        <v>20071.8</v>
      </c>
      <c r="S225" s="44">
        <v>1.34</v>
      </c>
      <c r="T225" s="44">
        <v>102</v>
      </c>
      <c r="U225" s="44">
        <v>36.1</v>
      </c>
      <c r="V225" s="44">
        <v>161</v>
      </c>
      <c r="W225" s="44">
        <v>5434</v>
      </c>
      <c r="X225" s="44">
        <v>4853</v>
      </c>
      <c r="Y225" s="44">
        <v>581</v>
      </c>
    </row>
    <row r="226" spans="1:25" x14ac:dyDescent="0.2">
      <c r="A226" s="50">
        <f t="shared" si="4"/>
        <v>45882</v>
      </c>
      <c r="B226" s="51">
        <v>3359.9</v>
      </c>
      <c r="C226" s="52">
        <v>2055.12</v>
      </c>
      <c r="D226" s="52">
        <v>1565.91</v>
      </c>
      <c r="E226" s="52">
        <v>877.45</v>
      </c>
      <c r="F226" s="52">
        <v>2314.35</v>
      </c>
      <c r="G226" s="52">
        <v>4321.51</v>
      </c>
      <c r="H226" s="52">
        <v>4.3899999999999997</v>
      </c>
      <c r="I226" s="52">
        <v>486.86</v>
      </c>
      <c r="J226" s="52">
        <v>3040.34</v>
      </c>
      <c r="K226" s="53">
        <v>11945.15</v>
      </c>
      <c r="L226" s="49">
        <v>42</v>
      </c>
      <c r="M226" s="44">
        <v>0</v>
      </c>
      <c r="N226" s="44">
        <v>0</v>
      </c>
      <c r="O226" s="44">
        <v>45608</v>
      </c>
      <c r="P226" s="44">
        <v>5211.47</v>
      </c>
      <c r="Q226" s="44">
        <v>1744.11</v>
      </c>
      <c r="R226" s="44">
        <v>18006.28</v>
      </c>
      <c r="S226" s="44">
        <v>1.21</v>
      </c>
      <c r="T226" s="44">
        <v>114</v>
      </c>
      <c r="U226" s="44">
        <v>37.099999999999994</v>
      </c>
      <c r="V226" s="44">
        <v>171</v>
      </c>
      <c r="W226" s="44">
        <v>5838</v>
      </c>
      <c r="X226" s="44">
        <v>5161</v>
      </c>
      <c r="Y226" s="44">
        <v>677</v>
      </c>
    </row>
    <row r="227" spans="1:25" x14ac:dyDescent="0.2">
      <c r="A227" s="50">
        <f t="shared" si="4"/>
        <v>45883</v>
      </c>
      <c r="B227" s="51">
        <v>2947.19</v>
      </c>
      <c r="C227" s="52">
        <v>1971.12</v>
      </c>
      <c r="D227" s="52">
        <v>1739.61</v>
      </c>
      <c r="E227" s="52">
        <v>709.96</v>
      </c>
      <c r="F227" s="52">
        <v>2330.8200000000002</v>
      </c>
      <c r="G227" s="52">
        <v>4181.13</v>
      </c>
      <c r="H227" s="52">
        <v>5.16</v>
      </c>
      <c r="I227" s="52">
        <v>448.22</v>
      </c>
      <c r="J227" s="52">
        <v>2997.41</v>
      </c>
      <c r="K227" s="53">
        <v>11335.799999999997</v>
      </c>
      <c r="L227" s="49">
        <v>50.5</v>
      </c>
      <c r="M227" s="44">
        <v>0</v>
      </c>
      <c r="N227" s="44">
        <v>0</v>
      </c>
      <c r="O227" s="44">
        <v>31786.46</v>
      </c>
      <c r="P227" s="44">
        <v>5512.89</v>
      </c>
      <c r="Q227" s="44">
        <v>1408.32</v>
      </c>
      <c r="R227" s="44">
        <v>18698.45</v>
      </c>
      <c r="S227" s="44">
        <v>1.19</v>
      </c>
      <c r="T227" s="44">
        <v>100</v>
      </c>
      <c r="U227" s="44">
        <v>34.4</v>
      </c>
      <c r="V227" s="44">
        <v>160</v>
      </c>
      <c r="W227" s="44">
        <v>5288</v>
      </c>
      <c r="X227" s="44">
        <v>4653</v>
      </c>
      <c r="Y227" s="44">
        <v>635</v>
      </c>
    </row>
    <row r="228" spans="1:25" x14ac:dyDescent="0.2">
      <c r="A228" s="50">
        <f t="shared" si="4"/>
        <v>45884</v>
      </c>
      <c r="B228" s="51">
        <v>3017.2</v>
      </c>
      <c r="C228" s="52">
        <v>1806.9</v>
      </c>
      <c r="D228" s="52">
        <v>1611.5</v>
      </c>
      <c r="E228" s="52">
        <v>621.4</v>
      </c>
      <c r="F228" s="52">
        <v>2027.6</v>
      </c>
      <c r="G228" s="52">
        <v>4053.8</v>
      </c>
      <c r="H228" s="52">
        <v>5.5</v>
      </c>
      <c r="I228" s="52">
        <v>445.5</v>
      </c>
      <c r="J228" s="52">
        <v>2831.9</v>
      </c>
      <c r="K228" s="53">
        <v>10757.500000000002</v>
      </c>
      <c r="L228" s="49">
        <v>45.5</v>
      </c>
      <c r="M228" s="44">
        <v>0</v>
      </c>
      <c r="N228" s="44">
        <v>0</v>
      </c>
      <c r="O228" s="44">
        <v>27324</v>
      </c>
      <c r="P228" s="44">
        <v>5232.55</v>
      </c>
      <c r="Q228" s="44">
        <v>1489</v>
      </c>
      <c r="R228" s="44">
        <v>15397.98</v>
      </c>
      <c r="S228" s="44">
        <v>1.2</v>
      </c>
      <c r="T228" s="44">
        <v>91</v>
      </c>
      <c r="U228" s="44">
        <v>31.299999999999997</v>
      </c>
      <c r="V228" s="44">
        <v>146</v>
      </c>
      <c r="W228" s="44">
        <v>4852</v>
      </c>
      <c r="X228" s="44">
        <v>4294</v>
      </c>
      <c r="Y228" s="44">
        <v>558</v>
      </c>
    </row>
    <row r="229" spans="1:25" x14ac:dyDescent="0.2">
      <c r="A229" s="50">
        <f t="shared" si="4"/>
        <v>45885</v>
      </c>
      <c r="B229" s="51">
        <v>2204.6999999999998</v>
      </c>
      <c r="C229" s="52">
        <v>1605.4</v>
      </c>
      <c r="D229" s="52">
        <v>1067.0999999999999</v>
      </c>
      <c r="E229" s="52">
        <v>282.2</v>
      </c>
      <c r="F229" s="52">
        <v>1575.6</v>
      </c>
      <c r="G229" s="52">
        <v>3617.7</v>
      </c>
      <c r="H229" s="52">
        <v>6.4</v>
      </c>
      <c r="I229" s="52">
        <v>408.8</v>
      </c>
      <c r="J229" s="52">
        <v>2450.9</v>
      </c>
      <c r="K229" s="53">
        <v>8317</v>
      </c>
      <c r="L229" s="49">
        <v>28</v>
      </c>
      <c r="M229" s="44">
        <v>0</v>
      </c>
      <c r="N229" s="44">
        <v>0</v>
      </c>
      <c r="O229" s="44">
        <v>15997</v>
      </c>
      <c r="P229" s="44">
        <v>2181.6</v>
      </c>
      <c r="Q229" s="44">
        <v>1265.8599999999999</v>
      </c>
      <c r="R229" s="44">
        <v>15568.3</v>
      </c>
      <c r="S229" s="44">
        <v>1.48</v>
      </c>
      <c r="T229" s="44">
        <v>66</v>
      </c>
      <c r="U229" s="44">
        <v>22.5</v>
      </c>
      <c r="V229" s="44">
        <v>116</v>
      </c>
      <c r="W229" s="44">
        <v>3239</v>
      </c>
      <c r="X229" s="44">
        <v>3013</v>
      </c>
      <c r="Y229" s="44">
        <v>226</v>
      </c>
    </row>
    <row r="230" spans="1:25" x14ac:dyDescent="0.2">
      <c r="A230" s="50">
        <f t="shared" si="4"/>
        <v>45886</v>
      </c>
      <c r="B230" s="51">
        <v>915.24</v>
      </c>
      <c r="C230" s="52">
        <v>872.57</v>
      </c>
      <c r="D230" s="52">
        <v>435.89</v>
      </c>
      <c r="E230" s="52">
        <v>56.33</v>
      </c>
      <c r="F230" s="52">
        <v>288.87</v>
      </c>
      <c r="G230" s="52">
        <v>2646.98</v>
      </c>
      <c r="H230" s="52">
        <v>4.3</v>
      </c>
      <c r="I230" s="52">
        <v>451.16</v>
      </c>
      <c r="J230" s="52">
        <v>2214.5899999999997</v>
      </c>
      <c r="K230" s="53">
        <v>3456.7499999999995</v>
      </c>
      <c r="L230" s="49">
        <v>10</v>
      </c>
      <c r="M230" s="44">
        <v>0</v>
      </c>
      <c r="N230" s="44">
        <v>0</v>
      </c>
      <c r="O230" s="44">
        <v>232</v>
      </c>
      <c r="P230" s="44">
        <v>840.36</v>
      </c>
      <c r="Q230" s="44">
        <v>1725.21</v>
      </c>
      <c r="R230" s="44">
        <v>4489.01</v>
      </c>
      <c r="S230" s="44">
        <v>0.57999999999999996</v>
      </c>
      <c r="T230" s="44">
        <v>22</v>
      </c>
      <c r="U230" s="44">
        <v>7.8</v>
      </c>
      <c r="V230" s="44">
        <v>53</v>
      </c>
      <c r="W230" s="44">
        <v>1226</v>
      </c>
      <c r="X230" s="44">
        <v>1126</v>
      </c>
      <c r="Y230" s="44">
        <v>100</v>
      </c>
    </row>
    <row r="231" spans="1:25" x14ac:dyDescent="0.2">
      <c r="A231" s="50">
        <f t="shared" si="4"/>
        <v>45887</v>
      </c>
      <c r="B231" s="51">
        <v>3167.29</v>
      </c>
      <c r="C231" s="52">
        <v>1974.85</v>
      </c>
      <c r="D231" s="52">
        <v>1657.64</v>
      </c>
      <c r="E231" s="52">
        <v>1642.3</v>
      </c>
      <c r="F231" s="52">
        <v>2528.9</v>
      </c>
      <c r="G231" s="52">
        <v>4439.99</v>
      </c>
      <c r="H231" s="52">
        <v>6.07</v>
      </c>
      <c r="I231" s="52">
        <v>468.84</v>
      </c>
      <c r="J231" s="52">
        <v>3038.23</v>
      </c>
      <c r="K231" s="53">
        <v>12847.65</v>
      </c>
      <c r="L231" s="49">
        <v>48</v>
      </c>
      <c r="M231" s="44">
        <v>0</v>
      </c>
      <c r="N231" s="44">
        <v>0</v>
      </c>
      <c r="O231" s="44">
        <v>40946.839999999997</v>
      </c>
      <c r="P231" s="44">
        <v>5617.38</v>
      </c>
      <c r="Q231" s="44">
        <v>1782.53</v>
      </c>
      <c r="R231" s="44">
        <v>26067.200000000001</v>
      </c>
      <c r="S231" s="44">
        <v>1.1499999999999999</v>
      </c>
      <c r="T231" s="44">
        <v>118</v>
      </c>
      <c r="U231" s="44">
        <v>38.799999999999997</v>
      </c>
      <c r="V231" s="44">
        <v>164</v>
      </c>
      <c r="W231" s="44">
        <v>5956</v>
      </c>
      <c r="X231" s="44">
        <v>5291</v>
      </c>
      <c r="Y231" s="44">
        <v>665</v>
      </c>
    </row>
    <row r="232" spans="1:25" x14ac:dyDescent="0.2">
      <c r="A232" s="50">
        <f t="shared" si="4"/>
        <v>45888</v>
      </c>
      <c r="B232" s="51">
        <v>3061.6</v>
      </c>
      <c r="C232" s="52">
        <v>2009.7</v>
      </c>
      <c r="D232" s="52">
        <v>1460.9</v>
      </c>
      <c r="E232" s="52">
        <v>1568.6</v>
      </c>
      <c r="F232" s="52">
        <v>2358</v>
      </c>
      <c r="G232" s="52">
        <v>4410.5</v>
      </c>
      <c r="H232" s="52">
        <v>9.5</v>
      </c>
      <c r="I232" s="52">
        <v>442.1</v>
      </c>
      <c r="J232" s="52">
        <v>3255.8</v>
      </c>
      <c r="K232" s="53">
        <v>12065.100000000002</v>
      </c>
      <c r="L232" s="49">
        <v>3</v>
      </c>
      <c r="M232" s="44">
        <v>0</v>
      </c>
      <c r="N232" s="44">
        <v>0</v>
      </c>
      <c r="O232" s="44">
        <v>39052</v>
      </c>
      <c r="P232" s="44">
        <v>3624.8</v>
      </c>
      <c r="Q232" s="44">
        <v>1511.17</v>
      </c>
      <c r="R232" s="44">
        <v>23642.51</v>
      </c>
      <c r="S232" s="44">
        <v>1.1299999999999999</v>
      </c>
      <c r="T232" s="44">
        <v>85</v>
      </c>
      <c r="U232" s="44">
        <v>31.8</v>
      </c>
      <c r="V232" s="44">
        <v>148</v>
      </c>
      <c r="W232" s="44">
        <v>4870</v>
      </c>
      <c r="X232" s="44">
        <v>4333</v>
      </c>
      <c r="Y232" s="44">
        <v>537</v>
      </c>
    </row>
    <row r="233" spans="1:25" x14ac:dyDescent="0.2">
      <c r="A233" s="50">
        <f t="shared" si="4"/>
        <v>45889</v>
      </c>
      <c r="B233" s="51">
        <v>2315.9</v>
      </c>
      <c r="C233" s="52">
        <v>1795.2</v>
      </c>
      <c r="D233" s="52">
        <v>1252.7</v>
      </c>
      <c r="E233" s="52">
        <v>460.1</v>
      </c>
      <c r="F233" s="52">
        <v>2009.2</v>
      </c>
      <c r="G233" s="52">
        <v>3862</v>
      </c>
      <c r="H233" s="52">
        <v>7.38</v>
      </c>
      <c r="I233" s="52">
        <v>491.9</v>
      </c>
      <c r="J233" s="52">
        <v>3179.2000000000003</v>
      </c>
      <c r="K233" s="53">
        <v>9015.1799999999985</v>
      </c>
      <c r="L233" s="49">
        <v>15</v>
      </c>
      <c r="M233" s="44">
        <v>0</v>
      </c>
      <c r="N233" s="44">
        <v>0</v>
      </c>
      <c r="O233" s="44">
        <v>29898.7</v>
      </c>
      <c r="P233" s="44">
        <v>3522.2</v>
      </c>
      <c r="Q233" s="44">
        <v>1956.4</v>
      </c>
      <c r="R233" s="44">
        <v>18374</v>
      </c>
      <c r="S233" s="44">
        <v>1.24</v>
      </c>
      <c r="T233" s="44">
        <v>92</v>
      </c>
      <c r="U233" s="44">
        <v>29</v>
      </c>
      <c r="V233" s="44">
        <v>140</v>
      </c>
      <c r="W233" s="44">
        <v>4184</v>
      </c>
      <c r="X233" s="44">
        <v>3829</v>
      </c>
      <c r="Y233" s="44">
        <v>355</v>
      </c>
    </row>
    <row r="234" spans="1:25" x14ac:dyDescent="0.2">
      <c r="A234" s="50">
        <f t="shared" si="4"/>
        <v>45890</v>
      </c>
      <c r="B234" s="51">
        <v>2598.6</v>
      </c>
      <c r="C234" s="52">
        <v>1910.3</v>
      </c>
      <c r="D234" s="52">
        <v>1412.69</v>
      </c>
      <c r="E234" s="52">
        <v>487.64</v>
      </c>
      <c r="F234" s="52">
        <v>2103.7399999999998</v>
      </c>
      <c r="G234" s="52">
        <v>4526.91</v>
      </c>
      <c r="H234" s="52">
        <v>4.78</v>
      </c>
      <c r="I234" s="52">
        <v>485.18</v>
      </c>
      <c r="J234" s="52">
        <v>3266.42</v>
      </c>
      <c r="K234" s="53">
        <v>10263.420000000002</v>
      </c>
      <c r="L234" s="49">
        <v>36</v>
      </c>
      <c r="M234" s="44">
        <v>0</v>
      </c>
      <c r="N234" s="44">
        <v>0</v>
      </c>
      <c r="O234" s="44">
        <v>24387</v>
      </c>
      <c r="P234" s="44">
        <v>4936.6000000000004</v>
      </c>
      <c r="Q234" s="44">
        <v>1947</v>
      </c>
      <c r="R234" s="44">
        <v>17754.7</v>
      </c>
      <c r="S234" s="44">
        <v>1.17</v>
      </c>
      <c r="T234" s="44">
        <v>86</v>
      </c>
      <c r="U234" s="44">
        <v>30.6</v>
      </c>
      <c r="V234" s="44">
        <v>150</v>
      </c>
      <c r="W234" s="44">
        <v>4546</v>
      </c>
      <c r="X234" s="44">
        <v>4235</v>
      </c>
      <c r="Y234" s="44">
        <v>311</v>
      </c>
    </row>
    <row r="235" spans="1:25" x14ac:dyDescent="0.2">
      <c r="A235" s="50">
        <f t="shared" si="4"/>
        <v>45891</v>
      </c>
      <c r="B235" s="51">
        <v>3266.01</v>
      </c>
      <c r="C235" s="52">
        <v>1918.68</v>
      </c>
      <c r="D235" s="52">
        <v>1581.52</v>
      </c>
      <c r="E235" s="52">
        <v>871.34</v>
      </c>
      <c r="F235" s="52">
        <v>2220.7199999999998</v>
      </c>
      <c r="G235" s="52">
        <v>3860.68</v>
      </c>
      <c r="H235" s="52">
        <v>9.7100000000000009</v>
      </c>
      <c r="I235" s="52">
        <v>557.6</v>
      </c>
      <c r="J235" s="52">
        <v>3315.48</v>
      </c>
      <c r="K235" s="53">
        <v>10970.78</v>
      </c>
      <c r="L235" s="49">
        <v>23</v>
      </c>
      <c r="M235" s="44">
        <v>0</v>
      </c>
      <c r="N235" s="44">
        <v>0</v>
      </c>
      <c r="O235" s="44">
        <v>38816.79</v>
      </c>
      <c r="P235" s="44">
        <v>5403.37</v>
      </c>
      <c r="Q235" s="44">
        <v>2784.1</v>
      </c>
      <c r="R235" s="44">
        <v>18544.62</v>
      </c>
      <c r="S235" s="44">
        <v>1.1499999999999999</v>
      </c>
      <c r="T235" s="44">
        <v>112</v>
      </c>
      <c r="U235" s="44">
        <v>37.099999999999994</v>
      </c>
      <c r="V235" s="44">
        <v>166</v>
      </c>
      <c r="W235" s="44">
        <v>5512</v>
      </c>
      <c r="X235" s="44">
        <v>5041</v>
      </c>
      <c r="Y235" s="44">
        <v>471</v>
      </c>
    </row>
    <row r="236" spans="1:25" x14ac:dyDescent="0.2">
      <c r="A236" s="50">
        <f t="shared" si="4"/>
        <v>45892</v>
      </c>
      <c r="B236" s="51">
        <v>3300.6</v>
      </c>
      <c r="C236" s="52">
        <v>1578.9</v>
      </c>
      <c r="D236" s="52">
        <v>1256.0999999999999</v>
      </c>
      <c r="E236" s="52">
        <v>1328.6</v>
      </c>
      <c r="F236" s="52">
        <v>2213.4</v>
      </c>
      <c r="G236" s="52">
        <v>2978.7</v>
      </c>
      <c r="H236" s="52">
        <v>6.1</v>
      </c>
      <c r="I236" s="52">
        <v>531.70000000000005</v>
      </c>
      <c r="J236" s="52">
        <v>2507.6999999999998</v>
      </c>
      <c r="K236" s="53">
        <v>10686.400000000001</v>
      </c>
      <c r="L236" s="49">
        <v>30</v>
      </c>
      <c r="M236" s="44">
        <v>0</v>
      </c>
      <c r="N236" s="44">
        <v>0</v>
      </c>
      <c r="O236" s="44">
        <v>35806</v>
      </c>
      <c r="P236" s="44">
        <v>4526.53</v>
      </c>
      <c r="Q236" s="44">
        <v>2656.24</v>
      </c>
      <c r="R236" s="44">
        <v>22666.21</v>
      </c>
      <c r="S236" s="44">
        <v>0.9</v>
      </c>
      <c r="T236" s="44">
        <v>58</v>
      </c>
      <c r="U236" s="44">
        <v>21.6</v>
      </c>
      <c r="V236" s="44">
        <v>111</v>
      </c>
      <c r="W236" s="44">
        <v>3273</v>
      </c>
      <c r="X236" s="44">
        <v>2976</v>
      </c>
      <c r="Y236" s="44">
        <v>297</v>
      </c>
    </row>
    <row r="237" spans="1:25" x14ac:dyDescent="0.2">
      <c r="A237" s="50">
        <f t="shared" si="4"/>
        <v>45893</v>
      </c>
      <c r="B237" s="51">
        <v>906.44</v>
      </c>
      <c r="C237" s="52">
        <v>615.65</v>
      </c>
      <c r="D237" s="52">
        <v>366.35</v>
      </c>
      <c r="E237" s="52">
        <v>62.33</v>
      </c>
      <c r="F237" s="52">
        <v>190.03</v>
      </c>
      <c r="G237" s="52">
        <v>2596.73</v>
      </c>
      <c r="H237" s="52">
        <v>4.41</v>
      </c>
      <c r="I237" s="52">
        <v>518.64</v>
      </c>
      <c r="J237" s="52">
        <v>2123.34</v>
      </c>
      <c r="K237" s="53">
        <v>3137.2400000000007</v>
      </c>
      <c r="L237" s="49">
        <v>8</v>
      </c>
      <c r="M237" s="44">
        <v>0</v>
      </c>
      <c r="N237" s="44">
        <v>0</v>
      </c>
      <c r="O237" s="44">
        <v>664.9</v>
      </c>
      <c r="P237" s="44">
        <v>136.6</v>
      </c>
      <c r="Q237" s="44">
        <v>2571.9699999999998</v>
      </c>
      <c r="R237" s="44">
        <v>5071.63</v>
      </c>
      <c r="S237" s="44">
        <v>0.69</v>
      </c>
      <c r="T237" s="44">
        <v>19</v>
      </c>
      <c r="U237" s="44">
        <v>6.2</v>
      </c>
      <c r="V237" s="44">
        <v>39</v>
      </c>
      <c r="W237" s="44">
        <v>897</v>
      </c>
      <c r="X237" s="44">
        <v>849</v>
      </c>
      <c r="Y237" s="44">
        <v>48</v>
      </c>
    </row>
    <row r="238" spans="1:25" x14ac:dyDescent="0.2">
      <c r="A238" s="50">
        <f t="shared" si="4"/>
        <v>45894</v>
      </c>
      <c r="B238" s="51">
        <v>3336.8</v>
      </c>
      <c r="C238" s="52">
        <v>2310.67</v>
      </c>
      <c r="D238" s="52">
        <v>1709.44</v>
      </c>
      <c r="E238" s="52">
        <v>993.75</v>
      </c>
      <c r="F238" s="52">
        <v>262.10000000000002</v>
      </c>
      <c r="G238" s="52">
        <v>4559.3100000000004</v>
      </c>
      <c r="H238" s="52">
        <v>4.5199999999999996</v>
      </c>
      <c r="I238" s="52">
        <v>488.2</v>
      </c>
      <c r="J238" s="52">
        <v>3144.87</v>
      </c>
      <c r="K238" s="53">
        <v>10519.920000000002</v>
      </c>
      <c r="L238" s="49">
        <v>47</v>
      </c>
      <c r="M238" s="44">
        <v>0</v>
      </c>
      <c r="N238" s="44">
        <v>0</v>
      </c>
      <c r="O238" s="44">
        <v>42701</v>
      </c>
      <c r="P238" s="44">
        <v>5835.06</v>
      </c>
      <c r="Q238" s="44">
        <v>1934.46</v>
      </c>
      <c r="R238" s="44">
        <v>14073.24</v>
      </c>
      <c r="S238" s="44">
        <v>1.1299999999999999</v>
      </c>
      <c r="T238" s="44">
        <v>111</v>
      </c>
      <c r="U238" s="44">
        <v>35.5</v>
      </c>
      <c r="V238" s="44">
        <v>167</v>
      </c>
      <c r="W238" s="44">
        <v>5526</v>
      </c>
      <c r="X238" s="44">
        <v>4903</v>
      </c>
      <c r="Y238" s="44">
        <v>623</v>
      </c>
    </row>
    <row r="239" spans="1:25" x14ac:dyDescent="0.2">
      <c r="A239" s="50">
        <f t="shared" si="4"/>
        <v>45895</v>
      </c>
      <c r="B239" s="51">
        <v>3296.88</v>
      </c>
      <c r="C239" s="52">
        <v>2226.96</v>
      </c>
      <c r="D239" s="52">
        <v>1647.61</v>
      </c>
      <c r="E239" s="52">
        <v>1085.8599999999999</v>
      </c>
      <c r="F239" s="52">
        <v>2484.1</v>
      </c>
      <c r="G239" s="52">
        <v>4219.66</v>
      </c>
      <c r="H239" s="52">
        <v>6.08</v>
      </c>
      <c r="I239" s="52">
        <v>496.34</v>
      </c>
      <c r="J239" s="52">
        <v>2865.7599999999998</v>
      </c>
      <c r="K239" s="53">
        <v>12597.73</v>
      </c>
      <c r="L239" s="49">
        <v>50.899999999999636</v>
      </c>
      <c r="M239" s="44">
        <v>0</v>
      </c>
      <c r="N239" s="44">
        <v>0</v>
      </c>
      <c r="O239" s="44">
        <v>41577.1</v>
      </c>
      <c r="P239" s="44">
        <v>5954.21</v>
      </c>
      <c r="Q239" s="44">
        <v>2040.09</v>
      </c>
      <c r="R239" s="44">
        <v>13574.76</v>
      </c>
      <c r="S239" s="44">
        <v>1.1399999999999999</v>
      </c>
      <c r="T239" s="44">
        <v>89</v>
      </c>
      <c r="U239" s="44">
        <v>34.4</v>
      </c>
      <c r="V239" s="44">
        <v>161</v>
      </c>
      <c r="W239" s="44">
        <v>5282</v>
      </c>
      <c r="X239" s="44">
        <v>4693</v>
      </c>
      <c r="Y239" s="44">
        <v>589</v>
      </c>
    </row>
    <row r="240" spans="1:25" x14ac:dyDescent="0.2">
      <c r="A240" s="50">
        <f t="shared" si="4"/>
        <v>45896</v>
      </c>
      <c r="B240" s="51">
        <v>3141.9</v>
      </c>
      <c r="C240" s="52">
        <v>2191.1999999999998</v>
      </c>
      <c r="D240" s="52">
        <v>1667.2</v>
      </c>
      <c r="E240" s="52">
        <v>1175.7</v>
      </c>
      <c r="F240" s="52">
        <v>2067.9</v>
      </c>
      <c r="G240" s="52">
        <v>4224.3999999999996</v>
      </c>
      <c r="H240" s="52">
        <v>5.7</v>
      </c>
      <c r="I240" s="52">
        <v>489.6</v>
      </c>
      <c r="J240" s="52">
        <v>2873</v>
      </c>
      <c r="K240" s="53">
        <v>12090.6</v>
      </c>
      <c r="L240" s="49">
        <v>47.100000000000364</v>
      </c>
      <c r="M240" s="44">
        <v>0</v>
      </c>
      <c r="N240" s="44">
        <v>0</v>
      </c>
      <c r="O240" s="44">
        <v>42726</v>
      </c>
      <c r="P240" s="44">
        <v>4437.41</v>
      </c>
      <c r="Q240" s="44">
        <v>1848.21</v>
      </c>
      <c r="R240" s="44">
        <v>17643.12</v>
      </c>
      <c r="S240" s="44">
        <v>1.1599999999999999</v>
      </c>
      <c r="T240" s="44">
        <v>113</v>
      </c>
      <c r="U240" s="44">
        <v>36.200000000000003</v>
      </c>
      <c r="V240" s="44">
        <v>168</v>
      </c>
      <c r="W240" s="44">
        <v>5511</v>
      </c>
      <c r="X240" s="44">
        <v>4926</v>
      </c>
      <c r="Y240" s="44">
        <v>585</v>
      </c>
    </row>
    <row r="241" spans="1:25" x14ac:dyDescent="0.2">
      <c r="A241" s="50">
        <f t="shared" si="4"/>
        <v>45897</v>
      </c>
      <c r="B241" s="51">
        <v>3057.32</v>
      </c>
      <c r="C241" s="52">
        <v>2194.25</v>
      </c>
      <c r="D241" s="52">
        <v>1627.92</v>
      </c>
      <c r="E241" s="52">
        <v>983.57</v>
      </c>
      <c r="F241" s="52">
        <v>2573.0100000000002</v>
      </c>
      <c r="G241" s="52">
        <v>4404.18</v>
      </c>
      <c r="H241" s="52">
        <v>14.35</v>
      </c>
      <c r="I241" s="52">
        <v>643.58000000000004</v>
      </c>
      <c r="J241" s="52">
        <v>2980.8900000000003</v>
      </c>
      <c r="K241" s="53">
        <v>12517.29</v>
      </c>
      <c r="L241" s="49">
        <v>51</v>
      </c>
      <c r="M241" s="44">
        <v>0</v>
      </c>
      <c r="N241" s="44">
        <v>0</v>
      </c>
      <c r="O241" s="44">
        <v>40264.800000000003</v>
      </c>
      <c r="P241" s="44">
        <v>6356.11</v>
      </c>
      <c r="Q241" s="44">
        <v>3583.7</v>
      </c>
      <c r="R241" s="44">
        <v>22438.38</v>
      </c>
      <c r="S241" s="44">
        <v>1.1200000000000001</v>
      </c>
      <c r="T241" s="44">
        <v>95</v>
      </c>
      <c r="U241" s="44">
        <v>34.299999999999997</v>
      </c>
      <c r="V241" s="44">
        <v>160</v>
      </c>
      <c r="W241" s="44">
        <v>5262</v>
      </c>
      <c r="X241" s="44">
        <v>4673</v>
      </c>
      <c r="Y241" s="44">
        <v>589</v>
      </c>
    </row>
    <row r="242" spans="1:25" x14ac:dyDescent="0.2">
      <c r="A242" s="50">
        <f t="shared" si="4"/>
        <v>45898</v>
      </c>
      <c r="B242" s="51">
        <v>3874.05</v>
      </c>
      <c r="C242" s="52">
        <v>1985.18</v>
      </c>
      <c r="D242" s="52">
        <v>1681.97</v>
      </c>
      <c r="E242" s="52">
        <v>1654.69</v>
      </c>
      <c r="F242" s="52">
        <v>2885.27</v>
      </c>
      <c r="G242" s="52">
        <v>4271.1099999999997</v>
      </c>
      <c r="H242" s="52">
        <v>6.16</v>
      </c>
      <c r="I242" s="52">
        <v>515.32000000000005</v>
      </c>
      <c r="J242" s="52">
        <v>3055.52</v>
      </c>
      <c r="K242" s="53">
        <v>13818.23</v>
      </c>
      <c r="L242" s="49">
        <v>46</v>
      </c>
      <c r="M242" s="44">
        <v>0</v>
      </c>
      <c r="N242" s="44">
        <v>0</v>
      </c>
      <c r="O242" s="44">
        <v>45493</v>
      </c>
      <c r="P242" s="44">
        <v>5837.49</v>
      </c>
      <c r="Q242" s="44">
        <v>2249.87</v>
      </c>
      <c r="R242" s="44">
        <v>34137.31</v>
      </c>
      <c r="S242" s="44">
        <v>1.29</v>
      </c>
      <c r="T242" s="44">
        <v>115</v>
      </c>
      <c r="U242" s="44">
        <v>38.099999999999994</v>
      </c>
      <c r="V242" s="44">
        <v>166</v>
      </c>
      <c r="W242" s="44">
        <v>5569</v>
      </c>
      <c r="X242" s="44">
        <v>5097</v>
      </c>
      <c r="Y242" s="44">
        <v>472</v>
      </c>
    </row>
    <row r="243" spans="1:25" x14ac:dyDescent="0.2">
      <c r="A243" s="50">
        <f t="shared" si="4"/>
        <v>45899</v>
      </c>
      <c r="B243" s="51">
        <v>3050.53</v>
      </c>
      <c r="C243" s="52">
        <v>1798.59</v>
      </c>
      <c r="D243" s="52">
        <v>1351.97</v>
      </c>
      <c r="E243" s="52">
        <v>598.72</v>
      </c>
      <c r="F243" s="52">
        <v>2327.7199999999998</v>
      </c>
      <c r="G243" s="52">
        <v>3519.27</v>
      </c>
      <c r="H243" s="52">
        <v>2.63</v>
      </c>
      <c r="I243" s="52">
        <v>477.84</v>
      </c>
      <c r="J243" s="52">
        <v>2377.73</v>
      </c>
      <c r="K243" s="53">
        <v>10749.54</v>
      </c>
      <c r="L243" s="49">
        <v>3</v>
      </c>
      <c r="M243" s="44">
        <v>0</v>
      </c>
      <c r="N243" s="44">
        <v>0</v>
      </c>
      <c r="O243" s="44">
        <v>38189.47</v>
      </c>
      <c r="P243" s="44">
        <v>4544.18</v>
      </c>
      <c r="Q243" s="44">
        <v>1937.2</v>
      </c>
      <c r="R243" s="44">
        <v>16383.33</v>
      </c>
      <c r="S243" s="44">
        <v>0.94</v>
      </c>
      <c r="T243" s="44">
        <v>73</v>
      </c>
      <c r="U243" s="44">
        <v>25.8</v>
      </c>
      <c r="V243" s="44">
        <v>124</v>
      </c>
      <c r="W243" s="44">
        <v>3922</v>
      </c>
      <c r="X243" s="44">
        <v>3609</v>
      </c>
      <c r="Y243" s="44">
        <v>313</v>
      </c>
    </row>
    <row r="244" spans="1:25" x14ac:dyDescent="0.2">
      <c r="A244" s="50">
        <f t="shared" si="4"/>
        <v>45900</v>
      </c>
      <c r="B244" s="51">
        <v>948.6</v>
      </c>
      <c r="C244" s="52">
        <v>803.9</v>
      </c>
      <c r="D244" s="52">
        <v>438.4</v>
      </c>
      <c r="E244" s="52">
        <v>59.9</v>
      </c>
      <c r="F244" s="52">
        <v>281.8</v>
      </c>
      <c r="G244" s="52">
        <v>3213.8</v>
      </c>
      <c r="H244" s="52">
        <v>4.5</v>
      </c>
      <c r="I244" s="52">
        <v>483.2</v>
      </c>
      <c r="J244" s="52">
        <v>2446.1</v>
      </c>
      <c r="K244" s="53">
        <v>3788.0000000000005</v>
      </c>
      <c r="L244" s="49">
        <v>42</v>
      </c>
      <c r="M244" s="44">
        <v>0</v>
      </c>
      <c r="O244" s="44">
        <v>228</v>
      </c>
      <c r="P244" s="44">
        <v>647.62</v>
      </c>
      <c r="Q244" s="44">
        <v>1954.99</v>
      </c>
      <c r="R244" s="44">
        <v>4686.96</v>
      </c>
      <c r="S244" s="44">
        <v>0.54</v>
      </c>
      <c r="T244" s="44">
        <v>20</v>
      </c>
      <c r="U244" s="44">
        <v>6.9</v>
      </c>
      <c r="V244" s="44">
        <v>46</v>
      </c>
      <c r="W244" s="44">
        <v>1011</v>
      </c>
      <c r="X244" s="44">
        <v>930</v>
      </c>
      <c r="Y244" s="44">
        <v>81</v>
      </c>
    </row>
    <row r="245" spans="1:25" x14ac:dyDescent="0.2">
      <c r="A245" s="50">
        <f t="shared" si="4"/>
        <v>45901</v>
      </c>
      <c r="B245" s="51">
        <v>3471</v>
      </c>
      <c r="C245" s="52">
        <v>2425.8000000000002</v>
      </c>
      <c r="D245" s="52">
        <v>1776.6</v>
      </c>
      <c r="E245" s="52">
        <v>779.2</v>
      </c>
      <c r="F245" s="52">
        <v>2659.3</v>
      </c>
      <c r="G245" s="52">
        <v>4478.2</v>
      </c>
      <c r="H245" s="52">
        <v>5.38</v>
      </c>
      <c r="I245" s="52">
        <v>438.5</v>
      </c>
      <c r="J245" s="52">
        <v>3074.7</v>
      </c>
      <c r="K245" s="53">
        <v>12959.280000000002</v>
      </c>
      <c r="L245" s="49">
        <v>49</v>
      </c>
      <c r="M245" s="44">
        <v>0</v>
      </c>
      <c r="N245" s="44">
        <v>0</v>
      </c>
      <c r="O245" s="44">
        <v>49586</v>
      </c>
      <c r="P245" s="44">
        <v>6920.7</v>
      </c>
      <c r="Q245" s="44">
        <v>1397.7</v>
      </c>
      <c r="R245" s="44">
        <v>18060.599999999999</v>
      </c>
      <c r="S245" s="44">
        <v>1.2</v>
      </c>
      <c r="T245" s="44">
        <v>120</v>
      </c>
      <c r="U245" s="44">
        <v>39.5</v>
      </c>
      <c r="V245" s="44">
        <v>179</v>
      </c>
      <c r="W245" s="44">
        <v>6027</v>
      </c>
      <c r="X245" s="44">
        <v>5345</v>
      </c>
      <c r="Y245" s="44">
        <v>682</v>
      </c>
    </row>
    <row r="246" spans="1:25" x14ac:dyDescent="0.2">
      <c r="A246" s="50">
        <f t="shared" si="4"/>
        <v>45902</v>
      </c>
      <c r="B246" s="51">
        <v>3519.63</v>
      </c>
      <c r="C246" s="52">
        <v>2237.0100000000002</v>
      </c>
      <c r="D246" s="52">
        <v>1811.58</v>
      </c>
      <c r="E246" s="52">
        <v>782.16</v>
      </c>
      <c r="F246" s="52">
        <v>2630.17</v>
      </c>
      <c r="G246" s="52">
        <v>4769.17</v>
      </c>
      <c r="H246" s="52">
        <v>6.7</v>
      </c>
      <c r="I246" s="52">
        <v>439.5</v>
      </c>
      <c r="J246" s="52">
        <v>3115.68</v>
      </c>
      <c r="K246" s="53">
        <v>13080.240000000002</v>
      </c>
      <c r="L246" s="49">
        <v>52</v>
      </c>
      <c r="M246" s="44">
        <v>0</v>
      </c>
      <c r="N246" s="44">
        <v>0</v>
      </c>
      <c r="O246" s="44">
        <v>46936</v>
      </c>
      <c r="P246" s="44">
        <v>6542.43</v>
      </c>
      <c r="Q246" s="44">
        <v>1529.59</v>
      </c>
      <c r="R246" s="44">
        <v>17737.310000000001</v>
      </c>
      <c r="S246" s="44">
        <v>1.1599999999999999</v>
      </c>
      <c r="T246" s="44">
        <v>105</v>
      </c>
      <c r="U246" s="44">
        <v>36.900000000000006</v>
      </c>
      <c r="V246" s="44">
        <v>171</v>
      </c>
      <c r="W246" s="44">
        <v>5711</v>
      </c>
      <c r="X246" s="44">
        <v>5074</v>
      </c>
      <c r="Y246" s="44">
        <v>637</v>
      </c>
    </row>
    <row r="247" spans="1:25" x14ac:dyDescent="0.2">
      <c r="A247" s="50">
        <f t="shared" si="4"/>
        <v>45903</v>
      </c>
      <c r="B247" s="51">
        <v>3478.77</v>
      </c>
      <c r="C247" s="52">
        <v>2264.0700000000002</v>
      </c>
      <c r="D247" s="52">
        <v>1717.02</v>
      </c>
      <c r="E247" s="52">
        <v>712.48</v>
      </c>
      <c r="F247" s="52">
        <v>2502.89</v>
      </c>
      <c r="G247" s="52">
        <v>4855.66</v>
      </c>
      <c r="H247" s="52">
        <v>6.56</v>
      </c>
      <c r="I247" s="52">
        <v>432.28</v>
      </c>
      <c r="J247" s="52">
        <v>3146.23</v>
      </c>
      <c r="K247" s="53">
        <v>12823.5</v>
      </c>
      <c r="L247" s="49">
        <v>53.399999999999636</v>
      </c>
      <c r="M247" s="44">
        <v>0</v>
      </c>
      <c r="N247" s="44">
        <v>0</v>
      </c>
      <c r="O247" s="44">
        <v>40524.79</v>
      </c>
      <c r="P247" s="44">
        <v>4412.4399999999996</v>
      </c>
      <c r="Q247" s="44">
        <v>1453.96</v>
      </c>
      <c r="R247" s="44">
        <v>19654.599999999999</v>
      </c>
      <c r="S247" s="44">
        <v>1.1499999999999999</v>
      </c>
      <c r="T247" s="44">
        <v>104</v>
      </c>
      <c r="U247" s="44">
        <v>35.799999999999997</v>
      </c>
      <c r="V247" s="44">
        <v>164</v>
      </c>
      <c r="W247" s="44">
        <v>5470</v>
      </c>
      <c r="X247" s="44">
        <v>4858</v>
      </c>
      <c r="Y247" s="44">
        <v>612</v>
      </c>
    </row>
    <row r="248" spans="1:25" x14ac:dyDescent="0.2">
      <c r="A248" s="50">
        <f t="shared" si="4"/>
        <v>45904</v>
      </c>
      <c r="B248" s="51">
        <v>3676.7</v>
      </c>
      <c r="C248" s="52">
        <v>2128.1</v>
      </c>
      <c r="D248" s="52">
        <v>1684.1</v>
      </c>
      <c r="E248" s="52">
        <v>1760.1</v>
      </c>
      <c r="F248" s="52">
        <v>2763.9</v>
      </c>
      <c r="G248" s="52">
        <v>4419.7</v>
      </c>
      <c r="H248" s="52">
        <v>5.7</v>
      </c>
      <c r="I248" s="52">
        <v>446.7</v>
      </c>
      <c r="J248" s="52">
        <v>2968.2000000000003</v>
      </c>
      <c r="K248" s="53">
        <v>13916.8</v>
      </c>
      <c r="L248" s="49">
        <v>50.600000000000364</v>
      </c>
      <c r="M248" s="44">
        <v>0</v>
      </c>
      <c r="N248" s="44">
        <v>0</v>
      </c>
      <c r="O248" s="44">
        <v>42212</v>
      </c>
      <c r="P248" s="44">
        <v>5689.93</v>
      </c>
      <c r="Q248" s="44">
        <v>1487.06</v>
      </c>
      <c r="R248" s="44">
        <v>32200.19</v>
      </c>
      <c r="S248" s="44">
        <v>1.1200000000000001</v>
      </c>
      <c r="T248" s="44">
        <v>96</v>
      </c>
      <c r="U248" s="44">
        <v>32.9</v>
      </c>
      <c r="V248" s="44">
        <v>157</v>
      </c>
      <c r="W248" s="44">
        <v>5015</v>
      </c>
      <c r="X248" s="44">
        <v>4423</v>
      </c>
      <c r="Y248" s="44">
        <v>592</v>
      </c>
    </row>
    <row r="249" spans="1:25" x14ac:dyDescent="0.2">
      <c r="A249" s="50">
        <f t="shared" si="4"/>
        <v>45905</v>
      </c>
      <c r="B249" s="51">
        <v>3388.4</v>
      </c>
      <c r="C249" s="52">
        <v>1914.2</v>
      </c>
      <c r="D249" s="52">
        <v>1615.5</v>
      </c>
      <c r="E249" s="52">
        <v>1022</v>
      </c>
      <c r="F249" s="52">
        <v>2505.1</v>
      </c>
      <c r="G249" s="52">
        <v>4357.3999999999996</v>
      </c>
      <c r="H249" s="52">
        <v>7.85</v>
      </c>
      <c r="I249" s="52">
        <v>440.04</v>
      </c>
      <c r="J249" s="52">
        <v>2972.7499999999995</v>
      </c>
      <c r="K249" s="53">
        <v>12277.740000000002</v>
      </c>
      <c r="L249" s="49">
        <v>48</v>
      </c>
      <c r="M249" s="44">
        <v>0</v>
      </c>
      <c r="N249" s="44">
        <v>0</v>
      </c>
      <c r="O249" s="44">
        <v>35898.6</v>
      </c>
      <c r="P249" s="44">
        <v>6041.35</v>
      </c>
      <c r="Q249" s="44">
        <v>1704.24</v>
      </c>
      <c r="R249" s="44">
        <v>17334.47</v>
      </c>
      <c r="S249" s="44">
        <v>1.1599999999999999</v>
      </c>
      <c r="T249" s="44">
        <v>95</v>
      </c>
      <c r="U249" s="44">
        <v>31.7</v>
      </c>
      <c r="V249" s="44">
        <v>147</v>
      </c>
      <c r="W249" s="44">
        <v>4770</v>
      </c>
      <c r="X249" s="44">
        <v>4343</v>
      </c>
      <c r="Y249" s="44">
        <v>427</v>
      </c>
    </row>
    <row r="250" spans="1:25" x14ac:dyDescent="0.2">
      <c r="A250" s="50">
        <f t="shared" si="4"/>
        <v>45906</v>
      </c>
      <c r="B250" s="51">
        <v>3779.04</v>
      </c>
      <c r="C250" s="52">
        <v>1826.77</v>
      </c>
      <c r="D250" s="52">
        <v>1511.93</v>
      </c>
      <c r="E250" s="52">
        <v>1848.55</v>
      </c>
      <c r="F250" s="52">
        <v>2825.58</v>
      </c>
      <c r="G250" s="52">
        <v>3505.16</v>
      </c>
      <c r="H250" s="52">
        <v>2.99</v>
      </c>
      <c r="I250" s="52">
        <v>454.24</v>
      </c>
      <c r="J250" s="52">
        <v>2135.88</v>
      </c>
      <c r="K250" s="53">
        <v>13618.379999999997</v>
      </c>
      <c r="L250" s="49">
        <v>29</v>
      </c>
      <c r="M250" s="44">
        <v>0</v>
      </c>
      <c r="N250" s="44">
        <v>0</v>
      </c>
      <c r="O250" s="44">
        <v>47178</v>
      </c>
      <c r="P250" s="44">
        <v>6111.09</v>
      </c>
      <c r="Q250" s="44">
        <v>1625.05</v>
      </c>
      <c r="R250" s="44">
        <v>27848.06</v>
      </c>
      <c r="S250" s="44">
        <v>1.18</v>
      </c>
      <c r="T250" s="44">
        <v>99</v>
      </c>
      <c r="U250" s="44">
        <v>33.6</v>
      </c>
      <c r="V250" s="44">
        <v>158</v>
      </c>
      <c r="W250" s="44">
        <v>4931</v>
      </c>
      <c r="X250" s="44">
        <v>4567</v>
      </c>
      <c r="Y250" s="44">
        <v>364</v>
      </c>
    </row>
    <row r="251" spans="1:25" x14ac:dyDescent="0.2">
      <c r="A251" s="50">
        <f t="shared" si="4"/>
        <v>45907</v>
      </c>
      <c r="B251" s="51">
        <v>3450.44</v>
      </c>
      <c r="C251" s="52">
        <v>1854.34</v>
      </c>
      <c r="D251" s="52">
        <v>1447.55</v>
      </c>
      <c r="E251" s="52">
        <v>667.09</v>
      </c>
      <c r="F251" s="52">
        <v>2353.56</v>
      </c>
      <c r="G251" s="52">
        <v>3425.75</v>
      </c>
      <c r="H251" s="52">
        <v>3.18</v>
      </c>
      <c r="I251" s="52">
        <v>428.14</v>
      </c>
      <c r="J251" s="52">
        <v>1984.92</v>
      </c>
      <c r="K251" s="53">
        <v>11645.13</v>
      </c>
      <c r="L251" s="49">
        <v>28.799999999999272</v>
      </c>
      <c r="M251" s="44">
        <v>0</v>
      </c>
      <c r="N251" s="44">
        <v>0</v>
      </c>
      <c r="O251" s="44">
        <v>38493.480000000003</v>
      </c>
      <c r="P251" s="44">
        <v>4977.45</v>
      </c>
      <c r="Q251" s="44">
        <v>1330.4</v>
      </c>
      <c r="R251" s="44">
        <v>16533.689999999999</v>
      </c>
      <c r="S251" s="44">
        <v>1.1599999999999999</v>
      </c>
      <c r="T251" s="44">
        <v>97</v>
      </c>
      <c r="U251" s="44">
        <v>33.5</v>
      </c>
      <c r="V251" s="44">
        <v>157</v>
      </c>
      <c r="W251" s="44">
        <v>4958</v>
      </c>
      <c r="X251" s="44">
        <v>4494</v>
      </c>
      <c r="Y251" s="44">
        <v>464</v>
      </c>
    </row>
    <row r="252" spans="1:25" x14ac:dyDescent="0.2">
      <c r="A252" s="50">
        <f t="shared" si="4"/>
        <v>45908</v>
      </c>
      <c r="B252" s="51">
        <v>3412.6</v>
      </c>
      <c r="C252" s="52">
        <v>2310.6999999999998</v>
      </c>
      <c r="D252" s="52">
        <v>1514.26</v>
      </c>
      <c r="E252" s="52">
        <v>1038.2</v>
      </c>
      <c r="F252" s="52">
        <v>2752.63</v>
      </c>
      <c r="G252" s="52">
        <v>4261</v>
      </c>
      <c r="H252" s="52">
        <v>3.12</v>
      </c>
      <c r="I252" s="52">
        <v>495.12</v>
      </c>
      <c r="J252" s="52">
        <v>2815.02</v>
      </c>
      <c r="K252" s="53">
        <v>12972.61</v>
      </c>
      <c r="L252" s="49">
        <v>46.200000000000728</v>
      </c>
      <c r="M252" s="44">
        <v>0</v>
      </c>
      <c r="N252" s="44">
        <v>0</v>
      </c>
      <c r="O252" s="44">
        <v>48036</v>
      </c>
      <c r="P252" s="44">
        <v>7171.77</v>
      </c>
      <c r="Q252" s="44">
        <v>2023.35</v>
      </c>
      <c r="R252" s="44">
        <v>19019.990000000002</v>
      </c>
      <c r="S252" s="44">
        <v>1.1599999999999999</v>
      </c>
      <c r="T252" s="44">
        <v>95</v>
      </c>
      <c r="U252" s="44">
        <v>33.700000000000003</v>
      </c>
      <c r="V252" s="44">
        <v>156</v>
      </c>
      <c r="W252" s="44">
        <v>5155</v>
      </c>
      <c r="X252" s="44">
        <v>4548</v>
      </c>
      <c r="Y252" s="44">
        <v>607</v>
      </c>
    </row>
    <row r="253" spans="1:25" x14ac:dyDescent="0.2">
      <c r="A253" s="50">
        <f t="shared" si="4"/>
        <v>45909</v>
      </c>
      <c r="B253" s="51">
        <v>3350.5</v>
      </c>
      <c r="C253" s="52">
        <v>2362.8000000000002</v>
      </c>
      <c r="D253" s="52">
        <v>1632.9</v>
      </c>
      <c r="E253" s="52">
        <v>993.4</v>
      </c>
      <c r="F253" s="52">
        <v>2769.8</v>
      </c>
      <c r="G253" s="52">
        <v>4986.7</v>
      </c>
      <c r="H253" s="52">
        <v>6.38</v>
      </c>
      <c r="I253" s="52">
        <v>525.98</v>
      </c>
      <c r="J253" s="52">
        <v>3227.4</v>
      </c>
      <c r="K253" s="53">
        <v>13401.060000000003</v>
      </c>
      <c r="L253" s="49">
        <v>54</v>
      </c>
      <c r="M253" s="44">
        <v>0</v>
      </c>
      <c r="N253" s="44">
        <v>0</v>
      </c>
      <c r="O253" s="44">
        <v>50111</v>
      </c>
      <c r="P253" s="44">
        <v>7447.1</v>
      </c>
      <c r="Q253" s="44">
        <v>2248.7199999999998</v>
      </c>
      <c r="R253" s="44">
        <v>19235.48</v>
      </c>
      <c r="S253" s="44">
        <v>1.17</v>
      </c>
      <c r="T253" s="44">
        <v>113</v>
      </c>
      <c r="U253" s="44">
        <v>35.200000000000003</v>
      </c>
      <c r="V253" s="44">
        <v>198</v>
      </c>
      <c r="W253" s="44">
        <v>5455</v>
      </c>
      <c r="X253" s="44">
        <v>4888</v>
      </c>
      <c r="Y253" s="44">
        <v>567</v>
      </c>
    </row>
    <row r="254" spans="1:25" x14ac:dyDescent="0.2">
      <c r="A254" s="50">
        <f t="shared" si="4"/>
        <v>45910</v>
      </c>
      <c r="B254" s="51">
        <v>4043.48</v>
      </c>
      <c r="C254" s="52">
        <v>2248.69</v>
      </c>
      <c r="D254" s="52">
        <v>1801.21</v>
      </c>
      <c r="E254" s="52">
        <v>1740.38</v>
      </c>
      <c r="F254" s="52">
        <v>2916.94</v>
      </c>
      <c r="G254" s="52">
        <v>4616.1899999999996</v>
      </c>
      <c r="H254" s="52">
        <v>7.13</v>
      </c>
      <c r="I254" s="52">
        <v>477.84</v>
      </c>
      <c r="J254" s="52">
        <v>3148.46</v>
      </c>
      <c r="K254" s="53">
        <v>14703.400000000001</v>
      </c>
      <c r="L254" s="49">
        <v>47</v>
      </c>
      <c r="M254" s="44">
        <v>0</v>
      </c>
      <c r="N254" s="44">
        <v>0</v>
      </c>
      <c r="O254" s="44">
        <v>54153</v>
      </c>
      <c r="P254" s="44">
        <v>5089.26</v>
      </c>
      <c r="Q254" s="44">
        <v>1887.8</v>
      </c>
      <c r="R254" s="44">
        <v>28208.38</v>
      </c>
      <c r="S254" s="44">
        <v>1.17</v>
      </c>
      <c r="T254" s="44">
        <v>99</v>
      </c>
      <c r="U254" s="44">
        <v>36.1</v>
      </c>
      <c r="V254" s="44">
        <v>169</v>
      </c>
      <c r="W254" s="44">
        <v>6062</v>
      </c>
      <c r="X254" s="44">
        <v>4987</v>
      </c>
      <c r="Y254" s="44">
        <v>1075</v>
      </c>
    </row>
    <row r="255" spans="1:25" x14ac:dyDescent="0.2">
      <c r="A255" s="50">
        <f t="shared" si="4"/>
        <v>45911</v>
      </c>
      <c r="B255" s="51">
        <v>4698.1400000000003</v>
      </c>
      <c r="C255" s="52">
        <v>2194.3000000000002</v>
      </c>
      <c r="D255" s="52">
        <v>1983.8</v>
      </c>
      <c r="E255" s="52">
        <v>756.39</v>
      </c>
      <c r="F255" s="52">
        <v>2847.1</v>
      </c>
      <c r="G255" s="52">
        <v>5071.5200000000004</v>
      </c>
      <c r="H255" s="52">
        <v>6.81</v>
      </c>
      <c r="I255" s="52">
        <v>454.46</v>
      </c>
      <c r="J255" s="52">
        <v>3168.19</v>
      </c>
      <c r="K255" s="53">
        <v>14844.33</v>
      </c>
      <c r="L255" s="49">
        <v>51.700000000000728</v>
      </c>
      <c r="M255" s="44">
        <v>0</v>
      </c>
      <c r="N255" s="44">
        <v>0</v>
      </c>
      <c r="O255" s="44">
        <v>48780.92</v>
      </c>
      <c r="P255" s="44">
        <v>6958.7</v>
      </c>
      <c r="Q255" s="44">
        <v>1627.2</v>
      </c>
      <c r="R255" s="44">
        <v>20836.84</v>
      </c>
      <c r="S255" s="44">
        <v>1.17</v>
      </c>
      <c r="T255" s="44">
        <v>108</v>
      </c>
      <c r="U255" s="44">
        <v>36.25</v>
      </c>
      <c r="V255" s="44">
        <v>172</v>
      </c>
      <c r="W255" s="44">
        <v>5905</v>
      </c>
      <c r="X255" s="44">
        <v>4869</v>
      </c>
      <c r="Y255" s="44">
        <v>1036</v>
      </c>
    </row>
    <row r="256" spans="1:25" x14ac:dyDescent="0.2">
      <c r="A256" s="50">
        <f t="shared" si="4"/>
        <v>45912</v>
      </c>
      <c r="B256" s="51">
        <v>3528.7</v>
      </c>
      <c r="C256" s="52">
        <v>2121.6</v>
      </c>
      <c r="D256" s="52">
        <v>1662.8</v>
      </c>
      <c r="E256" s="52">
        <v>682.3</v>
      </c>
      <c r="F256" s="52">
        <v>2599.8000000000002</v>
      </c>
      <c r="G256" s="52">
        <v>4685.8999999999996</v>
      </c>
      <c r="H256" s="52">
        <v>2.9</v>
      </c>
      <c r="I256" s="52">
        <v>472.8</v>
      </c>
      <c r="J256" s="52">
        <v>2935.7999999999997</v>
      </c>
      <c r="K256" s="53">
        <v>12821</v>
      </c>
      <c r="L256" s="49">
        <v>20.299999999999272</v>
      </c>
      <c r="M256" s="44">
        <v>0</v>
      </c>
      <c r="N256" s="44">
        <v>0</v>
      </c>
      <c r="O256" s="44">
        <v>39865</v>
      </c>
      <c r="P256" s="44">
        <v>7471.7</v>
      </c>
      <c r="Q256" s="44">
        <v>1473.73</v>
      </c>
      <c r="R256" s="44">
        <v>18562.41</v>
      </c>
      <c r="S256" s="44">
        <v>1.0900000000000001</v>
      </c>
      <c r="T256" s="44">
        <v>86</v>
      </c>
      <c r="U256" s="44">
        <v>31.299999999999997</v>
      </c>
      <c r="V256" s="44">
        <v>150</v>
      </c>
      <c r="W256" s="44">
        <v>5429</v>
      </c>
      <c r="X256" s="44">
        <v>4360</v>
      </c>
      <c r="Y256" s="44">
        <v>1069</v>
      </c>
    </row>
    <row r="257" spans="1:25" x14ac:dyDescent="0.2">
      <c r="A257" s="50">
        <f t="shared" si="4"/>
        <v>45913</v>
      </c>
      <c r="B257" s="51">
        <v>3890.3</v>
      </c>
      <c r="C257" s="52">
        <v>1891.4</v>
      </c>
      <c r="D257" s="52">
        <v>1523.6</v>
      </c>
      <c r="E257" s="52">
        <v>1514.4</v>
      </c>
      <c r="F257" s="52">
        <v>2636</v>
      </c>
      <c r="G257" s="52">
        <v>4186.1000000000004</v>
      </c>
      <c r="H257" s="52">
        <v>3.76</v>
      </c>
      <c r="I257" s="52">
        <v>446.6</v>
      </c>
      <c r="J257" s="52">
        <v>2591.3999999999996</v>
      </c>
      <c r="K257" s="53">
        <v>13500.760000000002</v>
      </c>
      <c r="L257" s="49">
        <v>50</v>
      </c>
      <c r="M257" s="44">
        <v>0</v>
      </c>
      <c r="N257" s="44">
        <v>0</v>
      </c>
      <c r="O257" s="44">
        <v>50540.6</v>
      </c>
      <c r="P257" s="44">
        <v>5403.6</v>
      </c>
      <c r="Q257" s="44">
        <v>1486.87</v>
      </c>
      <c r="R257" s="44">
        <v>26892.93</v>
      </c>
      <c r="S257" s="44">
        <v>1.1599999999999999</v>
      </c>
      <c r="T257" s="44">
        <v>106</v>
      </c>
      <c r="U257" s="44">
        <v>35.299999999999997</v>
      </c>
      <c r="V257" s="44">
        <v>168</v>
      </c>
      <c r="W257" s="44">
        <v>5738</v>
      </c>
      <c r="X257" s="44">
        <v>4776</v>
      </c>
      <c r="Y257" s="44">
        <v>962</v>
      </c>
    </row>
    <row r="258" spans="1:25" x14ac:dyDescent="0.2">
      <c r="A258" s="50">
        <f t="shared" si="4"/>
        <v>45914</v>
      </c>
      <c r="B258" s="51">
        <v>4127.46</v>
      </c>
      <c r="C258" s="52">
        <v>1954.84</v>
      </c>
      <c r="D258" s="52">
        <v>1452.95</v>
      </c>
      <c r="E258" s="52">
        <v>1684.2</v>
      </c>
      <c r="F258" s="52">
        <v>1634.78</v>
      </c>
      <c r="G258" s="52">
        <v>4023.36</v>
      </c>
      <c r="H258" s="52">
        <v>2.27</v>
      </c>
      <c r="I258" s="52">
        <v>424.06</v>
      </c>
      <c r="J258" s="52">
        <v>2593.5500000000002</v>
      </c>
      <c r="K258" s="53">
        <v>12710.370000000003</v>
      </c>
      <c r="L258" s="49">
        <v>31</v>
      </c>
      <c r="M258" s="44">
        <v>0</v>
      </c>
      <c r="N258" s="44">
        <v>0</v>
      </c>
      <c r="O258" s="44">
        <v>48278</v>
      </c>
      <c r="P258" s="44">
        <v>5899.45</v>
      </c>
      <c r="Q258" s="44">
        <v>1197.1500000000001</v>
      </c>
      <c r="R258" s="44">
        <v>26817.42</v>
      </c>
      <c r="S258" s="44">
        <v>1.1499999999999999</v>
      </c>
      <c r="T258" s="44">
        <v>91</v>
      </c>
      <c r="U258" s="44">
        <v>33.200000000000003</v>
      </c>
      <c r="V258" s="44">
        <v>160</v>
      </c>
      <c r="W258" s="44">
        <v>5016</v>
      </c>
      <c r="X258" s="44">
        <v>4450</v>
      </c>
      <c r="Y258" s="44">
        <v>566</v>
      </c>
    </row>
    <row r="259" spans="1:25" x14ac:dyDescent="0.2">
      <c r="A259" s="50">
        <f t="shared" si="4"/>
        <v>45915</v>
      </c>
      <c r="B259" s="51">
        <v>3974.88</v>
      </c>
      <c r="C259" s="52">
        <v>2413.3000000000002</v>
      </c>
      <c r="D259" s="52">
        <v>1716.35</v>
      </c>
      <c r="E259" s="52">
        <v>950.08</v>
      </c>
      <c r="F259" s="52">
        <v>3025.86</v>
      </c>
      <c r="G259" s="52">
        <v>5082.07</v>
      </c>
      <c r="H259" s="52">
        <v>7.5</v>
      </c>
      <c r="I259" s="52">
        <v>477.28</v>
      </c>
      <c r="J259" s="52">
        <v>3179.88</v>
      </c>
      <c r="K259" s="53">
        <v>14467.439999999999</v>
      </c>
      <c r="L259" s="49">
        <v>58.200000000000728</v>
      </c>
      <c r="M259" s="44">
        <v>0</v>
      </c>
      <c r="N259" s="44">
        <v>0</v>
      </c>
      <c r="O259" s="44">
        <v>54999.38</v>
      </c>
      <c r="P259" s="44">
        <v>8307.75</v>
      </c>
      <c r="Q259" s="44">
        <v>1751.56</v>
      </c>
      <c r="R259" s="44">
        <v>19066.39</v>
      </c>
      <c r="S259" s="44">
        <v>1.1599999999999999</v>
      </c>
      <c r="T259" s="44">
        <v>104</v>
      </c>
      <c r="U259" s="44">
        <v>34.700000000000003</v>
      </c>
      <c r="V259" s="44">
        <v>167</v>
      </c>
      <c r="W259" s="44">
        <v>5456</v>
      </c>
      <c r="X259" s="44">
        <v>4705</v>
      </c>
      <c r="Y259" s="44">
        <v>751</v>
      </c>
    </row>
    <row r="260" spans="1:25" x14ac:dyDescent="0.2">
      <c r="A260" s="50">
        <f t="shared" si="4"/>
        <v>45916</v>
      </c>
      <c r="B260" s="51">
        <v>4145.8</v>
      </c>
      <c r="C260" s="52">
        <v>2368.8000000000002</v>
      </c>
      <c r="D260" s="52">
        <v>1637.1</v>
      </c>
      <c r="E260" s="52">
        <v>1676.8</v>
      </c>
      <c r="F260" s="52">
        <v>2950.6</v>
      </c>
      <c r="G260" s="52">
        <v>4844.5</v>
      </c>
      <c r="H260" s="52">
        <v>7.5</v>
      </c>
      <c r="I260" s="52">
        <v>494.9</v>
      </c>
      <c r="J260" s="52">
        <v>3119.7000000000003</v>
      </c>
      <c r="K260" s="53">
        <v>15006.3</v>
      </c>
      <c r="L260" s="49">
        <v>46.799999999999272</v>
      </c>
      <c r="M260" s="44">
        <v>0</v>
      </c>
      <c r="N260" s="44">
        <v>0</v>
      </c>
      <c r="O260" s="44">
        <v>50984</v>
      </c>
      <c r="P260" s="44">
        <v>5872.24</v>
      </c>
      <c r="Q260" s="44">
        <v>1926.49</v>
      </c>
      <c r="R260" s="44">
        <v>27031.29</v>
      </c>
      <c r="S260" s="44">
        <v>1.17</v>
      </c>
      <c r="T260" s="44">
        <v>113</v>
      </c>
      <c r="U260" s="44">
        <v>36</v>
      </c>
      <c r="V260" s="44">
        <v>175</v>
      </c>
      <c r="W260" s="44">
        <v>5560</v>
      </c>
      <c r="X260" s="44">
        <v>4867</v>
      </c>
      <c r="Y260" s="44">
        <v>693</v>
      </c>
    </row>
    <row r="261" spans="1:25" x14ac:dyDescent="0.2">
      <c r="A261" s="50">
        <f t="shared" si="4"/>
        <v>45917</v>
      </c>
      <c r="B261" s="51">
        <v>3714.25</v>
      </c>
      <c r="C261" s="52">
        <v>2222.91</v>
      </c>
      <c r="D261" s="52">
        <v>1677.9</v>
      </c>
      <c r="E261" s="52">
        <v>1816.42</v>
      </c>
      <c r="F261" s="52">
        <v>2786.35</v>
      </c>
      <c r="G261" s="52">
        <v>4720.3100000000004</v>
      </c>
      <c r="H261" s="52">
        <v>5.63</v>
      </c>
      <c r="I261" s="52">
        <v>480.5</v>
      </c>
      <c r="J261" s="52">
        <v>3127.77</v>
      </c>
      <c r="K261" s="53">
        <v>14296.5</v>
      </c>
      <c r="L261" s="49">
        <v>56</v>
      </c>
      <c r="M261" s="44">
        <v>0</v>
      </c>
      <c r="N261" s="44">
        <v>0</v>
      </c>
      <c r="O261" s="44">
        <v>54346.48</v>
      </c>
      <c r="P261" s="44">
        <v>4624.88</v>
      </c>
      <c r="Q261" s="44">
        <v>1637.7</v>
      </c>
      <c r="R261" s="44">
        <v>28801.83</v>
      </c>
      <c r="S261" s="44">
        <v>1.1599999999999999</v>
      </c>
      <c r="T261" s="44">
        <v>100</v>
      </c>
      <c r="U261" s="44">
        <v>38.5</v>
      </c>
      <c r="V261" s="44">
        <v>178</v>
      </c>
      <c r="W261" s="44">
        <v>5743</v>
      </c>
      <c r="X261" s="44">
        <v>5066</v>
      </c>
      <c r="Y261" s="44">
        <v>677</v>
      </c>
    </row>
    <row r="262" spans="1:25" x14ac:dyDescent="0.2">
      <c r="A262" s="50">
        <f t="shared" si="4"/>
        <v>45918</v>
      </c>
      <c r="B262" s="51">
        <v>3373.1</v>
      </c>
      <c r="C262" s="52">
        <v>2278.09</v>
      </c>
      <c r="D262" s="52">
        <v>1870.96</v>
      </c>
      <c r="E262" s="52">
        <v>1368.12</v>
      </c>
      <c r="F262" s="52">
        <v>2316.66</v>
      </c>
      <c r="G262" s="52">
        <v>5037.88</v>
      </c>
      <c r="H262" s="52">
        <v>7.45</v>
      </c>
      <c r="I262" s="52">
        <v>497.24</v>
      </c>
      <c r="J262" s="52">
        <v>3082.38</v>
      </c>
      <c r="K262" s="53">
        <v>13667.120000000003</v>
      </c>
      <c r="L262" s="49">
        <v>46</v>
      </c>
      <c r="M262" s="44">
        <v>0</v>
      </c>
      <c r="N262" s="44">
        <v>0</v>
      </c>
      <c r="O262" s="44">
        <v>47091</v>
      </c>
      <c r="P262" s="44">
        <v>7840.28</v>
      </c>
      <c r="Q262" s="44">
        <v>1852.3</v>
      </c>
      <c r="R262" s="44">
        <v>19978.21</v>
      </c>
      <c r="S262" s="44">
        <v>1.1599999999999999</v>
      </c>
      <c r="T262" s="44">
        <v>113</v>
      </c>
      <c r="U262" s="44">
        <v>37.1</v>
      </c>
      <c r="V262" s="44">
        <v>176</v>
      </c>
      <c r="W262" s="44">
        <v>6162</v>
      </c>
      <c r="X262" s="44">
        <v>5071</v>
      </c>
      <c r="Y262" s="44">
        <v>1091</v>
      </c>
    </row>
    <row r="263" spans="1:25" x14ac:dyDescent="0.2">
      <c r="A263" s="50">
        <f t="shared" si="4"/>
        <v>45919</v>
      </c>
      <c r="B263" s="51">
        <v>3785.57</v>
      </c>
      <c r="C263" s="52">
        <v>2185.19</v>
      </c>
      <c r="D263" s="52">
        <v>1627.85</v>
      </c>
      <c r="E263" s="52">
        <v>1569.02</v>
      </c>
      <c r="F263" s="52">
        <v>2246.63</v>
      </c>
      <c r="G263" s="52">
        <v>4542.01</v>
      </c>
      <c r="H263" s="52">
        <v>8.32</v>
      </c>
      <c r="I263" s="52">
        <v>485.4</v>
      </c>
      <c r="J263" s="52">
        <v>2895.14</v>
      </c>
      <c r="K263" s="53">
        <v>13554.850000000002</v>
      </c>
      <c r="L263" s="49">
        <v>42.399999999999636</v>
      </c>
      <c r="M263" s="44">
        <v>0</v>
      </c>
      <c r="N263" s="44">
        <v>0</v>
      </c>
      <c r="O263" s="44">
        <v>46212.01</v>
      </c>
      <c r="P263" s="44">
        <v>7054.53</v>
      </c>
      <c r="Q263" s="44">
        <v>1690.87</v>
      </c>
      <c r="R263" s="44">
        <v>22162.52</v>
      </c>
      <c r="S263" s="44">
        <v>1.1299999999999999</v>
      </c>
      <c r="T263" s="44">
        <v>102</v>
      </c>
      <c r="U263" s="44">
        <v>38.200000000000003</v>
      </c>
      <c r="V263" s="44">
        <v>176</v>
      </c>
      <c r="W263" s="44">
        <v>5868</v>
      </c>
      <c r="X263" s="44">
        <v>5043</v>
      </c>
      <c r="Y263" s="44">
        <v>825</v>
      </c>
    </row>
    <row r="264" spans="1:25" x14ac:dyDescent="0.2">
      <c r="A264" s="50">
        <f t="shared" si="4"/>
        <v>45920</v>
      </c>
      <c r="B264" s="51">
        <v>3598.5</v>
      </c>
      <c r="C264" s="52">
        <v>1874.5</v>
      </c>
      <c r="D264" s="52">
        <v>1462.9</v>
      </c>
      <c r="E264" s="52">
        <v>1950.5</v>
      </c>
      <c r="F264" s="52">
        <v>2422.8000000000002</v>
      </c>
      <c r="G264" s="52">
        <v>3835.4</v>
      </c>
      <c r="H264" s="52">
        <v>3.5</v>
      </c>
      <c r="I264" s="52">
        <v>446.6</v>
      </c>
      <c r="J264" s="52">
        <v>2347.1999999999998</v>
      </c>
      <c r="K264" s="53">
        <v>13247.5</v>
      </c>
      <c r="L264" s="49">
        <v>43.600000000000364</v>
      </c>
      <c r="M264" s="44">
        <v>0</v>
      </c>
      <c r="N264" s="44">
        <v>0</v>
      </c>
      <c r="O264" s="44">
        <v>47323</v>
      </c>
      <c r="P264" s="44">
        <v>7907.15</v>
      </c>
      <c r="Q264" s="44">
        <v>1414.12</v>
      </c>
      <c r="R264" s="44">
        <v>24518.76</v>
      </c>
      <c r="S264" s="44">
        <v>1.1200000000000001</v>
      </c>
      <c r="T264" s="44">
        <v>104</v>
      </c>
      <c r="U264" s="44">
        <v>34.1</v>
      </c>
      <c r="V264" s="44">
        <v>160</v>
      </c>
      <c r="W264" s="44">
        <v>5175</v>
      </c>
      <c r="X264" s="44">
        <v>4635</v>
      </c>
      <c r="Y264" s="44">
        <v>540</v>
      </c>
    </row>
    <row r="265" spans="1:25" x14ac:dyDescent="0.2">
      <c r="A265" s="50">
        <f t="shared" si="4"/>
        <v>45921</v>
      </c>
      <c r="B265" s="51">
        <v>3554.06</v>
      </c>
      <c r="C265" s="52">
        <v>1871.84</v>
      </c>
      <c r="D265" s="52">
        <v>1504.26</v>
      </c>
      <c r="E265" s="52">
        <v>1556.0930000000001</v>
      </c>
      <c r="F265" s="52">
        <v>1957.19</v>
      </c>
      <c r="G265" s="52">
        <v>3906.92</v>
      </c>
      <c r="H265" s="52">
        <v>5.15</v>
      </c>
      <c r="I265" s="52">
        <v>451.54</v>
      </c>
      <c r="J265" s="52">
        <v>2354.16</v>
      </c>
      <c r="K265" s="53">
        <v>12452.893000000002</v>
      </c>
      <c r="L265" s="49">
        <v>38</v>
      </c>
      <c r="M265" s="44">
        <v>0</v>
      </c>
      <c r="N265" s="44">
        <v>0</v>
      </c>
      <c r="O265" s="44">
        <v>46836.2</v>
      </c>
      <c r="P265" s="44">
        <v>5192</v>
      </c>
      <c r="Q265" s="44">
        <v>1532.65</v>
      </c>
      <c r="R265" s="44">
        <v>21106.81</v>
      </c>
      <c r="S265" s="44">
        <v>1.1100000000000001</v>
      </c>
      <c r="T265" s="44">
        <v>96</v>
      </c>
      <c r="U265" s="44">
        <v>35.700000000000003</v>
      </c>
      <c r="V265" s="44">
        <v>173</v>
      </c>
      <c r="W265" s="44">
        <v>5346</v>
      </c>
      <c r="X265" s="44">
        <v>4845</v>
      </c>
      <c r="Y265" s="44">
        <v>501</v>
      </c>
    </row>
    <row r="266" spans="1:25" x14ac:dyDescent="0.2">
      <c r="A266" s="50">
        <f t="shared" si="4"/>
        <v>45922</v>
      </c>
      <c r="B266" s="51">
        <v>4123.92</v>
      </c>
      <c r="C266" s="52">
        <v>2350.7600000000002</v>
      </c>
      <c r="D266" s="52">
        <v>1894.04</v>
      </c>
      <c r="E266" s="52">
        <v>1442.58</v>
      </c>
      <c r="F266" s="52">
        <v>2251.6799999999998</v>
      </c>
      <c r="G266" s="52">
        <v>4883.5600000000004</v>
      </c>
      <c r="H266" s="52">
        <v>7.54</v>
      </c>
      <c r="I266" s="52">
        <v>462.28</v>
      </c>
      <c r="J266" s="52">
        <v>3100.11</v>
      </c>
      <c r="K266" s="53">
        <v>14316.25</v>
      </c>
      <c r="L266" s="49">
        <v>46</v>
      </c>
      <c r="M266" s="44">
        <v>0</v>
      </c>
      <c r="N266" s="44">
        <v>0</v>
      </c>
      <c r="O266" s="44">
        <v>47799</v>
      </c>
      <c r="P266" s="44">
        <v>7410.98</v>
      </c>
      <c r="Q266" s="44">
        <v>1660.09</v>
      </c>
      <c r="R266" s="44">
        <v>18497.72</v>
      </c>
      <c r="S266" s="44">
        <v>1.1200000000000001</v>
      </c>
      <c r="T266" s="44">
        <v>112</v>
      </c>
      <c r="U266" s="44">
        <v>36.5</v>
      </c>
      <c r="V266" s="44">
        <v>173</v>
      </c>
      <c r="W266" s="44">
        <v>5709</v>
      </c>
      <c r="X266" s="44">
        <v>5000</v>
      </c>
      <c r="Y266" s="44">
        <v>709</v>
      </c>
    </row>
    <row r="267" spans="1:25" x14ac:dyDescent="0.2">
      <c r="A267" s="50">
        <f t="shared" si="4"/>
        <v>45923</v>
      </c>
      <c r="B267" s="51">
        <v>4017.8</v>
      </c>
      <c r="C267" s="52">
        <v>2390.1999999999998</v>
      </c>
      <c r="D267" s="52">
        <v>1715.4</v>
      </c>
      <c r="E267" s="52">
        <v>1486.9</v>
      </c>
      <c r="F267" s="52">
        <v>2278.6999999999998</v>
      </c>
      <c r="G267" s="52">
        <v>4581.7</v>
      </c>
      <c r="H267" s="52">
        <v>7.9</v>
      </c>
      <c r="I267" s="52">
        <v>457</v>
      </c>
      <c r="J267" s="52">
        <v>2994.7000000000003</v>
      </c>
      <c r="K267" s="53">
        <v>13940.900000000001</v>
      </c>
      <c r="L267" s="49">
        <v>53</v>
      </c>
      <c r="M267" s="44">
        <v>0</v>
      </c>
      <c r="N267" s="44">
        <v>0</v>
      </c>
      <c r="O267" s="44">
        <v>48764</v>
      </c>
      <c r="P267" s="44">
        <v>7655.17</v>
      </c>
      <c r="Q267" s="44">
        <v>1675.99</v>
      </c>
      <c r="R267" s="44">
        <v>17052.64</v>
      </c>
      <c r="S267" s="44">
        <v>1.1100000000000001</v>
      </c>
      <c r="T267" s="44">
        <v>98</v>
      </c>
      <c r="U267" s="44">
        <v>35.9</v>
      </c>
      <c r="V267" s="44">
        <v>162</v>
      </c>
      <c r="W267" s="44">
        <v>5267</v>
      </c>
      <c r="X267" s="44">
        <v>4814</v>
      </c>
      <c r="Y267" s="44">
        <v>453</v>
      </c>
    </row>
    <row r="268" spans="1:25" x14ac:dyDescent="0.2">
      <c r="A268" s="50">
        <f t="shared" si="4"/>
        <v>45924</v>
      </c>
      <c r="B268" s="51">
        <v>3740.2</v>
      </c>
      <c r="C268" s="52">
        <v>2476.6</v>
      </c>
      <c r="D268" s="52">
        <v>1519.5</v>
      </c>
      <c r="E268" s="52">
        <v>1428.8</v>
      </c>
      <c r="F268" s="52">
        <v>2015.4</v>
      </c>
      <c r="G268" s="52">
        <v>4691.5</v>
      </c>
      <c r="H268" s="52">
        <v>11.6</v>
      </c>
      <c r="I268" s="52">
        <v>510.8</v>
      </c>
      <c r="J268" s="52">
        <v>3186</v>
      </c>
      <c r="K268" s="53">
        <v>13208.399999999998</v>
      </c>
      <c r="L268" s="49">
        <v>50</v>
      </c>
      <c r="M268" s="44">
        <v>0</v>
      </c>
      <c r="N268" s="44">
        <v>0</v>
      </c>
      <c r="O268" s="44">
        <v>41854</v>
      </c>
      <c r="P268" s="44">
        <v>6309.8</v>
      </c>
      <c r="Q268" s="44">
        <v>2123.79</v>
      </c>
      <c r="R268" s="44">
        <v>13999.65</v>
      </c>
      <c r="S268" s="44">
        <v>1.0900000000000001</v>
      </c>
      <c r="T268" s="44">
        <v>92</v>
      </c>
      <c r="U268" s="44">
        <v>32</v>
      </c>
      <c r="V268" s="44">
        <v>150</v>
      </c>
      <c r="W268" s="44">
        <v>4836</v>
      </c>
      <c r="X268" s="44">
        <v>4330</v>
      </c>
      <c r="Y268" s="44">
        <v>506</v>
      </c>
    </row>
    <row r="269" spans="1:25" x14ac:dyDescent="0.2">
      <c r="A269" s="50">
        <f t="shared" si="4"/>
        <v>45925</v>
      </c>
      <c r="B269" s="51">
        <v>4085.75</v>
      </c>
      <c r="C269" s="52">
        <v>2223.98</v>
      </c>
      <c r="D269" s="52">
        <v>1661.7</v>
      </c>
      <c r="E269" s="52">
        <v>1949.97</v>
      </c>
      <c r="F269" s="52">
        <v>2376.35</v>
      </c>
      <c r="G269" s="52">
        <v>4961.87</v>
      </c>
      <c r="H269" s="52">
        <v>10.82</v>
      </c>
      <c r="I269" s="52">
        <v>502.62</v>
      </c>
      <c r="J269" s="52">
        <v>3352.35</v>
      </c>
      <c r="K269" s="53">
        <v>14420.709999999997</v>
      </c>
      <c r="L269" s="49">
        <v>49</v>
      </c>
      <c r="M269" s="44">
        <v>0</v>
      </c>
      <c r="N269" s="44">
        <v>0</v>
      </c>
      <c r="O269" s="44">
        <v>53953.43</v>
      </c>
      <c r="P269" s="44">
        <v>7440.35</v>
      </c>
      <c r="Q269" s="44">
        <v>2031.42</v>
      </c>
      <c r="R269" s="44">
        <v>21964.57</v>
      </c>
      <c r="S269" s="44">
        <v>1.1000000000000001</v>
      </c>
      <c r="T269" s="44">
        <v>100</v>
      </c>
      <c r="U269" s="44">
        <v>34.6</v>
      </c>
      <c r="V269" s="44">
        <v>165</v>
      </c>
      <c r="W269" s="44">
        <v>5311</v>
      </c>
      <c r="X269" s="44">
        <v>4707</v>
      </c>
      <c r="Y269" s="44">
        <v>604</v>
      </c>
    </row>
    <row r="270" spans="1:25" x14ac:dyDescent="0.2">
      <c r="A270" s="50">
        <f t="shared" si="4"/>
        <v>45926</v>
      </c>
      <c r="B270" s="51">
        <v>3918.4070000000002</v>
      </c>
      <c r="C270" s="52">
        <v>2286.4771999999998</v>
      </c>
      <c r="D270" s="52">
        <v>1874.9839999999999</v>
      </c>
      <c r="E270" s="52">
        <v>1455.0323000000001</v>
      </c>
      <c r="F270" s="52">
        <v>2136.2592</v>
      </c>
      <c r="G270" s="52">
        <v>5012.7433000000001</v>
      </c>
      <c r="H270" s="52">
        <v>7.23</v>
      </c>
      <c r="I270" s="52">
        <v>483.58</v>
      </c>
      <c r="J270" s="52">
        <v>3212.5</v>
      </c>
      <c r="K270" s="53">
        <v>13962.213000000003</v>
      </c>
      <c r="L270" s="49">
        <v>47</v>
      </c>
      <c r="M270" s="44">
        <v>0</v>
      </c>
      <c r="N270" s="44">
        <v>0</v>
      </c>
      <c r="O270" s="44">
        <v>50575</v>
      </c>
      <c r="P270" s="44">
        <v>7377.51</v>
      </c>
      <c r="Q270" s="44">
        <v>1814.73</v>
      </c>
      <c r="R270" s="44">
        <v>20775.259999999998</v>
      </c>
      <c r="S270" s="44">
        <v>1.1299999999999999</v>
      </c>
      <c r="T270" s="44">
        <v>110</v>
      </c>
      <c r="U270" s="44">
        <v>37.5</v>
      </c>
      <c r="V270" s="44">
        <v>180</v>
      </c>
      <c r="W270" s="44">
        <v>5782</v>
      </c>
      <c r="X270" s="44">
        <v>5219</v>
      </c>
      <c r="Y270" s="44">
        <v>563</v>
      </c>
    </row>
    <row r="271" spans="1:25" x14ac:dyDescent="0.2">
      <c r="A271" s="50">
        <f t="shared" si="4"/>
        <v>45927</v>
      </c>
      <c r="B271" s="51">
        <v>3898.4</v>
      </c>
      <c r="C271" s="52">
        <v>2011.8</v>
      </c>
      <c r="D271" s="52">
        <v>1668.4</v>
      </c>
      <c r="E271" s="52">
        <v>1611</v>
      </c>
      <c r="F271" s="52">
        <v>2056.9</v>
      </c>
      <c r="G271" s="52">
        <v>4308.1000000000004</v>
      </c>
      <c r="H271" s="52">
        <v>7.9</v>
      </c>
      <c r="I271" s="52">
        <v>481.6</v>
      </c>
      <c r="J271" s="52">
        <v>2628.8</v>
      </c>
      <c r="K271" s="53">
        <v>13415.3</v>
      </c>
      <c r="L271" s="49">
        <v>34</v>
      </c>
      <c r="M271" s="44">
        <v>0</v>
      </c>
      <c r="N271" s="44">
        <v>0</v>
      </c>
      <c r="O271" s="44">
        <v>54910</v>
      </c>
      <c r="P271" s="44">
        <v>5922.7</v>
      </c>
      <c r="Q271" s="44">
        <v>1885.11</v>
      </c>
      <c r="R271" s="44">
        <v>21815.39</v>
      </c>
      <c r="S271" s="44">
        <v>1.1200000000000001</v>
      </c>
      <c r="T271" s="44">
        <v>106</v>
      </c>
      <c r="U271" s="44">
        <v>38.5</v>
      </c>
      <c r="V271" s="44">
        <v>183</v>
      </c>
      <c r="W271" s="44">
        <v>5607</v>
      </c>
      <c r="X271" s="44">
        <v>5179</v>
      </c>
      <c r="Y271" s="44">
        <v>428</v>
      </c>
    </row>
    <row r="272" spans="1:25" x14ac:dyDescent="0.2">
      <c r="A272" s="50">
        <f t="shared" si="4"/>
        <v>45928</v>
      </c>
      <c r="B272" s="51">
        <v>4010.9</v>
      </c>
      <c r="C272" s="52">
        <v>2061.5</v>
      </c>
      <c r="D272" s="52">
        <v>1636.4</v>
      </c>
      <c r="E272" s="52">
        <v>1428.5</v>
      </c>
      <c r="F272" s="52">
        <v>2039.2</v>
      </c>
      <c r="G272" s="52">
        <v>4419.5</v>
      </c>
      <c r="H272" s="52">
        <v>4.3</v>
      </c>
      <c r="I272" s="52">
        <v>479.9</v>
      </c>
      <c r="J272" s="52">
        <v>2495.1</v>
      </c>
      <c r="K272" s="53">
        <v>13585.099999999999</v>
      </c>
      <c r="L272" s="49">
        <v>80</v>
      </c>
      <c r="M272" s="44">
        <v>0</v>
      </c>
      <c r="N272" s="44">
        <v>0</v>
      </c>
      <c r="O272" s="44">
        <v>59488</v>
      </c>
      <c r="P272" s="44">
        <v>5711.7</v>
      </c>
      <c r="Q272" s="44">
        <v>1892.82</v>
      </c>
      <c r="R272" s="44">
        <v>20337.849999999999</v>
      </c>
      <c r="S272" s="44">
        <v>1.1399999999999999</v>
      </c>
      <c r="T272" s="44">
        <v>112</v>
      </c>
      <c r="U272" s="44">
        <v>39.1</v>
      </c>
      <c r="V272" s="44">
        <v>188</v>
      </c>
      <c r="W272" s="44">
        <v>5821</v>
      </c>
      <c r="X272" s="44">
        <v>5310</v>
      </c>
      <c r="Y272" s="44">
        <v>511</v>
      </c>
    </row>
    <row r="273" spans="1:25" x14ac:dyDescent="0.2">
      <c r="A273" s="50">
        <f t="shared" si="4"/>
        <v>45929</v>
      </c>
      <c r="B273" s="51">
        <v>4865.47</v>
      </c>
      <c r="C273" s="52">
        <v>2549.66</v>
      </c>
      <c r="D273" s="52">
        <v>2377.4</v>
      </c>
      <c r="E273" s="52">
        <v>2308.6999999999998</v>
      </c>
      <c r="F273" s="52">
        <v>3069.54</v>
      </c>
      <c r="G273" s="52">
        <v>6098.13</v>
      </c>
      <c r="H273" s="52">
        <v>9.5</v>
      </c>
      <c r="I273" s="52">
        <v>514.70000000000005</v>
      </c>
      <c r="J273" s="52">
        <v>3525.26</v>
      </c>
      <c r="K273" s="53">
        <v>18267.840000000004</v>
      </c>
      <c r="L273" s="49">
        <v>7</v>
      </c>
      <c r="M273" s="44">
        <v>0</v>
      </c>
      <c r="N273" s="44">
        <v>0</v>
      </c>
      <c r="O273" s="44">
        <v>77622.899999999994</v>
      </c>
      <c r="P273" s="44">
        <v>10466.9</v>
      </c>
      <c r="Q273" s="44">
        <v>2171.15</v>
      </c>
      <c r="R273" s="44">
        <v>29546.400000000001</v>
      </c>
      <c r="S273" s="44">
        <v>1.1200000000000001</v>
      </c>
      <c r="T273" s="44">
        <v>121</v>
      </c>
      <c r="U273" s="44">
        <v>40.4</v>
      </c>
      <c r="V273" s="44">
        <v>193</v>
      </c>
      <c r="W273" s="44">
        <v>6176</v>
      </c>
      <c r="X273" s="44">
        <v>5494</v>
      </c>
      <c r="Y273" s="44">
        <v>682</v>
      </c>
    </row>
    <row r="274" spans="1:25" x14ac:dyDescent="0.2">
      <c r="A274" s="50">
        <f t="shared" si="4"/>
        <v>45930</v>
      </c>
      <c r="B274" s="51">
        <v>5120.78</v>
      </c>
      <c r="C274" s="52">
        <v>2649.48</v>
      </c>
      <c r="D274" s="52">
        <v>2540.8000000000002</v>
      </c>
      <c r="E274" s="52">
        <v>2250.1</v>
      </c>
      <c r="F274" s="52">
        <v>3154.83</v>
      </c>
      <c r="G274" s="52">
        <v>5854.96</v>
      </c>
      <c r="H274" s="52">
        <v>9.89</v>
      </c>
      <c r="I274" s="52">
        <v>505.8</v>
      </c>
      <c r="J274" s="52">
        <v>3649.29</v>
      </c>
      <c r="K274" s="53">
        <v>18437.349999999999</v>
      </c>
      <c r="L274" s="49">
        <v>20</v>
      </c>
      <c r="M274" s="44">
        <v>6.8000000000000682</v>
      </c>
      <c r="N274" s="44">
        <v>11.189999999999998</v>
      </c>
      <c r="O274" s="44">
        <v>66872</v>
      </c>
      <c r="P274" s="44">
        <v>8702.7999999999993</v>
      </c>
      <c r="Q274" s="44">
        <v>2598.3200000000002</v>
      </c>
      <c r="R274" s="44">
        <v>34566.18</v>
      </c>
      <c r="S274" s="44">
        <v>4.29</v>
      </c>
      <c r="T274" s="44">
        <v>118</v>
      </c>
      <c r="U274" s="44">
        <v>41.4</v>
      </c>
      <c r="V274" s="44">
        <v>189</v>
      </c>
      <c r="W274" s="44">
        <v>6305</v>
      </c>
      <c r="X274" s="44">
        <v>5649</v>
      </c>
      <c r="Y274" s="44">
        <v>656</v>
      </c>
    </row>
    <row r="275" spans="1:25" x14ac:dyDescent="0.2">
      <c r="A275" s="50">
        <f t="shared" si="4"/>
        <v>45931</v>
      </c>
      <c r="B275" s="51">
        <v>0</v>
      </c>
      <c r="C275" s="52">
        <v>0</v>
      </c>
      <c r="D275" s="52">
        <v>0</v>
      </c>
      <c r="E275" s="52">
        <v>0</v>
      </c>
      <c r="F275" s="52">
        <v>0</v>
      </c>
      <c r="G275" s="52">
        <v>0</v>
      </c>
      <c r="H275" s="52">
        <v>0</v>
      </c>
      <c r="I275" s="52">
        <v>0</v>
      </c>
      <c r="J275" s="52">
        <v>0</v>
      </c>
      <c r="K275" s="53">
        <v>0</v>
      </c>
      <c r="L275" s="49">
        <v>89</v>
      </c>
      <c r="M275" s="44">
        <v>14.199999999999932</v>
      </c>
      <c r="N275" s="44">
        <v>7.6999999999999993</v>
      </c>
      <c r="O275" s="44">
        <v>62211</v>
      </c>
      <c r="P275" s="44">
        <v>8757.9</v>
      </c>
      <c r="Q275" s="44">
        <v>1974.08</v>
      </c>
      <c r="R275" s="44">
        <v>21465.48</v>
      </c>
      <c r="S275" s="44">
        <v>1.86</v>
      </c>
      <c r="T275" s="44">
        <v>128</v>
      </c>
      <c r="U275" s="44">
        <v>43.5</v>
      </c>
      <c r="V275" s="44">
        <v>198</v>
      </c>
      <c r="W275" s="44">
        <v>6304</v>
      </c>
      <c r="X275" s="44">
        <v>5707</v>
      </c>
      <c r="Y275" s="44">
        <v>597</v>
      </c>
    </row>
    <row r="276" spans="1:25" x14ac:dyDescent="0.2">
      <c r="A276" s="50">
        <f t="shared" si="4"/>
        <v>45932</v>
      </c>
      <c r="B276" s="51">
        <v>0</v>
      </c>
      <c r="C276" s="52">
        <v>0</v>
      </c>
      <c r="D276" s="52">
        <v>0</v>
      </c>
      <c r="E276" s="52">
        <v>0</v>
      </c>
      <c r="F276" s="52">
        <v>0</v>
      </c>
      <c r="G276" s="52">
        <v>0</v>
      </c>
      <c r="H276" s="52">
        <v>0</v>
      </c>
      <c r="I276" s="52">
        <v>0</v>
      </c>
      <c r="J276" s="52">
        <v>0</v>
      </c>
      <c r="K276" s="53">
        <v>0</v>
      </c>
      <c r="L276" s="49">
        <v>56</v>
      </c>
      <c r="M276" s="44">
        <v>3.1000000000000227</v>
      </c>
      <c r="N276" s="44">
        <v>6.3999999999999986</v>
      </c>
      <c r="O276" s="44">
        <v>61217</v>
      </c>
      <c r="P276" s="44">
        <v>8323.19</v>
      </c>
      <c r="Q276" s="44">
        <v>2400.9</v>
      </c>
      <c r="R276" s="44">
        <v>27292.58</v>
      </c>
      <c r="S276" s="44">
        <v>1.17</v>
      </c>
      <c r="T276" s="44">
        <v>125</v>
      </c>
      <c r="U276" s="44">
        <v>43.199999999999996</v>
      </c>
      <c r="V276" s="44">
        <v>160</v>
      </c>
      <c r="W276" s="44">
        <v>6137</v>
      </c>
      <c r="X276" s="44">
        <v>5428</v>
      </c>
      <c r="Y276" s="44">
        <v>709</v>
      </c>
    </row>
    <row r="277" spans="1:25" x14ac:dyDescent="0.2">
      <c r="A277" s="50">
        <f t="shared" si="4"/>
        <v>45933</v>
      </c>
      <c r="B277" s="51">
        <v>0</v>
      </c>
      <c r="C277" s="52">
        <v>0</v>
      </c>
      <c r="D277" s="52">
        <v>0</v>
      </c>
      <c r="E277" s="52">
        <v>0</v>
      </c>
      <c r="F277" s="52">
        <v>0</v>
      </c>
      <c r="G277" s="52">
        <v>0</v>
      </c>
      <c r="H277" s="52">
        <v>0</v>
      </c>
      <c r="I277" s="52">
        <v>0</v>
      </c>
      <c r="J277" s="52">
        <v>0</v>
      </c>
      <c r="K277" s="53">
        <v>0</v>
      </c>
      <c r="L277" s="49">
        <v>46</v>
      </c>
      <c r="M277" s="44">
        <v>25.299999999999955</v>
      </c>
      <c r="N277" s="44">
        <v>15.300000000000004</v>
      </c>
      <c r="O277" s="44">
        <v>63377.7</v>
      </c>
      <c r="P277" s="44">
        <v>11221.1</v>
      </c>
      <c r="Q277" s="44">
        <v>2920.95</v>
      </c>
      <c r="R277" s="44">
        <v>29296.82</v>
      </c>
      <c r="S277" s="44">
        <v>3.37</v>
      </c>
      <c r="T277" s="44">
        <v>130</v>
      </c>
      <c r="U277" s="44">
        <v>44.900000000000006</v>
      </c>
      <c r="V277" s="44">
        <v>194</v>
      </c>
      <c r="W277" s="44">
        <v>6444</v>
      </c>
      <c r="X277" s="44">
        <v>5970</v>
      </c>
      <c r="Y277" s="44">
        <v>474</v>
      </c>
    </row>
    <row r="278" spans="1:25" x14ac:dyDescent="0.2">
      <c r="A278" s="50">
        <f t="shared" si="4"/>
        <v>45934</v>
      </c>
      <c r="B278" s="51">
        <v>0</v>
      </c>
      <c r="C278" s="52">
        <v>0</v>
      </c>
      <c r="D278" s="52">
        <v>0</v>
      </c>
      <c r="E278" s="52">
        <v>0</v>
      </c>
      <c r="F278" s="52">
        <v>0</v>
      </c>
      <c r="G278" s="52">
        <v>0</v>
      </c>
      <c r="H278" s="52">
        <v>0</v>
      </c>
      <c r="I278" s="52">
        <v>0</v>
      </c>
      <c r="J278" s="52">
        <v>0</v>
      </c>
      <c r="K278" s="53">
        <v>0</v>
      </c>
      <c r="L278" s="49">
        <v>33</v>
      </c>
      <c r="M278" s="44">
        <v>11.700000000000045</v>
      </c>
      <c r="N278" s="44">
        <v>15.11</v>
      </c>
      <c r="O278" s="44">
        <v>48241</v>
      </c>
      <c r="P278" s="44">
        <v>7542.7</v>
      </c>
      <c r="Q278" s="44">
        <v>2405.5</v>
      </c>
      <c r="R278" s="44">
        <v>29154.98</v>
      </c>
      <c r="S278" s="44">
        <v>2.1</v>
      </c>
      <c r="T278" s="44">
        <v>126</v>
      </c>
      <c r="U278" s="44">
        <v>41</v>
      </c>
      <c r="V278" s="44">
        <v>178</v>
      </c>
      <c r="W278" s="44">
        <v>5835</v>
      </c>
      <c r="X278" s="44">
        <v>5372</v>
      </c>
      <c r="Y278" s="44">
        <v>463</v>
      </c>
    </row>
    <row r="279" spans="1:25" x14ac:dyDescent="0.2">
      <c r="A279" s="50">
        <f t="shared" si="4"/>
        <v>45935</v>
      </c>
      <c r="B279" s="51">
        <v>0</v>
      </c>
      <c r="C279" s="52">
        <v>0</v>
      </c>
      <c r="D279" s="52">
        <v>0</v>
      </c>
      <c r="E279" s="52">
        <v>0</v>
      </c>
      <c r="F279" s="52">
        <v>0</v>
      </c>
      <c r="G279" s="52">
        <v>0</v>
      </c>
      <c r="H279" s="52">
        <v>0</v>
      </c>
      <c r="I279" s="52">
        <v>0</v>
      </c>
      <c r="J279" s="52">
        <v>0</v>
      </c>
      <c r="K279" s="53">
        <v>0</v>
      </c>
      <c r="L279" s="49">
        <v>33.900000000001455</v>
      </c>
      <c r="M279" s="44">
        <v>11.299999999999955</v>
      </c>
      <c r="N279" s="44">
        <v>14.719999999999999</v>
      </c>
      <c r="O279" s="44">
        <v>59240.25</v>
      </c>
      <c r="P279" s="44">
        <v>8403.4599999999991</v>
      </c>
      <c r="Q279" s="44">
        <v>1919.31</v>
      </c>
      <c r="R279" s="44">
        <v>27399.29</v>
      </c>
      <c r="S279" s="44">
        <v>1.73</v>
      </c>
      <c r="T279" s="44">
        <v>117</v>
      </c>
      <c r="U279" s="44">
        <v>43.4</v>
      </c>
      <c r="V279" s="44">
        <v>190</v>
      </c>
      <c r="W279" s="44">
        <v>6243</v>
      </c>
      <c r="X279" s="44">
        <v>5767</v>
      </c>
      <c r="Y279" s="44">
        <v>476</v>
      </c>
    </row>
    <row r="280" spans="1:25" x14ac:dyDescent="0.2">
      <c r="A280" s="50">
        <f t="shared" si="4"/>
        <v>45936</v>
      </c>
      <c r="B280" s="51">
        <v>0</v>
      </c>
      <c r="C280" s="52">
        <v>0</v>
      </c>
      <c r="D280" s="52">
        <v>0</v>
      </c>
      <c r="E280" s="52">
        <v>0</v>
      </c>
      <c r="F280" s="52">
        <v>0</v>
      </c>
      <c r="G280" s="52">
        <v>0</v>
      </c>
      <c r="H280" s="52">
        <v>0</v>
      </c>
      <c r="I280" s="52">
        <v>0</v>
      </c>
      <c r="J280" s="52">
        <v>0</v>
      </c>
      <c r="K280" s="53">
        <v>0</v>
      </c>
      <c r="L280" s="49">
        <v>48.099999999998545</v>
      </c>
      <c r="M280" s="44">
        <v>24.200000000000045</v>
      </c>
      <c r="N280" s="44">
        <v>16.159999999999997</v>
      </c>
      <c r="O280" s="44">
        <v>58685</v>
      </c>
      <c r="P280" s="44">
        <v>9305.36</v>
      </c>
      <c r="Q280" s="44">
        <v>3020.89</v>
      </c>
      <c r="R280" s="44">
        <v>32803.839999999997</v>
      </c>
      <c r="S280" s="44">
        <v>1.98</v>
      </c>
      <c r="T280" s="44">
        <v>136</v>
      </c>
      <c r="U280" s="44">
        <v>46.6</v>
      </c>
      <c r="V280" s="44">
        <v>181</v>
      </c>
      <c r="W280" s="44">
        <v>6532</v>
      </c>
      <c r="X280" s="44">
        <v>5905</v>
      </c>
      <c r="Y280" s="44">
        <v>627</v>
      </c>
    </row>
    <row r="281" spans="1:25" x14ac:dyDescent="0.2">
      <c r="A281" s="50">
        <f t="shared" si="4"/>
        <v>45937</v>
      </c>
      <c r="B281" s="51">
        <v>0</v>
      </c>
      <c r="C281" s="52">
        <v>0</v>
      </c>
      <c r="D281" s="52">
        <v>0</v>
      </c>
      <c r="E281" s="52">
        <v>0</v>
      </c>
      <c r="F281" s="52">
        <v>0</v>
      </c>
      <c r="G281" s="52">
        <v>0</v>
      </c>
      <c r="H281" s="52">
        <v>0</v>
      </c>
      <c r="I281" s="52">
        <v>0</v>
      </c>
      <c r="J281" s="52">
        <v>0</v>
      </c>
      <c r="K281" s="53">
        <v>0</v>
      </c>
      <c r="L281" s="49">
        <v>49</v>
      </c>
      <c r="M281" s="44">
        <v>12.400000000000091</v>
      </c>
      <c r="N281" s="44">
        <v>17.52000000000001</v>
      </c>
      <c r="O281" s="44">
        <v>52292</v>
      </c>
      <c r="P281" s="44">
        <v>9238.85</v>
      </c>
      <c r="Q281" s="44">
        <v>2873.17</v>
      </c>
      <c r="R281" s="44">
        <v>21693.67</v>
      </c>
      <c r="S281" s="44">
        <v>2.1</v>
      </c>
      <c r="T281" s="44">
        <v>98</v>
      </c>
      <c r="U281" s="44">
        <v>44.8</v>
      </c>
      <c r="V281" s="44">
        <v>176</v>
      </c>
      <c r="W281" s="44">
        <v>6329</v>
      </c>
      <c r="X281" s="44">
        <v>5753</v>
      </c>
      <c r="Y281" s="44">
        <v>576</v>
      </c>
    </row>
    <row r="282" spans="1:25" x14ac:dyDescent="0.2">
      <c r="A282" s="50">
        <f t="shared" si="4"/>
        <v>45938</v>
      </c>
      <c r="B282" s="51">
        <v>0</v>
      </c>
      <c r="C282" s="52">
        <v>0</v>
      </c>
      <c r="D282" s="52">
        <v>0</v>
      </c>
      <c r="E282" s="52">
        <v>0</v>
      </c>
      <c r="F282" s="52">
        <v>0</v>
      </c>
      <c r="G282" s="52">
        <v>0</v>
      </c>
      <c r="H282" s="52">
        <v>0</v>
      </c>
      <c r="I282" s="52">
        <v>0</v>
      </c>
      <c r="J282" s="52">
        <v>0</v>
      </c>
      <c r="K282" s="53">
        <v>0</v>
      </c>
      <c r="L282" s="49">
        <v>45</v>
      </c>
      <c r="M282" s="44">
        <v>12.099999999999909</v>
      </c>
      <c r="N282" s="44">
        <v>17.459999999999994</v>
      </c>
      <c r="O282" s="44">
        <v>64926</v>
      </c>
      <c r="P282" s="44">
        <v>10939.64</v>
      </c>
      <c r="Q282" s="44">
        <v>3479.52</v>
      </c>
      <c r="R282" s="44">
        <v>25508.959999999999</v>
      </c>
      <c r="S282" s="44">
        <v>1.73</v>
      </c>
      <c r="T282" s="44">
        <v>105</v>
      </c>
      <c r="U282" s="44">
        <v>42.5</v>
      </c>
      <c r="V282" s="44">
        <v>183</v>
      </c>
      <c r="W282" s="44">
        <v>6353</v>
      </c>
      <c r="X282" s="44">
        <v>5630</v>
      </c>
      <c r="Y282" s="44">
        <v>723</v>
      </c>
    </row>
    <row r="283" spans="1:25" x14ac:dyDescent="0.2">
      <c r="A283" s="50">
        <f t="shared" si="4"/>
        <v>45939</v>
      </c>
      <c r="B283" s="51">
        <v>0</v>
      </c>
      <c r="C283" s="52">
        <v>0</v>
      </c>
      <c r="D283" s="52">
        <v>0</v>
      </c>
      <c r="E283" s="52">
        <v>0</v>
      </c>
      <c r="F283" s="52">
        <v>0</v>
      </c>
      <c r="G283" s="52">
        <v>0</v>
      </c>
      <c r="H283" s="52">
        <v>0</v>
      </c>
      <c r="I283" s="52">
        <v>0</v>
      </c>
      <c r="J283" s="52">
        <v>0</v>
      </c>
      <c r="K283" s="53">
        <v>0</v>
      </c>
      <c r="L283" s="49">
        <v>58</v>
      </c>
      <c r="M283" s="44">
        <v>13.200000000000045</v>
      </c>
      <c r="N283" s="44">
        <v>17.370000000000005</v>
      </c>
      <c r="O283" s="44">
        <v>63866.53</v>
      </c>
      <c r="P283" s="44">
        <v>10604.58</v>
      </c>
      <c r="Q283" s="44">
        <v>2852.03</v>
      </c>
      <c r="R283" s="44">
        <v>34289.68</v>
      </c>
      <c r="S283" s="44">
        <v>3.34</v>
      </c>
      <c r="T283" s="44">
        <v>135</v>
      </c>
      <c r="U283" s="44">
        <v>45</v>
      </c>
      <c r="V283" s="44">
        <v>198</v>
      </c>
      <c r="W283" s="44">
        <v>6934</v>
      </c>
      <c r="X283" s="44">
        <v>6224</v>
      </c>
      <c r="Y283" s="44">
        <v>710</v>
      </c>
    </row>
    <row r="284" spans="1:25" x14ac:dyDescent="0.2">
      <c r="A284" s="50">
        <f t="shared" si="4"/>
        <v>45940</v>
      </c>
      <c r="B284" s="51">
        <v>0</v>
      </c>
      <c r="C284" s="52">
        <v>0</v>
      </c>
      <c r="D284" s="52">
        <v>0</v>
      </c>
      <c r="E284" s="52">
        <v>0</v>
      </c>
      <c r="F284" s="52">
        <v>0</v>
      </c>
      <c r="G284" s="52">
        <v>0</v>
      </c>
      <c r="H284" s="52">
        <v>0</v>
      </c>
      <c r="I284" s="52">
        <v>0</v>
      </c>
      <c r="J284" s="52">
        <v>0</v>
      </c>
      <c r="K284" s="53">
        <v>0</v>
      </c>
      <c r="L284" s="49">
        <v>36</v>
      </c>
      <c r="M284" s="44">
        <v>12.700000000000045</v>
      </c>
      <c r="N284" s="44">
        <v>17.560000000000002</v>
      </c>
      <c r="O284" s="44">
        <v>60069</v>
      </c>
      <c r="P284" s="44">
        <v>8842.48</v>
      </c>
      <c r="Q284" s="44">
        <v>2715.46</v>
      </c>
      <c r="R284" s="44">
        <v>29385.35</v>
      </c>
      <c r="S284" s="44">
        <v>3.75</v>
      </c>
      <c r="T284" s="44">
        <v>132</v>
      </c>
      <c r="U284" s="44">
        <v>42.8</v>
      </c>
      <c r="V284" s="44">
        <v>192</v>
      </c>
      <c r="W284" s="44">
        <v>6419</v>
      </c>
      <c r="X284" s="44">
        <v>5764</v>
      </c>
      <c r="Y284" s="44">
        <v>655</v>
      </c>
    </row>
    <row r="285" spans="1:25" x14ac:dyDescent="0.2">
      <c r="A285" s="50">
        <f t="shared" si="4"/>
        <v>45941</v>
      </c>
      <c r="B285" s="51">
        <v>0</v>
      </c>
      <c r="C285" s="52">
        <v>0</v>
      </c>
      <c r="D285" s="52">
        <v>0</v>
      </c>
      <c r="E285" s="52">
        <v>0</v>
      </c>
      <c r="F285" s="52">
        <v>0</v>
      </c>
      <c r="G285" s="52">
        <v>0</v>
      </c>
      <c r="H285" s="52">
        <v>0</v>
      </c>
      <c r="I285" s="52">
        <v>0</v>
      </c>
      <c r="J285" s="52">
        <v>0</v>
      </c>
      <c r="K285" s="53">
        <v>0</v>
      </c>
      <c r="L285" s="49">
        <v>44</v>
      </c>
      <c r="M285" s="44">
        <v>11</v>
      </c>
      <c r="N285" s="44">
        <v>18.899999999999991</v>
      </c>
      <c r="O285" s="44">
        <v>63322</v>
      </c>
      <c r="P285" s="44">
        <v>7507.06</v>
      </c>
      <c r="Q285" s="44">
        <v>5304.68</v>
      </c>
      <c r="R285" s="44">
        <v>30050.86</v>
      </c>
      <c r="S285" s="44">
        <v>3.06</v>
      </c>
      <c r="T285" s="44">
        <v>103</v>
      </c>
      <c r="U285" s="44">
        <v>43.5</v>
      </c>
      <c r="V285" s="44">
        <v>183</v>
      </c>
      <c r="W285" s="44">
        <v>6229</v>
      </c>
      <c r="X285" s="44">
        <v>5681</v>
      </c>
      <c r="Y285" s="44">
        <v>548</v>
      </c>
    </row>
    <row r="286" spans="1:25" x14ac:dyDescent="0.2">
      <c r="A286" s="50">
        <f t="shared" si="4"/>
        <v>45942</v>
      </c>
      <c r="B286" s="51">
        <v>0</v>
      </c>
      <c r="C286" s="52">
        <v>0</v>
      </c>
      <c r="D286" s="52">
        <v>0</v>
      </c>
      <c r="E286" s="52">
        <v>0</v>
      </c>
      <c r="F286" s="52">
        <v>0</v>
      </c>
      <c r="G286" s="52">
        <v>0</v>
      </c>
      <c r="H286" s="52">
        <v>0</v>
      </c>
      <c r="I286" s="52">
        <v>0</v>
      </c>
      <c r="J286" s="52">
        <v>0</v>
      </c>
      <c r="K286" s="53">
        <v>0</v>
      </c>
      <c r="L286" s="49">
        <v>32</v>
      </c>
      <c r="M286" s="44">
        <v>13</v>
      </c>
      <c r="N286" s="44">
        <v>19.75</v>
      </c>
      <c r="O286" s="44">
        <v>61045</v>
      </c>
      <c r="P286" s="44">
        <v>7885.55</v>
      </c>
      <c r="Q286" s="44">
        <v>4348.46</v>
      </c>
      <c r="R286" s="44">
        <v>25154.720000000001</v>
      </c>
      <c r="S286" s="44">
        <v>3.08</v>
      </c>
      <c r="T286" s="44">
        <v>120</v>
      </c>
      <c r="U286" s="44">
        <v>47</v>
      </c>
      <c r="V286" s="44">
        <v>200</v>
      </c>
      <c r="W286" s="44">
        <v>7975</v>
      </c>
      <c r="X286" s="44">
        <v>7390</v>
      </c>
      <c r="Y286" s="44">
        <v>585</v>
      </c>
    </row>
    <row r="287" spans="1:25" x14ac:dyDescent="0.2">
      <c r="A287" s="50">
        <f t="shared" si="4"/>
        <v>45943</v>
      </c>
      <c r="B287" s="51">
        <v>0</v>
      </c>
      <c r="C287" s="52">
        <v>0</v>
      </c>
      <c r="D287" s="52">
        <v>0</v>
      </c>
      <c r="E287" s="52">
        <v>0</v>
      </c>
      <c r="F287" s="52">
        <v>0</v>
      </c>
      <c r="G287" s="52">
        <v>0</v>
      </c>
      <c r="H287" s="52">
        <v>0</v>
      </c>
      <c r="I287" s="52">
        <v>0</v>
      </c>
      <c r="J287" s="52">
        <v>0</v>
      </c>
      <c r="K287" s="53">
        <v>0</v>
      </c>
      <c r="L287" s="49">
        <v>54</v>
      </c>
      <c r="M287" s="44">
        <v>17</v>
      </c>
      <c r="N287" s="44">
        <v>21.179999999999993</v>
      </c>
      <c r="O287" s="44">
        <v>65932</v>
      </c>
      <c r="P287" s="44">
        <v>9490.98</v>
      </c>
      <c r="Q287" s="44">
        <v>3869.27</v>
      </c>
      <c r="R287" s="44">
        <v>19662.47</v>
      </c>
      <c r="S287" s="44">
        <v>3.11</v>
      </c>
      <c r="T287" s="44">
        <v>155</v>
      </c>
      <c r="U287" s="44">
        <v>51.7</v>
      </c>
      <c r="V287" s="44">
        <v>217</v>
      </c>
      <c r="W287" s="44">
        <v>9684</v>
      </c>
      <c r="X287" s="44">
        <v>8780</v>
      </c>
      <c r="Y287" s="44">
        <v>904</v>
      </c>
    </row>
    <row r="288" spans="1:25" x14ac:dyDescent="0.2">
      <c r="A288" s="50">
        <f t="shared" ref="A288:A351" si="5">A287+1</f>
        <v>45944</v>
      </c>
      <c r="B288" s="51">
        <v>0</v>
      </c>
      <c r="C288" s="52">
        <v>0</v>
      </c>
      <c r="D288" s="52">
        <v>0</v>
      </c>
      <c r="E288" s="52">
        <v>0</v>
      </c>
      <c r="F288" s="52">
        <v>0</v>
      </c>
      <c r="G288" s="52">
        <v>0</v>
      </c>
      <c r="H288" s="52">
        <v>0</v>
      </c>
      <c r="I288" s="52">
        <v>0</v>
      </c>
      <c r="J288" s="52">
        <v>0</v>
      </c>
      <c r="K288" s="53">
        <v>0</v>
      </c>
      <c r="L288" s="49">
        <v>46</v>
      </c>
      <c r="M288" s="44">
        <v>14</v>
      </c>
      <c r="N288" s="44">
        <v>20.259999999999991</v>
      </c>
      <c r="O288" s="44">
        <v>66250</v>
      </c>
      <c r="P288" s="44">
        <v>12118.87</v>
      </c>
      <c r="Q288" s="44">
        <v>3393.92</v>
      </c>
      <c r="R288" s="44">
        <v>25670.93</v>
      </c>
      <c r="S288" s="44">
        <v>3.14</v>
      </c>
      <c r="T288" s="44">
        <v>141</v>
      </c>
      <c r="U288" s="44">
        <v>52.6</v>
      </c>
      <c r="V288" s="44">
        <v>215</v>
      </c>
      <c r="W288" s="44">
        <v>10635</v>
      </c>
      <c r="X288" s="44">
        <v>9629</v>
      </c>
      <c r="Y288" s="44">
        <v>1006</v>
      </c>
    </row>
    <row r="289" spans="1:25" x14ac:dyDescent="0.2">
      <c r="A289" s="50">
        <f t="shared" si="5"/>
        <v>45945</v>
      </c>
      <c r="B289" s="51">
        <v>0</v>
      </c>
      <c r="C289" s="52">
        <v>0</v>
      </c>
      <c r="D289" s="52">
        <v>0</v>
      </c>
      <c r="E289" s="52">
        <v>0</v>
      </c>
      <c r="F289" s="52">
        <v>0</v>
      </c>
      <c r="G289" s="52">
        <v>0</v>
      </c>
      <c r="H289" s="52">
        <v>0</v>
      </c>
      <c r="I289" s="52">
        <v>0</v>
      </c>
      <c r="J289" s="52">
        <v>0</v>
      </c>
      <c r="K289" s="53">
        <v>0</v>
      </c>
      <c r="L289" s="49">
        <v>60</v>
      </c>
      <c r="M289" s="44">
        <v>14.299999999999955</v>
      </c>
      <c r="N289" s="44">
        <v>19.200000000000003</v>
      </c>
      <c r="O289" s="44">
        <v>65843</v>
      </c>
      <c r="P289" s="44">
        <v>9274.75</v>
      </c>
      <c r="Q289" s="44">
        <v>3555.9</v>
      </c>
      <c r="R289" s="44">
        <v>30748.14</v>
      </c>
      <c r="S289" s="44">
        <v>2.9</v>
      </c>
      <c r="T289" s="44">
        <v>119</v>
      </c>
      <c r="U289" s="44">
        <v>50.6</v>
      </c>
      <c r="V289" s="44">
        <v>206</v>
      </c>
      <c r="W289" s="44">
        <v>7894</v>
      </c>
      <c r="X289" s="44">
        <v>7065</v>
      </c>
      <c r="Y289" s="44">
        <v>829</v>
      </c>
    </row>
    <row r="290" spans="1:25" x14ac:dyDescent="0.2">
      <c r="A290" s="50">
        <f t="shared" si="5"/>
        <v>45946</v>
      </c>
      <c r="B290" s="51">
        <v>0</v>
      </c>
      <c r="C290" s="52">
        <v>0</v>
      </c>
      <c r="D290" s="52">
        <v>0</v>
      </c>
      <c r="E290" s="52">
        <v>0</v>
      </c>
      <c r="F290" s="52">
        <v>0</v>
      </c>
      <c r="G290" s="52">
        <v>0</v>
      </c>
      <c r="H290" s="52">
        <v>0</v>
      </c>
      <c r="I290" s="52">
        <v>0</v>
      </c>
      <c r="J290" s="52">
        <v>0</v>
      </c>
      <c r="K290" s="53">
        <v>0</v>
      </c>
      <c r="L290" s="49">
        <v>50</v>
      </c>
      <c r="M290" s="44">
        <v>11.700000000000045</v>
      </c>
      <c r="N290" s="44">
        <v>19.319999999999993</v>
      </c>
      <c r="O290" s="44">
        <v>61396</v>
      </c>
      <c r="P290" s="44">
        <v>8589.0499999999993</v>
      </c>
      <c r="Q290" s="44">
        <v>3167.89</v>
      </c>
      <c r="R290" s="44">
        <v>26858.48</v>
      </c>
      <c r="S290" s="44">
        <v>3.54</v>
      </c>
      <c r="T290" s="44">
        <v>143</v>
      </c>
      <c r="U290" s="44">
        <v>52.400000000000006</v>
      </c>
      <c r="V290" s="44">
        <v>213</v>
      </c>
      <c r="W290" s="44">
        <v>8031</v>
      </c>
      <c r="X290" s="44">
        <v>7202</v>
      </c>
      <c r="Y290" s="44">
        <v>829</v>
      </c>
    </row>
    <row r="291" spans="1:25" x14ac:dyDescent="0.2">
      <c r="A291" s="50">
        <f t="shared" si="5"/>
        <v>45947</v>
      </c>
      <c r="B291" s="51">
        <v>0</v>
      </c>
      <c r="C291" s="52">
        <v>0</v>
      </c>
      <c r="D291" s="52">
        <v>0</v>
      </c>
      <c r="E291" s="52">
        <v>0</v>
      </c>
      <c r="F291" s="52">
        <v>0</v>
      </c>
      <c r="G291" s="52">
        <v>0</v>
      </c>
      <c r="H291" s="52">
        <v>0</v>
      </c>
      <c r="I291" s="52">
        <v>0</v>
      </c>
      <c r="J291" s="52">
        <v>0</v>
      </c>
      <c r="K291" s="53">
        <v>0</v>
      </c>
      <c r="L291" s="49">
        <v>53</v>
      </c>
      <c r="M291" s="44">
        <v>13</v>
      </c>
      <c r="N291" s="44">
        <v>19.200000000000003</v>
      </c>
      <c r="O291" s="44">
        <v>69323</v>
      </c>
      <c r="P291" s="44">
        <v>9401.35</v>
      </c>
      <c r="Q291" s="44">
        <v>2681.28</v>
      </c>
      <c r="R291" s="44">
        <v>28768.34</v>
      </c>
      <c r="S291" s="44">
        <v>6.8</v>
      </c>
      <c r="T291" s="44">
        <v>146</v>
      </c>
      <c r="U291" s="44">
        <v>56.1</v>
      </c>
      <c r="V291" s="44">
        <v>234</v>
      </c>
      <c r="W291" s="44">
        <v>8278</v>
      </c>
      <c r="X291" s="44">
        <v>7438</v>
      </c>
      <c r="Y291" s="44">
        <v>840</v>
      </c>
    </row>
    <row r="292" spans="1:25" x14ac:dyDescent="0.2">
      <c r="A292" s="50">
        <f t="shared" si="5"/>
        <v>45948</v>
      </c>
      <c r="B292" s="51">
        <v>0</v>
      </c>
      <c r="C292" s="52">
        <v>0</v>
      </c>
      <c r="D292" s="52">
        <v>0</v>
      </c>
      <c r="E292" s="52">
        <v>0</v>
      </c>
      <c r="F292" s="52">
        <v>0</v>
      </c>
      <c r="G292" s="52">
        <v>0</v>
      </c>
      <c r="H292" s="52">
        <v>0</v>
      </c>
      <c r="I292" s="52">
        <v>0</v>
      </c>
      <c r="J292" s="52">
        <v>0</v>
      </c>
      <c r="K292" s="53">
        <v>0</v>
      </c>
      <c r="L292" s="49">
        <v>40</v>
      </c>
      <c r="M292" s="44">
        <v>12</v>
      </c>
      <c r="N292" s="44">
        <v>20.440000000000012</v>
      </c>
      <c r="O292" s="44">
        <v>77904</v>
      </c>
      <c r="P292" s="44">
        <v>8715.2099999999991</v>
      </c>
      <c r="Q292" s="44">
        <v>2821.72</v>
      </c>
      <c r="R292" s="44">
        <v>34474.480000000003</v>
      </c>
      <c r="S292" s="44">
        <v>8.4</v>
      </c>
      <c r="T292" s="44">
        <v>139</v>
      </c>
      <c r="U292" s="44">
        <v>58</v>
      </c>
      <c r="V292" s="44">
        <v>220</v>
      </c>
      <c r="W292" s="44">
        <v>8031</v>
      </c>
      <c r="X292" s="44">
        <v>7324</v>
      </c>
      <c r="Y292" s="44">
        <v>707</v>
      </c>
    </row>
    <row r="293" spans="1:25" x14ac:dyDescent="0.2">
      <c r="A293" s="50">
        <f t="shared" si="5"/>
        <v>45949</v>
      </c>
      <c r="B293" s="51">
        <v>0</v>
      </c>
      <c r="C293" s="52">
        <v>0</v>
      </c>
      <c r="D293" s="52">
        <v>0</v>
      </c>
      <c r="E293" s="52">
        <v>0</v>
      </c>
      <c r="F293" s="52">
        <v>0</v>
      </c>
      <c r="G293" s="52">
        <v>0</v>
      </c>
      <c r="H293" s="52">
        <v>0</v>
      </c>
      <c r="I293" s="52">
        <v>0</v>
      </c>
      <c r="J293" s="52">
        <v>0</v>
      </c>
      <c r="K293" s="53">
        <v>0</v>
      </c>
      <c r="L293" s="49">
        <v>44</v>
      </c>
      <c r="M293" s="44">
        <v>11.799999999999955</v>
      </c>
      <c r="N293" s="44">
        <v>20.179999999999993</v>
      </c>
      <c r="O293" s="44">
        <v>66111.8</v>
      </c>
      <c r="P293" s="44">
        <v>8334.0499999999993</v>
      </c>
      <c r="Q293" s="44">
        <v>2522.71</v>
      </c>
      <c r="R293" s="44">
        <v>35587.11</v>
      </c>
      <c r="S293" s="44">
        <v>3.9</v>
      </c>
      <c r="T293" s="44">
        <v>115</v>
      </c>
      <c r="U293" s="44">
        <v>50.599999999999994</v>
      </c>
      <c r="V293" s="44">
        <v>201</v>
      </c>
      <c r="W293" s="44">
        <v>7206</v>
      </c>
      <c r="X293" s="44">
        <v>6388</v>
      </c>
      <c r="Y293" s="44">
        <v>818</v>
      </c>
    </row>
    <row r="294" spans="1:25" x14ac:dyDescent="0.2">
      <c r="A294" s="50">
        <f t="shared" si="5"/>
        <v>45950</v>
      </c>
      <c r="B294" s="51">
        <v>0</v>
      </c>
      <c r="C294" s="52">
        <v>0</v>
      </c>
      <c r="D294" s="52">
        <v>0</v>
      </c>
      <c r="E294" s="52">
        <v>0</v>
      </c>
      <c r="F294" s="52">
        <v>0</v>
      </c>
      <c r="G294" s="52">
        <v>0</v>
      </c>
      <c r="H294" s="52">
        <v>0</v>
      </c>
      <c r="I294" s="52">
        <v>0</v>
      </c>
      <c r="J294" s="52">
        <v>0</v>
      </c>
      <c r="K294" s="53">
        <v>0</v>
      </c>
      <c r="L294" s="49">
        <v>51</v>
      </c>
      <c r="M294" s="44">
        <v>12.399999999999864</v>
      </c>
      <c r="N294" s="44">
        <v>20.480000000000004</v>
      </c>
      <c r="O294" s="44">
        <v>61565</v>
      </c>
      <c r="P294" s="44">
        <v>10981.36</v>
      </c>
      <c r="Q294" s="44">
        <v>3068.17</v>
      </c>
      <c r="R294" s="44">
        <v>34290.980000000003</v>
      </c>
      <c r="S294" s="44">
        <v>3.89</v>
      </c>
      <c r="T294" s="44">
        <v>121</v>
      </c>
      <c r="U294" s="44">
        <v>46.5</v>
      </c>
      <c r="V294" s="44">
        <v>231</v>
      </c>
      <c r="W294" s="44">
        <v>7485</v>
      </c>
      <c r="X294" s="44">
        <v>6635</v>
      </c>
      <c r="Y294" s="44">
        <v>850</v>
      </c>
    </row>
    <row r="295" spans="1:25" x14ac:dyDescent="0.2">
      <c r="A295" s="50">
        <f t="shared" si="5"/>
        <v>45951</v>
      </c>
      <c r="B295" s="51">
        <v>0</v>
      </c>
      <c r="C295" s="52">
        <v>0</v>
      </c>
      <c r="D295" s="52">
        <v>0</v>
      </c>
      <c r="E295" s="52">
        <v>0</v>
      </c>
      <c r="F295" s="52">
        <v>0</v>
      </c>
      <c r="G295" s="52">
        <v>0</v>
      </c>
      <c r="H295" s="52">
        <v>0</v>
      </c>
      <c r="I295" s="52">
        <v>0</v>
      </c>
      <c r="J295" s="52">
        <v>0</v>
      </c>
      <c r="K295" s="53">
        <v>0</v>
      </c>
      <c r="L295" s="49">
        <v>23</v>
      </c>
      <c r="M295" s="44">
        <v>11.700000000000045</v>
      </c>
      <c r="N295" s="44">
        <v>19.709999999999994</v>
      </c>
      <c r="O295" s="44">
        <v>69582</v>
      </c>
      <c r="P295" s="44">
        <v>8134.1</v>
      </c>
      <c r="Q295" s="44">
        <v>2861.74</v>
      </c>
      <c r="R295" s="44">
        <v>28111.79</v>
      </c>
      <c r="S295" s="44">
        <v>3.69</v>
      </c>
      <c r="T295" s="44">
        <v>144</v>
      </c>
      <c r="U295" s="44">
        <v>50.3</v>
      </c>
      <c r="V295" s="44">
        <v>235</v>
      </c>
      <c r="W295" s="44">
        <v>7746</v>
      </c>
      <c r="X295" s="44">
        <v>6893</v>
      </c>
      <c r="Y295" s="44">
        <v>853</v>
      </c>
    </row>
    <row r="296" spans="1:25" x14ac:dyDescent="0.2">
      <c r="A296" s="50">
        <f t="shared" si="5"/>
        <v>45952</v>
      </c>
      <c r="B296" s="51">
        <v>0</v>
      </c>
      <c r="C296" s="52">
        <v>0</v>
      </c>
      <c r="D296" s="52">
        <v>0</v>
      </c>
      <c r="E296" s="52">
        <v>0</v>
      </c>
      <c r="F296" s="52">
        <v>0</v>
      </c>
      <c r="G296" s="52">
        <v>0</v>
      </c>
      <c r="H296" s="52">
        <v>0</v>
      </c>
      <c r="I296" s="52">
        <v>0</v>
      </c>
      <c r="J296" s="52">
        <v>0</v>
      </c>
      <c r="K296" s="53">
        <v>0</v>
      </c>
      <c r="L296" s="49">
        <v>66</v>
      </c>
      <c r="M296" s="44">
        <v>10.900000000000091</v>
      </c>
      <c r="N296" s="44">
        <v>20.230000000000004</v>
      </c>
      <c r="O296" s="44">
        <v>63220</v>
      </c>
      <c r="P296" s="44">
        <v>8947.5</v>
      </c>
      <c r="Q296" s="44">
        <v>2874.33</v>
      </c>
      <c r="R296" s="44">
        <v>25051.360000000001</v>
      </c>
      <c r="S296" s="44">
        <v>3.87</v>
      </c>
      <c r="T296" s="44">
        <v>124</v>
      </c>
      <c r="U296" s="44">
        <v>54.199999999999996</v>
      </c>
      <c r="V296" s="44">
        <v>216</v>
      </c>
      <c r="W296" s="44">
        <v>8216</v>
      </c>
      <c r="X296" s="44">
        <v>7371</v>
      </c>
      <c r="Y296" s="44">
        <v>845</v>
      </c>
    </row>
    <row r="297" spans="1:25" x14ac:dyDescent="0.2">
      <c r="A297" s="50">
        <f t="shared" si="5"/>
        <v>45953</v>
      </c>
      <c r="B297" s="51">
        <v>0</v>
      </c>
      <c r="C297" s="52">
        <v>0</v>
      </c>
      <c r="D297" s="52">
        <v>0</v>
      </c>
      <c r="E297" s="52">
        <v>0</v>
      </c>
      <c r="F297" s="52">
        <v>0</v>
      </c>
      <c r="G297" s="52">
        <v>0</v>
      </c>
      <c r="H297" s="52">
        <v>0</v>
      </c>
      <c r="I297" s="52">
        <v>0</v>
      </c>
      <c r="J297" s="52">
        <v>0</v>
      </c>
      <c r="K297" s="53">
        <v>0</v>
      </c>
      <c r="L297" s="49">
        <v>71</v>
      </c>
      <c r="M297" s="44">
        <v>12</v>
      </c>
      <c r="N297" s="44">
        <v>20.319999999999993</v>
      </c>
      <c r="O297" s="44">
        <v>64627</v>
      </c>
      <c r="P297" s="44">
        <v>9633.4</v>
      </c>
      <c r="Q297" s="44">
        <v>2761.1</v>
      </c>
      <c r="R297" s="44">
        <v>24440.9</v>
      </c>
      <c r="S297" s="44">
        <v>3.46</v>
      </c>
      <c r="T297" s="44">
        <v>140</v>
      </c>
      <c r="U297" s="44">
        <v>46</v>
      </c>
      <c r="V297" s="44">
        <v>217</v>
      </c>
      <c r="W297" s="44">
        <v>7011</v>
      </c>
      <c r="X297" s="44">
        <v>6185</v>
      </c>
      <c r="Y297" s="44">
        <v>826</v>
      </c>
    </row>
    <row r="298" spans="1:25" x14ac:dyDescent="0.2">
      <c r="A298" s="50">
        <f t="shared" si="5"/>
        <v>45954</v>
      </c>
      <c r="B298" s="51">
        <v>0</v>
      </c>
      <c r="C298" s="52">
        <v>0</v>
      </c>
      <c r="D298" s="52">
        <v>0</v>
      </c>
      <c r="E298" s="52">
        <v>0</v>
      </c>
      <c r="F298" s="52">
        <v>0</v>
      </c>
      <c r="G298" s="52">
        <v>0</v>
      </c>
      <c r="H298" s="52">
        <v>0</v>
      </c>
      <c r="I298" s="52">
        <v>0</v>
      </c>
      <c r="J298" s="52">
        <v>0</v>
      </c>
      <c r="K298" s="53">
        <v>0</v>
      </c>
      <c r="L298" s="49">
        <v>51</v>
      </c>
      <c r="M298" s="44">
        <v>11.599999999999909</v>
      </c>
      <c r="N298" s="44">
        <v>20.289999999999992</v>
      </c>
      <c r="O298" s="44">
        <v>73102</v>
      </c>
      <c r="P298" s="44">
        <v>8528.4500000000007</v>
      </c>
      <c r="Q298" s="44">
        <v>2680.68</v>
      </c>
      <c r="R298" s="44">
        <v>29634.15</v>
      </c>
      <c r="S298" s="44">
        <v>4.09</v>
      </c>
      <c r="T298" s="44">
        <v>160</v>
      </c>
      <c r="U298" s="44">
        <v>49.7</v>
      </c>
      <c r="V298" s="44">
        <v>222</v>
      </c>
      <c r="W298" s="44">
        <v>7676</v>
      </c>
      <c r="X298" s="44">
        <v>6818</v>
      </c>
      <c r="Y298" s="44">
        <v>858</v>
      </c>
    </row>
    <row r="299" spans="1:25" x14ac:dyDescent="0.2">
      <c r="A299" s="50">
        <f t="shared" si="5"/>
        <v>45955</v>
      </c>
      <c r="B299" s="51">
        <v>0</v>
      </c>
      <c r="C299" s="52">
        <v>0</v>
      </c>
      <c r="D299" s="52">
        <v>0</v>
      </c>
      <c r="E299" s="52">
        <v>0</v>
      </c>
      <c r="F299" s="52">
        <v>0</v>
      </c>
      <c r="G299" s="52">
        <v>0</v>
      </c>
      <c r="H299" s="52">
        <v>0</v>
      </c>
      <c r="I299" s="52">
        <v>0</v>
      </c>
      <c r="J299" s="52">
        <v>0</v>
      </c>
      <c r="K299" s="53">
        <v>0</v>
      </c>
      <c r="L299" s="49">
        <v>46</v>
      </c>
      <c r="M299" s="44">
        <v>12.200000000000045</v>
      </c>
      <c r="N299" s="44">
        <v>20.450000000000003</v>
      </c>
      <c r="O299" s="44">
        <v>78208</v>
      </c>
      <c r="P299" s="44">
        <v>11520.99</v>
      </c>
      <c r="Q299" s="44">
        <v>2570.4699999999998</v>
      </c>
      <c r="R299" s="44">
        <v>30324.21</v>
      </c>
      <c r="S299" s="44">
        <v>6.55</v>
      </c>
      <c r="T299" s="44">
        <v>151</v>
      </c>
      <c r="U299" s="44">
        <v>49.7</v>
      </c>
      <c r="V299" s="44">
        <v>211</v>
      </c>
      <c r="W299" s="44">
        <v>7381</v>
      </c>
      <c r="X299" s="44">
        <v>6589</v>
      </c>
      <c r="Y299" s="44">
        <v>792</v>
      </c>
    </row>
    <row r="300" spans="1:25" x14ac:dyDescent="0.2">
      <c r="A300" s="50">
        <f t="shared" si="5"/>
        <v>45956</v>
      </c>
      <c r="B300" s="51">
        <v>0</v>
      </c>
      <c r="C300" s="52">
        <v>0</v>
      </c>
      <c r="D300" s="52">
        <v>0</v>
      </c>
      <c r="E300" s="52">
        <v>0</v>
      </c>
      <c r="F300" s="52">
        <v>0</v>
      </c>
      <c r="G300" s="52">
        <v>0</v>
      </c>
      <c r="H300" s="52">
        <v>0</v>
      </c>
      <c r="I300" s="52">
        <v>0</v>
      </c>
      <c r="J300" s="52">
        <v>0</v>
      </c>
      <c r="K300" s="53">
        <v>0</v>
      </c>
      <c r="L300" s="49">
        <v>37</v>
      </c>
      <c r="M300" s="44">
        <v>11.5</v>
      </c>
      <c r="N300" s="44">
        <v>19.709999999999994</v>
      </c>
      <c r="O300" s="44">
        <v>67673</v>
      </c>
      <c r="P300" s="44">
        <v>9164.92</v>
      </c>
      <c r="Q300" s="44">
        <v>2479.5700000000002</v>
      </c>
      <c r="R300" s="44">
        <v>31942</v>
      </c>
      <c r="S300" s="44">
        <v>4.1900000000000004</v>
      </c>
      <c r="T300" s="44">
        <v>139</v>
      </c>
      <c r="U300" s="44">
        <v>48.4</v>
      </c>
      <c r="V300" s="44">
        <v>213</v>
      </c>
      <c r="W300" s="44">
        <v>7183</v>
      </c>
      <c r="X300" s="44">
        <v>6410</v>
      </c>
      <c r="Y300" s="44">
        <v>773</v>
      </c>
    </row>
    <row r="301" spans="1:25" x14ac:dyDescent="0.2">
      <c r="A301" s="50">
        <f t="shared" si="5"/>
        <v>45957</v>
      </c>
      <c r="B301" s="51">
        <v>0</v>
      </c>
      <c r="C301" s="52">
        <v>0</v>
      </c>
      <c r="D301" s="52">
        <v>0</v>
      </c>
      <c r="E301" s="52">
        <v>0</v>
      </c>
      <c r="F301" s="52">
        <v>0</v>
      </c>
      <c r="G301" s="52">
        <v>0</v>
      </c>
      <c r="H301" s="52">
        <v>0</v>
      </c>
      <c r="I301" s="52">
        <v>0</v>
      </c>
      <c r="J301" s="52">
        <v>0</v>
      </c>
      <c r="K301" s="53">
        <v>0</v>
      </c>
      <c r="L301" s="49">
        <v>53</v>
      </c>
      <c r="M301" s="44">
        <v>12.799999999999955</v>
      </c>
      <c r="N301" s="44">
        <v>21.72</v>
      </c>
      <c r="O301" s="44">
        <v>64175</v>
      </c>
      <c r="P301" s="44">
        <v>12275.2</v>
      </c>
      <c r="Q301" s="44">
        <v>2771.89</v>
      </c>
      <c r="R301" s="44">
        <v>37124.97</v>
      </c>
      <c r="S301" s="44">
        <v>2.89</v>
      </c>
      <c r="T301" s="44">
        <v>149</v>
      </c>
      <c r="U301" s="44">
        <v>48.2</v>
      </c>
      <c r="V301" s="44">
        <v>164</v>
      </c>
      <c r="W301" s="44">
        <v>6802</v>
      </c>
      <c r="X301" s="44">
        <v>5975</v>
      </c>
      <c r="Y301" s="44">
        <v>827</v>
      </c>
    </row>
    <row r="302" spans="1:25" x14ac:dyDescent="0.2">
      <c r="A302" s="50">
        <f t="shared" si="5"/>
        <v>45958</v>
      </c>
      <c r="B302" s="51">
        <v>0</v>
      </c>
      <c r="C302" s="52">
        <v>0</v>
      </c>
      <c r="D302" s="52">
        <v>0</v>
      </c>
      <c r="E302" s="52">
        <v>0</v>
      </c>
      <c r="F302" s="52">
        <v>0</v>
      </c>
      <c r="G302" s="52">
        <v>0</v>
      </c>
      <c r="H302" s="52">
        <v>0</v>
      </c>
      <c r="I302" s="52">
        <v>0</v>
      </c>
      <c r="J302" s="52">
        <v>0</v>
      </c>
      <c r="K302" s="53">
        <v>0</v>
      </c>
      <c r="L302" s="49">
        <v>48</v>
      </c>
      <c r="M302" s="44">
        <v>13.100000000000364</v>
      </c>
      <c r="N302" s="44">
        <v>22.489999999999995</v>
      </c>
      <c r="O302" s="44">
        <v>65710</v>
      </c>
      <c r="P302" s="44">
        <v>8878.9</v>
      </c>
      <c r="Q302" s="44">
        <v>3389.36</v>
      </c>
      <c r="R302" s="44">
        <v>35731.11</v>
      </c>
      <c r="S302" s="44">
        <v>2.13</v>
      </c>
      <c r="T302" s="44">
        <v>168</v>
      </c>
      <c r="U302" s="44">
        <v>49</v>
      </c>
      <c r="V302" s="44">
        <v>192</v>
      </c>
      <c r="W302" s="44">
        <v>7128</v>
      </c>
      <c r="X302" s="44">
        <v>6275</v>
      </c>
      <c r="Y302" s="44">
        <v>853</v>
      </c>
    </row>
    <row r="303" spans="1:25" x14ac:dyDescent="0.2">
      <c r="A303" s="50">
        <f t="shared" si="5"/>
        <v>45959</v>
      </c>
      <c r="B303" s="51">
        <v>0</v>
      </c>
      <c r="C303" s="52">
        <v>0</v>
      </c>
      <c r="D303" s="52">
        <v>0</v>
      </c>
      <c r="E303" s="52">
        <v>0</v>
      </c>
      <c r="F303" s="52">
        <v>0</v>
      </c>
      <c r="G303" s="52">
        <v>0</v>
      </c>
      <c r="H303" s="52">
        <v>0</v>
      </c>
      <c r="I303" s="52">
        <v>0</v>
      </c>
      <c r="J303" s="52">
        <v>0</v>
      </c>
      <c r="K303" s="53">
        <v>0</v>
      </c>
      <c r="L303" s="49">
        <v>51.5</v>
      </c>
      <c r="M303" s="44">
        <v>16.899999999999864</v>
      </c>
      <c r="N303" s="44">
        <v>21.670000000000016</v>
      </c>
      <c r="O303" s="44">
        <v>53809.34</v>
      </c>
      <c r="P303" s="44">
        <v>8174.74</v>
      </c>
      <c r="Q303" s="44">
        <v>3251.51</v>
      </c>
      <c r="R303" s="44">
        <v>17838.830000000002</v>
      </c>
      <c r="S303" s="44">
        <v>1.78</v>
      </c>
      <c r="T303" s="44">
        <v>147</v>
      </c>
      <c r="U303" s="44">
        <v>47.3</v>
      </c>
      <c r="V303" s="44">
        <v>184</v>
      </c>
      <c r="W303" s="44">
        <v>6936</v>
      </c>
      <c r="X303" s="44">
        <v>6126</v>
      </c>
      <c r="Y303" s="44">
        <v>810</v>
      </c>
    </row>
    <row r="304" spans="1:25" x14ac:dyDescent="0.2">
      <c r="A304" s="50">
        <f t="shared" si="5"/>
        <v>45960</v>
      </c>
      <c r="B304" s="51">
        <v>0</v>
      </c>
      <c r="C304" s="52">
        <v>0</v>
      </c>
      <c r="D304" s="52">
        <v>0</v>
      </c>
      <c r="E304" s="52">
        <v>0</v>
      </c>
      <c r="F304" s="52">
        <v>0</v>
      </c>
      <c r="G304" s="52">
        <v>0</v>
      </c>
      <c r="H304" s="52">
        <v>0</v>
      </c>
      <c r="I304" s="52">
        <v>0</v>
      </c>
      <c r="J304" s="52">
        <v>0</v>
      </c>
      <c r="K304" s="53">
        <v>0</v>
      </c>
      <c r="L304" s="49">
        <v>44.5</v>
      </c>
      <c r="M304" s="44">
        <v>16.299999999999955</v>
      </c>
      <c r="N304" s="44">
        <v>21.350000000000009</v>
      </c>
      <c r="O304" s="44">
        <v>54738</v>
      </c>
      <c r="P304" s="44">
        <v>7514.98</v>
      </c>
      <c r="Q304" s="44">
        <v>2649.7</v>
      </c>
      <c r="R304" s="44">
        <v>14884.24</v>
      </c>
      <c r="S304" s="44">
        <v>1.98</v>
      </c>
      <c r="T304" s="44">
        <v>122</v>
      </c>
      <c r="U304" s="44">
        <v>44.1</v>
      </c>
      <c r="V304" s="44">
        <v>197</v>
      </c>
      <c r="W304" s="44">
        <v>6645</v>
      </c>
      <c r="X304" s="44">
        <v>5847</v>
      </c>
      <c r="Y304" s="44">
        <v>798</v>
      </c>
    </row>
    <row r="305" spans="1:25" x14ac:dyDescent="0.2">
      <c r="A305" s="50">
        <f t="shared" si="5"/>
        <v>45961</v>
      </c>
      <c r="B305" s="51">
        <v>0</v>
      </c>
      <c r="C305" s="52">
        <v>0</v>
      </c>
      <c r="D305" s="52">
        <v>0</v>
      </c>
      <c r="E305" s="52">
        <v>0</v>
      </c>
      <c r="F305" s="52">
        <v>0</v>
      </c>
      <c r="G305" s="52">
        <v>0</v>
      </c>
      <c r="H305" s="52">
        <v>0</v>
      </c>
      <c r="I305" s="52">
        <v>0</v>
      </c>
      <c r="J305" s="52">
        <v>0</v>
      </c>
      <c r="K305" s="53">
        <v>0</v>
      </c>
      <c r="L305" s="49">
        <v>48</v>
      </c>
      <c r="M305" s="44">
        <v>21.800000000000182</v>
      </c>
      <c r="N305" s="44">
        <v>24.700000000000017</v>
      </c>
      <c r="O305" s="44">
        <v>57687</v>
      </c>
      <c r="P305" s="44">
        <v>8056.1</v>
      </c>
      <c r="Q305" s="44">
        <v>3508.8</v>
      </c>
      <c r="R305" s="44">
        <v>36402.44</v>
      </c>
      <c r="S305" s="44">
        <v>1.66</v>
      </c>
      <c r="T305" s="44">
        <v>137</v>
      </c>
      <c r="U305" s="44">
        <v>42.2</v>
      </c>
      <c r="V305" s="44">
        <v>187</v>
      </c>
      <c r="W305" s="44">
        <v>6632</v>
      </c>
      <c r="X305" s="44">
        <v>5890</v>
      </c>
      <c r="Y305" s="44">
        <v>742</v>
      </c>
    </row>
    <row r="306" spans="1:25" x14ac:dyDescent="0.2">
      <c r="A306" s="50">
        <f t="shared" si="5"/>
        <v>45962</v>
      </c>
      <c r="B306" s="51">
        <v>0</v>
      </c>
      <c r="C306" s="52">
        <v>0</v>
      </c>
      <c r="D306" s="52">
        <v>0</v>
      </c>
      <c r="E306" s="52">
        <v>0</v>
      </c>
      <c r="F306" s="52">
        <v>0</v>
      </c>
      <c r="G306" s="52">
        <v>0</v>
      </c>
      <c r="H306" s="52">
        <v>0</v>
      </c>
      <c r="I306" s="52">
        <v>0</v>
      </c>
      <c r="J306" s="52">
        <v>0</v>
      </c>
      <c r="K306" s="53">
        <v>0</v>
      </c>
      <c r="L306" s="49">
        <v>43</v>
      </c>
      <c r="M306" s="44">
        <v>19.600000000000364</v>
      </c>
      <c r="N306" s="44">
        <v>23.299999999999997</v>
      </c>
      <c r="O306" s="44">
        <v>55666</v>
      </c>
      <c r="P306" s="44">
        <v>7182.7</v>
      </c>
      <c r="Q306" s="44">
        <v>2941.92</v>
      </c>
      <c r="R306" s="44">
        <v>31997.06</v>
      </c>
      <c r="S306" s="44">
        <v>1.53</v>
      </c>
      <c r="T306" s="44">
        <v>121</v>
      </c>
      <c r="U306" s="44">
        <v>41.6</v>
      </c>
      <c r="V306" s="44">
        <v>177</v>
      </c>
      <c r="W306" s="44">
        <v>7259</v>
      </c>
      <c r="X306" s="44">
        <v>6455</v>
      </c>
      <c r="Y306" s="44">
        <v>804</v>
      </c>
    </row>
    <row r="307" spans="1:25" x14ac:dyDescent="0.2">
      <c r="A307" s="50">
        <f t="shared" si="5"/>
        <v>45963</v>
      </c>
      <c r="B307" s="51">
        <v>0</v>
      </c>
      <c r="C307" s="52">
        <v>0</v>
      </c>
      <c r="D307" s="52">
        <v>0</v>
      </c>
      <c r="E307" s="52">
        <v>0</v>
      </c>
      <c r="F307" s="52">
        <v>0</v>
      </c>
      <c r="G307" s="52">
        <v>0</v>
      </c>
      <c r="H307" s="52">
        <v>0</v>
      </c>
      <c r="I307" s="52">
        <v>0</v>
      </c>
      <c r="J307" s="52">
        <v>0</v>
      </c>
      <c r="K307" s="53">
        <v>0</v>
      </c>
      <c r="L307" s="49">
        <v>25.299999999999272</v>
      </c>
      <c r="M307" s="44">
        <v>17.5</v>
      </c>
      <c r="N307" s="44">
        <v>24.089999999999989</v>
      </c>
      <c r="O307" s="44">
        <v>48968.22</v>
      </c>
      <c r="P307" s="44">
        <v>8448.89</v>
      </c>
      <c r="Q307" s="44">
        <v>3517.31</v>
      </c>
      <c r="R307" s="44">
        <v>22858.67</v>
      </c>
      <c r="S307" s="44">
        <v>1.47</v>
      </c>
      <c r="T307" s="44">
        <v>135</v>
      </c>
      <c r="U307" s="44">
        <v>43.4</v>
      </c>
      <c r="V307" s="44">
        <v>188</v>
      </c>
      <c r="W307" s="44">
        <v>7051</v>
      </c>
      <c r="X307" s="44">
        <v>6238</v>
      </c>
      <c r="Y307" s="44">
        <v>813</v>
      </c>
    </row>
    <row r="308" spans="1:25" x14ac:dyDescent="0.2">
      <c r="A308" s="50">
        <f t="shared" si="5"/>
        <v>45964</v>
      </c>
      <c r="B308" s="51">
        <v>0</v>
      </c>
      <c r="C308" s="52">
        <v>0</v>
      </c>
      <c r="D308" s="52">
        <v>0</v>
      </c>
      <c r="E308" s="52">
        <v>0</v>
      </c>
      <c r="F308" s="52">
        <v>0</v>
      </c>
      <c r="G308" s="52">
        <v>0</v>
      </c>
      <c r="H308" s="52">
        <v>0</v>
      </c>
      <c r="I308" s="52">
        <v>0</v>
      </c>
      <c r="J308" s="52">
        <v>0</v>
      </c>
      <c r="K308" s="53">
        <v>0</v>
      </c>
      <c r="L308" s="49">
        <v>39.700000000000728</v>
      </c>
      <c r="M308" s="44">
        <v>20</v>
      </c>
      <c r="N308" s="44">
        <v>28.139999999999986</v>
      </c>
      <c r="O308" s="44">
        <v>116508</v>
      </c>
      <c r="P308" s="44">
        <v>12618.15</v>
      </c>
      <c r="Q308" s="44">
        <v>3982.41</v>
      </c>
      <c r="R308" s="44">
        <v>36030.050000000003</v>
      </c>
      <c r="S308" s="44">
        <v>2.5</v>
      </c>
      <c r="T308" s="44">
        <v>186</v>
      </c>
      <c r="U308" s="44">
        <v>64.8</v>
      </c>
      <c r="V308" s="44">
        <v>278</v>
      </c>
      <c r="W308" s="44">
        <v>10073</v>
      </c>
      <c r="X308" s="44">
        <v>8876</v>
      </c>
      <c r="Y308" s="44">
        <v>1197</v>
      </c>
    </row>
    <row r="309" spans="1:25" x14ac:dyDescent="0.2">
      <c r="A309" s="50">
        <f t="shared" si="5"/>
        <v>45965</v>
      </c>
      <c r="B309" s="51">
        <v>0</v>
      </c>
      <c r="C309" s="52">
        <v>0</v>
      </c>
      <c r="D309" s="52">
        <v>0</v>
      </c>
      <c r="E309" s="52">
        <v>0</v>
      </c>
      <c r="F309" s="52">
        <v>0</v>
      </c>
      <c r="G309" s="52">
        <v>0</v>
      </c>
      <c r="H309" s="52">
        <v>0</v>
      </c>
      <c r="I309" s="52">
        <v>0</v>
      </c>
      <c r="J309" s="52">
        <v>0</v>
      </c>
      <c r="K309" s="53">
        <v>0</v>
      </c>
      <c r="L309" s="49">
        <v>38</v>
      </c>
      <c r="M309" s="44">
        <v>22</v>
      </c>
      <c r="N309" s="44">
        <v>31.839999999999989</v>
      </c>
      <c r="O309" s="44">
        <v>61087</v>
      </c>
      <c r="P309" s="44">
        <v>8433.9</v>
      </c>
      <c r="Q309" s="44">
        <v>3865.85</v>
      </c>
      <c r="R309" s="44">
        <v>28914.87</v>
      </c>
      <c r="S309" s="44">
        <v>2.2400000000000002</v>
      </c>
      <c r="T309" s="44">
        <v>151</v>
      </c>
      <c r="U309" s="44">
        <v>50.999999999999993</v>
      </c>
      <c r="V309" s="44">
        <v>218</v>
      </c>
      <c r="W309" s="44">
        <v>7653</v>
      </c>
      <c r="X309" s="44">
        <v>6895</v>
      </c>
      <c r="Y309" s="44">
        <v>758</v>
      </c>
    </row>
    <row r="310" spans="1:25" x14ac:dyDescent="0.2">
      <c r="A310" s="50">
        <f t="shared" si="5"/>
        <v>45966</v>
      </c>
      <c r="B310" s="51">
        <v>0</v>
      </c>
      <c r="C310" s="52">
        <v>0</v>
      </c>
      <c r="D310" s="52">
        <v>0</v>
      </c>
      <c r="E310" s="52">
        <v>0</v>
      </c>
      <c r="F310" s="52">
        <v>0</v>
      </c>
      <c r="G310" s="52">
        <v>0</v>
      </c>
      <c r="H310" s="52">
        <v>0</v>
      </c>
      <c r="I310" s="52">
        <v>0</v>
      </c>
      <c r="J310" s="52">
        <v>0</v>
      </c>
      <c r="K310" s="53">
        <v>0</v>
      </c>
      <c r="L310" s="49">
        <v>53</v>
      </c>
      <c r="M310" s="44">
        <v>22</v>
      </c>
      <c r="N310" s="44">
        <v>29.769999999999996</v>
      </c>
      <c r="O310" s="44">
        <v>109148</v>
      </c>
      <c r="P310" s="44">
        <v>13041.43</v>
      </c>
      <c r="Q310" s="44">
        <v>3997.4</v>
      </c>
      <c r="R310" s="44">
        <v>35989.07</v>
      </c>
      <c r="S310" s="44">
        <v>4.37</v>
      </c>
      <c r="T310" s="44">
        <v>187</v>
      </c>
      <c r="U310" s="44">
        <v>61.099999999999994</v>
      </c>
      <c r="V310" s="44">
        <v>261</v>
      </c>
      <c r="W310" s="44">
        <v>10568</v>
      </c>
      <c r="X310" s="44">
        <v>9248</v>
      </c>
      <c r="Y310" s="44">
        <v>1320</v>
      </c>
    </row>
    <row r="311" spans="1:25" x14ac:dyDescent="0.2">
      <c r="A311" s="50">
        <f t="shared" si="5"/>
        <v>45967</v>
      </c>
      <c r="B311" s="51">
        <v>0</v>
      </c>
      <c r="C311" s="52">
        <v>0</v>
      </c>
      <c r="D311" s="52">
        <v>0</v>
      </c>
      <c r="E311" s="52">
        <v>0</v>
      </c>
      <c r="F311" s="52">
        <v>0</v>
      </c>
      <c r="G311" s="52">
        <v>0</v>
      </c>
      <c r="H311" s="52">
        <v>0</v>
      </c>
      <c r="I311" s="52">
        <v>0</v>
      </c>
      <c r="J311" s="52">
        <v>0</v>
      </c>
      <c r="K311" s="53">
        <v>0</v>
      </c>
      <c r="L311" s="49">
        <v>56</v>
      </c>
      <c r="M311" s="44">
        <v>21.200000000000273</v>
      </c>
      <c r="N311" s="44">
        <v>26.960000000000008</v>
      </c>
      <c r="O311" s="44">
        <v>51292.94</v>
      </c>
      <c r="P311" s="44">
        <v>8430.14</v>
      </c>
      <c r="Q311" s="44">
        <v>4002.67</v>
      </c>
      <c r="R311" s="44">
        <v>27081.79</v>
      </c>
      <c r="S311" s="44">
        <v>2.36</v>
      </c>
      <c r="T311" s="44">
        <v>143</v>
      </c>
      <c r="U311" s="44">
        <v>48.3</v>
      </c>
      <c r="V311" s="44">
        <v>212</v>
      </c>
      <c r="W311" s="44">
        <v>7681</v>
      </c>
      <c r="X311" s="44">
        <v>6870</v>
      </c>
      <c r="Y311" s="44">
        <v>811</v>
      </c>
    </row>
    <row r="312" spans="1:25" x14ac:dyDescent="0.2">
      <c r="A312" s="50">
        <f t="shared" si="5"/>
        <v>45968</v>
      </c>
      <c r="B312" s="51">
        <v>0</v>
      </c>
      <c r="C312" s="52">
        <v>0</v>
      </c>
      <c r="D312" s="52">
        <v>0</v>
      </c>
      <c r="E312" s="52">
        <v>0</v>
      </c>
      <c r="F312" s="52">
        <v>0</v>
      </c>
      <c r="G312" s="52">
        <v>0</v>
      </c>
      <c r="H312" s="52">
        <v>0</v>
      </c>
      <c r="I312" s="52">
        <v>0</v>
      </c>
      <c r="J312" s="52">
        <v>0</v>
      </c>
      <c r="K312" s="53">
        <v>0</v>
      </c>
      <c r="L312" s="49">
        <v>55</v>
      </c>
      <c r="M312" s="44">
        <v>19</v>
      </c>
      <c r="N312" s="44">
        <v>24.11</v>
      </c>
      <c r="O312" s="44">
        <v>92295</v>
      </c>
      <c r="P312" s="44">
        <v>11142.06</v>
      </c>
      <c r="Q312" s="44">
        <v>3619.01</v>
      </c>
      <c r="R312" s="44">
        <v>35108.620000000003</v>
      </c>
      <c r="S312" s="44">
        <v>2.08</v>
      </c>
      <c r="T312" s="44">
        <v>164</v>
      </c>
      <c r="U312" s="44">
        <v>56.599999999999994</v>
      </c>
      <c r="V312" s="44">
        <v>242</v>
      </c>
      <c r="W312" s="44">
        <v>8580</v>
      </c>
      <c r="X312" s="44">
        <v>7488</v>
      </c>
      <c r="Y312" s="44">
        <v>1092</v>
      </c>
    </row>
    <row r="313" spans="1:25" x14ac:dyDescent="0.2">
      <c r="A313" s="50">
        <f t="shared" si="5"/>
        <v>45969</v>
      </c>
      <c r="B313" s="51">
        <v>0</v>
      </c>
      <c r="C313" s="52">
        <v>0</v>
      </c>
      <c r="D313" s="52">
        <v>0</v>
      </c>
      <c r="E313" s="52">
        <v>0</v>
      </c>
      <c r="F313" s="52">
        <v>0</v>
      </c>
      <c r="G313" s="52">
        <v>0</v>
      </c>
      <c r="H313" s="52">
        <v>0</v>
      </c>
      <c r="I313" s="52">
        <v>0</v>
      </c>
      <c r="J313" s="52">
        <v>0</v>
      </c>
      <c r="K313" s="53">
        <v>0</v>
      </c>
      <c r="L313" s="49">
        <v>37</v>
      </c>
      <c r="M313" s="44">
        <v>16.899999999999636</v>
      </c>
      <c r="N313" s="44">
        <v>22.249999999999986</v>
      </c>
      <c r="O313" s="44">
        <v>52319.9</v>
      </c>
      <c r="P313" s="44">
        <v>7688.31</v>
      </c>
      <c r="Q313" s="44">
        <v>3523.49</v>
      </c>
      <c r="R313" s="44">
        <v>32573.8</v>
      </c>
      <c r="S313" s="44">
        <v>1.82</v>
      </c>
      <c r="T313" s="44">
        <v>130</v>
      </c>
      <c r="U313" s="44">
        <v>44.400000000000006</v>
      </c>
      <c r="V313" s="44">
        <v>177</v>
      </c>
      <c r="W313" s="44">
        <v>7139</v>
      </c>
      <c r="X313" s="44">
        <v>6373</v>
      </c>
      <c r="Y313" s="44">
        <v>766</v>
      </c>
    </row>
    <row r="314" spans="1:25" x14ac:dyDescent="0.2">
      <c r="A314" s="50">
        <f t="shared" si="5"/>
        <v>45970</v>
      </c>
      <c r="B314" s="51">
        <v>0</v>
      </c>
      <c r="C314" s="52">
        <v>0</v>
      </c>
      <c r="D314" s="52">
        <v>0</v>
      </c>
      <c r="E314" s="52">
        <v>0</v>
      </c>
      <c r="F314" s="52">
        <v>0</v>
      </c>
      <c r="G314" s="52">
        <v>0</v>
      </c>
      <c r="H314" s="52">
        <v>0</v>
      </c>
      <c r="I314" s="52">
        <v>0</v>
      </c>
      <c r="J314" s="52">
        <v>0</v>
      </c>
      <c r="K314" s="53">
        <v>0</v>
      </c>
      <c r="L314" s="49">
        <v>36</v>
      </c>
      <c r="M314" s="44">
        <v>18.800000000000182</v>
      </c>
      <c r="N314" s="44">
        <v>22.769999999999996</v>
      </c>
      <c r="O314" s="44">
        <v>83071</v>
      </c>
      <c r="P314" s="44">
        <v>11127.22</v>
      </c>
      <c r="Q314" s="44">
        <v>3706.91</v>
      </c>
      <c r="R314" s="44">
        <v>28619.85</v>
      </c>
      <c r="S314" s="44">
        <v>2.06</v>
      </c>
      <c r="T314" s="44">
        <v>173</v>
      </c>
      <c r="U314" s="44">
        <v>54.1</v>
      </c>
      <c r="V314" s="44">
        <v>233</v>
      </c>
      <c r="W314" s="44">
        <v>9383</v>
      </c>
      <c r="X314" s="44">
        <v>8300</v>
      </c>
      <c r="Y314" s="44">
        <v>1083</v>
      </c>
    </row>
    <row r="315" spans="1:25" x14ac:dyDescent="0.2">
      <c r="A315" s="50">
        <f t="shared" si="5"/>
        <v>45971</v>
      </c>
      <c r="B315" s="51">
        <v>0</v>
      </c>
      <c r="C315" s="52">
        <v>0</v>
      </c>
      <c r="D315" s="52">
        <v>0</v>
      </c>
      <c r="E315" s="52">
        <v>0</v>
      </c>
      <c r="F315" s="52">
        <v>0</v>
      </c>
      <c r="G315" s="52">
        <v>0</v>
      </c>
      <c r="H315" s="52">
        <v>0</v>
      </c>
      <c r="I315" s="52">
        <v>0</v>
      </c>
      <c r="J315" s="52">
        <v>0</v>
      </c>
      <c r="K315" s="53">
        <v>0</v>
      </c>
      <c r="L315" s="49">
        <v>51.700000000000728</v>
      </c>
      <c r="M315" s="44">
        <v>18.799999999999955</v>
      </c>
      <c r="N315" s="44">
        <v>24.199999999999989</v>
      </c>
      <c r="O315" s="44">
        <v>58102.879999999997</v>
      </c>
      <c r="P315" s="44">
        <v>8595.2800000000007</v>
      </c>
      <c r="Q315" s="44">
        <v>4522.76</v>
      </c>
      <c r="R315" s="44">
        <v>27628.05</v>
      </c>
      <c r="S315" s="44">
        <v>1.85</v>
      </c>
      <c r="T315" s="44">
        <v>143</v>
      </c>
      <c r="U315" s="44">
        <v>44.8</v>
      </c>
      <c r="V315" s="44">
        <v>194</v>
      </c>
      <c r="W315" s="44">
        <v>7904</v>
      </c>
      <c r="X315" s="44">
        <v>7144</v>
      </c>
      <c r="Y315" s="44">
        <v>760</v>
      </c>
    </row>
    <row r="316" spans="1:25" x14ac:dyDescent="0.2">
      <c r="A316" s="50">
        <f t="shared" si="5"/>
        <v>45972</v>
      </c>
      <c r="B316" s="51">
        <v>0</v>
      </c>
      <c r="C316" s="52">
        <v>0</v>
      </c>
      <c r="D316" s="52">
        <v>0</v>
      </c>
      <c r="E316" s="52">
        <v>0</v>
      </c>
      <c r="F316" s="52">
        <v>0</v>
      </c>
      <c r="G316" s="52">
        <v>0</v>
      </c>
      <c r="H316" s="52">
        <v>0</v>
      </c>
      <c r="I316" s="52">
        <v>0</v>
      </c>
      <c r="J316" s="52">
        <v>0</v>
      </c>
      <c r="K316" s="53">
        <v>0</v>
      </c>
      <c r="L316" s="49">
        <v>50.299999999999272</v>
      </c>
      <c r="M316" s="44">
        <v>19.5</v>
      </c>
      <c r="N316" s="44">
        <v>24.409999999999982</v>
      </c>
      <c r="O316" s="44">
        <v>84999.53</v>
      </c>
      <c r="P316" s="44">
        <v>10959.79</v>
      </c>
      <c r="Q316" s="44">
        <v>3547.2510000000002</v>
      </c>
      <c r="R316" s="44">
        <v>29956.57</v>
      </c>
      <c r="S316" s="44">
        <v>2.0299999999999998</v>
      </c>
      <c r="T316" s="44">
        <v>167</v>
      </c>
      <c r="U316" s="44">
        <v>58</v>
      </c>
      <c r="V316" s="44">
        <v>217</v>
      </c>
      <c r="W316" s="44">
        <v>9750</v>
      </c>
      <c r="X316" s="44">
        <v>8812</v>
      </c>
      <c r="Y316" s="44">
        <v>938</v>
      </c>
    </row>
    <row r="317" spans="1:25" x14ac:dyDescent="0.2">
      <c r="A317" s="50">
        <f t="shared" si="5"/>
        <v>45973</v>
      </c>
      <c r="B317" s="51">
        <v>0</v>
      </c>
      <c r="C317" s="52">
        <v>0</v>
      </c>
      <c r="D317" s="52">
        <v>0</v>
      </c>
      <c r="E317" s="52">
        <v>0</v>
      </c>
      <c r="F317" s="52">
        <v>0</v>
      </c>
      <c r="G317" s="52">
        <v>0</v>
      </c>
      <c r="H317" s="52">
        <v>0</v>
      </c>
      <c r="I317" s="52">
        <v>0</v>
      </c>
      <c r="J317" s="52">
        <v>0</v>
      </c>
      <c r="K317" s="53">
        <v>0</v>
      </c>
      <c r="L317" s="49">
        <v>49</v>
      </c>
      <c r="M317" s="44">
        <v>20</v>
      </c>
      <c r="N317" s="44">
        <v>26.059999999999988</v>
      </c>
      <c r="O317" s="44">
        <v>57910</v>
      </c>
      <c r="P317" s="44">
        <v>7076.31</v>
      </c>
      <c r="Q317" s="44">
        <v>4046.5</v>
      </c>
      <c r="R317" s="44">
        <v>28569.14</v>
      </c>
      <c r="S317" s="44">
        <v>1.77</v>
      </c>
      <c r="T317" s="44">
        <v>127</v>
      </c>
      <c r="U317" s="44">
        <v>47.099999999999994</v>
      </c>
      <c r="V317" s="44">
        <v>180</v>
      </c>
      <c r="W317" s="44">
        <v>8164</v>
      </c>
      <c r="X317" s="44">
        <v>7443</v>
      </c>
      <c r="Y317" s="44">
        <v>721</v>
      </c>
    </row>
    <row r="318" spans="1:25" x14ac:dyDescent="0.2">
      <c r="A318" s="50">
        <f t="shared" si="5"/>
        <v>45974</v>
      </c>
      <c r="B318" s="51">
        <v>0</v>
      </c>
      <c r="C318" s="52">
        <v>0</v>
      </c>
      <c r="D318" s="52">
        <v>0</v>
      </c>
      <c r="E318" s="52">
        <v>0</v>
      </c>
      <c r="F318" s="52">
        <v>0</v>
      </c>
      <c r="G318" s="52">
        <v>0</v>
      </c>
      <c r="H318" s="52">
        <v>0</v>
      </c>
      <c r="I318" s="52">
        <v>0</v>
      </c>
      <c r="J318" s="52">
        <v>0</v>
      </c>
      <c r="K318" s="53">
        <v>0</v>
      </c>
      <c r="L318" s="49">
        <v>44</v>
      </c>
      <c r="M318" s="44">
        <v>19.799999999999955</v>
      </c>
      <c r="N318" s="44">
        <v>26.049999999999983</v>
      </c>
      <c r="O318" s="44">
        <v>100479</v>
      </c>
      <c r="P318" s="44">
        <v>11660.01</v>
      </c>
      <c r="Q318" s="44">
        <v>3792.15</v>
      </c>
      <c r="R318" s="44">
        <v>42654.9</v>
      </c>
      <c r="S318" s="44">
        <v>1.91</v>
      </c>
      <c r="T318" s="44">
        <v>163</v>
      </c>
      <c r="U318" s="44">
        <v>50.7</v>
      </c>
      <c r="V318" s="44">
        <v>231</v>
      </c>
      <c r="W318" s="44">
        <v>9003</v>
      </c>
      <c r="X318" s="44">
        <v>7876</v>
      </c>
      <c r="Y318" s="44">
        <v>1127</v>
      </c>
    </row>
    <row r="319" spans="1:25" x14ac:dyDescent="0.2">
      <c r="A319" s="50">
        <f t="shared" si="5"/>
        <v>45975</v>
      </c>
      <c r="B319" s="51">
        <v>0</v>
      </c>
      <c r="C319" s="52">
        <v>0</v>
      </c>
      <c r="D319" s="52">
        <v>0</v>
      </c>
      <c r="E319" s="52">
        <v>0</v>
      </c>
      <c r="F319" s="52">
        <v>0</v>
      </c>
      <c r="G319" s="52">
        <v>0</v>
      </c>
      <c r="H319" s="52">
        <v>0</v>
      </c>
      <c r="I319" s="52">
        <v>0</v>
      </c>
      <c r="J319" s="52">
        <v>0</v>
      </c>
      <c r="K319" s="53">
        <v>0</v>
      </c>
      <c r="L319" s="49">
        <v>59.599999999998545</v>
      </c>
      <c r="M319" s="44">
        <v>19.799999999999955</v>
      </c>
      <c r="N319" s="44">
        <v>25.590000000000003</v>
      </c>
      <c r="O319" s="44">
        <v>60757.98</v>
      </c>
      <c r="P319" s="44">
        <v>7179.64</v>
      </c>
      <c r="Q319" s="44">
        <v>3847.48</v>
      </c>
      <c r="R319" s="44">
        <v>24645.86</v>
      </c>
      <c r="S319" s="44">
        <v>2.87</v>
      </c>
      <c r="T319" s="44">
        <v>142</v>
      </c>
      <c r="U319" s="44">
        <v>44.099999999999994</v>
      </c>
      <c r="V319" s="44">
        <v>202</v>
      </c>
      <c r="W319" s="44">
        <v>7482</v>
      </c>
      <c r="X319" s="44">
        <v>6732</v>
      </c>
      <c r="Y319" s="44">
        <v>750</v>
      </c>
    </row>
    <row r="320" spans="1:25" x14ac:dyDescent="0.2">
      <c r="A320" s="50">
        <f t="shared" si="5"/>
        <v>45976</v>
      </c>
      <c r="B320" s="51">
        <v>0</v>
      </c>
      <c r="C320" s="52">
        <v>0</v>
      </c>
      <c r="D320" s="52">
        <v>0</v>
      </c>
      <c r="E320" s="52">
        <v>0</v>
      </c>
      <c r="F320" s="52">
        <v>0</v>
      </c>
      <c r="G320" s="52">
        <v>0</v>
      </c>
      <c r="H320" s="52">
        <v>0</v>
      </c>
      <c r="I320" s="52">
        <v>0</v>
      </c>
      <c r="J320" s="52">
        <v>0</v>
      </c>
      <c r="K320" s="53">
        <v>0</v>
      </c>
      <c r="L320" s="49">
        <v>36.400000000001455</v>
      </c>
      <c r="M320" s="44">
        <v>18.5</v>
      </c>
      <c r="N320" s="44">
        <v>24.980000000000018</v>
      </c>
      <c r="O320" s="44">
        <v>87169.279999999999</v>
      </c>
      <c r="P320" s="44">
        <v>11061.98</v>
      </c>
      <c r="Q320" s="44">
        <v>3640.27</v>
      </c>
      <c r="R320" s="44">
        <v>40662.69</v>
      </c>
      <c r="S320" s="44">
        <v>3.51</v>
      </c>
      <c r="T320" s="44">
        <v>160</v>
      </c>
      <c r="U320" s="44">
        <v>55.4</v>
      </c>
      <c r="V320" s="44">
        <v>233</v>
      </c>
      <c r="W320" s="44">
        <v>7906</v>
      </c>
      <c r="X320" s="44">
        <v>6936</v>
      </c>
      <c r="Y320" s="44">
        <v>970</v>
      </c>
    </row>
    <row r="321" spans="1:25" x14ac:dyDescent="0.2">
      <c r="A321" s="50">
        <f t="shared" si="5"/>
        <v>45977</v>
      </c>
      <c r="B321" s="51">
        <v>0</v>
      </c>
      <c r="C321" s="52">
        <v>0</v>
      </c>
      <c r="D321" s="52">
        <v>0</v>
      </c>
      <c r="E321" s="52">
        <v>0</v>
      </c>
      <c r="F321" s="52">
        <v>0</v>
      </c>
      <c r="G321" s="52">
        <v>0</v>
      </c>
      <c r="H321" s="52">
        <v>0</v>
      </c>
      <c r="I321" s="52">
        <v>0</v>
      </c>
      <c r="J321" s="52">
        <v>0</v>
      </c>
      <c r="K321" s="53">
        <v>0</v>
      </c>
      <c r="L321" s="49">
        <v>36</v>
      </c>
      <c r="M321" s="44">
        <v>18.699999999999818</v>
      </c>
      <c r="N321" s="44">
        <v>25.290000000000006</v>
      </c>
      <c r="O321" s="44">
        <v>64353</v>
      </c>
      <c r="P321" s="44">
        <v>7140.87</v>
      </c>
      <c r="Q321" s="44">
        <v>3694.43</v>
      </c>
      <c r="R321" s="44">
        <v>42118.94</v>
      </c>
      <c r="S321" s="44">
        <v>2.69</v>
      </c>
      <c r="T321" s="44">
        <v>118</v>
      </c>
      <c r="U321" s="44">
        <v>38.299999999999997</v>
      </c>
      <c r="V321" s="44">
        <v>173</v>
      </c>
      <c r="W321" s="44">
        <v>5916</v>
      </c>
      <c r="X321" s="44">
        <v>5133</v>
      </c>
      <c r="Y321" s="44">
        <v>783</v>
      </c>
    </row>
    <row r="322" spans="1:25" x14ac:dyDescent="0.2">
      <c r="A322" s="50">
        <f t="shared" si="5"/>
        <v>45978</v>
      </c>
      <c r="B322" s="51">
        <v>0</v>
      </c>
      <c r="C322" s="52">
        <v>0</v>
      </c>
      <c r="D322" s="52">
        <v>0</v>
      </c>
      <c r="E322" s="52">
        <v>0</v>
      </c>
      <c r="F322" s="52">
        <v>0</v>
      </c>
      <c r="G322" s="52">
        <v>0</v>
      </c>
      <c r="H322" s="52">
        <v>0</v>
      </c>
      <c r="I322" s="52">
        <v>0</v>
      </c>
      <c r="J322" s="52">
        <v>0</v>
      </c>
      <c r="K322" s="53">
        <v>0</v>
      </c>
      <c r="L322" s="49">
        <v>41</v>
      </c>
      <c r="M322" s="44">
        <v>21</v>
      </c>
      <c r="N322" s="44">
        <v>27.739999999999995</v>
      </c>
      <c r="O322" s="44">
        <v>89972</v>
      </c>
      <c r="P322" s="44">
        <v>11946.14</v>
      </c>
      <c r="Q322" s="44">
        <v>3887.19</v>
      </c>
      <c r="R322" s="44">
        <v>32878.33</v>
      </c>
      <c r="S322" s="44">
        <v>3.58</v>
      </c>
      <c r="T322" s="44">
        <v>189</v>
      </c>
      <c r="U322" s="44">
        <v>61.4</v>
      </c>
      <c r="V322" s="44">
        <v>257</v>
      </c>
      <c r="W322" s="44">
        <v>10586</v>
      </c>
      <c r="X322" s="44">
        <v>9510</v>
      </c>
      <c r="Y322" s="44">
        <v>1076</v>
      </c>
    </row>
    <row r="323" spans="1:25" x14ac:dyDescent="0.2">
      <c r="A323" s="50">
        <f t="shared" si="5"/>
        <v>45979</v>
      </c>
      <c r="B323" s="51">
        <v>0</v>
      </c>
      <c r="C323" s="52">
        <v>0</v>
      </c>
      <c r="D323" s="52">
        <v>0</v>
      </c>
      <c r="E323" s="52">
        <v>0</v>
      </c>
      <c r="F323" s="52">
        <v>0</v>
      </c>
      <c r="G323" s="52">
        <v>0</v>
      </c>
      <c r="H323" s="52">
        <v>0</v>
      </c>
      <c r="I323" s="52">
        <v>0</v>
      </c>
      <c r="J323" s="52">
        <v>0</v>
      </c>
      <c r="K323" s="53">
        <v>0</v>
      </c>
      <c r="L323" s="49">
        <v>60</v>
      </c>
      <c r="M323" s="44">
        <v>19.899999999999636</v>
      </c>
      <c r="N323" s="44">
        <v>28.250000000000014</v>
      </c>
      <c r="O323" s="44">
        <v>63008.17</v>
      </c>
      <c r="P323" s="44">
        <v>9951.57</v>
      </c>
      <c r="Q323" s="44">
        <v>3362.66</v>
      </c>
      <c r="R323" s="44">
        <v>28810.55</v>
      </c>
      <c r="S323" s="44">
        <v>3.13</v>
      </c>
      <c r="T323" s="44">
        <v>163</v>
      </c>
      <c r="U323" s="44">
        <v>51.7</v>
      </c>
      <c r="V323" s="44">
        <v>218</v>
      </c>
      <c r="W323" s="44">
        <v>8155</v>
      </c>
      <c r="X323" s="44">
        <v>7400</v>
      </c>
      <c r="Y323" s="44">
        <v>755</v>
      </c>
    </row>
    <row r="324" spans="1:25" x14ac:dyDescent="0.2">
      <c r="A324" s="50">
        <f t="shared" si="5"/>
        <v>45980</v>
      </c>
      <c r="B324" s="51">
        <v>0</v>
      </c>
      <c r="C324" s="52">
        <v>0</v>
      </c>
      <c r="D324" s="52">
        <v>0</v>
      </c>
      <c r="E324" s="52">
        <v>0</v>
      </c>
      <c r="F324" s="52">
        <v>0</v>
      </c>
      <c r="G324" s="52">
        <v>0</v>
      </c>
      <c r="H324" s="52">
        <v>0</v>
      </c>
      <c r="I324" s="52">
        <v>0</v>
      </c>
      <c r="J324" s="52">
        <v>0</v>
      </c>
      <c r="K324" s="53">
        <v>0</v>
      </c>
      <c r="L324" s="49">
        <v>56</v>
      </c>
      <c r="M324" s="44">
        <v>19.299999999999727</v>
      </c>
      <c r="N324" s="44">
        <v>24.86999999999999</v>
      </c>
      <c r="O324" s="44">
        <v>87455.96</v>
      </c>
      <c r="P324" s="44">
        <v>13053.13</v>
      </c>
      <c r="Q324" s="44">
        <v>4893.4799999999996</v>
      </c>
      <c r="R324" s="44">
        <v>25990.15</v>
      </c>
      <c r="S324" s="44">
        <v>3.46</v>
      </c>
      <c r="T324" s="44">
        <v>163</v>
      </c>
      <c r="U324" s="44">
        <v>57.8</v>
      </c>
      <c r="V324" s="44">
        <v>256</v>
      </c>
      <c r="W324" s="44">
        <v>9322</v>
      </c>
      <c r="X324" s="44">
        <v>8209</v>
      </c>
      <c r="Y324" s="44">
        <v>1113</v>
      </c>
    </row>
    <row r="325" spans="1:25" x14ac:dyDescent="0.2">
      <c r="A325" s="50">
        <f t="shared" si="5"/>
        <v>45981</v>
      </c>
      <c r="B325" s="51">
        <v>0</v>
      </c>
      <c r="C325" s="52">
        <v>0</v>
      </c>
      <c r="D325" s="52">
        <v>0</v>
      </c>
      <c r="E325" s="52">
        <v>0</v>
      </c>
      <c r="F325" s="52">
        <v>0</v>
      </c>
      <c r="G325" s="52">
        <v>0</v>
      </c>
      <c r="H325" s="52">
        <v>0</v>
      </c>
      <c r="I325" s="52">
        <v>0</v>
      </c>
      <c r="J325" s="52">
        <v>0</v>
      </c>
      <c r="K325" s="53">
        <v>0</v>
      </c>
      <c r="L325" s="49">
        <v>46</v>
      </c>
      <c r="M325" s="44">
        <v>18.900000000000091</v>
      </c>
      <c r="N325" s="44">
        <v>25.429999999999993</v>
      </c>
      <c r="O325" s="44">
        <v>58855</v>
      </c>
      <c r="P325" s="44">
        <v>8244.65</v>
      </c>
      <c r="Q325" s="44">
        <v>4237.43</v>
      </c>
      <c r="R325" s="44">
        <v>27224.6</v>
      </c>
      <c r="S325" s="44">
        <v>2.88</v>
      </c>
      <c r="T325" s="44">
        <v>144</v>
      </c>
      <c r="U325" s="44">
        <v>47.7</v>
      </c>
      <c r="V325" s="44">
        <v>204</v>
      </c>
      <c r="W325" s="44">
        <v>7187</v>
      </c>
      <c r="X325" s="44">
        <v>6430</v>
      </c>
      <c r="Y325" s="44">
        <v>757</v>
      </c>
    </row>
    <row r="326" spans="1:25" x14ac:dyDescent="0.2">
      <c r="A326" s="50">
        <f t="shared" si="5"/>
        <v>45982</v>
      </c>
      <c r="B326" s="51">
        <v>0</v>
      </c>
      <c r="C326" s="52">
        <v>0</v>
      </c>
      <c r="D326" s="52">
        <v>0</v>
      </c>
      <c r="E326" s="52">
        <v>0</v>
      </c>
      <c r="F326" s="52">
        <v>0</v>
      </c>
      <c r="G326" s="52">
        <v>0</v>
      </c>
      <c r="H326" s="52">
        <v>0</v>
      </c>
      <c r="I326" s="52">
        <v>0</v>
      </c>
      <c r="J326" s="52">
        <v>0</v>
      </c>
      <c r="K326" s="53">
        <v>0</v>
      </c>
      <c r="L326" s="49">
        <v>-18819</v>
      </c>
      <c r="M326" s="44">
        <v>0</v>
      </c>
      <c r="N326" s="44">
        <v>0</v>
      </c>
      <c r="T326" s="44">
        <v>-548445</v>
      </c>
      <c r="U326" s="44">
        <v>0</v>
      </c>
      <c r="V326" s="44">
        <v>-624458</v>
      </c>
      <c r="W326" s="44">
        <v>-11795240</v>
      </c>
      <c r="X326" s="44">
        <v>-5750065</v>
      </c>
      <c r="Y326" s="44">
        <v>-6045175</v>
      </c>
    </row>
    <row r="327" spans="1:25" x14ac:dyDescent="0.2">
      <c r="A327" s="50">
        <f t="shared" si="5"/>
        <v>45983</v>
      </c>
      <c r="B327" s="51">
        <v>0</v>
      </c>
      <c r="C327" s="52">
        <v>0</v>
      </c>
      <c r="D327" s="52">
        <v>0</v>
      </c>
      <c r="E327" s="52">
        <v>0</v>
      </c>
      <c r="F327" s="52">
        <v>0</v>
      </c>
      <c r="G327" s="52">
        <v>0</v>
      </c>
      <c r="H327" s="52">
        <v>0</v>
      </c>
      <c r="I327" s="52">
        <v>0</v>
      </c>
      <c r="J327" s="52">
        <v>0</v>
      </c>
      <c r="K327" s="53">
        <v>0</v>
      </c>
      <c r="L327" s="49">
        <v>0</v>
      </c>
      <c r="M327" s="44">
        <v>0</v>
      </c>
      <c r="N327" s="44">
        <v>0</v>
      </c>
      <c r="T327" s="44">
        <v>0</v>
      </c>
      <c r="U327" s="44">
        <v>0</v>
      </c>
      <c r="V327" s="44">
        <v>0</v>
      </c>
      <c r="W327" s="44">
        <v>0</v>
      </c>
      <c r="X327" s="44">
        <v>0</v>
      </c>
      <c r="Y327" s="44">
        <v>0</v>
      </c>
    </row>
    <row r="328" spans="1:25" x14ac:dyDescent="0.2">
      <c r="A328" s="50">
        <f t="shared" si="5"/>
        <v>45984</v>
      </c>
      <c r="B328" s="51">
        <v>0</v>
      </c>
      <c r="C328" s="52">
        <v>0</v>
      </c>
      <c r="D328" s="52">
        <v>0</v>
      </c>
      <c r="E328" s="52">
        <v>0</v>
      </c>
      <c r="F328" s="52">
        <v>0</v>
      </c>
      <c r="G328" s="52">
        <v>0</v>
      </c>
      <c r="H328" s="52">
        <v>0</v>
      </c>
      <c r="I328" s="52">
        <v>0</v>
      </c>
      <c r="J328" s="52">
        <v>0</v>
      </c>
      <c r="K328" s="53">
        <v>0</v>
      </c>
      <c r="L328" s="49">
        <v>0</v>
      </c>
      <c r="M328" s="44">
        <v>0</v>
      </c>
      <c r="N328" s="44">
        <v>0</v>
      </c>
      <c r="T328" s="44">
        <v>0</v>
      </c>
      <c r="U328" s="44">
        <v>0</v>
      </c>
      <c r="V328" s="44">
        <v>0</v>
      </c>
      <c r="W328" s="44">
        <v>0</v>
      </c>
      <c r="X328" s="44">
        <v>0</v>
      </c>
      <c r="Y328" s="44">
        <v>0</v>
      </c>
    </row>
    <row r="329" spans="1:25" x14ac:dyDescent="0.2">
      <c r="A329" s="50">
        <f t="shared" si="5"/>
        <v>45985</v>
      </c>
      <c r="B329" s="51">
        <v>0</v>
      </c>
      <c r="C329" s="52">
        <v>0</v>
      </c>
      <c r="D329" s="52">
        <v>0</v>
      </c>
      <c r="E329" s="52">
        <v>0</v>
      </c>
      <c r="F329" s="52">
        <v>0</v>
      </c>
      <c r="G329" s="52">
        <v>0</v>
      </c>
      <c r="H329" s="52">
        <v>0</v>
      </c>
      <c r="I329" s="52">
        <v>0</v>
      </c>
      <c r="J329" s="52">
        <v>0</v>
      </c>
      <c r="K329" s="53">
        <v>0</v>
      </c>
      <c r="L329" s="49">
        <v>0</v>
      </c>
      <c r="M329" s="44">
        <v>0</v>
      </c>
      <c r="N329" s="44">
        <v>0</v>
      </c>
      <c r="T329" s="44">
        <v>0</v>
      </c>
      <c r="U329" s="44">
        <v>0</v>
      </c>
      <c r="V329" s="44">
        <v>0</v>
      </c>
      <c r="W329" s="44">
        <v>0</v>
      </c>
      <c r="X329" s="44">
        <v>0</v>
      </c>
      <c r="Y329" s="44">
        <v>0</v>
      </c>
    </row>
    <row r="330" spans="1:25" x14ac:dyDescent="0.2">
      <c r="A330" s="50">
        <f t="shared" si="5"/>
        <v>45986</v>
      </c>
      <c r="B330" s="51">
        <v>0</v>
      </c>
      <c r="C330" s="52">
        <v>0</v>
      </c>
      <c r="D330" s="52">
        <v>0</v>
      </c>
      <c r="E330" s="52">
        <v>0</v>
      </c>
      <c r="F330" s="52">
        <v>0</v>
      </c>
      <c r="G330" s="52">
        <v>0</v>
      </c>
      <c r="H330" s="52">
        <v>0</v>
      </c>
      <c r="I330" s="52">
        <v>0</v>
      </c>
      <c r="J330" s="52">
        <v>0</v>
      </c>
      <c r="K330" s="53">
        <v>0</v>
      </c>
      <c r="L330" s="49">
        <v>0</v>
      </c>
      <c r="M330" s="44">
        <v>0</v>
      </c>
      <c r="N330" s="44">
        <v>0</v>
      </c>
      <c r="T330" s="44">
        <v>0</v>
      </c>
      <c r="U330" s="44">
        <v>0</v>
      </c>
      <c r="V330" s="44">
        <v>0</v>
      </c>
      <c r="W330" s="44">
        <v>0</v>
      </c>
      <c r="X330" s="44">
        <v>0</v>
      </c>
      <c r="Y330" s="44">
        <v>0</v>
      </c>
    </row>
    <row r="331" spans="1:25" x14ac:dyDescent="0.2">
      <c r="A331" s="50">
        <f t="shared" si="5"/>
        <v>45987</v>
      </c>
      <c r="B331" s="51">
        <v>0</v>
      </c>
      <c r="C331" s="52">
        <v>0</v>
      </c>
      <c r="D331" s="52">
        <v>0</v>
      </c>
      <c r="E331" s="52">
        <v>0</v>
      </c>
      <c r="F331" s="52">
        <v>0</v>
      </c>
      <c r="G331" s="52">
        <v>0</v>
      </c>
      <c r="H331" s="52">
        <v>0</v>
      </c>
      <c r="I331" s="52">
        <v>0</v>
      </c>
      <c r="J331" s="52">
        <v>0</v>
      </c>
      <c r="K331" s="53">
        <v>0</v>
      </c>
      <c r="L331" s="49">
        <v>0</v>
      </c>
      <c r="M331" s="44">
        <v>0</v>
      </c>
      <c r="N331" s="44">
        <v>0</v>
      </c>
      <c r="T331" s="44">
        <v>0</v>
      </c>
      <c r="U331" s="44">
        <v>0</v>
      </c>
      <c r="V331" s="44">
        <v>0</v>
      </c>
      <c r="W331" s="44">
        <v>0</v>
      </c>
      <c r="X331" s="44">
        <v>0</v>
      </c>
      <c r="Y331" s="44">
        <v>0</v>
      </c>
    </row>
    <row r="332" spans="1:25" x14ac:dyDescent="0.2">
      <c r="A332" s="50">
        <f t="shared" si="5"/>
        <v>45988</v>
      </c>
      <c r="B332" s="51">
        <v>0</v>
      </c>
      <c r="C332" s="52">
        <v>0</v>
      </c>
      <c r="D332" s="52">
        <v>0</v>
      </c>
      <c r="E332" s="52">
        <v>0</v>
      </c>
      <c r="F332" s="52">
        <v>0</v>
      </c>
      <c r="G332" s="52">
        <v>0</v>
      </c>
      <c r="H332" s="52">
        <v>0</v>
      </c>
      <c r="I332" s="52">
        <v>0</v>
      </c>
      <c r="J332" s="52">
        <v>0</v>
      </c>
      <c r="K332" s="53">
        <v>0</v>
      </c>
      <c r="L332" s="49">
        <v>0</v>
      </c>
      <c r="M332" s="44">
        <v>0</v>
      </c>
      <c r="N332" s="44">
        <v>0</v>
      </c>
      <c r="T332" s="44">
        <v>0</v>
      </c>
      <c r="U332" s="44">
        <v>0</v>
      </c>
      <c r="V332" s="44">
        <v>0</v>
      </c>
      <c r="W332" s="44">
        <v>0</v>
      </c>
      <c r="X332" s="44">
        <v>0</v>
      </c>
      <c r="Y332" s="44">
        <v>0</v>
      </c>
    </row>
    <row r="333" spans="1:25" x14ac:dyDescent="0.2">
      <c r="A333" s="50">
        <f t="shared" si="5"/>
        <v>45989</v>
      </c>
      <c r="B333" s="51">
        <v>0</v>
      </c>
      <c r="C333" s="52">
        <v>0</v>
      </c>
      <c r="D333" s="52">
        <v>0</v>
      </c>
      <c r="E333" s="52">
        <v>0</v>
      </c>
      <c r="F333" s="52">
        <v>0</v>
      </c>
      <c r="G333" s="52">
        <v>0</v>
      </c>
      <c r="H333" s="52">
        <v>0</v>
      </c>
      <c r="I333" s="52">
        <v>0</v>
      </c>
      <c r="J333" s="52">
        <v>0</v>
      </c>
      <c r="K333" s="53">
        <v>0</v>
      </c>
      <c r="L333" s="49">
        <v>0</v>
      </c>
      <c r="M333" s="44">
        <v>0</v>
      </c>
      <c r="N333" s="44">
        <v>0</v>
      </c>
      <c r="T333" s="44">
        <v>0</v>
      </c>
      <c r="U333" s="44">
        <v>0</v>
      </c>
      <c r="V333" s="44">
        <v>0</v>
      </c>
      <c r="W333" s="44">
        <v>0</v>
      </c>
      <c r="X333" s="44">
        <v>0</v>
      </c>
      <c r="Y333" s="44">
        <v>0</v>
      </c>
    </row>
    <row r="334" spans="1:25" x14ac:dyDescent="0.2">
      <c r="A334" s="50">
        <f t="shared" si="5"/>
        <v>45990</v>
      </c>
      <c r="B334" s="51">
        <v>0</v>
      </c>
      <c r="C334" s="52">
        <v>0</v>
      </c>
      <c r="D334" s="52">
        <v>0</v>
      </c>
      <c r="E334" s="52">
        <v>0</v>
      </c>
      <c r="F334" s="52">
        <v>0</v>
      </c>
      <c r="G334" s="52">
        <v>0</v>
      </c>
      <c r="H334" s="52">
        <v>0</v>
      </c>
      <c r="I334" s="52">
        <v>0</v>
      </c>
      <c r="J334" s="52">
        <v>0</v>
      </c>
      <c r="K334" s="53">
        <v>0</v>
      </c>
      <c r="L334" s="49">
        <v>0</v>
      </c>
      <c r="M334" s="44">
        <v>0</v>
      </c>
      <c r="N334" s="44">
        <v>0</v>
      </c>
      <c r="T334" s="44">
        <v>0</v>
      </c>
      <c r="U334" s="44">
        <v>0</v>
      </c>
      <c r="V334" s="44">
        <v>0</v>
      </c>
      <c r="W334" s="44">
        <v>0</v>
      </c>
      <c r="X334" s="44">
        <v>0</v>
      </c>
      <c r="Y334" s="44">
        <v>0</v>
      </c>
    </row>
    <row r="335" spans="1:25" x14ac:dyDescent="0.2">
      <c r="A335" s="50">
        <f t="shared" si="5"/>
        <v>45991</v>
      </c>
      <c r="B335" s="51">
        <v>0</v>
      </c>
      <c r="C335" s="52">
        <v>0</v>
      </c>
      <c r="D335" s="52">
        <v>0</v>
      </c>
      <c r="E335" s="52">
        <v>0</v>
      </c>
      <c r="F335" s="52">
        <v>0</v>
      </c>
      <c r="G335" s="52">
        <v>0</v>
      </c>
      <c r="H335" s="52">
        <v>0</v>
      </c>
      <c r="I335" s="52">
        <v>0</v>
      </c>
      <c r="J335" s="52">
        <v>0</v>
      </c>
      <c r="K335" s="53">
        <v>0</v>
      </c>
      <c r="L335" s="49">
        <v>0</v>
      </c>
      <c r="M335" s="44">
        <v>0</v>
      </c>
      <c r="N335" s="44">
        <v>0</v>
      </c>
      <c r="T335" s="44">
        <v>0</v>
      </c>
      <c r="U335" s="44">
        <v>0</v>
      </c>
      <c r="V335" s="44">
        <v>0</v>
      </c>
      <c r="W335" s="44">
        <v>0</v>
      </c>
      <c r="X335" s="44">
        <v>0</v>
      </c>
      <c r="Y335" s="44">
        <v>0</v>
      </c>
    </row>
    <row r="336" spans="1:25" x14ac:dyDescent="0.2">
      <c r="A336" s="50">
        <f t="shared" si="5"/>
        <v>45992</v>
      </c>
      <c r="B336" s="51">
        <v>0</v>
      </c>
      <c r="C336" s="52">
        <v>0</v>
      </c>
      <c r="D336" s="52">
        <v>0</v>
      </c>
      <c r="E336" s="52">
        <v>0</v>
      </c>
      <c r="F336" s="52">
        <v>0</v>
      </c>
      <c r="G336" s="52">
        <v>0</v>
      </c>
      <c r="H336" s="52">
        <v>0</v>
      </c>
      <c r="I336" s="52">
        <v>0</v>
      </c>
      <c r="J336" s="52">
        <v>0</v>
      </c>
      <c r="K336" s="53">
        <v>0</v>
      </c>
      <c r="L336" s="49">
        <v>0</v>
      </c>
      <c r="M336" s="44">
        <v>0</v>
      </c>
      <c r="N336" s="44">
        <v>0</v>
      </c>
      <c r="T336" s="44">
        <v>0</v>
      </c>
      <c r="U336" s="44">
        <v>0</v>
      </c>
      <c r="V336" s="44">
        <v>0</v>
      </c>
      <c r="W336" s="44">
        <v>0</v>
      </c>
      <c r="X336" s="44">
        <v>0</v>
      </c>
      <c r="Y336" s="44">
        <v>0</v>
      </c>
    </row>
    <row r="337" spans="1:25" x14ac:dyDescent="0.2">
      <c r="A337" s="50">
        <f t="shared" si="5"/>
        <v>45993</v>
      </c>
      <c r="B337" s="51">
        <v>0</v>
      </c>
      <c r="C337" s="52">
        <v>0</v>
      </c>
      <c r="D337" s="52">
        <v>0</v>
      </c>
      <c r="E337" s="52">
        <v>0</v>
      </c>
      <c r="F337" s="52">
        <v>0</v>
      </c>
      <c r="G337" s="52">
        <v>0</v>
      </c>
      <c r="H337" s="52">
        <v>0</v>
      </c>
      <c r="I337" s="52">
        <v>0</v>
      </c>
      <c r="J337" s="52">
        <v>0</v>
      </c>
      <c r="K337" s="53">
        <v>0</v>
      </c>
      <c r="L337" s="49">
        <v>0</v>
      </c>
      <c r="M337" s="44">
        <v>0</v>
      </c>
      <c r="N337" s="44">
        <v>0</v>
      </c>
      <c r="T337" s="44">
        <v>0</v>
      </c>
      <c r="U337" s="44">
        <v>0</v>
      </c>
      <c r="V337" s="44">
        <v>0</v>
      </c>
      <c r="W337" s="44">
        <v>0</v>
      </c>
      <c r="X337" s="44">
        <v>0</v>
      </c>
      <c r="Y337" s="44">
        <v>0</v>
      </c>
    </row>
    <row r="338" spans="1:25" x14ac:dyDescent="0.2">
      <c r="A338" s="50">
        <f t="shared" si="5"/>
        <v>45994</v>
      </c>
      <c r="B338" s="51">
        <v>0</v>
      </c>
      <c r="C338" s="52">
        <v>0</v>
      </c>
      <c r="D338" s="52">
        <v>0</v>
      </c>
      <c r="E338" s="52">
        <v>0</v>
      </c>
      <c r="F338" s="52">
        <v>0</v>
      </c>
      <c r="G338" s="52">
        <v>0</v>
      </c>
      <c r="H338" s="52">
        <v>0</v>
      </c>
      <c r="I338" s="52">
        <v>0</v>
      </c>
      <c r="J338" s="52">
        <v>0</v>
      </c>
      <c r="K338" s="53">
        <v>0</v>
      </c>
      <c r="L338" s="49">
        <v>0</v>
      </c>
      <c r="M338" s="44">
        <v>0</v>
      </c>
      <c r="N338" s="44">
        <v>0</v>
      </c>
      <c r="T338" s="44">
        <v>0</v>
      </c>
      <c r="U338" s="44">
        <v>0</v>
      </c>
      <c r="V338" s="44">
        <v>0</v>
      </c>
      <c r="W338" s="44">
        <v>0</v>
      </c>
      <c r="X338" s="44">
        <v>0</v>
      </c>
      <c r="Y338" s="44">
        <v>0</v>
      </c>
    </row>
    <row r="339" spans="1:25" x14ac:dyDescent="0.2">
      <c r="A339" s="50">
        <f t="shared" si="5"/>
        <v>45995</v>
      </c>
      <c r="B339" s="51">
        <v>0</v>
      </c>
      <c r="C339" s="52">
        <v>0</v>
      </c>
      <c r="D339" s="52">
        <v>0</v>
      </c>
      <c r="E339" s="52">
        <v>0</v>
      </c>
      <c r="F339" s="52">
        <v>0</v>
      </c>
      <c r="G339" s="52">
        <v>0</v>
      </c>
      <c r="H339" s="52">
        <v>0</v>
      </c>
      <c r="I339" s="52">
        <v>0</v>
      </c>
      <c r="J339" s="52">
        <v>0</v>
      </c>
      <c r="K339" s="53">
        <v>0</v>
      </c>
      <c r="L339" s="49">
        <v>0</v>
      </c>
      <c r="M339" s="44">
        <v>0</v>
      </c>
      <c r="N339" s="44">
        <v>0</v>
      </c>
      <c r="T339" s="44">
        <v>0</v>
      </c>
      <c r="U339" s="44">
        <v>0</v>
      </c>
      <c r="V339" s="44">
        <v>0</v>
      </c>
      <c r="W339" s="44">
        <v>0</v>
      </c>
      <c r="X339" s="44">
        <v>0</v>
      </c>
      <c r="Y339" s="44">
        <v>0</v>
      </c>
    </row>
    <row r="340" spans="1:25" x14ac:dyDescent="0.2">
      <c r="A340" s="50">
        <f t="shared" si="5"/>
        <v>45996</v>
      </c>
      <c r="B340" s="51">
        <v>0</v>
      </c>
      <c r="C340" s="52">
        <v>0</v>
      </c>
      <c r="D340" s="52">
        <v>0</v>
      </c>
      <c r="E340" s="52">
        <v>0</v>
      </c>
      <c r="F340" s="52">
        <v>0</v>
      </c>
      <c r="G340" s="52">
        <v>0</v>
      </c>
      <c r="H340" s="52">
        <v>0</v>
      </c>
      <c r="I340" s="52">
        <v>0</v>
      </c>
      <c r="J340" s="52">
        <v>0</v>
      </c>
      <c r="K340" s="53">
        <v>0</v>
      </c>
      <c r="L340" s="49">
        <v>0</v>
      </c>
      <c r="M340" s="44">
        <v>0</v>
      </c>
      <c r="N340" s="44">
        <v>0</v>
      </c>
      <c r="T340" s="44">
        <v>0</v>
      </c>
      <c r="U340" s="44">
        <v>0</v>
      </c>
      <c r="V340" s="44">
        <v>0</v>
      </c>
      <c r="W340" s="44">
        <v>0</v>
      </c>
      <c r="X340" s="44">
        <v>0</v>
      </c>
      <c r="Y340" s="44">
        <v>0</v>
      </c>
    </row>
    <row r="341" spans="1:25" x14ac:dyDescent="0.2">
      <c r="A341" s="50">
        <f t="shared" si="5"/>
        <v>45997</v>
      </c>
      <c r="B341" s="51">
        <v>0</v>
      </c>
      <c r="C341" s="52">
        <v>0</v>
      </c>
      <c r="D341" s="52">
        <v>0</v>
      </c>
      <c r="E341" s="52">
        <v>0</v>
      </c>
      <c r="F341" s="52">
        <v>0</v>
      </c>
      <c r="G341" s="52">
        <v>0</v>
      </c>
      <c r="H341" s="52">
        <v>0</v>
      </c>
      <c r="I341" s="52">
        <v>0</v>
      </c>
      <c r="J341" s="52">
        <v>0</v>
      </c>
      <c r="K341" s="53">
        <v>0</v>
      </c>
      <c r="L341" s="49">
        <v>0</v>
      </c>
      <c r="M341" s="44">
        <v>0</v>
      </c>
      <c r="N341" s="44">
        <v>0</v>
      </c>
      <c r="T341" s="44">
        <v>0</v>
      </c>
      <c r="U341" s="44">
        <v>0</v>
      </c>
      <c r="V341" s="44">
        <v>0</v>
      </c>
      <c r="W341" s="44">
        <v>0</v>
      </c>
      <c r="X341" s="44">
        <v>0</v>
      </c>
      <c r="Y341" s="44">
        <v>0</v>
      </c>
    </row>
    <row r="342" spans="1:25" x14ac:dyDescent="0.2">
      <c r="A342" s="50">
        <f t="shared" si="5"/>
        <v>45998</v>
      </c>
      <c r="B342" s="51">
        <v>0</v>
      </c>
      <c r="C342" s="52">
        <v>0</v>
      </c>
      <c r="D342" s="52">
        <v>0</v>
      </c>
      <c r="E342" s="52">
        <v>0</v>
      </c>
      <c r="F342" s="52">
        <v>0</v>
      </c>
      <c r="G342" s="52">
        <v>0</v>
      </c>
      <c r="H342" s="52">
        <v>0</v>
      </c>
      <c r="I342" s="52">
        <v>0</v>
      </c>
      <c r="J342" s="52">
        <v>0</v>
      </c>
      <c r="K342" s="53">
        <v>0</v>
      </c>
      <c r="L342" s="49">
        <v>0</v>
      </c>
      <c r="M342" s="44">
        <v>0</v>
      </c>
      <c r="N342" s="44">
        <v>0</v>
      </c>
      <c r="T342" s="44">
        <v>0</v>
      </c>
      <c r="U342" s="44">
        <v>0</v>
      </c>
      <c r="V342" s="44">
        <v>0</v>
      </c>
      <c r="W342" s="44">
        <v>0</v>
      </c>
      <c r="X342" s="44">
        <v>0</v>
      </c>
      <c r="Y342" s="44">
        <v>0</v>
      </c>
    </row>
    <row r="343" spans="1:25" x14ac:dyDescent="0.2">
      <c r="A343" s="50">
        <f t="shared" si="5"/>
        <v>45999</v>
      </c>
      <c r="B343" s="51">
        <v>0</v>
      </c>
      <c r="C343" s="52">
        <v>0</v>
      </c>
      <c r="D343" s="52">
        <v>0</v>
      </c>
      <c r="E343" s="52">
        <v>0</v>
      </c>
      <c r="F343" s="52">
        <v>0</v>
      </c>
      <c r="G343" s="52">
        <v>0</v>
      </c>
      <c r="H343" s="52">
        <v>0</v>
      </c>
      <c r="I343" s="52">
        <v>0</v>
      </c>
      <c r="J343" s="52">
        <v>0</v>
      </c>
      <c r="K343" s="53">
        <v>0</v>
      </c>
      <c r="L343" s="49">
        <v>0</v>
      </c>
      <c r="M343" s="44">
        <v>0</v>
      </c>
      <c r="N343" s="44">
        <v>0</v>
      </c>
      <c r="T343" s="44">
        <v>0</v>
      </c>
      <c r="U343" s="44">
        <v>0</v>
      </c>
      <c r="V343" s="44">
        <v>0</v>
      </c>
      <c r="W343" s="44">
        <v>0</v>
      </c>
      <c r="X343" s="44">
        <v>0</v>
      </c>
      <c r="Y343" s="44">
        <v>0</v>
      </c>
    </row>
    <row r="344" spans="1:25" x14ac:dyDescent="0.2">
      <c r="A344" s="50">
        <f t="shared" si="5"/>
        <v>46000</v>
      </c>
      <c r="B344" s="51">
        <v>0</v>
      </c>
      <c r="C344" s="52">
        <v>0</v>
      </c>
      <c r="D344" s="52">
        <v>0</v>
      </c>
      <c r="E344" s="52">
        <v>0</v>
      </c>
      <c r="F344" s="52">
        <v>0</v>
      </c>
      <c r="G344" s="52">
        <v>0</v>
      </c>
      <c r="H344" s="52">
        <v>0</v>
      </c>
      <c r="I344" s="52">
        <v>0</v>
      </c>
      <c r="J344" s="52">
        <v>0</v>
      </c>
      <c r="K344" s="53">
        <v>0</v>
      </c>
      <c r="L344" s="49">
        <v>0</v>
      </c>
      <c r="M344" s="44">
        <v>0</v>
      </c>
      <c r="N344" s="44">
        <v>0</v>
      </c>
      <c r="T344" s="44">
        <v>0</v>
      </c>
      <c r="U344" s="44">
        <v>0</v>
      </c>
      <c r="V344" s="44">
        <v>0</v>
      </c>
      <c r="W344" s="44">
        <v>0</v>
      </c>
      <c r="X344" s="44">
        <v>0</v>
      </c>
      <c r="Y344" s="44">
        <v>0</v>
      </c>
    </row>
    <row r="345" spans="1:25" x14ac:dyDescent="0.2">
      <c r="A345" s="50">
        <f t="shared" si="5"/>
        <v>46001</v>
      </c>
      <c r="B345" s="51">
        <v>0</v>
      </c>
      <c r="C345" s="52">
        <v>0</v>
      </c>
      <c r="D345" s="52">
        <v>0</v>
      </c>
      <c r="E345" s="52">
        <v>0</v>
      </c>
      <c r="F345" s="52">
        <v>0</v>
      </c>
      <c r="G345" s="52">
        <v>0</v>
      </c>
      <c r="H345" s="52">
        <v>0</v>
      </c>
      <c r="I345" s="52">
        <v>0</v>
      </c>
      <c r="J345" s="52">
        <v>0</v>
      </c>
      <c r="K345" s="53">
        <v>0</v>
      </c>
      <c r="L345" s="49">
        <v>0</v>
      </c>
      <c r="M345" s="44">
        <v>0</v>
      </c>
      <c r="N345" s="44">
        <v>0</v>
      </c>
      <c r="T345" s="44">
        <v>0</v>
      </c>
      <c r="U345" s="44">
        <v>0</v>
      </c>
      <c r="V345" s="44">
        <v>0</v>
      </c>
      <c r="W345" s="44">
        <v>0</v>
      </c>
      <c r="X345" s="44">
        <v>0</v>
      </c>
      <c r="Y345" s="44">
        <v>0</v>
      </c>
    </row>
    <row r="346" spans="1:25" x14ac:dyDescent="0.2">
      <c r="A346" s="50">
        <f t="shared" si="5"/>
        <v>46002</v>
      </c>
      <c r="B346" s="51">
        <v>0</v>
      </c>
      <c r="C346" s="52">
        <v>0</v>
      </c>
      <c r="D346" s="52">
        <v>0</v>
      </c>
      <c r="E346" s="52">
        <v>0</v>
      </c>
      <c r="F346" s="52">
        <v>0</v>
      </c>
      <c r="G346" s="52">
        <v>0</v>
      </c>
      <c r="H346" s="52">
        <v>0</v>
      </c>
      <c r="I346" s="52">
        <v>0</v>
      </c>
      <c r="J346" s="52">
        <v>0</v>
      </c>
      <c r="K346" s="53">
        <v>0</v>
      </c>
      <c r="L346" s="49">
        <v>0</v>
      </c>
      <c r="M346" s="44">
        <v>0</v>
      </c>
      <c r="N346" s="44">
        <v>0</v>
      </c>
      <c r="T346" s="44">
        <v>0</v>
      </c>
      <c r="U346" s="44">
        <v>0</v>
      </c>
      <c r="V346" s="44">
        <v>0</v>
      </c>
      <c r="W346" s="44">
        <v>0</v>
      </c>
      <c r="X346" s="44">
        <v>0</v>
      </c>
      <c r="Y346" s="44">
        <v>0</v>
      </c>
    </row>
    <row r="347" spans="1:25" x14ac:dyDescent="0.2">
      <c r="A347" s="50">
        <f t="shared" si="5"/>
        <v>46003</v>
      </c>
      <c r="B347" s="51">
        <v>0</v>
      </c>
      <c r="C347" s="52">
        <v>0</v>
      </c>
      <c r="D347" s="52">
        <v>0</v>
      </c>
      <c r="E347" s="52">
        <v>0</v>
      </c>
      <c r="F347" s="52">
        <v>0</v>
      </c>
      <c r="G347" s="52">
        <v>0</v>
      </c>
      <c r="H347" s="52">
        <v>0</v>
      </c>
      <c r="I347" s="52">
        <v>0</v>
      </c>
      <c r="J347" s="52">
        <v>0</v>
      </c>
      <c r="K347" s="53">
        <v>0</v>
      </c>
      <c r="L347" s="49">
        <v>0</v>
      </c>
      <c r="M347" s="44">
        <v>0</v>
      </c>
      <c r="N347" s="44">
        <v>0</v>
      </c>
      <c r="T347" s="44">
        <v>0</v>
      </c>
      <c r="U347" s="44">
        <v>0</v>
      </c>
      <c r="V347" s="44">
        <v>0</v>
      </c>
      <c r="W347" s="44">
        <v>0</v>
      </c>
      <c r="X347" s="44">
        <v>0</v>
      </c>
      <c r="Y347" s="44">
        <v>0</v>
      </c>
    </row>
    <row r="348" spans="1:25" x14ac:dyDescent="0.2">
      <c r="A348" s="50">
        <f t="shared" si="5"/>
        <v>46004</v>
      </c>
      <c r="B348" s="51">
        <v>0</v>
      </c>
      <c r="C348" s="52">
        <v>0</v>
      </c>
      <c r="D348" s="52">
        <v>0</v>
      </c>
      <c r="E348" s="52">
        <v>0</v>
      </c>
      <c r="F348" s="52">
        <v>0</v>
      </c>
      <c r="G348" s="52">
        <v>0</v>
      </c>
      <c r="H348" s="52">
        <v>0</v>
      </c>
      <c r="I348" s="52">
        <v>0</v>
      </c>
      <c r="J348" s="52">
        <v>0</v>
      </c>
      <c r="K348" s="53">
        <v>0</v>
      </c>
      <c r="L348" s="49">
        <v>0</v>
      </c>
      <c r="M348" s="44">
        <v>0</v>
      </c>
      <c r="N348" s="44">
        <v>0</v>
      </c>
      <c r="T348" s="44">
        <v>0</v>
      </c>
      <c r="U348" s="44">
        <v>0</v>
      </c>
      <c r="V348" s="44">
        <v>0</v>
      </c>
      <c r="W348" s="44">
        <v>0</v>
      </c>
      <c r="X348" s="44">
        <v>0</v>
      </c>
      <c r="Y348" s="44">
        <v>0</v>
      </c>
    </row>
    <row r="349" spans="1:25" x14ac:dyDescent="0.2">
      <c r="A349" s="50">
        <f t="shared" si="5"/>
        <v>46005</v>
      </c>
      <c r="B349" s="51">
        <v>0</v>
      </c>
      <c r="C349" s="52">
        <v>0</v>
      </c>
      <c r="D349" s="52">
        <v>0</v>
      </c>
      <c r="E349" s="52">
        <v>0</v>
      </c>
      <c r="F349" s="52">
        <v>0</v>
      </c>
      <c r="G349" s="52">
        <v>0</v>
      </c>
      <c r="H349" s="52">
        <v>0</v>
      </c>
      <c r="I349" s="52">
        <v>0</v>
      </c>
      <c r="J349" s="52">
        <v>0</v>
      </c>
      <c r="K349" s="53">
        <v>0</v>
      </c>
      <c r="L349" s="49">
        <v>0</v>
      </c>
      <c r="M349" s="44">
        <v>0</v>
      </c>
      <c r="N349" s="44">
        <v>0</v>
      </c>
      <c r="T349" s="44">
        <v>0</v>
      </c>
      <c r="U349" s="44">
        <v>0</v>
      </c>
      <c r="V349" s="44">
        <v>0</v>
      </c>
      <c r="W349" s="44">
        <v>0</v>
      </c>
      <c r="X349" s="44">
        <v>0</v>
      </c>
      <c r="Y349" s="44">
        <v>0</v>
      </c>
    </row>
    <row r="350" spans="1:25" x14ac:dyDescent="0.2">
      <c r="A350" s="50">
        <f t="shared" si="5"/>
        <v>46006</v>
      </c>
      <c r="B350" s="51">
        <v>0</v>
      </c>
      <c r="C350" s="52">
        <v>0</v>
      </c>
      <c r="D350" s="52">
        <v>0</v>
      </c>
      <c r="E350" s="52">
        <v>0</v>
      </c>
      <c r="F350" s="52">
        <v>0</v>
      </c>
      <c r="G350" s="52">
        <v>0</v>
      </c>
      <c r="H350" s="52">
        <v>0</v>
      </c>
      <c r="I350" s="52">
        <v>0</v>
      </c>
      <c r="J350" s="52">
        <v>0</v>
      </c>
      <c r="K350" s="53">
        <v>0</v>
      </c>
      <c r="L350" s="49">
        <v>0</v>
      </c>
      <c r="M350" s="44">
        <v>0</v>
      </c>
      <c r="N350" s="44">
        <v>0</v>
      </c>
      <c r="T350" s="44">
        <v>0</v>
      </c>
      <c r="U350" s="44">
        <v>0</v>
      </c>
      <c r="V350" s="44">
        <v>0</v>
      </c>
      <c r="W350" s="44">
        <v>0</v>
      </c>
      <c r="X350" s="44">
        <v>0</v>
      </c>
      <c r="Y350" s="44">
        <v>0</v>
      </c>
    </row>
    <row r="351" spans="1:25" x14ac:dyDescent="0.2">
      <c r="A351" s="50">
        <f t="shared" si="5"/>
        <v>46007</v>
      </c>
      <c r="B351" s="51">
        <v>0</v>
      </c>
      <c r="C351" s="52">
        <v>0</v>
      </c>
      <c r="D351" s="52">
        <v>0</v>
      </c>
      <c r="E351" s="52">
        <v>0</v>
      </c>
      <c r="F351" s="52">
        <v>0</v>
      </c>
      <c r="G351" s="52">
        <v>0</v>
      </c>
      <c r="H351" s="52">
        <v>0</v>
      </c>
      <c r="I351" s="52">
        <v>0</v>
      </c>
      <c r="J351" s="52">
        <v>0</v>
      </c>
      <c r="K351" s="53">
        <v>0</v>
      </c>
      <c r="L351" s="49">
        <v>0</v>
      </c>
      <c r="M351" s="44">
        <v>0</v>
      </c>
      <c r="N351" s="44">
        <v>0</v>
      </c>
      <c r="T351" s="44">
        <v>0</v>
      </c>
      <c r="U351" s="44">
        <v>0</v>
      </c>
      <c r="V351" s="44">
        <v>0</v>
      </c>
      <c r="W351" s="44">
        <v>0</v>
      </c>
      <c r="X351" s="44">
        <v>0</v>
      </c>
      <c r="Y351" s="44">
        <v>0</v>
      </c>
    </row>
    <row r="352" spans="1:25" x14ac:dyDescent="0.2">
      <c r="A352" s="50">
        <f t="shared" ref="A352:A369" si="6">A351+1</f>
        <v>46008</v>
      </c>
      <c r="B352" s="51">
        <v>0</v>
      </c>
      <c r="C352" s="52">
        <v>0</v>
      </c>
      <c r="D352" s="52">
        <v>0</v>
      </c>
      <c r="E352" s="52">
        <v>0</v>
      </c>
      <c r="F352" s="52">
        <v>0</v>
      </c>
      <c r="G352" s="52">
        <v>0</v>
      </c>
      <c r="H352" s="52">
        <v>0</v>
      </c>
      <c r="I352" s="52">
        <v>0</v>
      </c>
      <c r="J352" s="52">
        <v>0</v>
      </c>
      <c r="K352" s="53">
        <v>0</v>
      </c>
      <c r="L352" s="49">
        <v>0</v>
      </c>
      <c r="M352" s="44">
        <v>0</v>
      </c>
      <c r="N352" s="44">
        <v>0</v>
      </c>
      <c r="T352" s="44">
        <v>0</v>
      </c>
      <c r="U352" s="44">
        <v>0</v>
      </c>
      <c r="V352" s="44">
        <v>0</v>
      </c>
      <c r="W352" s="44">
        <v>0</v>
      </c>
      <c r="X352" s="44">
        <v>0</v>
      </c>
      <c r="Y352" s="44">
        <v>0</v>
      </c>
    </row>
    <row r="353" spans="1:25" x14ac:dyDescent="0.2">
      <c r="A353" s="50">
        <f t="shared" si="6"/>
        <v>46009</v>
      </c>
      <c r="B353" s="51">
        <v>0</v>
      </c>
      <c r="C353" s="52">
        <v>0</v>
      </c>
      <c r="D353" s="52">
        <v>0</v>
      </c>
      <c r="E353" s="52">
        <v>0</v>
      </c>
      <c r="F353" s="52">
        <v>0</v>
      </c>
      <c r="G353" s="52">
        <v>0</v>
      </c>
      <c r="H353" s="52">
        <v>0</v>
      </c>
      <c r="I353" s="52">
        <v>0</v>
      </c>
      <c r="J353" s="52">
        <v>0</v>
      </c>
      <c r="K353" s="53">
        <v>0</v>
      </c>
      <c r="L353" s="49">
        <v>0</v>
      </c>
      <c r="M353" s="44">
        <v>0</v>
      </c>
      <c r="N353" s="44">
        <v>0</v>
      </c>
      <c r="T353" s="44">
        <v>0</v>
      </c>
      <c r="U353" s="44">
        <v>0</v>
      </c>
      <c r="V353" s="44">
        <v>0</v>
      </c>
      <c r="W353" s="44">
        <v>0</v>
      </c>
      <c r="X353" s="44">
        <v>0</v>
      </c>
      <c r="Y353" s="44">
        <v>0</v>
      </c>
    </row>
    <row r="354" spans="1:25" x14ac:dyDescent="0.2">
      <c r="A354" s="50">
        <f t="shared" si="6"/>
        <v>46010</v>
      </c>
      <c r="B354" s="51">
        <v>0</v>
      </c>
      <c r="C354" s="52">
        <v>0</v>
      </c>
      <c r="D354" s="52">
        <v>0</v>
      </c>
      <c r="E354" s="52">
        <v>0</v>
      </c>
      <c r="F354" s="52">
        <v>0</v>
      </c>
      <c r="G354" s="52">
        <v>0</v>
      </c>
      <c r="H354" s="52">
        <v>0</v>
      </c>
      <c r="I354" s="52">
        <v>0</v>
      </c>
      <c r="J354" s="52">
        <v>0</v>
      </c>
      <c r="K354" s="53">
        <v>0</v>
      </c>
      <c r="L354" s="49">
        <v>0</v>
      </c>
      <c r="M354" s="44">
        <v>0</v>
      </c>
      <c r="N354" s="44">
        <v>0</v>
      </c>
      <c r="T354" s="44">
        <v>0</v>
      </c>
      <c r="U354" s="44">
        <v>0</v>
      </c>
      <c r="V354" s="44">
        <v>0</v>
      </c>
      <c r="W354" s="44">
        <v>0</v>
      </c>
      <c r="X354" s="44">
        <v>0</v>
      </c>
      <c r="Y354" s="44">
        <v>0</v>
      </c>
    </row>
    <row r="355" spans="1:25" x14ac:dyDescent="0.2">
      <c r="A355" s="50">
        <f t="shared" si="6"/>
        <v>46011</v>
      </c>
      <c r="B355" s="51">
        <v>0</v>
      </c>
      <c r="C355" s="52">
        <v>0</v>
      </c>
      <c r="D355" s="52">
        <v>0</v>
      </c>
      <c r="E355" s="52">
        <v>0</v>
      </c>
      <c r="F355" s="52">
        <v>0</v>
      </c>
      <c r="G355" s="52">
        <v>0</v>
      </c>
      <c r="H355" s="52">
        <v>0</v>
      </c>
      <c r="I355" s="52">
        <v>0</v>
      </c>
      <c r="J355" s="52">
        <v>0</v>
      </c>
      <c r="K355" s="53">
        <v>0</v>
      </c>
      <c r="L355" s="49">
        <v>0</v>
      </c>
      <c r="M355" s="44">
        <v>0</v>
      </c>
      <c r="N355" s="44">
        <v>0</v>
      </c>
      <c r="T355" s="44">
        <v>0</v>
      </c>
      <c r="U355" s="44">
        <v>0</v>
      </c>
      <c r="V355" s="44">
        <v>0</v>
      </c>
      <c r="W355" s="44">
        <v>0</v>
      </c>
      <c r="X355" s="44">
        <v>0</v>
      </c>
      <c r="Y355" s="44">
        <v>0</v>
      </c>
    </row>
    <row r="356" spans="1:25" x14ac:dyDescent="0.2">
      <c r="A356" s="50">
        <f t="shared" si="6"/>
        <v>46012</v>
      </c>
      <c r="B356" s="51">
        <v>0</v>
      </c>
      <c r="C356" s="52">
        <v>0</v>
      </c>
      <c r="D356" s="52">
        <v>0</v>
      </c>
      <c r="E356" s="52">
        <v>0</v>
      </c>
      <c r="F356" s="52">
        <v>0</v>
      </c>
      <c r="G356" s="52">
        <v>0</v>
      </c>
      <c r="H356" s="52">
        <v>0</v>
      </c>
      <c r="I356" s="52">
        <v>0</v>
      </c>
      <c r="J356" s="52">
        <v>0</v>
      </c>
      <c r="K356" s="53">
        <v>0</v>
      </c>
      <c r="L356" s="49">
        <v>0</v>
      </c>
      <c r="M356" s="44">
        <v>0</v>
      </c>
      <c r="N356" s="44">
        <v>0</v>
      </c>
      <c r="T356" s="44">
        <v>0</v>
      </c>
      <c r="U356" s="44">
        <v>0</v>
      </c>
      <c r="V356" s="44">
        <v>0</v>
      </c>
      <c r="W356" s="44">
        <v>0</v>
      </c>
      <c r="X356" s="44">
        <v>0</v>
      </c>
      <c r="Y356" s="44">
        <v>0</v>
      </c>
    </row>
    <row r="357" spans="1:25" x14ac:dyDescent="0.2">
      <c r="A357" s="50">
        <f t="shared" si="6"/>
        <v>46013</v>
      </c>
      <c r="B357" s="51">
        <v>0</v>
      </c>
      <c r="C357" s="52">
        <v>0</v>
      </c>
      <c r="D357" s="52">
        <v>0</v>
      </c>
      <c r="E357" s="52">
        <v>0</v>
      </c>
      <c r="F357" s="52">
        <v>0</v>
      </c>
      <c r="G357" s="52">
        <v>0</v>
      </c>
      <c r="H357" s="52">
        <v>0</v>
      </c>
      <c r="I357" s="52">
        <v>0</v>
      </c>
      <c r="J357" s="52">
        <v>0</v>
      </c>
      <c r="K357" s="53">
        <v>0</v>
      </c>
      <c r="L357" s="49">
        <v>0</v>
      </c>
      <c r="M357" s="44">
        <v>0</v>
      </c>
      <c r="N357" s="44">
        <v>0</v>
      </c>
      <c r="T357" s="44">
        <v>0</v>
      </c>
      <c r="U357" s="44">
        <v>0</v>
      </c>
      <c r="V357" s="44">
        <v>0</v>
      </c>
      <c r="W357" s="44">
        <v>0</v>
      </c>
      <c r="X357" s="44">
        <v>0</v>
      </c>
      <c r="Y357" s="44">
        <v>0</v>
      </c>
    </row>
    <row r="358" spans="1:25" x14ac:dyDescent="0.2">
      <c r="A358" s="50">
        <f t="shared" si="6"/>
        <v>46014</v>
      </c>
      <c r="B358" s="51">
        <v>0</v>
      </c>
      <c r="C358" s="52">
        <v>0</v>
      </c>
      <c r="D358" s="52">
        <v>0</v>
      </c>
      <c r="E358" s="52">
        <v>0</v>
      </c>
      <c r="F358" s="52">
        <v>0</v>
      </c>
      <c r="G358" s="52">
        <v>0</v>
      </c>
      <c r="H358" s="52">
        <v>0</v>
      </c>
      <c r="I358" s="52">
        <v>0</v>
      </c>
      <c r="J358" s="52">
        <v>0</v>
      </c>
      <c r="K358" s="53">
        <v>0</v>
      </c>
      <c r="L358" s="49">
        <v>0</v>
      </c>
      <c r="M358" s="44">
        <v>0</v>
      </c>
      <c r="N358" s="44">
        <v>0</v>
      </c>
      <c r="T358" s="44">
        <v>0</v>
      </c>
      <c r="U358" s="44">
        <v>0</v>
      </c>
      <c r="V358" s="44">
        <v>0</v>
      </c>
      <c r="W358" s="44">
        <v>0</v>
      </c>
      <c r="X358" s="44">
        <v>0</v>
      </c>
      <c r="Y358" s="44">
        <v>0</v>
      </c>
    </row>
    <row r="359" spans="1:25" x14ac:dyDescent="0.2">
      <c r="A359" s="50">
        <f t="shared" si="6"/>
        <v>46015</v>
      </c>
      <c r="B359" s="51">
        <v>0</v>
      </c>
      <c r="C359" s="52">
        <v>0</v>
      </c>
      <c r="D359" s="52">
        <v>0</v>
      </c>
      <c r="E359" s="52">
        <v>0</v>
      </c>
      <c r="F359" s="52">
        <v>0</v>
      </c>
      <c r="G359" s="52">
        <v>0</v>
      </c>
      <c r="H359" s="52">
        <v>0</v>
      </c>
      <c r="I359" s="52">
        <v>0</v>
      </c>
      <c r="J359" s="52">
        <v>0</v>
      </c>
      <c r="K359" s="53">
        <v>0</v>
      </c>
      <c r="L359" s="49">
        <v>0</v>
      </c>
      <c r="M359" s="44">
        <v>0</v>
      </c>
      <c r="N359" s="44">
        <v>0</v>
      </c>
      <c r="T359" s="44">
        <v>0</v>
      </c>
      <c r="U359" s="44">
        <v>0</v>
      </c>
      <c r="V359" s="44">
        <v>0</v>
      </c>
      <c r="W359" s="44">
        <v>0</v>
      </c>
      <c r="X359" s="44">
        <v>0</v>
      </c>
      <c r="Y359" s="44">
        <v>0</v>
      </c>
    </row>
    <row r="360" spans="1:25" x14ac:dyDescent="0.2">
      <c r="A360" s="50">
        <f t="shared" si="6"/>
        <v>46016</v>
      </c>
      <c r="B360" s="51">
        <v>0</v>
      </c>
      <c r="C360" s="52">
        <v>0</v>
      </c>
      <c r="D360" s="52">
        <v>0</v>
      </c>
      <c r="E360" s="52">
        <v>0</v>
      </c>
      <c r="F360" s="52">
        <v>0</v>
      </c>
      <c r="G360" s="52">
        <v>0</v>
      </c>
      <c r="H360" s="52">
        <v>0</v>
      </c>
      <c r="I360" s="52">
        <v>0</v>
      </c>
      <c r="J360" s="52">
        <v>0</v>
      </c>
      <c r="K360" s="53">
        <v>0</v>
      </c>
      <c r="L360" s="49">
        <v>0</v>
      </c>
      <c r="M360" s="44">
        <v>0</v>
      </c>
      <c r="N360" s="44">
        <v>0</v>
      </c>
      <c r="T360" s="44">
        <v>0</v>
      </c>
      <c r="U360" s="44">
        <v>0</v>
      </c>
      <c r="V360" s="44">
        <v>0</v>
      </c>
      <c r="W360" s="44">
        <v>0</v>
      </c>
      <c r="X360" s="44">
        <v>0</v>
      </c>
      <c r="Y360" s="44">
        <v>0</v>
      </c>
    </row>
    <row r="361" spans="1:25" x14ac:dyDescent="0.2">
      <c r="A361" s="50">
        <f t="shared" si="6"/>
        <v>46017</v>
      </c>
      <c r="B361" s="51">
        <v>0</v>
      </c>
      <c r="C361" s="52">
        <v>0</v>
      </c>
      <c r="D361" s="52">
        <v>0</v>
      </c>
      <c r="E361" s="52">
        <v>0</v>
      </c>
      <c r="F361" s="52">
        <v>0</v>
      </c>
      <c r="G361" s="52">
        <v>0</v>
      </c>
      <c r="H361" s="52">
        <v>0</v>
      </c>
      <c r="I361" s="52">
        <v>0</v>
      </c>
      <c r="J361" s="52">
        <v>0</v>
      </c>
      <c r="K361" s="53">
        <v>0</v>
      </c>
      <c r="L361" s="49">
        <v>0</v>
      </c>
      <c r="M361" s="44">
        <v>0</v>
      </c>
      <c r="N361" s="44">
        <v>0</v>
      </c>
      <c r="T361" s="44">
        <v>0</v>
      </c>
      <c r="U361" s="44">
        <v>0</v>
      </c>
      <c r="V361" s="44">
        <v>0</v>
      </c>
      <c r="W361" s="44">
        <v>0</v>
      </c>
      <c r="X361" s="44">
        <v>0</v>
      </c>
      <c r="Y361" s="44">
        <v>0</v>
      </c>
    </row>
    <row r="362" spans="1:25" x14ac:dyDescent="0.2">
      <c r="A362" s="50">
        <f t="shared" si="6"/>
        <v>46018</v>
      </c>
      <c r="B362" s="51">
        <v>0</v>
      </c>
      <c r="C362" s="52">
        <v>0</v>
      </c>
      <c r="D362" s="52">
        <v>0</v>
      </c>
      <c r="E362" s="52">
        <v>0</v>
      </c>
      <c r="F362" s="52">
        <v>0</v>
      </c>
      <c r="G362" s="52">
        <v>0</v>
      </c>
      <c r="H362" s="52">
        <v>0</v>
      </c>
      <c r="I362" s="52">
        <v>0</v>
      </c>
      <c r="J362" s="52">
        <v>0</v>
      </c>
      <c r="K362" s="53">
        <v>0</v>
      </c>
      <c r="L362" s="49">
        <v>0</v>
      </c>
      <c r="M362" s="44">
        <v>0</v>
      </c>
      <c r="N362" s="44">
        <v>0</v>
      </c>
      <c r="T362" s="44">
        <v>0</v>
      </c>
      <c r="U362" s="44">
        <v>0</v>
      </c>
      <c r="V362" s="44">
        <v>0</v>
      </c>
      <c r="W362" s="44">
        <v>0</v>
      </c>
      <c r="X362" s="44">
        <v>0</v>
      </c>
      <c r="Y362" s="44">
        <v>0</v>
      </c>
    </row>
    <row r="363" spans="1:25" x14ac:dyDescent="0.2">
      <c r="A363" s="50">
        <f t="shared" si="6"/>
        <v>46019</v>
      </c>
      <c r="B363" s="51">
        <v>0</v>
      </c>
      <c r="C363" s="52">
        <v>0</v>
      </c>
      <c r="D363" s="52">
        <v>0</v>
      </c>
      <c r="E363" s="52">
        <v>0</v>
      </c>
      <c r="F363" s="52">
        <v>0</v>
      </c>
      <c r="G363" s="52">
        <v>0</v>
      </c>
      <c r="H363" s="52">
        <v>0</v>
      </c>
      <c r="I363" s="52">
        <v>0</v>
      </c>
      <c r="J363" s="52">
        <v>0</v>
      </c>
      <c r="K363" s="53">
        <v>0</v>
      </c>
      <c r="L363" s="49">
        <v>0</v>
      </c>
      <c r="M363" s="44">
        <v>0</v>
      </c>
      <c r="N363" s="44">
        <v>0</v>
      </c>
      <c r="T363" s="44">
        <v>0</v>
      </c>
      <c r="U363" s="44">
        <v>0</v>
      </c>
      <c r="V363" s="44">
        <v>0</v>
      </c>
      <c r="W363" s="44">
        <v>0</v>
      </c>
      <c r="X363" s="44">
        <v>0</v>
      </c>
      <c r="Y363" s="44">
        <v>0</v>
      </c>
    </row>
    <row r="364" spans="1:25" x14ac:dyDescent="0.2">
      <c r="A364" s="50">
        <f t="shared" si="6"/>
        <v>46020</v>
      </c>
      <c r="B364" s="51">
        <v>0</v>
      </c>
      <c r="C364" s="52">
        <v>0</v>
      </c>
      <c r="D364" s="52">
        <v>0</v>
      </c>
      <c r="E364" s="52">
        <v>0</v>
      </c>
      <c r="F364" s="52">
        <v>0</v>
      </c>
      <c r="G364" s="52">
        <v>0</v>
      </c>
      <c r="H364" s="52">
        <v>0</v>
      </c>
      <c r="I364" s="52">
        <v>0</v>
      </c>
      <c r="J364" s="52">
        <v>0</v>
      </c>
      <c r="K364" s="53">
        <v>0</v>
      </c>
      <c r="L364" s="49">
        <v>0</v>
      </c>
      <c r="M364" s="44">
        <v>0</v>
      </c>
      <c r="N364" s="44">
        <v>0</v>
      </c>
      <c r="T364" s="44">
        <v>0</v>
      </c>
      <c r="U364" s="44">
        <v>0</v>
      </c>
      <c r="V364" s="44">
        <v>0</v>
      </c>
      <c r="W364" s="44">
        <v>0</v>
      </c>
      <c r="X364" s="44">
        <v>0</v>
      </c>
      <c r="Y364" s="44">
        <v>0</v>
      </c>
    </row>
    <row r="365" spans="1:25" x14ac:dyDescent="0.2">
      <c r="A365" s="50">
        <f t="shared" si="6"/>
        <v>46021</v>
      </c>
      <c r="B365" s="51">
        <v>0</v>
      </c>
      <c r="C365" s="52">
        <v>0</v>
      </c>
      <c r="D365" s="52">
        <v>0</v>
      </c>
      <c r="E365" s="52">
        <v>0</v>
      </c>
      <c r="F365" s="52">
        <v>0</v>
      </c>
      <c r="G365" s="52">
        <v>0</v>
      </c>
      <c r="H365" s="52">
        <v>0</v>
      </c>
      <c r="I365" s="52">
        <v>0</v>
      </c>
      <c r="J365" s="52">
        <v>0</v>
      </c>
      <c r="K365" s="53">
        <v>0</v>
      </c>
      <c r="L365" s="49">
        <v>0</v>
      </c>
      <c r="M365" s="44">
        <v>0</v>
      </c>
      <c r="N365" s="44">
        <v>0</v>
      </c>
      <c r="T365" s="44">
        <v>503911</v>
      </c>
      <c r="U365" s="44">
        <v>45.8</v>
      </c>
      <c r="V365" s="44">
        <v>561592</v>
      </c>
      <c r="W365" s="44">
        <v>9508635</v>
      </c>
      <c r="X365" s="44">
        <v>3665639</v>
      </c>
      <c r="Y365" s="44">
        <v>5842996</v>
      </c>
    </row>
    <row r="366" spans="1:25" x14ac:dyDescent="0.2">
      <c r="A366" s="50">
        <f t="shared" si="6"/>
        <v>46022</v>
      </c>
      <c r="B366" s="51">
        <v>0</v>
      </c>
      <c r="C366" s="52">
        <v>0</v>
      </c>
      <c r="D366" s="52">
        <v>0</v>
      </c>
      <c r="E366" s="52">
        <v>0</v>
      </c>
      <c r="F366" s="52">
        <v>0</v>
      </c>
      <c r="G366" s="52">
        <v>0</v>
      </c>
      <c r="H366" s="52">
        <v>0</v>
      </c>
      <c r="I366" s="52">
        <v>0</v>
      </c>
      <c r="J366" s="52">
        <v>0</v>
      </c>
      <c r="K366" s="53">
        <v>0</v>
      </c>
      <c r="L366" s="49">
        <v>0</v>
      </c>
      <c r="M366" s="44">
        <v>0</v>
      </c>
      <c r="N366" s="44">
        <v>0</v>
      </c>
      <c r="T366" s="44">
        <v>129</v>
      </c>
      <c r="U366" s="44">
        <v>43.8</v>
      </c>
      <c r="V366" s="44">
        <v>218</v>
      </c>
      <c r="W366" s="44">
        <v>5878</v>
      </c>
      <c r="X366" s="44">
        <v>5877</v>
      </c>
      <c r="Y366" s="44">
        <v>1</v>
      </c>
    </row>
    <row r="367" spans="1:25" x14ac:dyDescent="0.2">
      <c r="A367" s="50">
        <f t="shared" si="6"/>
        <v>46023</v>
      </c>
      <c r="B367" s="51">
        <v>0</v>
      </c>
      <c r="C367" s="52">
        <v>0</v>
      </c>
      <c r="D367" s="52">
        <v>0</v>
      </c>
      <c r="E367" s="52">
        <v>0</v>
      </c>
      <c r="F367" s="52">
        <v>0</v>
      </c>
      <c r="G367" s="52">
        <v>0</v>
      </c>
      <c r="H367" s="52">
        <v>0</v>
      </c>
      <c r="I367" s="52">
        <v>0</v>
      </c>
      <c r="J367" s="52">
        <v>0</v>
      </c>
      <c r="K367" s="53">
        <v>0</v>
      </c>
      <c r="L367" s="49"/>
      <c r="N367" s="44">
        <v>0</v>
      </c>
      <c r="T367" s="44">
        <v>123</v>
      </c>
      <c r="U367" s="44">
        <v>43</v>
      </c>
      <c r="V367" s="44">
        <v>205</v>
      </c>
      <c r="W367" s="44">
        <v>5724</v>
      </c>
      <c r="X367" s="44">
        <v>5724</v>
      </c>
      <c r="Y367" s="44">
        <v>0</v>
      </c>
    </row>
    <row r="368" spans="1:25" x14ac:dyDescent="0.2">
      <c r="A368" s="50">
        <f t="shared" si="6"/>
        <v>46024</v>
      </c>
      <c r="B368" s="51">
        <v>0</v>
      </c>
      <c r="C368" s="52">
        <v>0</v>
      </c>
      <c r="D368" s="52">
        <v>0</v>
      </c>
      <c r="E368" s="52">
        <v>0</v>
      </c>
      <c r="F368" s="52">
        <v>0</v>
      </c>
      <c r="G368" s="52">
        <v>0</v>
      </c>
      <c r="H368" s="52">
        <v>0</v>
      </c>
      <c r="I368" s="52">
        <v>0</v>
      </c>
      <c r="J368" s="52">
        <v>0</v>
      </c>
      <c r="K368" s="53">
        <v>0</v>
      </c>
      <c r="L368" s="49"/>
      <c r="O368" s="44">
        <v>0</v>
      </c>
      <c r="P368" s="44">
        <v>0.04</v>
      </c>
      <c r="Q368" s="44">
        <v>0</v>
      </c>
      <c r="R368" s="44">
        <v>3702.55</v>
      </c>
      <c r="S368" s="44">
        <v>3.83</v>
      </c>
      <c r="T368" s="44">
        <v>115</v>
      </c>
      <c r="U368" s="44">
        <v>41.7</v>
      </c>
      <c r="V368" s="44">
        <v>198</v>
      </c>
      <c r="W368" s="44">
        <v>5582</v>
      </c>
      <c r="X368" s="44">
        <v>5582</v>
      </c>
      <c r="Y368" s="44">
        <v>0</v>
      </c>
    </row>
    <row r="369" spans="1:23" ht="13.5" thickBot="1" x14ac:dyDescent="0.25">
      <c r="A369" s="54">
        <f t="shared" si="6"/>
        <v>46025</v>
      </c>
      <c r="B369" s="55">
        <v>0</v>
      </c>
      <c r="C369" s="56">
        <v>0</v>
      </c>
      <c r="D369" s="56">
        <v>0</v>
      </c>
      <c r="E369" s="56">
        <v>0</v>
      </c>
      <c r="F369" s="56">
        <v>0</v>
      </c>
      <c r="G369" s="56">
        <v>0</v>
      </c>
      <c r="H369" s="56">
        <v>0</v>
      </c>
      <c r="I369" s="56">
        <v>0</v>
      </c>
      <c r="J369" s="56">
        <v>0</v>
      </c>
      <c r="K369" s="57">
        <v>0</v>
      </c>
      <c r="L369" s="49"/>
      <c r="O369" s="44">
        <v>0</v>
      </c>
      <c r="P369" s="44">
        <v>0.85</v>
      </c>
      <c r="Q369" s="44">
        <v>0</v>
      </c>
      <c r="R369" s="44">
        <v>3706.13</v>
      </c>
      <c r="S369" s="44">
        <v>3.91</v>
      </c>
      <c r="U369" s="44">
        <v>43.6</v>
      </c>
      <c r="W369" s="44">
        <v>0</v>
      </c>
    </row>
  </sheetData>
  <conditionalFormatting sqref="A31">
    <cfRule type="expression" dxfId="12" priority="3" stopIfTrue="1">
      <formula>WEEKDAY(A31:A51,2)&gt;5</formula>
    </cfRule>
  </conditionalFormatting>
  <conditionalFormatting sqref="A32:A369">
    <cfRule type="expression" dxfId="11" priority="2" stopIfTrue="1">
      <formula>WEEKDAY(A32:A52,2)&gt;5</formula>
    </cfRule>
  </conditionalFormatting>
  <conditionalFormatting sqref="A2:A30">
    <cfRule type="expression" dxfId="10" priority="1" stopIfTrue="1">
      <formula>WEEKDAY(A2:A22,2)&gt;5</formula>
    </cfRule>
  </conditionalFormatting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100"/>
  <sheetViews>
    <sheetView topLeftCell="A55" zoomScale="60" zoomScaleNormal="60" workbookViewId="0">
      <selection activeCell="E94" sqref="E94:AI100"/>
    </sheetView>
  </sheetViews>
  <sheetFormatPr defaultRowHeight="15" x14ac:dyDescent="0.25"/>
  <cols>
    <col min="1" max="1" width="19.28515625" customWidth="1"/>
    <col min="2" max="2" width="14.28515625" customWidth="1"/>
    <col min="4" max="4" width="14.42578125" customWidth="1"/>
    <col min="5" max="35" width="10.7109375" customWidth="1"/>
  </cols>
  <sheetData>
    <row r="1" spans="1:109" ht="28.5" x14ac:dyDescent="0.45">
      <c r="A1" s="28" t="s">
        <v>0</v>
      </c>
    </row>
    <row r="2" spans="1:109" s="1" customFormat="1" ht="53.25" customHeight="1" x14ac:dyDescent="0.25">
      <c r="A2" s="32" t="s">
        <v>1</v>
      </c>
      <c r="B2" s="33"/>
      <c r="C2" s="34" t="s">
        <v>2</v>
      </c>
      <c r="D2" s="35" t="s">
        <v>3</v>
      </c>
      <c r="E2" s="32">
        <v>1</v>
      </c>
      <c r="F2" s="32">
        <v>2</v>
      </c>
      <c r="G2" s="32">
        <v>3</v>
      </c>
      <c r="H2" s="32">
        <v>4</v>
      </c>
      <c r="I2" s="32">
        <v>5</v>
      </c>
      <c r="J2" s="36">
        <v>6</v>
      </c>
      <c r="K2" s="36">
        <v>7</v>
      </c>
      <c r="L2" s="32">
        <v>8</v>
      </c>
      <c r="M2" s="32">
        <v>9</v>
      </c>
      <c r="N2" s="32">
        <v>10</v>
      </c>
      <c r="O2" s="32">
        <v>11</v>
      </c>
      <c r="P2" s="32">
        <v>12</v>
      </c>
      <c r="Q2" s="36">
        <v>13</v>
      </c>
      <c r="R2" s="36">
        <v>14</v>
      </c>
      <c r="S2" s="32">
        <v>15</v>
      </c>
      <c r="T2" s="32">
        <v>16</v>
      </c>
      <c r="U2" s="32">
        <v>17</v>
      </c>
      <c r="V2" s="32">
        <v>18</v>
      </c>
      <c r="W2" s="32">
        <v>19</v>
      </c>
      <c r="X2" s="36">
        <v>20</v>
      </c>
      <c r="Y2" s="36">
        <v>21</v>
      </c>
      <c r="Z2" s="32">
        <v>22</v>
      </c>
      <c r="AA2" s="32">
        <v>23</v>
      </c>
      <c r="AB2" s="32">
        <v>24</v>
      </c>
      <c r="AC2" s="32">
        <v>25</v>
      </c>
      <c r="AD2" s="32">
        <v>26</v>
      </c>
      <c r="AE2" s="36">
        <v>27</v>
      </c>
      <c r="AF2" s="37">
        <v>28</v>
      </c>
      <c r="AG2" s="32">
        <v>29</v>
      </c>
      <c r="AH2" s="32">
        <v>30</v>
      </c>
      <c r="AI2" s="39">
        <v>31</v>
      </c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</row>
    <row r="3" spans="1:109" ht="21" x14ac:dyDescent="0.35">
      <c r="A3" s="27" t="s">
        <v>13</v>
      </c>
    </row>
    <row r="4" spans="1:109" s="1" customFormat="1" ht="20.25" x14ac:dyDescent="0.25">
      <c r="A4" s="2" t="s">
        <v>4</v>
      </c>
      <c r="B4" s="3" t="s">
        <v>5</v>
      </c>
      <c r="C4" s="4" t="s">
        <v>6</v>
      </c>
      <c r="D4" s="5">
        <f t="shared" ref="D4:D10" si="0">SUM(E4:AI4)</f>
        <v>26609.329999999998</v>
      </c>
      <c r="E4" s="6">
        <f t="shared" ref="E4:AI4" si="1">SUM(E5:E10)</f>
        <v>0</v>
      </c>
      <c r="F4" s="6">
        <f t="shared" si="1"/>
        <v>0</v>
      </c>
      <c r="G4" s="6">
        <f t="shared" si="1"/>
        <v>0</v>
      </c>
      <c r="H4" s="6">
        <f t="shared" si="1"/>
        <v>0</v>
      </c>
      <c r="I4" s="6">
        <f t="shared" si="1"/>
        <v>0</v>
      </c>
      <c r="J4" s="6">
        <f t="shared" si="1"/>
        <v>0</v>
      </c>
      <c r="K4" s="6">
        <f t="shared" si="1"/>
        <v>0</v>
      </c>
      <c r="L4" s="6">
        <f t="shared" si="1"/>
        <v>990.43000000000006</v>
      </c>
      <c r="M4" s="6">
        <f t="shared" si="1"/>
        <v>935.65</v>
      </c>
      <c r="N4" s="6">
        <f t="shared" si="1"/>
        <v>990.95999999999992</v>
      </c>
      <c r="O4" s="6">
        <f t="shared" si="1"/>
        <v>1116.75</v>
      </c>
      <c r="P4" s="6">
        <f t="shared" si="1"/>
        <v>1098.75</v>
      </c>
      <c r="Q4" s="6">
        <f t="shared" si="1"/>
        <v>1077.77</v>
      </c>
      <c r="R4" s="6">
        <f t="shared" si="1"/>
        <v>1117.23</v>
      </c>
      <c r="S4" s="6">
        <f t="shared" si="1"/>
        <v>1034.9100000000001</v>
      </c>
      <c r="T4" s="6">
        <f t="shared" si="1"/>
        <v>1070.56</v>
      </c>
      <c r="U4" s="6">
        <f t="shared" si="1"/>
        <v>1109.9699999999998</v>
      </c>
      <c r="V4" s="6">
        <f t="shared" si="1"/>
        <v>1122.8</v>
      </c>
      <c r="W4" s="6">
        <f t="shared" si="1"/>
        <v>1109.8699999999999</v>
      </c>
      <c r="X4" s="6">
        <f t="shared" si="1"/>
        <v>1172.72</v>
      </c>
      <c r="Y4" s="6">
        <f t="shared" si="1"/>
        <v>1104.19</v>
      </c>
      <c r="Z4" s="6">
        <f t="shared" si="1"/>
        <v>1122.07</v>
      </c>
      <c r="AA4" s="6">
        <f t="shared" si="1"/>
        <v>1102.0300000000002</v>
      </c>
      <c r="AB4" s="6">
        <f t="shared" si="1"/>
        <v>1171.1499999999999</v>
      </c>
      <c r="AC4" s="6">
        <f t="shared" si="1"/>
        <v>1100.6199999999999</v>
      </c>
      <c r="AD4" s="6">
        <f t="shared" si="1"/>
        <v>1154.76</v>
      </c>
      <c r="AE4" s="6">
        <f t="shared" si="1"/>
        <v>1133.4000000000001</v>
      </c>
      <c r="AF4" s="6">
        <f t="shared" si="1"/>
        <v>1145.7</v>
      </c>
      <c r="AG4" s="6">
        <f t="shared" si="1"/>
        <v>1202.23</v>
      </c>
      <c r="AH4" s="6">
        <f t="shared" si="1"/>
        <v>1218.9900000000002</v>
      </c>
      <c r="AI4" s="6">
        <f t="shared" si="1"/>
        <v>1205.82</v>
      </c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</row>
    <row r="5" spans="1:109" s="1" customFormat="1" x14ac:dyDescent="0.25">
      <c r="A5" s="7"/>
      <c r="B5" s="8" t="s">
        <v>7</v>
      </c>
      <c r="C5" s="4" t="s">
        <v>6</v>
      </c>
      <c r="D5" s="5">
        <f t="shared" si="0"/>
        <v>2267.2200000000003</v>
      </c>
      <c r="E5" s="9"/>
      <c r="F5" s="9"/>
      <c r="G5" s="9"/>
      <c r="H5" s="9"/>
      <c r="I5" s="9"/>
      <c r="J5" s="9"/>
      <c r="K5" s="9"/>
      <c r="L5" s="9">
        <v>85.16</v>
      </c>
      <c r="M5" s="9">
        <v>96.86</v>
      </c>
      <c r="N5" s="9">
        <v>95.48</v>
      </c>
      <c r="O5" s="9">
        <v>97.46</v>
      </c>
      <c r="P5" s="9">
        <v>71.17</v>
      </c>
      <c r="Q5" s="9">
        <v>90.98</v>
      </c>
      <c r="R5" s="10">
        <v>86.67</v>
      </c>
      <c r="S5" s="10">
        <v>82.67</v>
      </c>
      <c r="T5" s="10">
        <v>69.87</v>
      </c>
      <c r="U5" s="9">
        <v>109.23</v>
      </c>
      <c r="V5" s="9">
        <v>101.45</v>
      </c>
      <c r="W5" s="10">
        <v>95.72</v>
      </c>
      <c r="X5" s="10">
        <v>100.97</v>
      </c>
      <c r="Y5" s="10">
        <v>68.48</v>
      </c>
      <c r="Z5" s="10">
        <v>84.37</v>
      </c>
      <c r="AA5" s="9">
        <v>117.52</v>
      </c>
      <c r="AB5" s="10">
        <v>110.26</v>
      </c>
      <c r="AC5" s="9">
        <v>110.49</v>
      </c>
      <c r="AD5" s="9">
        <v>94.14</v>
      </c>
      <c r="AE5" s="10">
        <v>79.430000000000007</v>
      </c>
      <c r="AF5" s="11">
        <v>96.54</v>
      </c>
      <c r="AG5" s="9">
        <v>106.11</v>
      </c>
      <c r="AH5" s="12">
        <v>99.03</v>
      </c>
      <c r="AI5" s="12">
        <v>117.16</v>
      </c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</row>
    <row r="6" spans="1:109" s="1" customFormat="1" x14ac:dyDescent="0.25">
      <c r="A6" s="7"/>
      <c r="B6" s="8" t="s">
        <v>8</v>
      </c>
      <c r="C6" s="4" t="s">
        <v>6</v>
      </c>
      <c r="D6" s="13">
        <f t="shared" si="0"/>
        <v>10215.43</v>
      </c>
      <c r="E6" s="9"/>
      <c r="F6" s="9"/>
      <c r="G6" s="9"/>
      <c r="H6" s="9"/>
      <c r="I6" s="9"/>
      <c r="J6" s="9"/>
      <c r="K6" s="9"/>
      <c r="L6" s="14">
        <v>399.09</v>
      </c>
      <c r="M6" s="9">
        <v>271.7</v>
      </c>
      <c r="N6" s="9">
        <v>352.43</v>
      </c>
      <c r="O6" s="9">
        <v>452.82</v>
      </c>
      <c r="P6" s="9">
        <v>453.41</v>
      </c>
      <c r="Q6" s="9">
        <v>447.02</v>
      </c>
      <c r="R6" s="10">
        <v>459.42</v>
      </c>
      <c r="S6" s="10">
        <v>378.4</v>
      </c>
      <c r="T6" s="10">
        <v>445.45</v>
      </c>
      <c r="U6" s="9">
        <v>423.06</v>
      </c>
      <c r="V6" s="9">
        <v>443.07</v>
      </c>
      <c r="W6" s="10">
        <v>430.82</v>
      </c>
      <c r="X6" s="9">
        <v>484.09</v>
      </c>
      <c r="Y6" s="10">
        <v>399.17</v>
      </c>
      <c r="Z6" s="10">
        <v>427.82</v>
      </c>
      <c r="AA6" s="9">
        <v>404.54</v>
      </c>
      <c r="AB6" s="10">
        <v>465.02</v>
      </c>
      <c r="AC6" s="9">
        <v>350.1</v>
      </c>
      <c r="AD6" s="9">
        <v>456.07</v>
      </c>
      <c r="AE6" s="10">
        <v>456.53</v>
      </c>
      <c r="AF6" s="10">
        <v>414.64</v>
      </c>
      <c r="AG6" s="9">
        <v>463.52</v>
      </c>
      <c r="AH6" s="12">
        <v>476.03</v>
      </c>
      <c r="AI6" s="12">
        <v>461.21</v>
      </c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</row>
    <row r="7" spans="1:109" s="1" customFormat="1" x14ac:dyDescent="0.25">
      <c r="A7" s="7"/>
      <c r="B7" s="8" t="s">
        <v>9</v>
      </c>
      <c r="C7" s="4" t="s">
        <v>6</v>
      </c>
      <c r="D7" s="13">
        <f t="shared" si="0"/>
        <v>6595.16</v>
      </c>
      <c r="E7" s="9"/>
      <c r="F7" s="9"/>
      <c r="G7" s="9"/>
      <c r="H7" s="9"/>
      <c r="I7" s="9"/>
      <c r="J7" s="9"/>
      <c r="K7" s="9"/>
      <c r="L7" s="9">
        <v>213.48</v>
      </c>
      <c r="M7" s="9">
        <v>282.08999999999997</v>
      </c>
      <c r="N7" s="9">
        <v>239.88</v>
      </c>
      <c r="O7" s="9">
        <v>260.81</v>
      </c>
      <c r="P7" s="9">
        <v>257.01</v>
      </c>
      <c r="Q7" s="9">
        <v>255.76</v>
      </c>
      <c r="R7" s="10">
        <v>253.85</v>
      </c>
      <c r="S7" s="10">
        <v>254.38</v>
      </c>
      <c r="T7" s="10">
        <v>250.56</v>
      </c>
      <c r="U7" s="9">
        <v>260.5</v>
      </c>
      <c r="V7" s="9">
        <v>261.64999999999998</v>
      </c>
      <c r="W7" s="10">
        <f>256.93-1.18</f>
        <v>255.75</v>
      </c>
      <c r="X7" s="10">
        <v>285.81</v>
      </c>
      <c r="Y7" s="10">
        <v>307.43</v>
      </c>
      <c r="Z7" s="10">
        <v>301.01</v>
      </c>
      <c r="AA7" s="9">
        <v>263.24</v>
      </c>
      <c r="AB7" s="10">
        <f>281.55-1.81</f>
        <v>279.74</v>
      </c>
      <c r="AC7" s="9">
        <v>311.95</v>
      </c>
      <c r="AD7" s="9">
        <v>281.3</v>
      </c>
      <c r="AE7" s="10">
        <v>298.25</v>
      </c>
      <c r="AF7" s="11">
        <v>297.29000000000002</v>
      </c>
      <c r="AG7" s="9">
        <v>300.35000000000002</v>
      </c>
      <c r="AH7" s="12">
        <v>317.43</v>
      </c>
      <c r="AI7" s="12">
        <v>305.64</v>
      </c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</row>
    <row r="8" spans="1:109" s="1" customFormat="1" ht="16.5" customHeight="1" x14ac:dyDescent="0.25">
      <c r="A8" s="7"/>
      <c r="B8" s="8" t="s">
        <v>10</v>
      </c>
      <c r="C8" s="4" t="s">
        <v>6</v>
      </c>
      <c r="D8" s="13">
        <f t="shared" si="0"/>
        <v>2924.5599999999995</v>
      </c>
      <c r="E8" s="9"/>
      <c r="F8" s="9"/>
      <c r="G8" s="9"/>
      <c r="H8" s="9"/>
      <c r="I8" s="9"/>
      <c r="J8" s="9"/>
      <c r="K8" s="9"/>
      <c r="L8" s="9">
        <v>125.85</v>
      </c>
      <c r="M8" s="9">
        <v>115.82</v>
      </c>
      <c r="N8" s="9">
        <f>129.98+0.01</f>
        <v>129.98999999999998</v>
      </c>
      <c r="O8" s="9">
        <f>111.62+0.01</f>
        <v>111.63000000000001</v>
      </c>
      <c r="P8" s="9">
        <v>130.5</v>
      </c>
      <c r="Q8" s="9">
        <v>108.5</v>
      </c>
      <c r="R8" s="10">
        <v>118.63</v>
      </c>
      <c r="S8" s="10">
        <v>130.9</v>
      </c>
      <c r="T8" s="10">
        <v>119.75</v>
      </c>
      <c r="U8" s="9">
        <v>129.58000000000001</v>
      </c>
      <c r="V8" s="9">
        <v>120.06</v>
      </c>
      <c r="W8" s="10">
        <v>130.24</v>
      </c>
      <c r="X8" s="10">
        <v>110.35</v>
      </c>
      <c r="Y8" s="10">
        <v>129.05000000000001</v>
      </c>
      <c r="Z8" s="10">
        <v>116.09</v>
      </c>
      <c r="AA8" s="9">
        <v>126.62</v>
      </c>
      <c r="AB8" s="10">
        <v>120</v>
      </c>
      <c r="AC8" s="9">
        <v>131.13</v>
      </c>
      <c r="AD8" s="9">
        <f>127.15-0.02</f>
        <v>127.13000000000001</v>
      </c>
      <c r="AE8" s="10">
        <v>111.32</v>
      </c>
      <c r="AF8" s="11">
        <v>123.6</v>
      </c>
      <c r="AG8" s="9">
        <v>120.45</v>
      </c>
      <c r="AH8" s="12">
        <f>117.38-0.68</f>
        <v>116.69999999999999</v>
      </c>
      <c r="AI8" s="12">
        <v>120.67</v>
      </c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</row>
    <row r="9" spans="1:109" s="1" customFormat="1" x14ac:dyDescent="0.25">
      <c r="A9" s="7"/>
      <c r="B9" s="8" t="s">
        <v>11</v>
      </c>
      <c r="C9" s="4" t="s">
        <v>6</v>
      </c>
      <c r="D9" s="5">
        <f t="shared" si="0"/>
        <v>2803.7199999999993</v>
      </c>
      <c r="E9" s="9"/>
      <c r="F9" s="9"/>
      <c r="G9" s="9"/>
      <c r="H9" s="9"/>
      <c r="I9" s="9"/>
      <c r="J9" s="9"/>
      <c r="K9" s="9"/>
      <c r="L9" s="9">
        <v>105.35</v>
      </c>
      <c r="M9" s="9">
        <v>116.26</v>
      </c>
      <c r="N9" s="9">
        <v>94.79</v>
      </c>
      <c r="O9" s="9">
        <v>118.53</v>
      </c>
      <c r="P9" s="9">
        <v>110.84</v>
      </c>
      <c r="Q9" s="9">
        <v>100.16</v>
      </c>
      <c r="R9" s="10">
        <v>122.53</v>
      </c>
      <c r="S9" s="10">
        <v>112.04</v>
      </c>
      <c r="T9" s="15">
        <v>108.75</v>
      </c>
      <c r="U9" s="9">
        <v>110.99</v>
      </c>
      <c r="V9" s="9">
        <v>119.04</v>
      </c>
      <c r="W9" s="15">
        <f>118.2+0.04</f>
        <v>118.24000000000001</v>
      </c>
      <c r="X9" s="10">
        <v>114.02</v>
      </c>
      <c r="Y9" s="15">
        <v>121.06</v>
      </c>
      <c r="Z9" s="15">
        <v>115.49</v>
      </c>
      <c r="AA9" s="11">
        <v>112.63</v>
      </c>
      <c r="AB9" s="15">
        <f>118.48+0.12</f>
        <v>118.60000000000001</v>
      </c>
      <c r="AC9" s="11">
        <f>120.13-0.03</f>
        <v>120.1</v>
      </c>
      <c r="AD9" s="9">
        <f>119.66-0.21</f>
        <v>119.45</v>
      </c>
      <c r="AE9" s="10">
        <v>116.45</v>
      </c>
      <c r="AF9" s="11">
        <v>134.88999999999999</v>
      </c>
      <c r="AG9" s="9">
        <v>135.07</v>
      </c>
      <c r="AH9" s="12">
        <v>133.16</v>
      </c>
      <c r="AI9" s="12">
        <v>125.28</v>
      </c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</row>
    <row r="10" spans="1:109" s="1" customFormat="1" x14ac:dyDescent="0.25">
      <c r="A10" s="7"/>
      <c r="B10" s="8" t="s">
        <v>12</v>
      </c>
      <c r="C10" s="4" t="s">
        <v>6</v>
      </c>
      <c r="D10" s="13">
        <f t="shared" si="0"/>
        <v>1803.24</v>
      </c>
      <c r="E10" s="9"/>
      <c r="F10" s="9"/>
      <c r="G10" s="9"/>
      <c r="H10" s="9"/>
      <c r="I10" s="9"/>
      <c r="J10" s="9"/>
      <c r="K10" s="9"/>
      <c r="L10" s="9">
        <v>61.5</v>
      </c>
      <c r="M10" s="9">
        <v>52.92</v>
      </c>
      <c r="N10" s="9">
        <v>78.39</v>
      </c>
      <c r="O10" s="9">
        <v>75.5</v>
      </c>
      <c r="P10" s="9">
        <f>78.94-3.12</f>
        <v>75.819999999999993</v>
      </c>
      <c r="Q10" s="9">
        <v>75.349999999999994</v>
      </c>
      <c r="R10" s="10">
        <v>76.13</v>
      </c>
      <c r="S10" s="10">
        <v>76.52</v>
      </c>
      <c r="T10" s="15">
        <v>76.180000000000007</v>
      </c>
      <c r="U10" s="9">
        <v>76.61</v>
      </c>
      <c r="V10" s="9">
        <v>77.53</v>
      </c>
      <c r="W10" s="15">
        <v>79.099999999999994</v>
      </c>
      <c r="X10" s="10">
        <v>77.48</v>
      </c>
      <c r="Y10" s="15">
        <v>79</v>
      </c>
      <c r="Z10" s="15">
        <v>77.290000000000006</v>
      </c>
      <c r="AA10" s="11">
        <v>77.48</v>
      </c>
      <c r="AB10" s="10">
        <v>77.53</v>
      </c>
      <c r="AC10" s="11">
        <v>76.849999999999994</v>
      </c>
      <c r="AD10" s="9">
        <v>76.67</v>
      </c>
      <c r="AE10" s="10">
        <v>71.42</v>
      </c>
      <c r="AF10" s="10">
        <v>78.739999999999995</v>
      </c>
      <c r="AG10" s="9">
        <v>76.73</v>
      </c>
      <c r="AH10" s="12">
        <f>72.18+4.46</f>
        <v>76.64</v>
      </c>
      <c r="AI10" s="12">
        <v>75.86</v>
      </c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</row>
    <row r="12" spans="1:109" ht="21" x14ac:dyDescent="0.35">
      <c r="A12" s="27" t="s">
        <v>14</v>
      </c>
    </row>
    <row r="13" spans="1:109" s="1" customFormat="1" ht="20.25" x14ac:dyDescent="0.25">
      <c r="A13" s="2" t="s">
        <v>4</v>
      </c>
      <c r="B13" s="3" t="s">
        <v>5</v>
      </c>
      <c r="C13" s="4" t="s">
        <v>6</v>
      </c>
      <c r="D13" s="5">
        <f t="shared" ref="D13:D19" si="2">SUM(E13:AI13)</f>
        <v>33141.100000000006</v>
      </c>
      <c r="E13" s="6">
        <f t="shared" ref="E13:AI13" si="3">SUM(E14:E19)</f>
        <v>1158.46</v>
      </c>
      <c r="F13" s="6">
        <f t="shared" si="3"/>
        <v>1219.72</v>
      </c>
      <c r="G13" s="6">
        <f t="shared" si="3"/>
        <v>1164.05</v>
      </c>
      <c r="H13" s="6">
        <f t="shared" si="3"/>
        <v>1219.08</v>
      </c>
      <c r="I13" s="6">
        <f t="shared" si="3"/>
        <v>1232.3300000000002</v>
      </c>
      <c r="J13" s="6">
        <f t="shared" si="3"/>
        <v>1222.01</v>
      </c>
      <c r="K13" s="6">
        <f t="shared" si="3"/>
        <v>1165.8699999999999</v>
      </c>
      <c r="L13" s="6">
        <f t="shared" si="3"/>
        <v>1183.97</v>
      </c>
      <c r="M13" s="6">
        <f t="shared" si="3"/>
        <v>1200.32</v>
      </c>
      <c r="N13" s="6">
        <f t="shared" si="3"/>
        <v>1175.3900000000001</v>
      </c>
      <c r="O13" s="6">
        <f t="shared" si="3"/>
        <v>1202.52</v>
      </c>
      <c r="P13" s="6">
        <f t="shared" si="3"/>
        <v>1177.49</v>
      </c>
      <c r="Q13" s="6">
        <f t="shared" si="3"/>
        <v>1139.1800000000003</v>
      </c>
      <c r="R13" s="6">
        <f t="shared" si="3"/>
        <v>1122.6300000000001</v>
      </c>
      <c r="S13" s="6">
        <f t="shared" si="3"/>
        <v>1142.45</v>
      </c>
      <c r="T13" s="6">
        <f t="shared" si="3"/>
        <v>1163.8699999999999</v>
      </c>
      <c r="U13" s="6">
        <f t="shared" si="3"/>
        <v>1168.17</v>
      </c>
      <c r="V13" s="6">
        <f t="shared" si="3"/>
        <v>1190.6600000000001</v>
      </c>
      <c r="W13" s="6">
        <f t="shared" si="3"/>
        <v>1188.45</v>
      </c>
      <c r="X13" s="6">
        <f t="shared" si="3"/>
        <v>1225.3800000000001</v>
      </c>
      <c r="Y13" s="6">
        <f t="shared" si="3"/>
        <v>1197.96</v>
      </c>
      <c r="Z13" s="6">
        <f t="shared" si="3"/>
        <v>1181.69</v>
      </c>
      <c r="AA13" s="6">
        <f t="shared" si="3"/>
        <v>1202.52</v>
      </c>
      <c r="AB13" s="6">
        <f t="shared" si="3"/>
        <v>1220.45</v>
      </c>
      <c r="AC13" s="6">
        <f t="shared" si="3"/>
        <v>1191.6399999999999</v>
      </c>
      <c r="AD13" s="6">
        <f t="shared" si="3"/>
        <v>1170.1799999999998</v>
      </c>
      <c r="AE13" s="6">
        <f t="shared" si="3"/>
        <v>1147.5</v>
      </c>
      <c r="AF13" s="6">
        <f t="shared" si="3"/>
        <v>1167.1600000000001</v>
      </c>
      <c r="AG13" s="6">
        <f t="shared" si="3"/>
        <v>0</v>
      </c>
      <c r="AH13" s="6">
        <f t="shared" si="3"/>
        <v>0</v>
      </c>
      <c r="AI13" s="6">
        <f t="shared" si="3"/>
        <v>0</v>
      </c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</row>
    <row r="14" spans="1:109" s="1" customFormat="1" x14ac:dyDescent="0.25">
      <c r="A14" s="7"/>
      <c r="B14" s="8" t="s">
        <v>7</v>
      </c>
      <c r="C14" s="4" t="s">
        <v>6</v>
      </c>
      <c r="D14" s="5">
        <f t="shared" si="2"/>
        <v>2905.5899999999992</v>
      </c>
      <c r="E14" s="9">
        <v>110.04</v>
      </c>
      <c r="F14" s="9">
        <v>127.42</v>
      </c>
      <c r="G14" s="9">
        <v>100.94</v>
      </c>
      <c r="H14" s="9">
        <v>118.78</v>
      </c>
      <c r="I14" s="9">
        <v>127.12</v>
      </c>
      <c r="J14" s="9">
        <v>132.08000000000001</v>
      </c>
      <c r="K14" s="9">
        <v>101.98</v>
      </c>
      <c r="L14" s="9">
        <v>110.67</v>
      </c>
      <c r="M14" s="9">
        <v>119.32</v>
      </c>
      <c r="N14" s="9">
        <v>96.14</v>
      </c>
      <c r="O14" s="9">
        <v>77.7</v>
      </c>
      <c r="P14" s="9">
        <v>74.209999999999994</v>
      </c>
      <c r="Q14" s="9">
        <v>96.15</v>
      </c>
      <c r="R14" s="10">
        <v>98.4</v>
      </c>
      <c r="S14" s="10">
        <v>98.1</v>
      </c>
      <c r="T14" s="10">
        <v>87.04</v>
      </c>
      <c r="U14" s="9">
        <f>118.36-0.37</f>
        <v>117.99</v>
      </c>
      <c r="V14" s="9">
        <v>88.98</v>
      </c>
      <c r="W14" s="10">
        <v>91.09</v>
      </c>
      <c r="X14" s="10">
        <v>121.87</v>
      </c>
      <c r="Y14" s="10">
        <v>103.72</v>
      </c>
      <c r="Z14" s="10">
        <v>105.49</v>
      </c>
      <c r="AA14" s="9">
        <v>104.2</v>
      </c>
      <c r="AB14" s="10">
        <v>129.29</v>
      </c>
      <c r="AC14" s="9">
        <v>90.5</v>
      </c>
      <c r="AD14" s="9">
        <v>93.15</v>
      </c>
      <c r="AE14" s="10">
        <v>84.52</v>
      </c>
      <c r="AF14" s="11">
        <v>98.7</v>
      </c>
      <c r="AG14" s="9"/>
      <c r="AH14" s="12"/>
      <c r="AI14" s="12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</row>
    <row r="15" spans="1:109" s="1" customFormat="1" x14ac:dyDescent="0.25">
      <c r="A15" s="7"/>
      <c r="B15" s="8" t="s">
        <v>8</v>
      </c>
      <c r="C15" s="4" t="s">
        <v>6</v>
      </c>
      <c r="D15" s="13">
        <f t="shared" si="2"/>
        <v>12928.970000000003</v>
      </c>
      <c r="E15" s="9">
        <v>433.23</v>
      </c>
      <c r="F15" s="9">
        <v>478.05</v>
      </c>
      <c r="G15" s="9">
        <v>443.87</v>
      </c>
      <c r="H15" s="9">
        <v>470.78</v>
      </c>
      <c r="I15" s="9">
        <v>471.94</v>
      </c>
      <c r="J15" s="9">
        <v>465.34</v>
      </c>
      <c r="K15" s="9">
        <v>465.92</v>
      </c>
      <c r="L15" s="14">
        <v>449.23</v>
      </c>
      <c r="M15" s="9">
        <v>452.75</v>
      </c>
      <c r="N15" s="9">
        <v>463.64</v>
      </c>
      <c r="O15" s="9">
        <v>506.35</v>
      </c>
      <c r="P15" s="9">
        <v>488.06</v>
      </c>
      <c r="Q15" s="9">
        <v>422.24</v>
      </c>
      <c r="R15" s="10">
        <v>400.2</v>
      </c>
      <c r="S15" s="10">
        <v>456.76</v>
      </c>
      <c r="T15" s="10">
        <v>454.64</v>
      </c>
      <c r="U15" s="9">
        <v>433.56</v>
      </c>
      <c r="V15" s="9">
        <v>477.27</v>
      </c>
      <c r="W15" s="10">
        <v>473</v>
      </c>
      <c r="X15" s="9">
        <v>464.58</v>
      </c>
      <c r="Y15" s="10">
        <v>463.26</v>
      </c>
      <c r="Z15" s="10">
        <v>439.83</v>
      </c>
      <c r="AA15" s="9">
        <v>476.17</v>
      </c>
      <c r="AB15" s="10">
        <v>472.12</v>
      </c>
      <c r="AC15" s="9">
        <v>474.73</v>
      </c>
      <c r="AD15" s="9">
        <v>450.07</v>
      </c>
      <c r="AE15" s="10">
        <f>480.86+0.48</f>
        <v>481.34000000000003</v>
      </c>
      <c r="AF15" s="10">
        <v>500.04</v>
      </c>
      <c r="AG15" s="9"/>
      <c r="AH15" s="12"/>
      <c r="AI15" s="12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</row>
    <row r="16" spans="1:109" s="1" customFormat="1" x14ac:dyDescent="0.25">
      <c r="A16" s="7"/>
      <c r="B16" s="8" t="s">
        <v>9</v>
      </c>
      <c r="C16" s="4" t="s">
        <v>6</v>
      </c>
      <c r="D16" s="13">
        <f t="shared" si="2"/>
        <v>8453.19</v>
      </c>
      <c r="E16" s="9">
        <v>289.57</v>
      </c>
      <c r="F16" s="9">
        <v>303.48</v>
      </c>
      <c r="G16" s="9">
        <v>301.62</v>
      </c>
      <c r="H16" s="9">
        <v>310.33999999999997</v>
      </c>
      <c r="I16" s="9">
        <v>308.17</v>
      </c>
      <c r="J16" s="9">
        <v>311.33</v>
      </c>
      <c r="K16" s="9">
        <v>305.43</v>
      </c>
      <c r="L16" s="9">
        <v>304.49</v>
      </c>
      <c r="M16" s="9">
        <v>297.13</v>
      </c>
      <c r="N16" s="9">
        <v>310.35000000000002</v>
      </c>
      <c r="O16" s="9">
        <v>304.92</v>
      </c>
      <c r="P16" s="9">
        <v>306.52999999999997</v>
      </c>
      <c r="Q16" s="9">
        <v>303.58</v>
      </c>
      <c r="R16" s="10">
        <v>298.52</v>
      </c>
      <c r="S16" s="10">
        <v>278.89999999999998</v>
      </c>
      <c r="T16" s="10">
        <v>297.13</v>
      </c>
      <c r="U16" s="9">
        <v>303.67</v>
      </c>
      <c r="V16" s="9">
        <v>302.57</v>
      </c>
      <c r="W16" s="10">
        <v>303.5</v>
      </c>
      <c r="X16" s="10">
        <v>312.89</v>
      </c>
      <c r="Y16" s="10">
        <v>304.2</v>
      </c>
      <c r="Z16" s="10">
        <v>308.45999999999998</v>
      </c>
      <c r="AA16" s="9">
        <v>310.07</v>
      </c>
      <c r="AB16" s="10">
        <v>304.3</v>
      </c>
      <c r="AC16" s="9">
        <v>308.54000000000002</v>
      </c>
      <c r="AD16" s="9">
        <v>304.58</v>
      </c>
      <c r="AE16" s="10">
        <v>278.81</v>
      </c>
      <c r="AF16" s="11">
        <v>280.11</v>
      </c>
      <c r="AG16" s="9"/>
      <c r="AH16" s="12"/>
      <c r="AI16" s="12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</row>
    <row r="17" spans="1:109" s="1" customFormat="1" ht="16.5" customHeight="1" x14ac:dyDescent="0.25">
      <c r="A17" s="7"/>
      <c r="B17" s="8" t="s">
        <v>10</v>
      </c>
      <c r="C17" s="4" t="s">
        <v>6</v>
      </c>
      <c r="D17" s="13">
        <f t="shared" si="2"/>
        <v>3346.23</v>
      </c>
      <c r="E17" s="9">
        <v>119.26</v>
      </c>
      <c r="F17" s="9">
        <v>117.52</v>
      </c>
      <c r="G17" s="9">
        <f>114.4+0.01</f>
        <v>114.41000000000001</v>
      </c>
      <c r="H17" s="9">
        <v>114.1</v>
      </c>
      <c r="I17" s="9">
        <v>133.43</v>
      </c>
      <c r="J17" s="9">
        <v>120.26</v>
      </c>
      <c r="K17" s="9">
        <f>112.73+0.01</f>
        <v>112.74000000000001</v>
      </c>
      <c r="L17" s="9">
        <v>118.19</v>
      </c>
      <c r="M17" s="9">
        <v>126.46</v>
      </c>
      <c r="N17" s="9">
        <v>114.64</v>
      </c>
      <c r="O17" s="9">
        <v>123</v>
      </c>
      <c r="P17" s="9">
        <v>123.29</v>
      </c>
      <c r="Q17" s="9">
        <v>114.69</v>
      </c>
      <c r="R17" s="10">
        <v>123.57</v>
      </c>
      <c r="S17" s="10">
        <v>120.86</v>
      </c>
      <c r="T17" s="10">
        <v>128.75</v>
      </c>
      <c r="U17" s="9">
        <f>117.25-0.96</f>
        <v>116.29</v>
      </c>
      <c r="V17" s="9">
        <v>136.35</v>
      </c>
      <c r="W17" s="10">
        <v>120.64</v>
      </c>
      <c r="X17" s="10">
        <v>129.34</v>
      </c>
      <c r="Y17" s="10">
        <v>113.26</v>
      </c>
      <c r="Z17" s="10">
        <v>123.26</v>
      </c>
      <c r="AA17" s="9">
        <v>114.52</v>
      </c>
      <c r="AB17" s="10">
        <v>121.38</v>
      </c>
      <c r="AC17" s="9">
        <v>112.54</v>
      </c>
      <c r="AD17" s="9">
        <v>121.29</v>
      </c>
      <c r="AE17" s="10">
        <v>111.97</v>
      </c>
      <c r="AF17" s="11">
        <v>100.22</v>
      </c>
      <c r="AG17" s="9"/>
      <c r="AH17" s="12"/>
      <c r="AI17" s="12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</row>
    <row r="18" spans="1:109" s="1" customFormat="1" x14ac:dyDescent="0.25">
      <c r="A18" s="7"/>
      <c r="B18" s="8" t="s">
        <v>11</v>
      </c>
      <c r="C18" s="4" t="s">
        <v>6</v>
      </c>
      <c r="D18" s="5">
        <f t="shared" si="2"/>
        <v>3358.2700000000004</v>
      </c>
      <c r="E18" s="9">
        <v>128.86000000000001</v>
      </c>
      <c r="F18" s="9">
        <f>116.15+0.24</f>
        <v>116.39</v>
      </c>
      <c r="G18" s="9">
        <v>126.16</v>
      </c>
      <c r="H18" s="9">
        <v>126.08</v>
      </c>
      <c r="I18" s="9">
        <v>114.98</v>
      </c>
      <c r="J18" s="9">
        <v>116.25</v>
      </c>
      <c r="K18" s="9">
        <f>102.54+0.15</f>
        <v>102.69000000000001</v>
      </c>
      <c r="L18" s="9">
        <f>125.05+0.14</f>
        <v>125.19</v>
      </c>
      <c r="M18" s="9">
        <v>126.91</v>
      </c>
      <c r="N18" s="9">
        <v>114.67</v>
      </c>
      <c r="O18" s="9">
        <v>114.25</v>
      </c>
      <c r="P18" s="9">
        <v>109.37</v>
      </c>
      <c r="Q18" s="9">
        <v>126.39</v>
      </c>
      <c r="R18" s="10">
        <v>129.94</v>
      </c>
      <c r="S18" s="10">
        <v>109.28</v>
      </c>
      <c r="T18" s="15">
        <v>120.02</v>
      </c>
      <c r="U18" s="9">
        <f>120.31+0.12</f>
        <v>120.43</v>
      </c>
      <c r="V18" s="9">
        <v>108.81</v>
      </c>
      <c r="W18" s="15">
        <v>122.26</v>
      </c>
      <c r="X18" s="10">
        <v>119.71</v>
      </c>
      <c r="Y18" s="15">
        <v>135.38999999999999</v>
      </c>
      <c r="Z18" s="15">
        <v>130.47</v>
      </c>
      <c r="AA18" s="11">
        <v>121.97</v>
      </c>
      <c r="AB18" s="15">
        <v>116</v>
      </c>
      <c r="AC18" s="11">
        <v>127.31</v>
      </c>
      <c r="AD18" s="9">
        <v>124.96</v>
      </c>
      <c r="AE18" s="10">
        <v>114.53</v>
      </c>
      <c r="AF18" s="11">
        <v>109</v>
      </c>
      <c r="AG18" s="9"/>
      <c r="AH18" s="12"/>
      <c r="AI18" s="12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</row>
    <row r="19" spans="1:109" s="1" customFormat="1" x14ac:dyDescent="0.25">
      <c r="A19" s="7"/>
      <c r="B19" s="8" t="s">
        <v>12</v>
      </c>
      <c r="C19" s="4" t="s">
        <v>6</v>
      </c>
      <c r="D19" s="13">
        <f t="shared" si="2"/>
        <v>2148.8500000000004</v>
      </c>
      <c r="E19" s="9">
        <f>77.59-0.09</f>
        <v>77.5</v>
      </c>
      <c r="F19" s="9">
        <v>76.86</v>
      </c>
      <c r="G19" s="9">
        <v>77.05</v>
      </c>
      <c r="H19" s="9">
        <v>79</v>
      </c>
      <c r="I19" s="9">
        <v>76.69</v>
      </c>
      <c r="J19" s="9">
        <v>76.75</v>
      </c>
      <c r="K19" s="9">
        <v>77.11</v>
      </c>
      <c r="L19" s="9">
        <v>76.2</v>
      </c>
      <c r="M19" s="9">
        <v>77.75</v>
      </c>
      <c r="N19" s="9">
        <v>75.95</v>
      </c>
      <c r="O19" s="9">
        <v>76.3</v>
      </c>
      <c r="P19" s="9">
        <v>76.03</v>
      </c>
      <c r="Q19" s="9">
        <v>76.13</v>
      </c>
      <c r="R19" s="10">
        <f>78.98-6.98</f>
        <v>72</v>
      </c>
      <c r="S19" s="10">
        <v>78.55</v>
      </c>
      <c r="T19" s="15">
        <v>76.290000000000006</v>
      </c>
      <c r="U19" s="9">
        <v>76.23</v>
      </c>
      <c r="V19" s="9">
        <v>76.680000000000007</v>
      </c>
      <c r="W19" s="15">
        <v>77.959999999999994</v>
      </c>
      <c r="X19" s="10">
        <v>76.989999999999995</v>
      </c>
      <c r="Y19" s="15">
        <f>78.09+0.04</f>
        <v>78.13000000000001</v>
      </c>
      <c r="Z19" s="15">
        <v>74.180000000000007</v>
      </c>
      <c r="AA19" s="11">
        <v>75.59</v>
      </c>
      <c r="AB19" s="10">
        <v>77.36</v>
      </c>
      <c r="AC19" s="11">
        <v>78.02</v>
      </c>
      <c r="AD19" s="9">
        <v>76.13</v>
      </c>
      <c r="AE19" s="10">
        <v>76.33</v>
      </c>
      <c r="AF19" s="10">
        <v>79.09</v>
      </c>
      <c r="AG19" s="9"/>
      <c r="AH19" s="12"/>
      <c r="AI19" s="12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</row>
    <row r="21" spans="1:109" ht="21" x14ac:dyDescent="0.35">
      <c r="A21" s="27" t="s">
        <v>15</v>
      </c>
    </row>
    <row r="22" spans="1:109" s="1" customFormat="1" ht="20.25" x14ac:dyDescent="0.25">
      <c r="A22" s="2" t="s">
        <v>4</v>
      </c>
      <c r="B22" s="3" t="s">
        <v>5</v>
      </c>
      <c r="C22" s="4" t="s">
        <v>6</v>
      </c>
      <c r="D22" s="5">
        <f t="shared" ref="D22:D28" si="4">SUM(E22:AI22)</f>
        <v>35171.369999999995</v>
      </c>
      <c r="E22" s="6">
        <f t="shared" ref="E22:AI22" si="5">SUM(E23:E28)</f>
        <v>1121.1299999999999</v>
      </c>
      <c r="F22" s="6">
        <f t="shared" si="5"/>
        <v>1101.19</v>
      </c>
      <c r="G22" s="6">
        <f t="shared" si="5"/>
        <v>1033.1300000000001</v>
      </c>
      <c r="H22" s="6">
        <f t="shared" si="5"/>
        <v>1027.55</v>
      </c>
      <c r="I22" s="6">
        <f t="shared" si="5"/>
        <v>1057.54</v>
      </c>
      <c r="J22" s="6">
        <f t="shared" si="5"/>
        <v>997.4</v>
      </c>
      <c r="K22" s="6">
        <f t="shared" si="5"/>
        <v>1027.08</v>
      </c>
      <c r="L22" s="6">
        <f t="shared" si="5"/>
        <v>1087.1599999999999</v>
      </c>
      <c r="M22" s="6">
        <f t="shared" si="5"/>
        <v>1127.9100000000001</v>
      </c>
      <c r="N22" s="6">
        <f t="shared" si="5"/>
        <v>1064.06</v>
      </c>
      <c r="O22" s="6">
        <f t="shared" si="5"/>
        <v>1094.1300000000001</v>
      </c>
      <c r="P22" s="6">
        <f t="shared" si="5"/>
        <v>1130.2599999999998</v>
      </c>
      <c r="Q22" s="6">
        <f t="shared" si="5"/>
        <v>1186.0999999999999</v>
      </c>
      <c r="R22" s="6">
        <f t="shared" si="5"/>
        <v>1183.0100000000002</v>
      </c>
      <c r="S22" s="6">
        <f t="shared" si="5"/>
        <v>1121.8599999999999</v>
      </c>
      <c r="T22" s="6">
        <f t="shared" si="5"/>
        <v>1171.3799999999999</v>
      </c>
      <c r="U22" s="6">
        <f t="shared" si="5"/>
        <v>1176.74</v>
      </c>
      <c r="V22" s="6">
        <f t="shared" si="5"/>
        <v>1141.44</v>
      </c>
      <c r="W22" s="6">
        <f t="shared" si="5"/>
        <v>1221.53</v>
      </c>
      <c r="X22" s="6">
        <f t="shared" si="5"/>
        <v>1195.47</v>
      </c>
      <c r="Y22" s="6">
        <f t="shared" si="5"/>
        <v>1156.97</v>
      </c>
      <c r="Z22" s="6">
        <f t="shared" si="5"/>
        <v>1157.8399999999997</v>
      </c>
      <c r="AA22" s="6">
        <f t="shared" si="5"/>
        <v>1216.7</v>
      </c>
      <c r="AB22" s="6">
        <f t="shared" si="5"/>
        <v>1147.95</v>
      </c>
      <c r="AC22" s="6">
        <f t="shared" si="5"/>
        <v>1204.9199999999998</v>
      </c>
      <c r="AD22" s="6">
        <f t="shared" si="5"/>
        <v>1148.98</v>
      </c>
      <c r="AE22" s="6">
        <f t="shared" si="5"/>
        <v>1172.9199999999998</v>
      </c>
      <c r="AF22" s="6">
        <f t="shared" si="5"/>
        <v>1139.67</v>
      </c>
      <c r="AG22" s="6">
        <f t="shared" si="5"/>
        <v>1184.8900000000001</v>
      </c>
      <c r="AH22" s="6">
        <f t="shared" si="5"/>
        <v>1206.9099999999999</v>
      </c>
      <c r="AI22" s="6">
        <f t="shared" si="5"/>
        <v>1167.55</v>
      </c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</row>
    <row r="23" spans="1:109" s="1" customFormat="1" x14ac:dyDescent="0.25">
      <c r="A23" s="7"/>
      <c r="B23" s="8" t="s">
        <v>7</v>
      </c>
      <c r="C23" s="4" t="s">
        <v>6</v>
      </c>
      <c r="D23" s="5">
        <f t="shared" si="4"/>
        <v>2925.56</v>
      </c>
      <c r="E23" s="9">
        <v>84.93</v>
      </c>
      <c r="F23" s="9">
        <v>92.7</v>
      </c>
      <c r="G23" s="9">
        <v>82.76</v>
      </c>
      <c r="H23" s="9">
        <v>83.86</v>
      </c>
      <c r="I23" s="9">
        <v>86.59</v>
      </c>
      <c r="J23" s="9">
        <v>64.260000000000005</v>
      </c>
      <c r="K23" s="9">
        <v>67.099999999999994</v>
      </c>
      <c r="L23" s="9">
        <f>76.51-1.16</f>
        <v>75.350000000000009</v>
      </c>
      <c r="M23" s="9">
        <v>99.99</v>
      </c>
      <c r="N23" s="9">
        <v>70.25</v>
      </c>
      <c r="O23" s="9">
        <v>84.52</v>
      </c>
      <c r="P23" s="9">
        <v>71.87</v>
      </c>
      <c r="Q23" s="9">
        <v>114.83</v>
      </c>
      <c r="R23" s="10">
        <v>108.89</v>
      </c>
      <c r="S23" s="10">
        <v>85.73</v>
      </c>
      <c r="T23" s="10">
        <v>82.73</v>
      </c>
      <c r="U23" s="9">
        <v>125.25</v>
      </c>
      <c r="V23" s="9">
        <v>121.61</v>
      </c>
      <c r="W23" s="10">
        <v>102.39</v>
      </c>
      <c r="X23" s="10">
        <f>102.3+1.22</f>
        <v>103.52</v>
      </c>
      <c r="Y23" s="10">
        <v>92.73</v>
      </c>
      <c r="Z23" s="10">
        <v>115.61</v>
      </c>
      <c r="AA23" s="9">
        <v>111.36</v>
      </c>
      <c r="AB23" s="9">
        <v>98.05</v>
      </c>
      <c r="AC23" s="9">
        <v>95.47</v>
      </c>
      <c r="AD23" s="9">
        <v>80.989999999999995</v>
      </c>
      <c r="AE23" s="10">
        <f>95.03-0.58</f>
        <v>94.45</v>
      </c>
      <c r="AF23" s="11">
        <f>83.98-0.58</f>
        <v>83.4</v>
      </c>
      <c r="AG23" s="9">
        <v>117.82</v>
      </c>
      <c r="AH23" s="12">
        <v>122.28</v>
      </c>
      <c r="AI23" s="12">
        <v>104.27</v>
      </c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</row>
    <row r="24" spans="1:109" s="1" customFormat="1" x14ac:dyDescent="0.25">
      <c r="A24" s="7"/>
      <c r="B24" s="8" t="s">
        <v>8</v>
      </c>
      <c r="C24" s="4" t="s">
        <v>6</v>
      </c>
      <c r="D24" s="13">
        <f t="shared" si="4"/>
        <v>14359.300000000001</v>
      </c>
      <c r="E24" s="9">
        <v>485.14</v>
      </c>
      <c r="F24" s="9">
        <v>474.46</v>
      </c>
      <c r="G24" s="9">
        <v>435.71</v>
      </c>
      <c r="H24" s="9">
        <v>416.55</v>
      </c>
      <c r="I24" s="9">
        <v>445.7</v>
      </c>
      <c r="J24" s="9">
        <v>425.37</v>
      </c>
      <c r="K24" s="9">
        <v>444.63</v>
      </c>
      <c r="L24" s="14">
        <v>460.57</v>
      </c>
      <c r="M24" s="9">
        <v>474.66</v>
      </c>
      <c r="N24" s="9">
        <v>439.38</v>
      </c>
      <c r="O24" s="9">
        <v>449.97</v>
      </c>
      <c r="P24" s="9">
        <v>463.69</v>
      </c>
      <c r="Q24" s="9">
        <v>483.33</v>
      </c>
      <c r="R24" s="10">
        <f>470.32+0.02</f>
        <v>470.34</v>
      </c>
      <c r="S24" s="10">
        <v>467.66</v>
      </c>
      <c r="T24" s="10">
        <v>484.95</v>
      </c>
      <c r="U24" s="9">
        <v>460.93</v>
      </c>
      <c r="V24" s="9">
        <v>406.23</v>
      </c>
      <c r="W24" s="10">
        <v>509.1</v>
      </c>
      <c r="X24" s="9">
        <v>486.44</v>
      </c>
      <c r="Y24" s="10">
        <v>474.43</v>
      </c>
      <c r="Z24" s="10">
        <v>451.69</v>
      </c>
      <c r="AA24" s="9">
        <v>485.24</v>
      </c>
      <c r="AB24" s="9">
        <v>439.2</v>
      </c>
      <c r="AC24" s="9">
        <v>504.34</v>
      </c>
      <c r="AD24" s="9">
        <v>454.64</v>
      </c>
      <c r="AE24" s="10">
        <v>467.66</v>
      </c>
      <c r="AF24" s="10">
        <v>456.15</v>
      </c>
      <c r="AG24" s="9">
        <v>480.6</v>
      </c>
      <c r="AH24" s="12">
        <v>493.22</v>
      </c>
      <c r="AI24" s="12">
        <v>467.32</v>
      </c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</row>
    <row r="25" spans="1:109" s="1" customFormat="1" x14ac:dyDescent="0.25">
      <c r="A25" s="7"/>
      <c r="B25" s="8" t="s">
        <v>9</v>
      </c>
      <c r="C25" s="4" t="s">
        <v>6</v>
      </c>
      <c r="D25" s="13">
        <f t="shared" si="4"/>
        <v>8729.34</v>
      </c>
      <c r="E25" s="9">
        <v>265.64</v>
      </c>
      <c r="F25" s="9">
        <v>255.86</v>
      </c>
      <c r="G25" s="9">
        <f>251.33-2.08</f>
        <v>249.25</v>
      </c>
      <c r="H25" s="9">
        <f>261.15-2.78</f>
        <v>258.37</v>
      </c>
      <c r="I25" s="9">
        <v>261.98</v>
      </c>
      <c r="J25" s="9">
        <v>242.14</v>
      </c>
      <c r="K25" s="9">
        <v>254.16</v>
      </c>
      <c r="L25" s="9">
        <v>252.62</v>
      </c>
      <c r="M25" s="9">
        <v>255.56</v>
      </c>
      <c r="N25" s="9">
        <v>247.97</v>
      </c>
      <c r="O25" s="9">
        <v>248.43</v>
      </c>
      <c r="P25" s="9">
        <v>272.35000000000002</v>
      </c>
      <c r="Q25" s="9">
        <v>257.45</v>
      </c>
      <c r="R25" s="10">
        <v>291.41000000000003</v>
      </c>
      <c r="S25" s="10">
        <v>276.98</v>
      </c>
      <c r="T25" s="10">
        <v>311.86</v>
      </c>
      <c r="U25" s="9">
        <v>303.16000000000003</v>
      </c>
      <c r="V25" s="9">
        <v>312.55</v>
      </c>
      <c r="W25" s="10">
        <v>304.31</v>
      </c>
      <c r="X25" s="10">
        <v>316.79000000000002</v>
      </c>
      <c r="Y25" s="10">
        <v>290.98</v>
      </c>
      <c r="Z25" s="10">
        <f>287.02-1.18</f>
        <v>285.83999999999997</v>
      </c>
      <c r="AA25" s="9">
        <v>311.23</v>
      </c>
      <c r="AB25" s="9">
        <v>294.04000000000002</v>
      </c>
      <c r="AC25" s="9">
        <v>288</v>
      </c>
      <c r="AD25" s="9">
        <v>303.20999999999998</v>
      </c>
      <c r="AE25" s="10">
        <v>302.49</v>
      </c>
      <c r="AF25" s="11">
        <v>298.17</v>
      </c>
      <c r="AG25" s="9">
        <v>300.68</v>
      </c>
      <c r="AH25" s="12">
        <v>304.99</v>
      </c>
      <c r="AI25" s="12">
        <v>310.87</v>
      </c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</row>
    <row r="26" spans="1:109" s="1" customFormat="1" ht="16.5" customHeight="1" x14ac:dyDescent="0.25">
      <c r="A26" s="7"/>
      <c r="B26" s="8" t="s">
        <v>10</v>
      </c>
      <c r="C26" s="4" t="s">
        <v>6</v>
      </c>
      <c r="D26" s="13">
        <f t="shared" si="4"/>
        <v>3445.6599999999994</v>
      </c>
      <c r="E26" s="9">
        <v>100.42</v>
      </c>
      <c r="F26" s="9">
        <f>99.44+0.01</f>
        <v>99.45</v>
      </c>
      <c r="G26" s="9">
        <v>98.16</v>
      </c>
      <c r="H26" s="9">
        <f>101.66-0.01</f>
        <v>101.64999999999999</v>
      </c>
      <c r="I26" s="9">
        <v>102.78</v>
      </c>
      <c r="J26" s="9">
        <v>104.92</v>
      </c>
      <c r="K26" s="9">
        <v>99.32</v>
      </c>
      <c r="L26" s="9">
        <v>112.05</v>
      </c>
      <c r="M26" s="9">
        <v>112.67</v>
      </c>
      <c r="N26" s="9">
        <v>111.5</v>
      </c>
      <c r="O26" s="9">
        <v>105.92</v>
      </c>
      <c r="P26" s="9">
        <v>118.18</v>
      </c>
      <c r="Q26" s="9">
        <v>120.53</v>
      </c>
      <c r="R26" s="10">
        <v>114.74</v>
      </c>
      <c r="S26" s="10">
        <f>115.21+0.65</f>
        <v>115.86</v>
      </c>
      <c r="T26" s="10">
        <v>116.89</v>
      </c>
      <c r="U26" s="9">
        <v>107.31</v>
      </c>
      <c r="V26" s="9">
        <v>119.88</v>
      </c>
      <c r="W26" s="10">
        <v>116.98</v>
      </c>
      <c r="X26" s="10">
        <v>117.28</v>
      </c>
      <c r="Y26" s="10">
        <v>114.83</v>
      </c>
      <c r="Z26" s="10">
        <v>117.42</v>
      </c>
      <c r="AA26" s="9">
        <v>116.84</v>
      </c>
      <c r="AB26" s="9">
        <f>123.64+0.48</f>
        <v>124.12</v>
      </c>
      <c r="AC26" s="9">
        <v>120.89</v>
      </c>
      <c r="AD26" s="9">
        <v>120.74</v>
      </c>
      <c r="AE26" s="10">
        <v>118.27</v>
      </c>
      <c r="AF26" s="11">
        <f>110.92-0.01</f>
        <v>110.91</v>
      </c>
      <c r="AG26" s="9">
        <f>103.66+0.01</f>
        <v>103.67</v>
      </c>
      <c r="AH26" s="12">
        <v>102.9</v>
      </c>
      <c r="AI26" s="12">
        <v>98.58</v>
      </c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</row>
    <row r="27" spans="1:109" s="1" customFormat="1" x14ac:dyDescent="0.25">
      <c r="A27" s="7"/>
      <c r="B27" s="8" t="s">
        <v>11</v>
      </c>
      <c r="C27" s="4" t="s">
        <v>6</v>
      </c>
      <c r="D27" s="5">
        <f t="shared" si="4"/>
        <v>3515.6999999999989</v>
      </c>
      <c r="E27" s="9">
        <v>111.83</v>
      </c>
      <c r="F27" s="9">
        <v>104.93</v>
      </c>
      <c r="G27" s="9">
        <v>93.82</v>
      </c>
      <c r="H27" s="9">
        <v>93.06</v>
      </c>
      <c r="I27" s="9">
        <v>84.87</v>
      </c>
      <c r="J27" s="9">
        <v>87</v>
      </c>
      <c r="K27" s="9">
        <v>88.27</v>
      </c>
      <c r="L27" s="9">
        <v>120.34</v>
      </c>
      <c r="M27" s="9">
        <v>116.14</v>
      </c>
      <c r="N27" s="9">
        <f>123.98+0.12</f>
        <v>124.10000000000001</v>
      </c>
      <c r="O27" s="9">
        <v>133.35</v>
      </c>
      <c r="P27" s="9">
        <v>133.55000000000001</v>
      </c>
      <c r="Q27" s="9">
        <v>139.52000000000001</v>
      </c>
      <c r="R27" s="10">
        <f>123.7-0.22</f>
        <v>123.48</v>
      </c>
      <c r="S27" s="10">
        <f>106.93+0.12</f>
        <v>107.05000000000001</v>
      </c>
      <c r="T27" s="15">
        <v>109.38</v>
      </c>
      <c r="U27" s="9">
        <v>111.09</v>
      </c>
      <c r="V27" s="9">
        <v>110.18</v>
      </c>
      <c r="W27" s="15">
        <v>116.4</v>
      </c>
      <c r="X27" s="10">
        <v>113.02</v>
      </c>
      <c r="Y27" s="15">
        <v>111.06</v>
      </c>
      <c r="Z27" s="15">
        <v>116.2</v>
      </c>
      <c r="AA27" s="11">
        <v>120.99</v>
      </c>
      <c r="AB27" s="11">
        <v>121.58</v>
      </c>
      <c r="AC27" s="11">
        <v>122.87</v>
      </c>
      <c r="AD27" s="9">
        <v>118.47</v>
      </c>
      <c r="AE27" s="10">
        <v>119.44</v>
      </c>
      <c r="AF27" s="11">
        <f>118.8+0.81</f>
        <v>119.61</v>
      </c>
      <c r="AG27" s="9">
        <v>114.92</v>
      </c>
      <c r="AH27" s="12">
        <f>112.98-0.23</f>
        <v>112.75</v>
      </c>
      <c r="AI27" s="12">
        <v>116.43</v>
      </c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</row>
    <row r="28" spans="1:109" s="1" customFormat="1" x14ac:dyDescent="0.25">
      <c r="A28" s="7"/>
      <c r="B28" s="8" t="s">
        <v>12</v>
      </c>
      <c r="C28" s="4" t="s">
        <v>6</v>
      </c>
      <c r="D28" s="13">
        <f t="shared" si="4"/>
        <v>2195.8099999999995</v>
      </c>
      <c r="E28" s="9">
        <v>73.17</v>
      </c>
      <c r="F28" s="9">
        <v>73.790000000000006</v>
      </c>
      <c r="G28" s="9">
        <v>73.430000000000007</v>
      </c>
      <c r="H28" s="9">
        <v>74.06</v>
      </c>
      <c r="I28" s="9">
        <v>75.62</v>
      </c>
      <c r="J28" s="9">
        <v>73.709999999999994</v>
      </c>
      <c r="K28" s="9">
        <v>73.599999999999994</v>
      </c>
      <c r="L28" s="9">
        <f>66.32-0.09</f>
        <v>66.22999999999999</v>
      </c>
      <c r="M28" s="9">
        <v>68.89</v>
      </c>
      <c r="N28" s="9">
        <v>70.86</v>
      </c>
      <c r="O28" s="9">
        <v>71.94</v>
      </c>
      <c r="P28" s="9">
        <v>70.62</v>
      </c>
      <c r="Q28" s="9">
        <v>70.44</v>
      </c>
      <c r="R28" s="10">
        <v>74.150000000000006</v>
      </c>
      <c r="S28" s="10">
        <v>68.58</v>
      </c>
      <c r="T28" s="15">
        <v>65.569999999999993</v>
      </c>
      <c r="U28" s="9">
        <v>69</v>
      </c>
      <c r="V28" s="9">
        <v>70.989999999999995</v>
      </c>
      <c r="W28" s="15">
        <v>72.349999999999994</v>
      </c>
      <c r="X28" s="10">
        <f>60.62-2.2</f>
        <v>58.419999999999995</v>
      </c>
      <c r="Y28" s="15">
        <v>72.94</v>
      </c>
      <c r="Z28" s="15">
        <v>71.08</v>
      </c>
      <c r="AA28" s="11">
        <v>71.040000000000006</v>
      </c>
      <c r="AB28" s="11">
        <f>70.51+0.45</f>
        <v>70.960000000000008</v>
      </c>
      <c r="AC28" s="11">
        <v>73.349999999999994</v>
      </c>
      <c r="AD28" s="9">
        <v>70.930000000000007</v>
      </c>
      <c r="AE28" s="10">
        <v>70.61</v>
      </c>
      <c r="AF28" s="10">
        <v>71.430000000000007</v>
      </c>
      <c r="AG28" s="9">
        <v>67.2</v>
      </c>
      <c r="AH28" s="12">
        <v>70.77</v>
      </c>
      <c r="AI28" s="12">
        <v>70.08</v>
      </c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</row>
    <row r="30" spans="1:109" ht="21" x14ac:dyDescent="0.35">
      <c r="A30" s="27" t="s">
        <v>16</v>
      </c>
    </row>
    <row r="31" spans="1:109" s="1" customFormat="1" ht="20.25" x14ac:dyDescent="0.25">
      <c r="A31" s="2" t="s">
        <v>4</v>
      </c>
      <c r="B31" s="3" t="s">
        <v>5</v>
      </c>
      <c r="C31" s="4" t="s">
        <v>6</v>
      </c>
      <c r="D31" s="5">
        <f t="shared" ref="D31:D37" si="6">SUM(E31:AI31)</f>
        <v>34420.58</v>
      </c>
      <c r="E31" s="6">
        <f t="shared" ref="E31:AI31" si="7">SUM(E32:E37)</f>
        <v>1199.3900000000001</v>
      </c>
      <c r="F31" s="6">
        <f t="shared" si="7"/>
        <v>1188.6999999999998</v>
      </c>
      <c r="G31" s="6">
        <f t="shared" si="7"/>
        <v>1173.03</v>
      </c>
      <c r="H31" s="6">
        <f t="shared" si="7"/>
        <v>1038.21</v>
      </c>
      <c r="I31" s="6">
        <f t="shared" si="7"/>
        <v>1200.48</v>
      </c>
      <c r="J31" s="6">
        <f t="shared" si="7"/>
        <v>1210.06</v>
      </c>
      <c r="K31" s="6">
        <f t="shared" si="7"/>
        <v>1173.32</v>
      </c>
      <c r="L31" s="6">
        <f t="shared" si="7"/>
        <v>1160.53</v>
      </c>
      <c r="M31" s="6">
        <f t="shared" si="7"/>
        <v>1107.93</v>
      </c>
      <c r="N31" s="6">
        <f t="shared" si="7"/>
        <v>924.04</v>
      </c>
      <c r="O31" s="6">
        <f t="shared" si="7"/>
        <v>1053.9000000000001</v>
      </c>
      <c r="P31" s="6">
        <f t="shared" si="7"/>
        <v>1152.3500000000001</v>
      </c>
      <c r="Q31" s="6">
        <f t="shared" si="7"/>
        <v>1172.7599999999998</v>
      </c>
      <c r="R31" s="6">
        <f t="shared" si="7"/>
        <v>1138.1399999999999</v>
      </c>
      <c r="S31" s="6">
        <f t="shared" si="7"/>
        <v>1162.53</v>
      </c>
      <c r="T31" s="6">
        <f t="shared" si="7"/>
        <v>1177.48</v>
      </c>
      <c r="U31" s="6">
        <f t="shared" si="7"/>
        <v>1091.8</v>
      </c>
      <c r="V31" s="6">
        <f t="shared" si="7"/>
        <v>835.27</v>
      </c>
      <c r="W31" s="6">
        <f t="shared" si="7"/>
        <v>1190.9900000000002</v>
      </c>
      <c r="X31" s="6">
        <f t="shared" si="7"/>
        <v>1160.6699999999998</v>
      </c>
      <c r="Y31" s="6">
        <f t="shared" si="7"/>
        <v>1236.79</v>
      </c>
      <c r="Z31" s="6">
        <f t="shared" si="7"/>
        <v>1206.95</v>
      </c>
      <c r="AA31" s="6">
        <f t="shared" si="7"/>
        <v>1195.6799999999998</v>
      </c>
      <c r="AB31" s="6">
        <f t="shared" si="7"/>
        <v>1243.6000000000001</v>
      </c>
      <c r="AC31" s="6">
        <f t="shared" si="7"/>
        <v>1169.6299999999999</v>
      </c>
      <c r="AD31" s="6">
        <f t="shared" si="7"/>
        <v>1229.8</v>
      </c>
      <c r="AE31" s="6">
        <f t="shared" si="7"/>
        <v>1142.6199999999999</v>
      </c>
      <c r="AF31" s="6">
        <f t="shared" si="7"/>
        <v>1223.53</v>
      </c>
      <c r="AG31" s="6">
        <f t="shared" si="7"/>
        <v>1127.49</v>
      </c>
      <c r="AH31" s="6">
        <f t="shared" si="7"/>
        <v>1132.9100000000001</v>
      </c>
      <c r="AI31" s="6">
        <f t="shared" si="7"/>
        <v>0</v>
      </c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</row>
    <row r="32" spans="1:109" s="1" customFormat="1" x14ac:dyDescent="0.25">
      <c r="A32" s="7"/>
      <c r="B32" s="8" t="s">
        <v>7</v>
      </c>
      <c r="C32" s="4" t="s">
        <v>6</v>
      </c>
      <c r="D32" s="5">
        <f t="shared" si="6"/>
        <v>3158.4800000000005</v>
      </c>
      <c r="E32" s="9">
        <v>99.43</v>
      </c>
      <c r="F32" s="9">
        <v>77.87</v>
      </c>
      <c r="G32" s="9">
        <v>113.84</v>
      </c>
      <c r="H32" s="9">
        <v>128.43</v>
      </c>
      <c r="I32" s="9">
        <v>116.6</v>
      </c>
      <c r="J32" s="9">
        <v>126.84</v>
      </c>
      <c r="K32" s="9">
        <v>116.65</v>
      </c>
      <c r="L32" s="9">
        <v>91.71</v>
      </c>
      <c r="M32" s="9">
        <v>109.28</v>
      </c>
      <c r="N32" s="9">
        <v>100.74</v>
      </c>
      <c r="O32" s="9">
        <v>95.74</v>
      </c>
      <c r="P32" s="9">
        <v>116.51</v>
      </c>
      <c r="Q32" s="9">
        <f>124.16+0.27</f>
        <v>124.42999999999999</v>
      </c>
      <c r="R32" s="9">
        <v>112.78</v>
      </c>
      <c r="S32" s="9">
        <v>93.14</v>
      </c>
      <c r="T32" s="9">
        <v>93.8</v>
      </c>
      <c r="U32" s="9">
        <v>100.3</v>
      </c>
      <c r="V32" s="9">
        <v>113.64</v>
      </c>
      <c r="W32" s="9">
        <v>109.31</v>
      </c>
      <c r="X32" s="9">
        <v>84.34</v>
      </c>
      <c r="Y32" s="9">
        <v>103.32</v>
      </c>
      <c r="Z32" s="9">
        <v>119.48</v>
      </c>
      <c r="AA32" s="9">
        <v>102.43</v>
      </c>
      <c r="AB32" s="9">
        <v>121</v>
      </c>
      <c r="AC32" s="9">
        <v>123.98</v>
      </c>
      <c r="AD32" s="9">
        <v>104.51</v>
      </c>
      <c r="AE32" s="9">
        <v>90.52</v>
      </c>
      <c r="AF32" s="9">
        <v>96.4</v>
      </c>
      <c r="AG32" s="9">
        <v>79.319999999999993</v>
      </c>
      <c r="AH32" s="9">
        <v>92.14</v>
      </c>
      <c r="AI32" s="1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</row>
    <row r="33" spans="1:109" s="1" customFormat="1" x14ac:dyDescent="0.25">
      <c r="A33" s="7"/>
      <c r="B33" s="8" t="s">
        <v>8</v>
      </c>
      <c r="C33" s="4" t="s">
        <v>6</v>
      </c>
      <c r="D33" s="13">
        <f t="shared" si="6"/>
        <v>13587.300000000003</v>
      </c>
      <c r="E33" s="9">
        <v>497.04</v>
      </c>
      <c r="F33" s="9">
        <v>502.87</v>
      </c>
      <c r="G33" s="9">
        <v>454.32</v>
      </c>
      <c r="H33" s="9">
        <v>287.54000000000002</v>
      </c>
      <c r="I33" s="9">
        <v>478.98</v>
      </c>
      <c r="J33" s="9">
        <v>474.64</v>
      </c>
      <c r="K33" s="9">
        <v>474.31</v>
      </c>
      <c r="L33" s="9">
        <v>470.19</v>
      </c>
      <c r="M33" s="9">
        <v>455.75</v>
      </c>
      <c r="N33" s="9">
        <v>419.39</v>
      </c>
      <c r="O33" s="9">
        <v>402.23</v>
      </c>
      <c r="P33" s="9">
        <v>463.52</v>
      </c>
      <c r="Q33" s="9">
        <v>503.5</v>
      </c>
      <c r="R33" s="9">
        <v>492.06</v>
      </c>
      <c r="S33" s="9">
        <v>485.49</v>
      </c>
      <c r="T33" s="9">
        <v>494.99</v>
      </c>
      <c r="U33" s="9">
        <v>422.03</v>
      </c>
      <c r="V33" s="9">
        <v>141.63999999999999</v>
      </c>
      <c r="W33" s="9">
        <v>462.29</v>
      </c>
      <c r="X33" s="9">
        <v>470.66</v>
      </c>
      <c r="Y33" s="9">
        <v>502.2</v>
      </c>
      <c r="Z33" s="9">
        <v>465.86</v>
      </c>
      <c r="AA33" s="9">
        <v>477.95</v>
      </c>
      <c r="AB33" s="9">
        <v>505.05</v>
      </c>
      <c r="AC33" s="9">
        <v>455.78</v>
      </c>
      <c r="AD33" s="9">
        <v>499.02</v>
      </c>
      <c r="AE33" s="9">
        <v>455.75</v>
      </c>
      <c r="AF33" s="9">
        <v>496.93</v>
      </c>
      <c r="AG33" s="9">
        <v>441.94</v>
      </c>
      <c r="AH33" s="9">
        <v>433.38</v>
      </c>
      <c r="AI33" s="12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</row>
    <row r="34" spans="1:109" s="1" customFormat="1" x14ac:dyDescent="0.25">
      <c r="A34" s="7"/>
      <c r="B34" s="8" t="s">
        <v>9</v>
      </c>
      <c r="C34" s="4" t="s">
        <v>6</v>
      </c>
      <c r="D34" s="13">
        <f t="shared" si="6"/>
        <v>8873.5399999999991</v>
      </c>
      <c r="E34" s="9">
        <v>306.13</v>
      </c>
      <c r="F34" s="9">
        <v>307.8</v>
      </c>
      <c r="G34" s="9">
        <v>315.3</v>
      </c>
      <c r="H34" s="9">
        <v>311.49</v>
      </c>
      <c r="I34" s="9">
        <v>302.60000000000002</v>
      </c>
      <c r="J34" s="9">
        <v>298.89999999999998</v>
      </c>
      <c r="K34" s="9">
        <v>289.04000000000002</v>
      </c>
      <c r="L34" s="9">
        <v>279.7</v>
      </c>
      <c r="M34" s="9">
        <v>246.76</v>
      </c>
      <c r="N34" s="9">
        <v>160.63999999999999</v>
      </c>
      <c r="O34" s="9">
        <v>303.85000000000002</v>
      </c>
      <c r="P34" s="9">
        <v>318.14999999999998</v>
      </c>
      <c r="Q34" s="9">
        <v>308.93</v>
      </c>
      <c r="R34" s="9">
        <f>288.96-0.29</f>
        <v>288.66999999999996</v>
      </c>
      <c r="S34" s="9">
        <v>284.20999999999998</v>
      </c>
      <c r="T34" s="9">
        <v>311.60000000000002</v>
      </c>
      <c r="U34" s="9">
        <v>267.02999999999997</v>
      </c>
      <c r="V34" s="9">
        <v>264.89</v>
      </c>
      <c r="W34" s="9">
        <v>317.32</v>
      </c>
      <c r="X34" s="9">
        <v>309.7</v>
      </c>
      <c r="Y34" s="9">
        <v>325.08</v>
      </c>
      <c r="Z34" s="9">
        <v>314.77</v>
      </c>
      <c r="AA34" s="9">
        <v>311.74</v>
      </c>
      <c r="AB34" s="9">
        <v>306.42</v>
      </c>
      <c r="AC34" s="9">
        <v>298.33999999999997</v>
      </c>
      <c r="AD34" s="9">
        <f>317.12-1.18</f>
        <v>315.94</v>
      </c>
      <c r="AE34" s="9">
        <f>312.38+2.36</f>
        <v>314.74</v>
      </c>
      <c r="AF34" s="9">
        <f>310.73-2.78</f>
        <v>307.95000000000005</v>
      </c>
      <c r="AG34" s="9">
        <v>288.62</v>
      </c>
      <c r="AH34" s="9">
        <v>297.23</v>
      </c>
      <c r="AI34" s="12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</row>
    <row r="35" spans="1:109" s="1" customFormat="1" ht="16.5" customHeight="1" x14ac:dyDescent="0.25">
      <c r="A35" s="7"/>
      <c r="B35" s="8" t="s">
        <v>10</v>
      </c>
      <c r="C35" s="4" t="s">
        <v>6</v>
      </c>
      <c r="D35" s="13">
        <f t="shared" si="6"/>
        <v>3309.0699999999993</v>
      </c>
      <c r="E35" s="9">
        <v>104.22</v>
      </c>
      <c r="F35" s="9">
        <v>105.41</v>
      </c>
      <c r="G35" s="9">
        <v>104.06</v>
      </c>
      <c r="H35" s="9">
        <f>115.96-2.79</f>
        <v>113.16999999999999</v>
      </c>
      <c r="I35" s="9">
        <v>114.65</v>
      </c>
      <c r="J35" s="9">
        <v>113.69</v>
      </c>
      <c r="K35" s="9">
        <v>121.95</v>
      </c>
      <c r="L35" s="9">
        <v>123.48</v>
      </c>
      <c r="M35" s="9">
        <v>121.28</v>
      </c>
      <c r="N35" s="9">
        <f>116.41-0.01</f>
        <v>116.39999999999999</v>
      </c>
      <c r="O35" s="9">
        <v>96.74</v>
      </c>
      <c r="P35" s="9">
        <v>106.74</v>
      </c>
      <c r="Q35" s="9">
        <v>94.63</v>
      </c>
      <c r="R35" s="9">
        <f>98.31-0.23</f>
        <v>98.08</v>
      </c>
      <c r="S35" s="9">
        <v>125.68</v>
      </c>
      <c r="T35" s="9">
        <v>102.96</v>
      </c>
      <c r="U35" s="9">
        <f>121.25+0.13</f>
        <v>121.38</v>
      </c>
      <c r="V35" s="9">
        <v>116.49</v>
      </c>
      <c r="W35" s="9">
        <v>111.34</v>
      </c>
      <c r="X35" s="9">
        <v>106.26</v>
      </c>
      <c r="Y35" s="9">
        <v>100.7</v>
      </c>
      <c r="Z35" s="9">
        <v>116.16</v>
      </c>
      <c r="AA35" s="9">
        <v>117.04</v>
      </c>
      <c r="AB35" s="9">
        <v>115.93</v>
      </c>
      <c r="AC35" s="9">
        <v>105.1</v>
      </c>
      <c r="AD35" s="9">
        <v>94.2</v>
      </c>
      <c r="AE35" s="9">
        <v>91.82</v>
      </c>
      <c r="AF35" s="9">
        <f>111.14+0.4</f>
        <v>111.54</v>
      </c>
      <c r="AG35" s="9">
        <v>117.75</v>
      </c>
      <c r="AH35" s="9">
        <v>120.22</v>
      </c>
      <c r="AI35" s="12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</row>
    <row r="36" spans="1:109" s="1" customFormat="1" x14ac:dyDescent="0.25">
      <c r="A36" s="7"/>
      <c r="B36" s="8" t="s">
        <v>11</v>
      </c>
      <c r="C36" s="4" t="s">
        <v>6</v>
      </c>
      <c r="D36" s="5">
        <f t="shared" si="6"/>
        <v>3543.9799999999996</v>
      </c>
      <c r="E36" s="9">
        <v>118</v>
      </c>
      <c r="F36" s="9">
        <v>121.39</v>
      </c>
      <c r="G36" s="9">
        <v>111.97</v>
      </c>
      <c r="H36" s="9">
        <v>122.35</v>
      </c>
      <c r="I36" s="9">
        <v>112.31</v>
      </c>
      <c r="J36" s="9">
        <v>123.31</v>
      </c>
      <c r="K36" s="9">
        <v>104.88</v>
      </c>
      <c r="L36" s="9">
        <v>129.80000000000001</v>
      </c>
      <c r="M36" s="9">
        <v>112.4</v>
      </c>
      <c r="N36" s="9">
        <f>108.8-0.09</f>
        <v>108.71</v>
      </c>
      <c r="O36" s="9">
        <v>93.22</v>
      </c>
      <c r="P36" s="9">
        <f>101.26-0.01</f>
        <v>101.25</v>
      </c>
      <c r="Q36" s="9">
        <v>103.65</v>
      </c>
      <c r="R36" s="9">
        <f>103.74+0.23</f>
        <v>103.97</v>
      </c>
      <c r="S36" s="9">
        <v>122.79</v>
      </c>
      <c r="T36" s="9">
        <v>122.44</v>
      </c>
      <c r="U36" s="9">
        <v>121.15</v>
      </c>
      <c r="V36" s="9">
        <v>138.72</v>
      </c>
      <c r="W36" s="9">
        <v>119.06</v>
      </c>
      <c r="X36" s="9">
        <v>115.85</v>
      </c>
      <c r="Y36" s="9">
        <v>130.58000000000001</v>
      </c>
      <c r="Z36" s="9">
        <v>117.45</v>
      </c>
      <c r="AA36" s="9">
        <v>113.72</v>
      </c>
      <c r="AB36" s="9">
        <f>122.5-0.3</f>
        <v>122.2</v>
      </c>
      <c r="AC36" s="9">
        <f>112.93-0.3</f>
        <v>112.63000000000001</v>
      </c>
      <c r="AD36" s="9">
        <f>147.47-4.1</f>
        <v>143.37</v>
      </c>
      <c r="AE36" s="9">
        <v>115.46</v>
      </c>
      <c r="AF36" s="9">
        <v>138.62</v>
      </c>
      <c r="AG36" s="9">
        <v>126.33</v>
      </c>
      <c r="AH36" s="9">
        <v>116.4</v>
      </c>
      <c r="AI36" s="12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</row>
    <row r="37" spans="1:109" s="1" customFormat="1" x14ac:dyDescent="0.25">
      <c r="A37" s="7"/>
      <c r="B37" s="8" t="s">
        <v>12</v>
      </c>
      <c r="C37" s="4" t="s">
        <v>6</v>
      </c>
      <c r="D37" s="13">
        <f t="shared" si="6"/>
        <v>1948.2099999999998</v>
      </c>
      <c r="E37" s="9">
        <v>74.569999999999993</v>
      </c>
      <c r="F37" s="9">
        <v>73.36</v>
      </c>
      <c r="G37" s="9">
        <v>73.540000000000006</v>
      </c>
      <c r="H37" s="9">
        <v>75.23</v>
      </c>
      <c r="I37" s="9">
        <v>75.34</v>
      </c>
      <c r="J37" s="9">
        <v>72.680000000000007</v>
      </c>
      <c r="K37" s="9">
        <v>66.489999999999995</v>
      </c>
      <c r="L37" s="9">
        <v>65.650000000000006</v>
      </c>
      <c r="M37" s="9">
        <v>62.46</v>
      </c>
      <c r="N37" s="9">
        <v>18.16</v>
      </c>
      <c r="O37" s="9">
        <v>62.12</v>
      </c>
      <c r="P37" s="9">
        <v>46.18</v>
      </c>
      <c r="Q37" s="9">
        <v>37.619999999999997</v>
      </c>
      <c r="R37" s="9">
        <v>42.58</v>
      </c>
      <c r="S37" s="9">
        <v>51.22</v>
      </c>
      <c r="T37" s="9">
        <v>51.69</v>
      </c>
      <c r="U37" s="9">
        <v>59.91</v>
      </c>
      <c r="V37" s="9">
        <v>59.89</v>
      </c>
      <c r="W37" s="9">
        <v>71.67</v>
      </c>
      <c r="X37" s="9">
        <v>73.86</v>
      </c>
      <c r="Y37" s="9">
        <v>74.91</v>
      </c>
      <c r="Z37" s="9">
        <v>73.23</v>
      </c>
      <c r="AA37" s="9">
        <v>72.8</v>
      </c>
      <c r="AB37" s="9">
        <v>73</v>
      </c>
      <c r="AC37" s="9">
        <v>73.8</v>
      </c>
      <c r="AD37" s="9">
        <v>72.760000000000005</v>
      </c>
      <c r="AE37" s="9">
        <v>74.33</v>
      </c>
      <c r="AF37" s="9">
        <v>72.09</v>
      </c>
      <c r="AG37" s="9">
        <v>73.53</v>
      </c>
      <c r="AH37" s="9">
        <v>73.540000000000006</v>
      </c>
      <c r="AI37" s="12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</row>
    <row r="39" spans="1:109" ht="21" x14ac:dyDescent="0.35">
      <c r="A39" s="27" t="s">
        <v>17</v>
      </c>
    </row>
    <row r="40" spans="1:109" ht="20.25" x14ac:dyDescent="0.25">
      <c r="A40" s="18" t="s">
        <v>4</v>
      </c>
      <c r="B40" s="26" t="s">
        <v>5</v>
      </c>
      <c r="C40" s="19" t="s">
        <v>6</v>
      </c>
      <c r="D40" s="17">
        <v>27924.42</v>
      </c>
      <c r="E40" s="20">
        <v>1104.25</v>
      </c>
      <c r="F40" s="20">
        <v>1035.8900000000001</v>
      </c>
      <c r="G40" s="20">
        <v>914.63000000000011</v>
      </c>
      <c r="H40" s="20">
        <v>798.09000000000015</v>
      </c>
      <c r="I40" s="20">
        <v>539.24</v>
      </c>
      <c r="J40" s="20">
        <v>976.54</v>
      </c>
      <c r="K40" s="20">
        <v>943.80000000000007</v>
      </c>
      <c r="L40" s="20">
        <v>935.22</v>
      </c>
      <c r="M40" s="20">
        <v>935.15</v>
      </c>
      <c r="N40" s="20">
        <v>470.86</v>
      </c>
      <c r="O40" s="20">
        <v>0</v>
      </c>
      <c r="P40" s="20">
        <v>1065.21</v>
      </c>
      <c r="Q40" s="20">
        <v>978.79000000000008</v>
      </c>
      <c r="R40" s="20">
        <v>1087.97</v>
      </c>
      <c r="S40" s="20">
        <v>1030.8999999999999</v>
      </c>
      <c r="T40" s="20">
        <v>1062.93</v>
      </c>
      <c r="U40" s="20">
        <v>1041.96</v>
      </c>
      <c r="V40" s="20">
        <v>1037.8500000000001</v>
      </c>
      <c r="W40" s="20">
        <v>917.2399999999999</v>
      </c>
      <c r="X40" s="20">
        <v>932.01</v>
      </c>
      <c r="Y40" s="20">
        <v>1021.5500000000001</v>
      </c>
      <c r="Z40" s="20">
        <v>1013.89</v>
      </c>
      <c r="AA40" s="20">
        <v>1034.95</v>
      </c>
      <c r="AB40" s="20">
        <v>1054.5800000000002</v>
      </c>
      <c r="AC40" s="20">
        <v>965.92000000000007</v>
      </c>
      <c r="AD40" s="20">
        <v>859.9</v>
      </c>
      <c r="AE40" s="20">
        <v>1030.9099999999999</v>
      </c>
      <c r="AF40" s="20">
        <v>1085.1000000000001</v>
      </c>
      <c r="AG40" s="20">
        <v>1024.7</v>
      </c>
      <c r="AH40" s="20">
        <v>1024.3900000000001</v>
      </c>
      <c r="AI40" s="20">
        <v>0</v>
      </c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</row>
    <row r="41" spans="1:109" ht="15.75" x14ac:dyDescent="0.25">
      <c r="A41" s="21"/>
      <c r="B41" s="22" t="s">
        <v>7</v>
      </c>
      <c r="C41" s="19" t="s">
        <v>6</v>
      </c>
      <c r="D41" s="17">
        <v>2419.12</v>
      </c>
      <c r="E41" s="23">
        <v>107.07</v>
      </c>
      <c r="F41" s="23">
        <v>80.47</v>
      </c>
      <c r="G41" s="23">
        <v>90.47</v>
      </c>
      <c r="H41" s="23">
        <v>77.69</v>
      </c>
      <c r="I41" s="23">
        <v>70.42</v>
      </c>
      <c r="J41" s="23">
        <v>94</v>
      </c>
      <c r="K41" s="23">
        <v>88.8</v>
      </c>
      <c r="L41" s="23">
        <v>70.459999999999994</v>
      </c>
      <c r="M41" s="23">
        <v>63.48</v>
      </c>
      <c r="N41" s="23">
        <v>49.76</v>
      </c>
      <c r="O41" s="23"/>
      <c r="P41" s="23">
        <v>86.18</v>
      </c>
      <c r="Q41" s="23">
        <v>95.12</v>
      </c>
      <c r="R41" s="23">
        <v>85.94</v>
      </c>
      <c r="S41" s="23">
        <v>73.709999999999994</v>
      </c>
      <c r="T41" s="23">
        <v>82.36</v>
      </c>
      <c r="U41" s="23">
        <v>98.36</v>
      </c>
      <c r="V41" s="23">
        <v>74.03</v>
      </c>
      <c r="W41" s="23">
        <v>76.16</v>
      </c>
      <c r="X41" s="23">
        <v>88.92</v>
      </c>
      <c r="Y41" s="23">
        <v>75.650000000000006</v>
      </c>
      <c r="Z41" s="23">
        <v>75.040000000000006</v>
      </c>
      <c r="AA41" s="23">
        <v>106.21</v>
      </c>
      <c r="AB41" s="23">
        <v>98.16</v>
      </c>
      <c r="AC41" s="23">
        <v>90.45</v>
      </c>
      <c r="AD41" s="23">
        <v>75.739999999999995</v>
      </c>
      <c r="AE41" s="23">
        <v>93.74</v>
      </c>
      <c r="AF41" s="23">
        <v>88.96</v>
      </c>
      <c r="AG41" s="23">
        <v>76.650000000000006</v>
      </c>
      <c r="AH41" s="23">
        <v>85.12</v>
      </c>
      <c r="AI41" s="24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</row>
    <row r="42" spans="1:109" ht="15.75" x14ac:dyDescent="0.25">
      <c r="A42" s="21"/>
      <c r="B42" s="22" t="s">
        <v>8</v>
      </c>
      <c r="C42" s="19" t="s">
        <v>6</v>
      </c>
      <c r="D42" s="25">
        <v>10655.780000000002</v>
      </c>
      <c r="E42" s="23">
        <v>399.74</v>
      </c>
      <c r="F42" s="23">
        <v>384.89</v>
      </c>
      <c r="G42" s="23">
        <v>324.97000000000003</v>
      </c>
      <c r="H42" s="23">
        <v>217.46</v>
      </c>
      <c r="I42" s="23">
        <v>84.47</v>
      </c>
      <c r="J42" s="23">
        <v>368.15</v>
      </c>
      <c r="K42" s="23">
        <v>383.05</v>
      </c>
      <c r="L42" s="23">
        <v>357.11</v>
      </c>
      <c r="M42" s="23">
        <v>375.63</v>
      </c>
      <c r="N42" s="23">
        <v>115.65</v>
      </c>
      <c r="O42" s="23"/>
      <c r="P42" s="23">
        <v>428.48</v>
      </c>
      <c r="Q42" s="23">
        <v>311.97000000000003</v>
      </c>
      <c r="R42" s="23">
        <v>442.01</v>
      </c>
      <c r="S42" s="23">
        <v>429.45</v>
      </c>
      <c r="T42" s="23">
        <v>444.89</v>
      </c>
      <c r="U42" s="23">
        <v>414.69</v>
      </c>
      <c r="V42" s="23">
        <v>455.91</v>
      </c>
      <c r="W42" s="23">
        <v>359.74</v>
      </c>
      <c r="X42" s="23">
        <v>339.77</v>
      </c>
      <c r="Y42" s="23">
        <v>404.67</v>
      </c>
      <c r="Z42" s="23">
        <v>413.01</v>
      </c>
      <c r="AA42" s="23">
        <v>407.54</v>
      </c>
      <c r="AB42" s="23">
        <v>395.38</v>
      </c>
      <c r="AC42" s="23">
        <v>367.24</v>
      </c>
      <c r="AD42" s="23">
        <v>321.52999999999997</v>
      </c>
      <c r="AE42" s="23">
        <v>402.52</v>
      </c>
      <c r="AF42" s="23">
        <v>460.27</v>
      </c>
      <c r="AG42" s="23">
        <v>427.02</v>
      </c>
      <c r="AH42" s="23">
        <v>418.57</v>
      </c>
      <c r="AI42" s="24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</row>
    <row r="43" spans="1:109" ht="15.75" x14ac:dyDescent="0.25">
      <c r="A43" s="21"/>
      <c r="B43" s="22" t="s">
        <v>9</v>
      </c>
      <c r="C43" s="19" t="s">
        <v>6</v>
      </c>
      <c r="D43" s="25">
        <v>7508.08</v>
      </c>
      <c r="E43" s="23">
        <v>278.22000000000003</v>
      </c>
      <c r="F43" s="23">
        <v>283.33999999999997</v>
      </c>
      <c r="G43" s="23">
        <v>214.38</v>
      </c>
      <c r="H43" s="23">
        <v>249.23</v>
      </c>
      <c r="I43" s="23">
        <v>133.19999999999999</v>
      </c>
      <c r="J43" s="23">
        <v>255.41</v>
      </c>
      <c r="K43" s="23">
        <v>243.09</v>
      </c>
      <c r="L43" s="23">
        <v>265.29000000000002</v>
      </c>
      <c r="M43" s="23">
        <v>257.86</v>
      </c>
      <c r="N43" s="23">
        <v>135.51</v>
      </c>
      <c r="O43" s="23"/>
      <c r="P43" s="23">
        <v>265.08999999999997</v>
      </c>
      <c r="Q43" s="23">
        <v>265.47000000000003</v>
      </c>
      <c r="R43" s="23">
        <v>271.64999999999998</v>
      </c>
      <c r="S43" s="23">
        <v>262.51</v>
      </c>
      <c r="T43" s="23">
        <v>247.68</v>
      </c>
      <c r="U43" s="23">
        <v>267.58</v>
      </c>
      <c r="V43" s="23">
        <v>266.92</v>
      </c>
      <c r="W43" s="23">
        <v>258.7</v>
      </c>
      <c r="X43" s="23">
        <v>274.45</v>
      </c>
      <c r="Y43" s="23">
        <v>297.67</v>
      </c>
      <c r="Z43" s="23">
        <v>294.06</v>
      </c>
      <c r="AA43" s="23">
        <v>284.55</v>
      </c>
      <c r="AB43" s="23">
        <v>297.41000000000003</v>
      </c>
      <c r="AC43" s="23">
        <v>274.3</v>
      </c>
      <c r="AD43" s="23">
        <v>275.45999999999998</v>
      </c>
      <c r="AE43" s="23">
        <v>270.04000000000002</v>
      </c>
      <c r="AF43" s="23">
        <v>270.18</v>
      </c>
      <c r="AG43" s="23">
        <v>268.06</v>
      </c>
      <c r="AH43" s="23">
        <v>280.77</v>
      </c>
      <c r="AI43" s="24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</row>
    <row r="44" spans="1:109" ht="15.75" x14ac:dyDescent="0.25">
      <c r="A44" s="21"/>
      <c r="B44" s="22" t="s">
        <v>10</v>
      </c>
      <c r="C44" s="19" t="s">
        <v>6</v>
      </c>
      <c r="D44" s="25">
        <v>2815.19</v>
      </c>
      <c r="E44" s="23">
        <v>118.31</v>
      </c>
      <c r="F44" s="23">
        <v>111.84</v>
      </c>
      <c r="G44" s="23">
        <v>116.28</v>
      </c>
      <c r="H44" s="23">
        <v>105.81</v>
      </c>
      <c r="I44" s="23">
        <v>106.89</v>
      </c>
      <c r="J44" s="23">
        <v>101.48</v>
      </c>
      <c r="K44" s="23">
        <v>75.319999999999993</v>
      </c>
      <c r="L44" s="23">
        <v>78.08</v>
      </c>
      <c r="M44" s="23">
        <v>70.61</v>
      </c>
      <c r="N44" s="23">
        <v>64.05</v>
      </c>
      <c r="O44" s="23"/>
      <c r="P44" s="23">
        <v>112.7</v>
      </c>
      <c r="Q44" s="23">
        <v>117.75</v>
      </c>
      <c r="R44" s="23">
        <v>113.96</v>
      </c>
      <c r="S44" s="23">
        <v>95.84</v>
      </c>
      <c r="T44" s="23">
        <v>115.45</v>
      </c>
      <c r="U44" s="23">
        <v>105.61</v>
      </c>
      <c r="V44" s="23">
        <v>97.03</v>
      </c>
      <c r="W44" s="23">
        <v>97.65</v>
      </c>
      <c r="X44" s="23">
        <v>94.59</v>
      </c>
      <c r="Y44" s="23">
        <v>96.96</v>
      </c>
      <c r="Z44" s="23">
        <v>90.34</v>
      </c>
      <c r="AA44" s="23">
        <v>89.55</v>
      </c>
      <c r="AB44" s="23">
        <v>98</v>
      </c>
      <c r="AC44" s="23">
        <v>89.68</v>
      </c>
      <c r="AD44" s="23">
        <v>64.28</v>
      </c>
      <c r="AE44" s="23">
        <v>98.08</v>
      </c>
      <c r="AF44" s="23">
        <v>100.24</v>
      </c>
      <c r="AG44" s="23">
        <v>100.61</v>
      </c>
      <c r="AH44" s="23">
        <v>88.2</v>
      </c>
      <c r="AI44" s="24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</row>
    <row r="45" spans="1:109" ht="15.75" x14ac:dyDescent="0.25">
      <c r="A45" s="21"/>
      <c r="B45" s="22" t="s">
        <v>11</v>
      </c>
      <c r="C45" s="19" t="s">
        <v>6</v>
      </c>
      <c r="D45" s="17">
        <v>2768.89</v>
      </c>
      <c r="E45" s="23">
        <v>122.15</v>
      </c>
      <c r="F45" s="23">
        <v>97.52</v>
      </c>
      <c r="G45" s="23">
        <v>89.84</v>
      </c>
      <c r="H45" s="23">
        <v>73.209999999999994</v>
      </c>
      <c r="I45" s="23">
        <v>79.989999999999995</v>
      </c>
      <c r="J45" s="23">
        <v>91.67</v>
      </c>
      <c r="K45" s="23">
        <v>82.58</v>
      </c>
      <c r="L45" s="23">
        <v>104.99</v>
      </c>
      <c r="M45" s="23">
        <v>109.9</v>
      </c>
      <c r="N45" s="23">
        <v>44.61</v>
      </c>
      <c r="O45" s="23"/>
      <c r="P45" s="23">
        <v>106.14</v>
      </c>
      <c r="Q45" s="23">
        <v>127.78</v>
      </c>
      <c r="R45" s="23">
        <v>107.97</v>
      </c>
      <c r="S45" s="23">
        <v>101.17</v>
      </c>
      <c r="T45" s="23">
        <v>101.58</v>
      </c>
      <c r="U45" s="23">
        <v>97.06</v>
      </c>
      <c r="V45" s="23">
        <v>93.07</v>
      </c>
      <c r="W45" s="23">
        <v>80.81</v>
      </c>
      <c r="X45" s="23">
        <v>91.63</v>
      </c>
      <c r="Y45" s="23">
        <v>106.01</v>
      </c>
      <c r="Z45" s="23">
        <v>98.51</v>
      </c>
      <c r="AA45" s="23">
        <v>99.46</v>
      </c>
      <c r="AB45" s="23">
        <v>102.61</v>
      </c>
      <c r="AC45" s="23">
        <v>88.39</v>
      </c>
      <c r="AD45" s="23">
        <v>71.91</v>
      </c>
      <c r="AE45" s="23">
        <v>104.19</v>
      </c>
      <c r="AF45" s="23">
        <v>107.64</v>
      </c>
      <c r="AG45" s="23">
        <v>94.55</v>
      </c>
      <c r="AH45" s="23">
        <v>91.95</v>
      </c>
      <c r="AI45" s="24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</row>
    <row r="46" spans="1:109" ht="15.75" x14ac:dyDescent="0.25">
      <c r="A46" s="21"/>
      <c r="B46" s="22" t="s">
        <v>12</v>
      </c>
      <c r="C46" s="19" t="s">
        <v>6</v>
      </c>
      <c r="D46" s="25">
        <v>1757.3600000000001</v>
      </c>
      <c r="E46" s="23">
        <v>78.760000000000005</v>
      </c>
      <c r="F46" s="23">
        <v>77.83</v>
      </c>
      <c r="G46" s="23">
        <v>78.69</v>
      </c>
      <c r="H46" s="23">
        <v>74.69</v>
      </c>
      <c r="I46" s="23">
        <v>64.27</v>
      </c>
      <c r="J46" s="23">
        <v>65.83</v>
      </c>
      <c r="K46" s="23">
        <v>70.959999999999994</v>
      </c>
      <c r="L46" s="23">
        <v>59.29</v>
      </c>
      <c r="M46" s="23">
        <v>57.67</v>
      </c>
      <c r="N46" s="23">
        <v>61.28</v>
      </c>
      <c r="O46" s="23"/>
      <c r="P46" s="23">
        <v>66.62</v>
      </c>
      <c r="Q46" s="23">
        <v>60.7</v>
      </c>
      <c r="R46" s="23">
        <v>66.44</v>
      </c>
      <c r="S46" s="23">
        <v>68.22</v>
      </c>
      <c r="T46" s="23">
        <v>70.97</v>
      </c>
      <c r="U46" s="23">
        <v>58.66</v>
      </c>
      <c r="V46" s="23">
        <v>50.89</v>
      </c>
      <c r="W46" s="23">
        <v>44.18</v>
      </c>
      <c r="X46" s="23">
        <v>42.65</v>
      </c>
      <c r="Y46" s="23">
        <v>40.590000000000003</v>
      </c>
      <c r="Z46" s="23">
        <v>42.93</v>
      </c>
      <c r="AA46" s="23">
        <v>47.64</v>
      </c>
      <c r="AB46" s="23">
        <v>63.02</v>
      </c>
      <c r="AC46" s="23">
        <v>55.86</v>
      </c>
      <c r="AD46" s="23">
        <v>50.98</v>
      </c>
      <c r="AE46" s="23">
        <v>62.34</v>
      </c>
      <c r="AF46" s="23">
        <v>57.81</v>
      </c>
      <c r="AG46" s="23">
        <v>57.81</v>
      </c>
      <c r="AH46" s="23">
        <v>59.78</v>
      </c>
      <c r="AI46" s="24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</row>
    <row r="48" spans="1:109" ht="21" x14ac:dyDescent="0.35">
      <c r="A48" s="27" t="s">
        <v>18</v>
      </c>
    </row>
    <row r="49" spans="1:109" s="1" customFormat="1" ht="20.25" x14ac:dyDescent="0.25">
      <c r="A49" s="2" t="s">
        <v>4</v>
      </c>
      <c r="B49" s="3" t="s">
        <v>5</v>
      </c>
      <c r="C49" s="4" t="s">
        <v>6</v>
      </c>
      <c r="D49" s="5">
        <f t="shared" ref="D49:D55" si="8">SUM(E49:AI49)</f>
        <v>26806.6</v>
      </c>
      <c r="E49" s="6">
        <f t="shared" ref="E49:AI49" si="9">SUM(E50:E55)</f>
        <v>1034.8399999999999</v>
      </c>
      <c r="F49" s="6">
        <f t="shared" si="9"/>
        <v>997.43999999999983</v>
      </c>
      <c r="G49" s="6">
        <f t="shared" si="9"/>
        <v>432.13</v>
      </c>
      <c r="H49" s="6">
        <f t="shared" si="9"/>
        <v>1092.0900000000001</v>
      </c>
      <c r="I49" s="6">
        <f t="shared" si="9"/>
        <v>1008.8899999999999</v>
      </c>
      <c r="J49" s="6">
        <f t="shared" si="9"/>
        <v>1020.79</v>
      </c>
      <c r="K49" s="6">
        <f t="shared" si="9"/>
        <v>958.22</v>
      </c>
      <c r="L49" s="6">
        <f t="shared" si="9"/>
        <v>925.39</v>
      </c>
      <c r="M49" s="6">
        <f t="shared" si="9"/>
        <v>356.35999999999996</v>
      </c>
      <c r="N49" s="6">
        <f t="shared" si="9"/>
        <v>855.15000000000009</v>
      </c>
      <c r="O49" s="6">
        <f t="shared" si="9"/>
        <v>1004.55</v>
      </c>
      <c r="P49" s="6">
        <f t="shared" si="9"/>
        <v>974.15000000000009</v>
      </c>
      <c r="Q49" s="6">
        <f t="shared" si="9"/>
        <v>955.08</v>
      </c>
      <c r="R49" s="6">
        <f t="shared" si="9"/>
        <v>900.69</v>
      </c>
      <c r="S49" s="6">
        <f t="shared" si="9"/>
        <v>955.18</v>
      </c>
      <c r="T49" s="6">
        <f t="shared" si="9"/>
        <v>758.40000000000009</v>
      </c>
      <c r="U49" s="6">
        <f t="shared" si="9"/>
        <v>310.78999999999996</v>
      </c>
      <c r="V49" s="6">
        <f t="shared" si="9"/>
        <v>952.22</v>
      </c>
      <c r="W49" s="6">
        <f t="shared" si="9"/>
        <v>928.42000000000007</v>
      </c>
      <c r="X49" s="6">
        <f t="shared" si="9"/>
        <v>993.51</v>
      </c>
      <c r="Y49" s="6">
        <f t="shared" si="9"/>
        <v>997.49</v>
      </c>
      <c r="Z49" s="6">
        <f t="shared" si="9"/>
        <v>1017.6500000000002</v>
      </c>
      <c r="AA49" s="6">
        <f t="shared" si="9"/>
        <v>489.94</v>
      </c>
      <c r="AB49" s="6">
        <f t="shared" si="9"/>
        <v>858.48</v>
      </c>
      <c r="AC49" s="6">
        <f t="shared" si="9"/>
        <v>996.05</v>
      </c>
      <c r="AD49" s="6">
        <f t="shared" si="9"/>
        <v>930.08</v>
      </c>
      <c r="AE49" s="6">
        <f t="shared" si="9"/>
        <v>803.41</v>
      </c>
      <c r="AF49" s="6">
        <f t="shared" si="9"/>
        <v>885.28000000000009</v>
      </c>
      <c r="AG49" s="6">
        <f t="shared" si="9"/>
        <v>935.61999999999989</v>
      </c>
      <c r="AH49" s="6">
        <f t="shared" si="9"/>
        <v>910.37999999999988</v>
      </c>
      <c r="AI49" s="6">
        <f t="shared" si="9"/>
        <v>567.92999999999995</v>
      </c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</row>
    <row r="50" spans="1:109" s="1" customFormat="1" x14ac:dyDescent="0.25">
      <c r="A50" s="7"/>
      <c r="B50" s="8" t="s">
        <v>7</v>
      </c>
      <c r="C50" s="4" t="s">
        <v>6</v>
      </c>
      <c r="D50" s="5">
        <f t="shared" si="8"/>
        <v>1896.77</v>
      </c>
      <c r="E50" s="9">
        <v>73.28</v>
      </c>
      <c r="F50" s="9">
        <v>95.9</v>
      </c>
      <c r="G50" s="9"/>
      <c r="H50" s="9">
        <v>86.56</v>
      </c>
      <c r="I50" s="9">
        <v>73.75</v>
      </c>
      <c r="J50" s="9">
        <v>64.959999999999994</v>
      </c>
      <c r="K50" s="9">
        <v>80.040000000000006</v>
      </c>
      <c r="L50" s="9">
        <v>72.739999999999995</v>
      </c>
      <c r="M50" s="9">
        <v>65.41</v>
      </c>
      <c r="N50" s="9">
        <v>63.64</v>
      </c>
      <c r="O50" s="9">
        <v>75.61</v>
      </c>
      <c r="P50" s="9">
        <v>65.400000000000006</v>
      </c>
      <c r="Q50" s="9">
        <v>50.38</v>
      </c>
      <c r="R50" s="9">
        <v>62.75</v>
      </c>
      <c r="S50" s="9">
        <v>65.3</v>
      </c>
      <c r="T50" s="9">
        <v>39.96</v>
      </c>
      <c r="U50" s="9"/>
      <c r="V50" s="9">
        <v>58</v>
      </c>
      <c r="W50" s="9">
        <v>67.56</v>
      </c>
      <c r="X50" s="9">
        <v>75.540000000000006</v>
      </c>
      <c r="Y50" s="9">
        <v>45.84</v>
      </c>
      <c r="Z50" s="9">
        <v>68.12</v>
      </c>
      <c r="AA50" s="9">
        <v>56.18</v>
      </c>
      <c r="AB50" s="9">
        <v>76.28</v>
      </c>
      <c r="AC50" s="9">
        <v>48.43</v>
      </c>
      <c r="AD50" s="9">
        <v>81.75</v>
      </c>
      <c r="AE50" s="9">
        <v>58.51</v>
      </c>
      <c r="AF50" s="9">
        <v>50.19</v>
      </c>
      <c r="AG50" s="9">
        <v>62.09</v>
      </c>
      <c r="AH50" s="9">
        <v>61.16</v>
      </c>
      <c r="AI50" s="9">
        <v>51.44</v>
      </c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</row>
    <row r="51" spans="1:109" s="1" customFormat="1" x14ac:dyDescent="0.25">
      <c r="A51" s="7"/>
      <c r="B51" s="8" t="s">
        <v>8</v>
      </c>
      <c r="C51" s="4" t="s">
        <v>6</v>
      </c>
      <c r="D51" s="13">
        <f t="shared" si="8"/>
        <v>10105.319999999998</v>
      </c>
      <c r="E51" s="9">
        <v>431.49</v>
      </c>
      <c r="F51" s="9">
        <v>383.03</v>
      </c>
      <c r="G51" s="9"/>
      <c r="H51" s="9">
        <v>457.9</v>
      </c>
      <c r="I51" s="9">
        <v>419.84</v>
      </c>
      <c r="J51" s="9">
        <v>460.28</v>
      </c>
      <c r="K51" s="9">
        <v>398.62</v>
      </c>
      <c r="L51" s="9">
        <v>405.52</v>
      </c>
      <c r="M51" s="9"/>
      <c r="N51" s="9">
        <v>420.72</v>
      </c>
      <c r="O51" s="9">
        <v>416.96</v>
      </c>
      <c r="P51" s="9">
        <v>427.12</v>
      </c>
      <c r="Q51" s="9">
        <v>432.6</v>
      </c>
      <c r="R51" s="9">
        <v>379.29</v>
      </c>
      <c r="S51" s="9">
        <v>406.76</v>
      </c>
      <c r="T51" s="9">
        <v>341.28</v>
      </c>
      <c r="U51" s="9"/>
      <c r="V51" s="9">
        <v>376.5</v>
      </c>
      <c r="W51" s="9">
        <v>320.69</v>
      </c>
      <c r="X51" s="9">
        <v>380.14</v>
      </c>
      <c r="Y51" s="9">
        <v>401.75</v>
      </c>
      <c r="Z51" s="9">
        <f>352.86</f>
        <v>352.86</v>
      </c>
      <c r="AA51" s="9"/>
      <c r="AB51" s="9">
        <v>342.58</v>
      </c>
      <c r="AC51" s="9">
        <v>387.14</v>
      </c>
      <c r="AD51" s="9">
        <v>424.23</v>
      </c>
      <c r="AE51" s="9">
        <v>334.56</v>
      </c>
      <c r="AF51" s="9">
        <v>336.15</v>
      </c>
      <c r="AG51" s="9">
        <v>347.93</v>
      </c>
      <c r="AH51" s="9">
        <v>319.38</v>
      </c>
      <c r="AI51" s="9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</row>
    <row r="52" spans="1:109" s="1" customFormat="1" x14ac:dyDescent="0.25">
      <c r="A52" s="7"/>
      <c r="B52" s="8" t="s">
        <v>9</v>
      </c>
      <c r="C52" s="4" t="s">
        <v>6</v>
      </c>
      <c r="D52" s="13">
        <f t="shared" si="8"/>
        <v>6772.01</v>
      </c>
      <c r="E52" s="9">
        <v>262.45999999999998</v>
      </c>
      <c r="F52" s="9">
        <v>260.94</v>
      </c>
      <c r="G52" s="9">
        <v>230.82</v>
      </c>
      <c r="H52" s="9">
        <v>268.39</v>
      </c>
      <c r="I52" s="9">
        <v>251.19</v>
      </c>
      <c r="J52" s="9">
        <v>237.92</v>
      </c>
      <c r="K52" s="9">
        <v>230.17</v>
      </c>
      <c r="L52" s="9">
        <v>200.69</v>
      </c>
      <c r="M52" s="9">
        <v>117.38</v>
      </c>
      <c r="N52" s="9">
        <v>124.96</v>
      </c>
      <c r="O52" s="9">
        <v>236.11</v>
      </c>
      <c r="P52" s="9">
        <v>226.7</v>
      </c>
      <c r="Q52" s="9">
        <v>231.02</v>
      </c>
      <c r="R52" s="9">
        <v>234.41</v>
      </c>
      <c r="S52" s="9">
        <v>247.67</v>
      </c>
      <c r="T52" s="9">
        <v>135</v>
      </c>
      <c r="U52" s="9">
        <v>138.09</v>
      </c>
      <c r="V52" s="9">
        <v>259.24</v>
      </c>
      <c r="W52" s="9">
        <v>266.92</v>
      </c>
      <c r="X52" s="9">
        <v>265.31</v>
      </c>
      <c r="Y52" s="9">
        <v>280.32</v>
      </c>
      <c r="Z52" s="9">
        <f>289.67-3.03</f>
        <v>286.64000000000004</v>
      </c>
      <c r="AA52" s="9">
        <v>144.96</v>
      </c>
      <c r="AB52" s="9">
        <v>136.36000000000001</v>
      </c>
      <c r="AC52" s="9">
        <v>265.81</v>
      </c>
      <c r="AD52" s="9">
        <v>140.18</v>
      </c>
      <c r="AE52" s="9">
        <v>131.82</v>
      </c>
      <c r="AF52" s="9">
        <v>222.32</v>
      </c>
      <c r="AG52" s="9">
        <v>248.67</v>
      </c>
      <c r="AH52" s="9">
        <v>245.88</v>
      </c>
      <c r="AI52" s="9">
        <v>243.66</v>
      </c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</row>
    <row r="53" spans="1:109" s="1" customFormat="1" ht="16.5" customHeight="1" x14ac:dyDescent="0.25">
      <c r="A53" s="7"/>
      <c r="B53" s="8" t="s">
        <v>10</v>
      </c>
      <c r="C53" s="4" t="s">
        <v>6</v>
      </c>
      <c r="D53" s="13">
        <f t="shared" si="8"/>
        <v>3168.69</v>
      </c>
      <c r="E53" s="9">
        <v>101.82</v>
      </c>
      <c r="F53" s="9">
        <v>107.41</v>
      </c>
      <c r="G53" s="9">
        <v>105.12</v>
      </c>
      <c r="H53" s="9">
        <v>100.36</v>
      </c>
      <c r="I53" s="9">
        <v>90.24</v>
      </c>
      <c r="J53" s="9">
        <v>87.73</v>
      </c>
      <c r="K53" s="9">
        <v>83.18</v>
      </c>
      <c r="L53" s="9">
        <v>91.22</v>
      </c>
      <c r="M53" s="9">
        <v>90.3</v>
      </c>
      <c r="N53" s="9">
        <v>92.97</v>
      </c>
      <c r="O53" s="9">
        <v>104.77</v>
      </c>
      <c r="P53" s="9">
        <v>98.08</v>
      </c>
      <c r="Q53" s="9">
        <v>92.45</v>
      </c>
      <c r="R53" s="9">
        <v>79.36</v>
      </c>
      <c r="S53" s="9">
        <v>82.3</v>
      </c>
      <c r="T53" s="9">
        <v>89.02</v>
      </c>
      <c r="U53" s="9">
        <v>84.98</v>
      </c>
      <c r="V53" s="9">
        <v>101.75</v>
      </c>
      <c r="W53" s="9">
        <v>111.02</v>
      </c>
      <c r="X53" s="9">
        <v>109.15</v>
      </c>
      <c r="Y53" s="9">
        <v>103.37</v>
      </c>
      <c r="Z53" s="9">
        <f>123.92+0.01</f>
        <v>123.93</v>
      </c>
      <c r="AA53" s="9">
        <v>116.55</v>
      </c>
      <c r="AB53" s="9">
        <v>129.86000000000001</v>
      </c>
      <c r="AC53" s="9">
        <v>111.44</v>
      </c>
      <c r="AD53" s="9">
        <v>116.81</v>
      </c>
      <c r="AE53" s="9">
        <v>110.1</v>
      </c>
      <c r="AF53" s="9">
        <v>114.71</v>
      </c>
      <c r="AG53" s="9">
        <v>111.4</v>
      </c>
      <c r="AH53" s="9">
        <v>120.02</v>
      </c>
      <c r="AI53" s="9">
        <v>107.27</v>
      </c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</row>
    <row r="54" spans="1:109" s="1" customFormat="1" x14ac:dyDescent="0.25">
      <c r="A54" s="7"/>
      <c r="B54" s="8" t="s">
        <v>11</v>
      </c>
      <c r="C54" s="4" t="s">
        <v>6</v>
      </c>
      <c r="D54" s="5">
        <f t="shared" si="8"/>
        <v>2940.03</v>
      </c>
      <c r="E54" s="9">
        <v>96.56</v>
      </c>
      <c r="F54" s="9">
        <v>83.15</v>
      </c>
      <c r="G54" s="9">
        <v>96.19</v>
      </c>
      <c r="H54" s="9">
        <f>111.29-0.06</f>
        <v>111.23</v>
      </c>
      <c r="I54" s="9">
        <v>103.56</v>
      </c>
      <c r="J54" s="9">
        <v>104.25</v>
      </c>
      <c r="K54" s="9">
        <v>101.72</v>
      </c>
      <c r="L54" s="9">
        <v>89.07</v>
      </c>
      <c r="M54" s="9">
        <v>83.27</v>
      </c>
      <c r="N54" s="9">
        <v>82.11</v>
      </c>
      <c r="O54" s="9">
        <v>102.31</v>
      </c>
      <c r="P54" s="9">
        <v>92.81</v>
      </c>
      <c r="Q54" s="9">
        <f>80.13+0.23</f>
        <v>80.36</v>
      </c>
      <c r="R54" s="9">
        <v>85.19</v>
      </c>
      <c r="S54" s="9">
        <v>83.23</v>
      </c>
      <c r="T54" s="9">
        <v>87.94</v>
      </c>
      <c r="U54" s="9">
        <v>87.72</v>
      </c>
      <c r="V54" s="9">
        <v>88.17</v>
      </c>
      <c r="W54" s="9">
        <v>93.42</v>
      </c>
      <c r="X54" s="9">
        <v>91.86</v>
      </c>
      <c r="Y54" s="9">
        <v>94.68</v>
      </c>
      <c r="Z54" s="9">
        <f>119.11-0.14</f>
        <v>118.97</v>
      </c>
      <c r="AA54" s="9">
        <v>101.99</v>
      </c>
      <c r="AB54" s="9">
        <v>106.51</v>
      </c>
      <c r="AC54" s="9">
        <v>108.29</v>
      </c>
      <c r="AD54" s="9">
        <v>94.65</v>
      </c>
      <c r="AE54" s="9">
        <v>99.16</v>
      </c>
      <c r="AF54" s="9">
        <v>91.82</v>
      </c>
      <c r="AG54" s="9">
        <f>89.87-0.03</f>
        <v>89.84</v>
      </c>
      <c r="AH54" s="9">
        <v>93.04</v>
      </c>
      <c r="AI54" s="9">
        <v>96.96</v>
      </c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</row>
    <row r="55" spans="1:109" s="1" customFormat="1" x14ac:dyDescent="0.25">
      <c r="A55" s="7"/>
      <c r="B55" s="8" t="s">
        <v>12</v>
      </c>
      <c r="C55" s="4" t="s">
        <v>6</v>
      </c>
      <c r="D55" s="13">
        <f t="shared" si="8"/>
        <v>1923.7800000000002</v>
      </c>
      <c r="E55" s="9">
        <v>69.23</v>
      </c>
      <c r="F55" s="9">
        <v>67.010000000000005</v>
      </c>
      <c r="G55" s="9"/>
      <c r="H55" s="9">
        <v>67.650000000000006</v>
      </c>
      <c r="I55" s="9">
        <v>70.31</v>
      </c>
      <c r="J55" s="9">
        <v>65.650000000000006</v>
      </c>
      <c r="K55" s="9">
        <v>64.489999999999995</v>
      </c>
      <c r="L55" s="9">
        <v>66.150000000000006</v>
      </c>
      <c r="M55" s="9"/>
      <c r="N55" s="9">
        <v>70.75</v>
      </c>
      <c r="O55" s="9">
        <v>68.790000000000006</v>
      </c>
      <c r="P55" s="9">
        <v>64.040000000000006</v>
      </c>
      <c r="Q55" s="9">
        <v>68.27</v>
      </c>
      <c r="R55" s="9">
        <v>59.69</v>
      </c>
      <c r="S55" s="9">
        <v>69.92</v>
      </c>
      <c r="T55" s="9">
        <v>65.2</v>
      </c>
      <c r="U55" s="9"/>
      <c r="V55" s="9">
        <v>68.56</v>
      </c>
      <c r="W55" s="9">
        <v>68.81</v>
      </c>
      <c r="X55" s="9">
        <v>71.510000000000005</v>
      </c>
      <c r="Y55" s="9">
        <v>71.53</v>
      </c>
      <c r="Z55" s="9">
        <f>68.31-1.18</f>
        <v>67.13</v>
      </c>
      <c r="AA55" s="9">
        <v>70.260000000000005</v>
      </c>
      <c r="AB55" s="9">
        <v>66.89</v>
      </c>
      <c r="AC55" s="9">
        <v>74.94</v>
      </c>
      <c r="AD55" s="9">
        <v>72.459999999999994</v>
      </c>
      <c r="AE55" s="9">
        <v>69.260000000000005</v>
      </c>
      <c r="AF55" s="9">
        <v>70.09</v>
      </c>
      <c r="AG55" s="9">
        <v>75.69</v>
      </c>
      <c r="AH55" s="9">
        <v>70.900000000000006</v>
      </c>
      <c r="AI55" s="9">
        <v>68.599999999999994</v>
      </c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</row>
    <row r="57" spans="1:109" ht="21" x14ac:dyDescent="0.35">
      <c r="A57" s="27" t="s">
        <v>19</v>
      </c>
    </row>
    <row r="58" spans="1:109" s="1" customFormat="1" ht="20.25" x14ac:dyDescent="0.25">
      <c r="A58" s="2" t="s">
        <v>4</v>
      </c>
      <c r="B58" s="3" t="s">
        <v>5</v>
      </c>
      <c r="C58" s="4" t="s">
        <v>6</v>
      </c>
      <c r="D58" s="5">
        <f t="shared" ref="D58:D64" si="10">SUM(E58:AI58)</f>
        <v>19676.289999999997</v>
      </c>
      <c r="E58" s="6">
        <f t="shared" ref="E58:AI58" si="11">SUM(E59:E64)</f>
        <v>938.28</v>
      </c>
      <c r="F58" s="6">
        <f t="shared" si="11"/>
        <v>864.74999999999989</v>
      </c>
      <c r="G58" s="6">
        <f t="shared" si="11"/>
        <v>856.25</v>
      </c>
      <c r="H58" s="6">
        <f t="shared" si="11"/>
        <v>834.53000000000009</v>
      </c>
      <c r="I58" s="6">
        <f t="shared" si="11"/>
        <v>751.24</v>
      </c>
      <c r="J58" s="6">
        <f t="shared" si="11"/>
        <v>222.83999999999997</v>
      </c>
      <c r="K58" s="6">
        <f t="shared" si="11"/>
        <v>538.80999999999995</v>
      </c>
      <c r="L58" s="6">
        <f t="shared" si="11"/>
        <v>842.18</v>
      </c>
      <c r="M58" s="6">
        <f t="shared" si="11"/>
        <v>767.24000000000012</v>
      </c>
      <c r="N58" s="6">
        <f t="shared" si="11"/>
        <v>705.65999999999985</v>
      </c>
      <c r="O58" s="6">
        <f t="shared" si="11"/>
        <v>587.46</v>
      </c>
      <c r="P58" s="6">
        <f t="shared" si="11"/>
        <v>342.2</v>
      </c>
      <c r="Q58" s="6">
        <f t="shared" si="11"/>
        <v>77.650000000000006</v>
      </c>
      <c r="R58" s="6">
        <f t="shared" si="11"/>
        <v>60.32</v>
      </c>
      <c r="S58" s="6">
        <f t="shared" si="11"/>
        <v>980.80000000000007</v>
      </c>
      <c r="T58" s="6">
        <f t="shared" si="11"/>
        <v>820.87000000000012</v>
      </c>
      <c r="U58" s="6">
        <f t="shared" si="11"/>
        <v>813.18999999999994</v>
      </c>
      <c r="V58" s="6">
        <f t="shared" si="11"/>
        <v>689.65</v>
      </c>
      <c r="W58" s="6">
        <f t="shared" si="11"/>
        <v>442.97</v>
      </c>
      <c r="X58" s="6">
        <f t="shared" si="11"/>
        <v>147.69000000000003</v>
      </c>
      <c r="Y58" s="6">
        <f t="shared" si="11"/>
        <v>55.15</v>
      </c>
      <c r="Z58" s="6">
        <f t="shared" si="11"/>
        <v>853.78</v>
      </c>
      <c r="AA58" s="6">
        <f t="shared" si="11"/>
        <v>725.73</v>
      </c>
      <c r="AB58" s="6">
        <f t="shared" si="11"/>
        <v>583.1</v>
      </c>
      <c r="AC58" s="6">
        <f t="shared" si="11"/>
        <v>419.14</v>
      </c>
      <c r="AD58" s="6">
        <f t="shared" si="11"/>
        <v>680.89</v>
      </c>
      <c r="AE58" s="6">
        <f t="shared" si="11"/>
        <v>800.43000000000006</v>
      </c>
      <c r="AF58" s="6">
        <f t="shared" si="11"/>
        <v>744.21</v>
      </c>
      <c r="AG58" s="6">
        <f t="shared" si="11"/>
        <v>810.62</v>
      </c>
      <c r="AH58" s="6">
        <f t="shared" si="11"/>
        <v>877.41000000000008</v>
      </c>
      <c r="AI58" s="6">
        <f t="shared" si="11"/>
        <v>841.25</v>
      </c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</row>
    <row r="59" spans="1:109" s="1" customFormat="1" x14ac:dyDescent="0.25">
      <c r="A59" s="7"/>
      <c r="B59" s="8" t="s">
        <v>7</v>
      </c>
      <c r="C59" s="4" t="s">
        <v>6</v>
      </c>
      <c r="D59" s="5">
        <f t="shared" si="10"/>
        <v>1489.7199999999998</v>
      </c>
      <c r="E59" s="9">
        <v>48.85</v>
      </c>
      <c r="F59" s="9">
        <v>62.27</v>
      </c>
      <c r="G59" s="9">
        <v>56.19</v>
      </c>
      <c r="H59" s="9">
        <v>54.4</v>
      </c>
      <c r="I59" s="9">
        <v>62.07</v>
      </c>
      <c r="J59" s="9"/>
      <c r="K59" s="9">
        <v>66.7</v>
      </c>
      <c r="L59" s="9">
        <v>67.010000000000005</v>
      </c>
      <c r="M59" s="9">
        <v>46.72</v>
      </c>
      <c r="N59" s="9">
        <v>53.68</v>
      </c>
      <c r="O59" s="9">
        <v>40.26</v>
      </c>
      <c r="P59" s="9">
        <v>59.53</v>
      </c>
      <c r="Q59" s="9"/>
      <c r="R59" s="9"/>
      <c r="S59" s="9">
        <v>83.23</v>
      </c>
      <c r="T59" s="9">
        <v>54.23</v>
      </c>
      <c r="U59" s="9">
        <v>62.21</v>
      </c>
      <c r="V59" s="9">
        <v>44.24</v>
      </c>
      <c r="W59" s="9">
        <v>29.42</v>
      </c>
      <c r="X59" s="9"/>
      <c r="Y59" s="9"/>
      <c r="Z59" s="9">
        <v>62.39</v>
      </c>
      <c r="AA59" s="9">
        <v>57.7</v>
      </c>
      <c r="AB59" s="9">
        <f>43.91-0.94</f>
        <v>42.97</v>
      </c>
      <c r="AC59" s="9">
        <f>34.5+0.34</f>
        <v>34.840000000000003</v>
      </c>
      <c r="AD59" s="9">
        <v>62.06</v>
      </c>
      <c r="AE59" s="9">
        <v>65.98</v>
      </c>
      <c r="AF59" s="9">
        <v>86.72</v>
      </c>
      <c r="AG59" s="9">
        <v>68.569999999999993</v>
      </c>
      <c r="AH59" s="9">
        <v>59.71</v>
      </c>
      <c r="AI59" s="12">
        <v>57.77</v>
      </c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</row>
    <row r="60" spans="1:109" s="1" customFormat="1" x14ac:dyDescent="0.25">
      <c r="A60" s="7"/>
      <c r="B60" s="8" t="s">
        <v>8</v>
      </c>
      <c r="C60" s="4" t="s">
        <v>6</v>
      </c>
      <c r="D60" s="13">
        <f t="shared" si="10"/>
        <v>7275.1500000000015</v>
      </c>
      <c r="E60" s="9">
        <v>360.84</v>
      </c>
      <c r="F60" s="9">
        <v>320.64999999999998</v>
      </c>
      <c r="G60" s="9">
        <v>321.17</v>
      </c>
      <c r="H60" s="9">
        <v>326.18</v>
      </c>
      <c r="I60" s="9">
        <v>333.38</v>
      </c>
      <c r="J60" s="9"/>
      <c r="K60" s="9">
        <v>158.62</v>
      </c>
      <c r="L60" s="9">
        <v>327.58</v>
      </c>
      <c r="M60" s="9">
        <v>269.88</v>
      </c>
      <c r="N60" s="9">
        <v>226.16</v>
      </c>
      <c r="O60" s="9">
        <v>136.62</v>
      </c>
      <c r="P60" s="9"/>
      <c r="Q60" s="9"/>
      <c r="R60" s="9"/>
      <c r="S60" s="9">
        <v>447.23</v>
      </c>
      <c r="T60" s="9">
        <v>371.4</v>
      </c>
      <c r="U60" s="9">
        <v>360.94</v>
      </c>
      <c r="V60" s="9">
        <v>290.52</v>
      </c>
      <c r="W60" s="9">
        <v>149.80000000000001</v>
      </c>
      <c r="X60" s="9"/>
      <c r="Y60" s="9"/>
      <c r="Z60" s="9">
        <v>420.56</v>
      </c>
      <c r="AA60" s="9">
        <v>318.17</v>
      </c>
      <c r="AB60" s="9">
        <v>245.19</v>
      </c>
      <c r="AC60" s="9">
        <v>110.67</v>
      </c>
      <c r="AD60" s="9">
        <v>234.2</v>
      </c>
      <c r="AE60" s="9">
        <v>330.05</v>
      </c>
      <c r="AF60" s="9">
        <v>278.64</v>
      </c>
      <c r="AG60" s="9">
        <v>295.02</v>
      </c>
      <c r="AH60" s="9">
        <v>346.85</v>
      </c>
      <c r="AI60" s="12">
        <v>294.83</v>
      </c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</row>
    <row r="61" spans="1:109" s="1" customFormat="1" x14ac:dyDescent="0.25">
      <c r="A61" s="7"/>
      <c r="B61" s="8" t="s">
        <v>9</v>
      </c>
      <c r="C61" s="4" t="s">
        <v>6</v>
      </c>
      <c r="D61" s="13">
        <f t="shared" si="10"/>
        <v>5079.2899999999991</v>
      </c>
      <c r="E61" s="9">
        <v>238.96</v>
      </c>
      <c r="F61" s="9">
        <v>229.53</v>
      </c>
      <c r="G61" s="9">
        <v>228.14</v>
      </c>
      <c r="H61" s="9">
        <v>217.8</v>
      </c>
      <c r="I61" s="9">
        <v>116.19</v>
      </c>
      <c r="J61" s="9"/>
      <c r="K61" s="9">
        <v>120.07</v>
      </c>
      <c r="L61" s="9">
        <v>236.23</v>
      </c>
      <c r="M61" s="9">
        <v>252.18</v>
      </c>
      <c r="N61" s="9">
        <v>242.22</v>
      </c>
      <c r="O61" s="9">
        <v>242.63</v>
      </c>
      <c r="P61" s="9">
        <v>121.36</v>
      </c>
      <c r="Q61" s="9"/>
      <c r="R61" s="9"/>
      <c r="S61" s="9">
        <v>258.14</v>
      </c>
      <c r="T61" s="9">
        <v>205.89</v>
      </c>
      <c r="U61" s="9">
        <v>228.18</v>
      </c>
      <c r="V61" s="9">
        <v>188.67</v>
      </c>
      <c r="W61" s="9">
        <v>96.95</v>
      </c>
      <c r="X61" s="9"/>
      <c r="Y61" s="9"/>
      <c r="Z61" s="9">
        <v>196.06</v>
      </c>
      <c r="AA61" s="9">
        <v>167.22</v>
      </c>
      <c r="AB61" s="9">
        <v>138.22999999999999</v>
      </c>
      <c r="AC61" s="9">
        <v>116.54</v>
      </c>
      <c r="AD61" s="9">
        <v>189.31</v>
      </c>
      <c r="AE61" s="9">
        <v>173.56</v>
      </c>
      <c r="AF61" s="9">
        <v>173.36</v>
      </c>
      <c r="AG61" s="9">
        <v>220.55</v>
      </c>
      <c r="AH61" s="9">
        <v>218.15</v>
      </c>
      <c r="AI61" s="12">
        <v>263.17</v>
      </c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</row>
    <row r="62" spans="1:109" s="1" customFormat="1" ht="16.5" customHeight="1" x14ac:dyDescent="0.25">
      <c r="A62" s="7"/>
      <c r="B62" s="8" t="s">
        <v>10</v>
      </c>
      <c r="C62" s="4" t="s">
        <v>6</v>
      </c>
      <c r="D62" s="13">
        <f t="shared" si="10"/>
        <v>2323.8599999999997</v>
      </c>
      <c r="E62" s="9">
        <v>121.57</v>
      </c>
      <c r="F62" s="9">
        <f>114.81-0.13</f>
        <v>114.68</v>
      </c>
      <c r="G62" s="9">
        <v>107.56</v>
      </c>
      <c r="H62" s="9">
        <v>104.47</v>
      </c>
      <c r="I62" s="9">
        <v>102.52</v>
      </c>
      <c r="J62" s="9">
        <v>100.97</v>
      </c>
      <c r="K62" s="9">
        <v>81.36</v>
      </c>
      <c r="L62" s="9">
        <v>77.62</v>
      </c>
      <c r="M62" s="9">
        <v>69.680000000000007</v>
      </c>
      <c r="N62" s="9">
        <v>59.8</v>
      </c>
      <c r="O62" s="9">
        <v>66.06</v>
      </c>
      <c r="P62" s="9">
        <v>59.67</v>
      </c>
      <c r="Q62" s="9">
        <v>62.72</v>
      </c>
      <c r="R62" s="9">
        <v>60.32</v>
      </c>
      <c r="S62" s="9">
        <v>66.64</v>
      </c>
      <c r="T62" s="9">
        <v>54.33</v>
      </c>
      <c r="U62" s="9">
        <v>44.79</v>
      </c>
      <c r="V62" s="9">
        <v>53.3</v>
      </c>
      <c r="W62" s="9">
        <v>53.12</v>
      </c>
      <c r="X62" s="9">
        <v>58.35</v>
      </c>
      <c r="Y62" s="9">
        <v>55.15</v>
      </c>
      <c r="Z62" s="9">
        <v>52.73</v>
      </c>
      <c r="AA62" s="9">
        <v>63.51</v>
      </c>
      <c r="AB62" s="9">
        <f>49.96+0.01</f>
        <v>49.97</v>
      </c>
      <c r="AC62" s="9">
        <v>58.31</v>
      </c>
      <c r="AD62" s="9">
        <v>67.900000000000006</v>
      </c>
      <c r="AE62" s="9">
        <v>87.1</v>
      </c>
      <c r="AF62" s="9">
        <v>85.74</v>
      </c>
      <c r="AG62" s="9">
        <v>82.99</v>
      </c>
      <c r="AH62" s="9">
        <v>113.21</v>
      </c>
      <c r="AI62" s="12">
        <v>87.72</v>
      </c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</row>
    <row r="63" spans="1:109" s="1" customFormat="1" x14ac:dyDescent="0.25">
      <c r="A63" s="7"/>
      <c r="B63" s="8" t="s">
        <v>11</v>
      </c>
      <c r="C63" s="4" t="s">
        <v>6</v>
      </c>
      <c r="D63" s="5">
        <f t="shared" si="10"/>
        <v>2163.1000000000004</v>
      </c>
      <c r="E63" s="9">
        <v>97.91</v>
      </c>
      <c r="F63" s="9">
        <v>65.59</v>
      </c>
      <c r="G63" s="9">
        <v>68.48</v>
      </c>
      <c r="H63" s="9">
        <v>64.59</v>
      </c>
      <c r="I63" s="9">
        <f>69.01+0.39</f>
        <v>69.400000000000006</v>
      </c>
      <c r="J63" s="9">
        <v>68.36</v>
      </c>
      <c r="K63" s="9">
        <v>68.319999999999993</v>
      </c>
      <c r="L63" s="9">
        <v>76.400000000000006</v>
      </c>
      <c r="M63" s="9">
        <v>81.2</v>
      </c>
      <c r="N63" s="9">
        <v>79.13</v>
      </c>
      <c r="O63" s="9">
        <v>57.14</v>
      </c>
      <c r="P63" s="9">
        <v>62.44</v>
      </c>
      <c r="Q63" s="9">
        <v>2.89</v>
      </c>
      <c r="R63" s="9"/>
      <c r="S63" s="9">
        <v>84.7</v>
      </c>
      <c r="T63" s="9">
        <f>97.77+0.3</f>
        <v>98.07</v>
      </c>
      <c r="U63" s="9">
        <v>89.25</v>
      </c>
      <c r="V63" s="9">
        <v>89.22</v>
      </c>
      <c r="W63" s="9">
        <f>85.7-0.12</f>
        <v>85.58</v>
      </c>
      <c r="X63" s="9">
        <v>84.01</v>
      </c>
      <c r="Y63" s="9"/>
      <c r="Z63" s="9">
        <f>95.07+0.42</f>
        <v>95.49</v>
      </c>
      <c r="AA63" s="9">
        <v>83.46</v>
      </c>
      <c r="AB63" s="9">
        <v>70.709999999999994</v>
      </c>
      <c r="AC63" s="9">
        <v>62.5</v>
      </c>
      <c r="AD63" s="9">
        <f>75.68+0.12</f>
        <v>75.800000000000011</v>
      </c>
      <c r="AE63" s="9">
        <v>82.93</v>
      </c>
      <c r="AF63" s="9">
        <v>74.81</v>
      </c>
      <c r="AG63" s="9">
        <v>80.239999999999995</v>
      </c>
      <c r="AH63" s="9">
        <v>71.37</v>
      </c>
      <c r="AI63" s="12">
        <v>73.11</v>
      </c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</row>
    <row r="64" spans="1:109" s="1" customFormat="1" x14ac:dyDescent="0.25">
      <c r="A64" s="7"/>
      <c r="B64" s="8" t="s">
        <v>12</v>
      </c>
      <c r="C64" s="4" t="s">
        <v>6</v>
      </c>
      <c r="D64" s="13">
        <f t="shared" si="10"/>
        <v>1345.17</v>
      </c>
      <c r="E64" s="9">
        <v>70.150000000000006</v>
      </c>
      <c r="F64" s="9">
        <v>72.03</v>
      </c>
      <c r="G64" s="9">
        <v>74.709999999999994</v>
      </c>
      <c r="H64" s="9">
        <v>67.09</v>
      </c>
      <c r="I64" s="9">
        <v>67.680000000000007</v>
      </c>
      <c r="J64" s="9">
        <v>53.51</v>
      </c>
      <c r="K64" s="9">
        <v>43.74</v>
      </c>
      <c r="L64" s="9">
        <v>57.34</v>
      </c>
      <c r="M64" s="9">
        <v>47.58</v>
      </c>
      <c r="N64" s="9">
        <f>44.75+0.08-0.16</f>
        <v>44.67</v>
      </c>
      <c r="O64" s="9">
        <v>44.75</v>
      </c>
      <c r="P64" s="9">
        <v>39.200000000000003</v>
      </c>
      <c r="Q64" s="9">
        <v>12.04</v>
      </c>
      <c r="R64" s="9"/>
      <c r="S64" s="9">
        <v>40.86</v>
      </c>
      <c r="T64" s="9">
        <v>36.950000000000003</v>
      </c>
      <c r="U64" s="9">
        <v>27.82</v>
      </c>
      <c r="V64" s="9">
        <v>23.7</v>
      </c>
      <c r="W64" s="9">
        <v>28.1</v>
      </c>
      <c r="X64" s="9">
        <v>5.33</v>
      </c>
      <c r="Y64" s="9"/>
      <c r="Z64" s="9">
        <v>26.55</v>
      </c>
      <c r="AA64" s="9">
        <v>35.67</v>
      </c>
      <c r="AB64" s="9">
        <v>36.03</v>
      </c>
      <c r="AC64" s="9">
        <v>36.28</v>
      </c>
      <c r="AD64" s="9">
        <v>51.62</v>
      </c>
      <c r="AE64" s="9">
        <v>60.81</v>
      </c>
      <c r="AF64" s="9">
        <v>44.94</v>
      </c>
      <c r="AG64" s="9">
        <v>63.25</v>
      </c>
      <c r="AH64" s="9">
        <v>68.12</v>
      </c>
      <c r="AI64" s="12">
        <v>64.650000000000006</v>
      </c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</row>
    <row r="66" spans="1:109" ht="21" x14ac:dyDescent="0.35">
      <c r="A66" s="27" t="s">
        <v>20</v>
      </c>
    </row>
    <row r="67" spans="1:109" s="1" customFormat="1" ht="20.25" x14ac:dyDescent="0.25">
      <c r="A67" s="2" t="s">
        <v>4</v>
      </c>
      <c r="B67" s="3" t="s">
        <v>5</v>
      </c>
      <c r="C67" s="4" t="s">
        <v>6</v>
      </c>
      <c r="D67" s="5">
        <f t="shared" ref="D67:D73" si="12">SUM(E67:AI67)</f>
        <v>20604.160199999998</v>
      </c>
      <c r="E67" s="6">
        <f t="shared" ref="E67:AI67" si="13">SUM(E68:E73)</f>
        <v>775.36999999999989</v>
      </c>
      <c r="F67" s="6">
        <f t="shared" si="13"/>
        <v>396.13</v>
      </c>
      <c r="G67" s="6">
        <f t="shared" si="13"/>
        <v>164.82</v>
      </c>
      <c r="H67" s="6">
        <f t="shared" si="13"/>
        <v>171.04000000000002</v>
      </c>
      <c r="I67" s="6">
        <f t="shared" si="13"/>
        <v>933.04000000000008</v>
      </c>
      <c r="J67" s="6">
        <f t="shared" si="13"/>
        <v>743.47</v>
      </c>
      <c r="K67" s="6">
        <f t="shared" si="13"/>
        <v>696.7</v>
      </c>
      <c r="L67" s="6">
        <f t="shared" si="13"/>
        <v>745.38999999999987</v>
      </c>
      <c r="M67" s="6">
        <f t="shared" si="13"/>
        <v>642.4799999999999</v>
      </c>
      <c r="N67" s="6">
        <f t="shared" si="13"/>
        <v>303.92</v>
      </c>
      <c r="O67" s="6">
        <f t="shared" si="13"/>
        <v>346.11999999999995</v>
      </c>
      <c r="P67" s="6">
        <f t="shared" si="13"/>
        <v>996.87999999999988</v>
      </c>
      <c r="Q67" s="6">
        <f t="shared" si="13"/>
        <v>949.08</v>
      </c>
      <c r="R67" s="6">
        <f t="shared" si="13"/>
        <v>878.85</v>
      </c>
      <c r="S67" s="6">
        <f t="shared" si="13"/>
        <v>844.18000000000006</v>
      </c>
      <c r="T67" s="6">
        <f t="shared" si="13"/>
        <v>889.43999999999994</v>
      </c>
      <c r="U67" s="6">
        <f t="shared" si="13"/>
        <v>477.86009999999999</v>
      </c>
      <c r="V67" s="6">
        <f t="shared" si="13"/>
        <v>406.48009999999999</v>
      </c>
      <c r="W67" s="6">
        <f t="shared" si="13"/>
        <v>973.75</v>
      </c>
      <c r="X67" s="6">
        <f t="shared" si="13"/>
        <v>917.46</v>
      </c>
      <c r="Y67" s="6">
        <f t="shared" si="13"/>
        <v>919.17999999999984</v>
      </c>
      <c r="Z67" s="6">
        <f t="shared" si="13"/>
        <v>813.2</v>
      </c>
      <c r="AA67" s="6">
        <f t="shared" si="13"/>
        <v>873.95999999999981</v>
      </c>
      <c r="AB67" s="6">
        <f t="shared" si="13"/>
        <v>781.12</v>
      </c>
      <c r="AC67" s="6">
        <f t="shared" si="13"/>
        <v>550.34999999999991</v>
      </c>
      <c r="AD67" s="6">
        <f t="shared" si="13"/>
        <v>745.92000000000007</v>
      </c>
      <c r="AE67" s="6">
        <f t="shared" si="13"/>
        <v>706.29</v>
      </c>
      <c r="AF67" s="6">
        <f t="shared" si="13"/>
        <v>752.37</v>
      </c>
      <c r="AG67" s="6">
        <f t="shared" si="13"/>
        <v>634.72</v>
      </c>
      <c r="AH67" s="6">
        <f t="shared" si="13"/>
        <v>574.58999999999992</v>
      </c>
      <c r="AI67" s="6">
        <f t="shared" si="13"/>
        <v>0</v>
      </c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</row>
    <row r="68" spans="1:109" s="1" customFormat="1" x14ac:dyDescent="0.25">
      <c r="A68" s="7"/>
      <c r="B68" s="8" t="s">
        <v>7</v>
      </c>
      <c r="C68" s="4" t="s">
        <v>6</v>
      </c>
      <c r="D68" s="5">
        <f t="shared" si="12"/>
        <v>1590.5700000000002</v>
      </c>
      <c r="E68" s="9">
        <v>58.38</v>
      </c>
      <c r="F68" s="9">
        <v>41.79</v>
      </c>
      <c r="G68" s="9"/>
      <c r="H68" s="9"/>
      <c r="I68" s="9">
        <v>73.86</v>
      </c>
      <c r="J68" s="9">
        <v>57.43</v>
      </c>
      <c r="K68" s="9">
        <v>52.24</v>
      </c>
      <c r="L68" s="9">
        <v>19</v>
      </c>
      <c r="M68" s="9">
        <v>67.14</v>
      </c>
      <c r="N68" s="9">
        <v>50.59</v>
      </c>
      <c r="O68" s="9"/>
      <c r="P68" s="9">
        <v>62.96</v>
      </c>
      <c r="Q68" s="9">
        <v>82.02</v>
      </c>
      <c r="R68" s="9">
        <v>74.11</v>
      </c>
      <c r="S68" s="9">
        <v>55.63</v>
      </c>
      <c r="T68" s="9">
        <v>69.69</v>
      </c>
      <c r="U68" s="9">
        <v>60.05</v>
      </c>
      <c r="V68" s="9">
        <v>50.86</v>
      </c>
      <c r="W68" s="9">
        <v>59.72</v>
      </c>
      <c r="X68" s="9">
        <v>55.25</v>
      </c>
      <c r="Y68" s="9">
        <v>76.44</v>
      </c>
      <c r="Z68" s="9">
        <v>45.45</v>
      </c>
      <c r="AA68" s="9">
        <v>57.43</v>
      </c>
      <c r="AB68" s="9">
        <v>60.91</v>
      </c>
      <c r="AC68" s="9">
        <v>61.06</v>
      </c>
      <c r="AD68" s="9">
        <v>39.71</v>
      </c>
      <c r="AE68" s="9">
        <v>69.7</v>
      </c>
      <c r="AF68" s="9">
        <v>80.23</v>
      </c>
      <c r="AG68" s="9">
        <v>60.39</v>
      </c>
      <c r="AH68" s="9">
        <v>48.53</v>
      </c>
      <c r="AI68" s="12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</row>
    <row r="69" spans="1:109" s="1" customFormat="1" x14ac:dyDescent="0.25">
      <c r="A69" s="7"/>
      <c r="B69" s="8" t="s">
        <v>8</v>
      </c>
      <c r="C69" s="4" t="s">
        <v>6</v>
      </c>
      <c r="D69" s="13">
        <f t="shared" si="12"/>
        <v>7813.8101000000006</v>
      </c>
      <c r="E69" s="9">
        <v>320.99</v>
      </c>
      <c r="F69" s="9">
        <v>152.91</v>
      </c>
      <c r="G69" s="9"/>
      <c r="H69" s="9"/>
      <c r="I69" s="9">
        <v>404.12</v>
      </c>
      <c r="J69" s="9">
        <v>222</v>
      </c>
      <c r="K69" s="9">
        <v>260.66000000000003</v>
      </c>
      <c r="L69" s="9">
        <v>362.7</v>
      </c>
      <c r="M69" s="9">
        <v>198.14</v>
      </c>
      <c r="N69" s="9"/>
      <c r="O69" s="9"/>
      <c r="P69" s="9">
        <v>449.92</v>
      </c>
      <c r="Q69" s="9">
        <v>380.22</v>
      </c>
      <c r="R69" s="9">
        <v>338.79</v>
      </c>
      <c r="S69" s="9">
        <v>332.33</v>
      </c>
      <c r="T69" s="9">
        <v>317.57</v>
      </c>
      <c r="U69" s="9">
        <v>185.53</v>
      </c>
      <c r="V69" s="9">
        <v>1E-4</v>
      </c>
      <c r="W69" s="9">
        <v>446.15</v>
      </c>
      <c r="X69" s="9">
        <v>392.14</v>
      </c>
      <c r="Y69" s="9">
        <v>405.64</v>
      </c>
      <c r="Z69" s="9">
        <v>376.19</v>
      </c>
      <c r="AA69" s="9">
        <v>334.51</v>
      </c>
      <c r="AB69" s="9">
        <v>244.34</v>
      </c>
      <c r="AC69" s="9">
        <v>84.22</v>
      </c>
      <c r="AD69" s="9">
        <v>276.44</v>
      </c>
      <c r="AE69" s="9">
        <v>316.58</v>
      </c>
      <c r="AF69" s="9">
        <v>356.95</v>
      </c>
      <c r="AG69" s="9">
        <v>310.38</v>
      </c>
      <c r="AH69" s="9">
        <v>344.39</v>
      </c>
      <c r="AI69" s="12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</row>
    <row r="70" spans="1:109" s="1" customFormat="1" x14ac:dyDescent="0.25">
      <c r="A70" s="7"/>
      <c r="B70" s="8" t="s">
        <v>9</v>
      </c>
      <c r="C70" s="4" t="s">
        <v>6</v>
      </c>
      <c r="D70" s="13">
        <f t="shared" si="12"/>
        <v>4332.5501000000004</v>
      </c>
      <c r="E70" s="9">
        <v>167.04</v>
      </c>
      <c r="F70" s="9"/>
      <c r="G70" s="9"/>
      <c r="H70" s="9"/>
      <c r="I70" s="9">
        <v>211.94</v>
      </c>
      <c r="J70" s="9">
        <v>196.76</v>
      </c>
      <c r="K70" s="9">
        <v>131.41</v>
      </c>
      <c r="L70" s="9">
        <v>126.31</v>
      </c>
      <c r="M70" s="9">
        <v>124.21</v>
      </c>
      <c r="N70" s="9"/>
      <c r="O70" s="9">
        <v>127.8</v>
      </c>
      <c r="P70" s="9">
        <v>229.4</v>
      </c>
      <c r="Q70" s="9">
        <v>231.67</v>
      </c>
      <c r="R70" s="9">
        <v>235.37</v>
      </c>
      <c r="S70" s="9">
        <v>224.49</v>
      </c>
      <c r="T70" s="9">
        <v>244.38</v>
      </c>
      <c r="U70" s="9">
        <v>1E-4</v>
      </c>
      <c r="V70" s="9">
        <v>125</v>
      </c>
      <c r="W70" s="9">
        <v>229.38</v>
      </c>
      <c r="X70" s="9">
        <v>199.12</v>
      </c>
      <c r="Y70" s="9">
        <v>189.07</v>
      </c>
      <c r="Z70" s="9">
        <v>175.23</v>
      </c>
      <c r="AA70" s="9">
        <v>223.09</v>
      </c>
      <c r="AB70" s="9">
        <v>219.42</v>
      </c>
      <c r="AC70" s="9">
        <v>180.63</v>
      </c>
      <c r="AD70" s="9">
        <v>181.97</v>
      </c>
      <c r="AE70" s="9">
        <v>98.53</v>
      </c>
      <c r="AF70" s="9">
        <v>157.6</v>
      </c>
      <c r="AG70" s="9">
        <v>102.73</v>
      </c>
      <c r="AH70" s="9"/>
      <c r="AI70" s="12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</row>
    <row r="71" spans="1:109" s="1" customFormat="1" ht="16.5" customHeight="1" x14ac:dyDescent="0.25">
      <c r="A71" s="7"/>
      <c r="B71" s="8" t="s">
        <v>10</v>
      </c>
      <c r="C71" s="4" t="s">
        <v>6</v>
      </c>
      <c r="D71" s="13">
        <f t="shared" si="12"/>
        <v>2752.7799999999993</v>
      </c>
      <c r="E71" s="9">
        <v>92.76</v>
      </c>
      <c r="F71" s="9">
        <v>92.27</v>
      </c>
      <c r="G71" s="9">
        <v>111.62</v>
      </c>
      <c r="H71" s="9">
        <v>105.36</v>
      </c>
      <c r="I71" s="9">
        <v>86.34</v>
      </c>
      <c r="J71" s="9">
        <v>93.78</v>
      </c>
      <c r="K71" s="9">
        <v>83.67</v>
      </c>
      <c r="L71" s="9">
        <v>80.06</v>
      </c>
      <c r="M71" s="9">
        <v>90.06</v>
      </c>
      <c r="N71" s="9">
        <v>105.2</v>
      </c>
      <c r="O71" s="9">
        <v>90.86</v>
      </c>
      <c r="P71" s="9">
        <v>101.82</v>
      </c>
      <c r="Q71" s="9">
        <v>95.36</v>
      </c>
      <c r="R71" s="9">
        <v>75.72</v>
      </c>
      <c r="S71" s="9">
        <v>85.63</v>
      </c>
      <c r="T71" s="9">
        <v>106.93</v>
      </c>
      <c r="U71" s="9">
        <v>94.79</v>
      </c>
      <c r="V71" s="9">
        <v>102.29</v>
      </c>
      <c r="W71" s="9">
        <v>106.28</v>
      </c>
      <c r="X71" s="9">
        <v>104.79</v>
      </c>
      <c r="Y71" s="9">
        <v>99.05</v>
      </c>
      <c r="Z71" s="9">
        <v>85.73</v>
      </c>
      <c r="AA71" s="9">
        <v>99.06</v>
      </c>
      <c r="AB71" s="9">
        <v>99.22</v>
      </c>
      <c r="AC71" s="9">
        <v>92.4</v>
      </c>
      <c r="AD71" s="9">
        <v>104.75</v>
      </c>
      <c r="AE71" s="9">
        <v>91.42</v>
      </c>
      <c r="AF71" s="9">
        <v>58.11</v>
      </c>
      <c r="AG71" s="9">
        <v>55.7</v>
      </c>
      <c r="AH71" s="9">
        <v>61.75</v>
      </c>
      <c r="AI71" s="12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</row>
    <row r="72" spans="1:109" s="1" customFormat="1" x14ac:dyDescent="0.25">
      <c r="A72" s="7"/>
      <c r="B72" s="8" t="s">
        <v>11</v>
      </c>
      <c r="C72" s="4" t="s">
        <v>6</v>
      </c>
      <c r="D72" s="5">
        <f t="shared" si="12"/>
        <v>2260.9899999999998</v>
      </c>
      <c r="E72" s="9">
        <v>70.52</v>
      </c>
      <c r="F72" s="9">
        <v>44.24</v>
      </c>
      <c r="G72" s="9"/>
      <c r="H72" s="9"/>
      <c r="I72" s="9">
        <v>91.8</v>
      </c>
      <c r="J72" s="9">
        <v>105.38</v>
      </c>
      <c r="K72" s="9">
        <v>99.09</v>
      </c>
      <c r="L72" s="9">
        <v>90.3</v>
      </c>
      <c r="M72" s="9">
        <v>92.39</v>
      </c>
      <c r="N72" s="9">
        <v>79.64</v>
      </c>
      <c r="O72" s="9">
        <v>69.38</v>
      </c>
      <c r="P72" s="9">
        <v>83.63</v>
      </c>
      <c r="Q72" s="9">
        <v>88.58</v>
      </c>
      <c r="R72" s="9">
        <v>84.4</v>
      </c>
      <c r="S72" s="9">
        <v>79.03</v>
      </c>
      <c r="T72" s="9">
        <v>81.89</v>
      </c>
      <c r="U72" s="9">
        <v>69.36</v>
      </c>
      <c r="V72" s="9">
        <v>59.27</v>
      </c>
      <c r="W72" s="9">
        <v>69.64</v>
      </c>
      <c r="X72" s="9">
        <v>98.85</v>
      </c>
      <c r="Y72" s="9">
        <v>84.79</v>
      </c>
      <c r="Z72" s="9">
        <v>70.83</v>
      </c>
      <c r="AA72" s="9">
        <v>95.82</v>
      </c>
      <c r="AB72" s="9">
        <v>93.72</v>
      </c>
      <c r="AC72" s="9">
        <v>71.83</v>
      </c>
      <c r="AD72" s="9">
        <v>84.74</v>
      </c>
      <c r="AE72" s="9">
        <v>87.24</v>
      </c>
      <c r="AF72" s="9">
        <v>65.069999999999993</v>
      </c>
      <c r="AG72" s="9">
        <v>72.02</v>
      </c>
      <c r="AH72" s="9">
        <f>77.42+0.12</f>
        <v>77.540000000000006</v>
      </c>
      <c r="AI72" s="1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</row>
    <row r="73" spans="1:109" s="1" customFormat="1" x14ac:dyDescent="0.25">
      <c r="A73" s="7"/>
      <c r="B73" s="8" t="s">
        <v>12</v>
      </c>
      <c r="C73" s="4" t="s">
        <v>6</v>
      </c>
      <c r="D73" s="13">
        <f t="shared" si="12"/>
        <v>1853.46</v>
      </c>
      <c r="E73" s="9">
        <v>65.680000000000007</v>
      </c>
      <c r="F73" s="9">
        <v>64.92</v>
      </c>
      <c r="G73" s="9">
        <v>53.2</v>
      </c>
      <c r="H73" s="9">
        <v>65.680000000000007</v>
      </c>
      <c r="I73" s="9">
        <v>64.98</v>
      </c>
      <c r="J73" s="9">
        <v>68.12</v>
      </c>
      <c r="K73" s="9">
        <v>69.63</v>
      </c>
      <c r="L73" s="9">
        <v>67.02</v>
      </c>
      <c r="M73" s="9">
        <v>70.540000000000006</v>
      </c>
      <c r="N73" s="9">
        <v>68.489999999999995</v>
      </c>
      <c r="O73" s="9">
        <v>58.08</v>
      </c>
      <c r="P73" s="9">
        <v>69.150000000000006</v>
      </c>
      <c r="Q73" s="9">
        <v>71.23</v>
      </c>
      <c r="R73" s="9">
        <v>70.459999999999994</v>
      </c>
      <c r="S73" s="9">
        <v>67.069999999999993</v>
      </c>
      <c r="T73" s="9">
        <v>68.98</v>
      </c>
      <c r="U73" s="9">
        <v>68.13</v>
      </c>
      <c r="V73" s="9">
        <v>69.06</v>
      </c>
      <c r="W73" s="9">
        <v>62.58</v>
      </c>
      <c r="X73" s="9">
        <v>67.31</v>
      </c>
      <c r="Y73" s="9">
        <v>64.19</v>
      </c>
      <c r="Z73" s="9">
        <v>59.77</v>
      </c>
      <c r="AA73" s="9">
        <v>64.05</v>
      </c>
      <c r="AB73" s="9">
        <v>63.51</v>
      </c>
      <c r="AC73" s="9">
        <v>60.21</v>
      </c>
      <c r="AD73" s="9">
        <v>58.31</v>
      </c>
      <c r="AE73" s="9">
        <v>42.82</v>
      </c>
      <c r="AF73" s="9">
        <v>34.409999999999997</v>
      </c>
      <c r="AG73" s="9">
        <v>33.5</v>
      </c>
      <c r="AH73" s="9">
        <v>42.38</v>
      </c>
      <c r="AI73" s="12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</row>
    <row r="75" spans="1:109" ht="15.75" customHeight="1" x14ac:dyDescent="0.35">
      <c r="A75" s="27" t="s">
        <v>21</v>
      </c>
    </row>
    <row r="76" spans="1:109" s="1" customFormat="1" ht="20.25" x14ac:dyDescent="0.25">
      <c r="A76" s="2" t="s">
        <v>4</v>
      </c>
      <c r="B76" s="3" t="s">
        <v>5</v>
      </c>
      <c r="C76" s="4" t="s">
        <v>6</v>
      </c>
      <c r="D76" s="5">
        <f t="shared" ref="D76:D82" si="14">SUM(E76:AI76)</f>
        <v>22359.410000000007</v>
      </c>
      <c r="E76" s="6">
        <f t="shared" ref="E76:AI76" si="15">SUM(E77:E82)</f>
        <v>0</v>
      </c>
      <c r="F76" s="6">
        <f t="shared" si="15"/>
        <v>0</v>
      </c>
      <c r="G76" s="6">
        <f t="shared" si="15"/>
        <v>605.38</v>
      </c>
      <c r="H76" s="6">
        <f t="shared" si="15"/>
        <v>791.23</v>
      </c>
      <c r="I76" s="6">
        <f t="shared" si="15"/>
        <v>790.04000000000008</v>
      </c>
      <c r="J76" s="6">
        <f t="shared" si="15"/>
        <v>812.58</v>
      </c>
      <c r="K76" s="6">
        <f t="shared" si="15"/>
        <v>822.31</v>
      </c>
      <c r="L76" s="6">
        <f t="shared" si="15"/>
        <v>710.34</v>
      </c>
      <c r="M76" s="6">
        <f t="shared" si="15"/>
        <v>760.59</v>
      </c>
      <c r="N76" s="6">
        <f t="shared" si="15"/>
        <v>778.12000000000012</v>
      </c>
      <c r="O76" s="6">
        <f t="shared" si="15"/>
        <v>768.41000000000008</v>
      </c>
      <c r="P76" s="6">
        <f t="shared" si="15"/>
        <v>636.77</v>
      </c>
      <c r="Q76" s="6">
        <f t="shared" si="15"/>
        <v>540.25</v>
      </c>
      <c r="R76" s="6">
        <f t="shared" si="15"/>
        <v>616.11</v>
      </c>
      <c r="S76" s="6">
        <f t="shared" si="15"/>
        <v>572.75999999999988</v>
      </c>
      <c r="T76" s="6">
        <f t="shared" si="15"/>
        <v>624.02</v>
      </c>
      <c r="U76" s="6">
        <f t="shared" si="15"/>
        <v>686.87</v>
      </c>
      <c r="V76" s="6">
        <f t="shared" si="15"/>
        <v>662.38999999999987</v>
      </c>
      <c r="W76" s="6">
        <f t="shared" si="15"/>
        <v>803.41</v>
      </c>
      <c r="X76" s="6">
        <f t="shared" si="15"/>
        <v>744.5100000000001</v>
      </c>
      <c r="Y76" s="6">
        <f t="shared" si="15"/>
        <v>714.12</v>
      </c>
      <c r="Z76" s="6">
        <f t="shared" si="15"/>
        <v>754.05</v>
      </c>
      <c r="AA76" s="6">
        <f t="shared" si="15"/>
        <v>641.28000000000009</v>
      </c>
      <c r="AB76" s="6">
        <f t="shared" si="15"/>
        <v>805.5200000000001</v>
      </c>
      <c r="AC76" s="6">
        <f t="shared" si="15"/>
        <v>839.66</v>
      </c>
      <c r="AD76" s="6">
        <f t="shared" si="15"/>
        <v>960.53000000000009</v>
      </c>
      <c r="AE76" s="6">
        <f t="shared" si="15"/>
        <v>943.37999999999988</v>
      </c>
      <c r="AF76" s="6">
        <f t="shared" si="15"/>
        <v>1048.8800000000001</v>
      </c>
      <c r="AG76" s="6">
        <f t="shared" si="15"/>
        <v>988.71999999999991</v>
      </c>
      <c r="AH76" s="6">
        <f t="shared" si="15"/>
        <v>965.43000000000006</v>
      </c>
      <c r="AI76" s="6">
        <f t="shared" si="15"/>
        <v>971.75000000000011</v>
      </c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</row>
    <row r="77" spans="1:109" s="1" customFormat="1" x14ac:dyDescent="0.25">
      <c r="A77" s="7"/>
      <c r="B77" s="8" t="s">
        <v>7</v>
      </c>
      <c r="C77" s="4" t="s">
        <v>6</v>
      </c>
      <c r="D77" s="5">
        <f t="shared" si="14"/>
        <v>1872.9199999999998</v>
      </c>
      <c r="E77" s="9"/>
      <c r="F77" s="9"/>
      <c r="G77" s="9">
        <v>72.599999999999994</v>
      </c>
      <c r="H77" s="9">
        <v>91.92</v>
      </c>
      <c r="I77" s="9">
        <v>77.569999999999993</v>
      </c>
      <c r="J77" s="9">
        <v>70.36</v>
      </c>
      <c r="K77" s="9">
        <v>54.39</v>
      </c>
      <c r="L77" s="9">
        <v>53.13</v>
      </c>
      <c r="M77" s="9">
        <v>53.38</v>
      </c>
      <c r="N77" s="9">
        <v>67.08</v>
      </c>
      <c r="O77" s="9">
        <v>53.78</v>
      </c>
      <c r="P77" s="9">
        <v>47.67</v>
      </c>
      <c r="Q77" s="9">
        <v>36.340000000000003</v>
      </c>
      <c r="R77" s="9">
        <f>17.49+0.04</f>
        <v>17.529999999999998</v>
      </c>
      <c r="S77" s="9">
        <v>39.57</v>
      </c>
      <c r="T77" s="9">
        <v>36.06</v>
      </c>
      <c r="U77" s="9">
        <v>43.13</v>
      </c>
      <c r="V77" s="9">
        <v>58.42</v>
      </c>
      <c r="W77" s="9">
        <v>66.680000000000007</v>
      </c>
      <c r="X77" s="9">
        <v>62.87</v>
      </c>
      <c r="Y77" s="9">
        <v>58.98</v>
      </c>
      <c r="Z77" s="9">
        <v>59.54</v>
      </c>
      <c r="AA77" s="9">
        <v>69.16</v>
      </c>
      <c r="AB77" s="9">
        <v>65.58</v>
      </c>
      <c r="AC77" s="9">
        <v>70.63</v>
      </c>
      <c r="AD77" s="9">
        <v>61.05</v>
      </c>
      <c r="AE77" s="9">
        <v>88.98</v>
      </c>
      <c r="AF77" s="9">
        <v>98</v>
      </c>
      <c r="AG77" s="9">
        <v>79.47</v>
      </c>
      <c r="AH77" s="9">
        <v>111</v>
      </c>
      <c r="AI77" s="9">
        <v>108.05</v>
      </c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</row>
    <row r="78" spans="1:109" s="1" customFormat="1" x14ac:dyDescent="0.25">
      <c r="A78" s="7"/>
      <c r="B78" s="8" t="s">
        <v>8</v>
      </c>
      <c r="C78" s="4" t="s">
        <v>6</v>
      </c>
      <c r="D78" s="13">
        <f t="shared" si="14"/>
        <v>8692.2400000000016</v>
      </c>
      <c r="E78" s="9"/>
      <c r="F78" s="9"/>
      <c r="G78" s="9">
        <v>342.86</v>
      </c>
      <c r="H78" s="9">
        <v>305.27</v>
      </c>
      <c r="I78" s="9">
        <v>323.73</v>
      </c>
      <c r="J78" s="9">
        <v>299.82</v>
      </c>
      <c r="K78" s="9">
        <v>309.3</v>
      </c>
      <c r="L78" s="9">
        <v>215.29</v>
      </c>
      <c r="M78" s="9">
        <v>262.57</v>
      </c>
      <c r="N78" s="9">
        <v>277.47000000000003</v>
      </c>
      <c r="O78" s="9">
        <v>263.92</v>
      </c>
      <c r="P78" s="9">
        <v>241.64</v>
      </c>
      <c r="Q78" s="9">
        <v>179.99</v>
      </c>
      <c r="R78" s="9">
        <v>257.14999999999998</v>
      </c>
      <c r="S78" s="9">
        <v>174.5</v>
      </c>
      <c r="T78" s="9">
        <v>245.19</v>
      </c>
      <c r="U78" s="9">
        <v>291.60000000000002</v>
      </c>
      <c r="V78" s="9">
        <v>317.02</v>
      </c>
      <c r="W78" s="9">
        <v>330.24</v>
      </c>
      <c r="X78" s="9">
        <v>270.11</v>
      </c>
      <c r="Y78" s="9">
        <v>248.49</v>
      </c>
      <c r="Z78" s="9">
        <v>262.76</v>
      </c>
      <c r="AA78" s="9">
        <v>229.07</v>
      </c>
      <c r="AB78" s="9">
        <v>282.97000000000003</v>
      </c>
      <c r="AC78" s="9">
        <v>337.02</v>
      </c>
      <c r="AD78" s="9">
        <v>413.93</v>
      </c>
      <c r="AE78" s="9">
        <v>365</v>
      </c>
      <c r="AF78" s="9">
        <v>442.67</v>
      </c>
      <c r="AG78" s="9">
        <v>429.05</v>
      </c>
      <c r="AH78" s="9">
        <v>384.66</v>
      </c>
      <c r="AI78" s="9">
        <v>388.95</v>
      </c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</row>
    <row r="79" spans="1:109" s="1" customFormat="1" x14ac:dyDescent="0.25">
      <c r="A79" s="7"/>
      <c r="B79" s="8" t="s">
        <v>9</v>
      </c>
      <c r="C79" s="4" t="s">
        <v>6</v>
      </c>
      <c r="D79" s="13">
        <f t="shared" si="14"/>
        <v>5885.7400000000007</v>
      </c>
      <c r="E79" s="9"/>
      <c r="F79" s="9"/>
      <c r="G79" s="9">
        <v>1.36</v>
      </c>
      <c r="H79" s="9">
        <v>214.51</v>
      </c>
      <c r="I79" s="9">
        <v>203.3</v>
      </c>
      <c r="J79" s="9">
        <v>254.36</v>
      </c>
      <c r="K79" s="9">
        <v>243.58</v>
      </c>
      <c r="L79" s="9">
        <v>231.92</v>
      </c>
      <c r="M79" s="9">
        <v>211.68</v>
      </c>
      <c r="N79" s="9">
        <v>211.62</v>
      </c>
      <c r="O79" s="9">
        <v>224.62</v>
      </c>
      <c r="P79" s="9">
        <v>179.67</v>
      </c>
      <c r="Q79" s="9">
        <f>150.87-2.08</f>
        <v>148.79</v>
      </c>
      <c r="R79" s="9">
        <v>159.32</v>
      </c>
      <c r="S79" s="9">
        <v>153.47999999999999</v>
      </c>
      <c r="T79" s="9">
        <v>147.52000000000001</v>
      </c>
      <c r="U79" s="9">
        <v>156.66999999999999</v>
      </c>
      <c r="V79" s="9">
        <v>100.96</v>
      </c>
      <c r="W79" s="9">
        <f>197.91+2.82</f>
        <v>200.73</v>
      </c>
      <c r="X79" s="9">
        <v>226.2</v>
      </c>
      <c r="Y79" s="9">
        <v>200.49</v>
      </c>
      <c r="Z79" s="9">
        <v>229.76</v>
      </c>
      <c r="AA79" s="9">
        <v>214.59</v>
      </c>
      <c r="AB79" s="9">
        <v>221.88</v>
      </c>
      <c r="AC79" s="9">
        <v>225.53</v>
      </c>
      <c r="AD79" s="9">
        <v>251.51</v>
      </c>
      <c r="AE79" s="9">
        <v>257.31</v>
      </c>
      <c r="AF79" s="9">
        <v>260.44</v>
      </c>
      <c r="AG79" s="9">
        <v>243.02</v>
      </c>
      <c r="AH79" s="9">
        <v>246.25</v>
      </c>
      <c r="AI79" s="9">
        <v>264.67</v>
      </c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</row>
    <row r="80" spans="1:109" s="1" customFormat="1" ht="16.5" customHeight="1" x14ac:dyDescent="0.25">
      <c r="A80" s="7"/>
      <c r="B80" s="8" t="s">
        <v>10</v>
      </c>
      <c r="C80" s="4" t="s">
        <v>6</v>
      </c>
      <c r="D80" s="13">
        <f t="shared" si="14"/>
        <v>2157.3300000000004</v>
      </c>
      <c r="E80" s="9"/>
      <c r="F80" s="9"/>
      <c r="G80" s="9">
        <v>64.08</v>
      </c>
      <c r="H80" s="9">
        <v>60.38</v>
      </c>
      <c r="I80" s="9">
        <v>60.35</v>
      </c>
      <c r="J80" s="9">
        <v>63.19</v>
      </c>
      <c r="K80" s="9">
        <v>72.92</v>
      </c>
      <c r="L80" s="9">
        <v>79.290000000000006</v>
      </c>
      <c r="M80" s="9">
        <v>99.36</v>
      </c>
      <c r="N80" s="9">
        <v>86.66</v>
      </c>
      <c r="O80" s="9">
        <v>89.11</v>
      </c>
      <c r="P80" s="9">
        <v>65.02</v>
      </c>
      <c r="Q80" s="9">
        <v>68.92</v>
      </c>
      <c r="R80" s="9">
        <v>66.900000000000006</v>
      </c>
      <c r="S80" s="9">
        <v>79.08</v>
      </c>
      <c r="T80" s="9">
        <v>74.39</v>
      </c>
      <c r="U80" s="9">
        <v>74.83</v>
      </c>
      <c r="V80" s="9">
        <v>69.55</v>
      </c>
      <c r="W80" s="9">
        <v>80.42</v>
      </c>
      <c r="X80" s="9">
        <v>64.099999999999994</v>
      </c>
      <c r="Y80" s="9">
        <v>88.25</v>
      </c>
      <c r="Z80" s="9">
        <v>82.97</v>
      </c>
      <c r="AA80" s="9">
        <v>65.88</v>
      </c>
      <c r="AB80" s="9">
        <v>81.44</v>
      </c>
      <c r="AC80" s="9">
        <v>64.94</v>
      </c>
      <c r="AD80" s="9">
        <v>80.599999999999994</v>
      </c>
      <c r="AE80" s="9">
        <v>71.41</v>
      </c>
      <c r="AF80" s="9">
        <v>87.95</v>
      </c>
      <c r="AG80" s="9">
        <v>77.13</v>
      </c>
      <c r="AH80" s="9">
        <v>74.67</v>
      </c>
      <c r="AI80" s="9">
        <v>63.54</v>
      </c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</row>
    <row r="81" spans="1:109" s="1" customFormat="1" x14ac:dyDescent="0.25">
      <c r="A81" s="7"/>
      <c r="B81" s="8" t="s">
        <v>11</v>
      </c>
      <c r="C81" s="4" t="s">
        <v>6</v>
      </c>
      <c r="D81" s="5">
        <f t="shared" si="14"/>
        <v>2253.4700000000003</v>
      </c>
      <c r="E81" s="9"/>
      <c r="F81" s="9"/>
      <c r="G81" s="9">
        <v>84.1</v>
      </c>
      <c r="H81" s="9">
        <f>75.35+2.56</f>
        <v>77.91</v>
      </c>
      <c r="I81" s="9">
        <v>63.85</v>
      </c>
      <c r="J81" s="9">
        <v>64.75</v>
      </c>
      <c r="K81" s="9">
        <v>81.290000000000006</v>
      </c>
      <c r="L81" s="9">
        <v>71.95</v>
      </c>
      <c r="M81" s="9">
        <v>74.989999999999995</v>
      </c>
      <c r="N81" s="9">
        <v>81.849999999999994</v>
      </c>
      <c r="O81" s="9">
        <v>79.38</v>
      </c>
      <c r="P81" s="9">
        <v>46.93</v>
      </c>
      <c r="Q81" s="9">
        <v>40.98</v>
      </c>
      <c r="R81" s="9">
        <v>54.74</v>
      </c>
      <c r="S81" s="9">
        <v>71.959999999999994</v>
      </c>
      <c r="T81" s="9">
        <v>68.84</v>
      </c>
      <c r="U81" s="9">
        <v>68.64</v>
      </c>
      <c r="V81" s="9">
        <v>72.17</v>
      </c>
      <c r="W81" s="9">
        <v>78</v>
      </c>
      <c r="X81" s="9">
        <v>67.12</v>
      </c>
      <c r="Y81" s="9">
        <v>63.16</v>
      </c>
      <c r="Z81" s="9">
        <v>65.58</v>
      </c>
      <c r="AA81" s="9">
        <v>62.58</v>
      </c>
      <c r="AB81" s="9">
        <v>95.38</v>
      </c>
      <c r="AC81" s="9">
        <v>86.45</v>
      </c>
      <c r="AD81" s="9">
        <f>93.8-0.06</f>
        <v>93.74</v>
      </c>
      <c r="AE81" s="9">
        <v>99.16</v>
      </c>
      <c r="AF81" s="9">
        <v>113.86</v>
      </c>
      <c r="AG81" s="9">
        <v>111.54</v>
      </c>
      <c r="AH81" s="9">
        <v>107.88</v>
      </c>
      <c r="AI81" s="9">
        <v>104.69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</row>
    <row r="82" spans="1:109" s="1" customFormat="1" x14ac:dyDescent="0.25">
      <c r="A82" s="7"/>
      <c r="B82" s="8" t="s">
        <v>12</v>
      </c>
      <c r="C82" s="4" t="s">
        <v>6</v>
      </c>
      <c r="D82" s="13">
        <f t="shared" si="14"/>
        <v>1497.71</v>
      </c>
      <c r="E82" s="9"/>
      <c r="F82" s="9"/>
      <c r="G82" s="9">
        <v>40.380000000000003</v>
      </c>
      <c r="H82" s="9">
        <v>41.24</v>
      </c>
      <c r="I82" s="9">
        <v>61.24</v>
      </c>
      <c r="J82" s="9">
        <v>60.1</v>
      </c>
      <c r="K82" s="9">
        <v>60.83</v>
      </c>
      <c r="L82" s="9">
        <v>58.76</v>
      </c>
      <c r="M82" s="9">
        <v>58.61</v>
      </c>
      <c r="N82" s="9">
        <v>53.44</v>
      </c>
      <c r="O82" s="9">
        <v>57.6</v>
      </c>
      <c r="P82" s="9">
        <v>55.84</v>
      </c>
      <c r="Q82" s="9">
        <v>65.23</v>
      </c>
      <c r="R82" s="9">
        <v>60.47</v>
      </c>
      <c r="S82" s="9">
        <v>54.17</v>
      </c>
      <c r="T82" s="9">
        <v>52.02</v>
      </c>
      <c r="U82" s="9">
        <v>52</v>
      </c>
      <c r="V82" s="9">
        <v>44.27</v>
      </c>
      <c r="W82" s="9">
        <v>47.34</v>
      </c>
      <c r="X82" s="9">
        <v>54.11</v>
      </c>
      <c r="Y82" s="9">
        <v>54.75</v>
      </c>
      <c r="Z82" s="9">
        <v>53.44</v>
      </c>
      <c r="AA82" s="9"/>
      <c r="AB82" s="9">
        <v>58.27</v>
      </c>
      <c r="AC82" s="9">
        <v>55.09</v>
      </c>
      <c r="AD82" s="9">
        <v>59.7</v>
      </c>
      <c r="AE82" s="9">
        <v>61.52</v>
      </c>
      <c r="AF82" s="9">
        <v>45.96</v>
      </c>
      <c r="AG82" s="9">
        <v>48.51</v>
      </c>
      <c r="AH82" s="9">
        <v>40.97</v>
      </c>
      <c r="AI82" s="9">
        <v>41.85</v>
      </c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</row>
    <row r="84" spans="1:109" ht="21" x14ac:dyDescent="0.35">
      <c r="A84" s="27" t="s">
        <v>22</v>
      </c>
    </row>
    <row r="85" spans="1:109" s="1" customFormat="1" ht="20.25" x14ac:dyDescent="0.25">
      <c r="A85" s="2" t="s">
        <v>4</v>
      </c>
      <c r="B85" s="3" t="s">
        <v>5</v>
      </c>
      <c r="C85" s="4" t="s">
        <v>6</v>
      </c>
      <c r="D85" s="5">
        <f t="shared" ref="D85:D91" si="16">SUM(E85:AI85)</f>
        <v>26210.800000000003</v>
      </c>
      <c r="E85" s="6">
        <f t="shared" ref="E85:AI85" si="17">SUM(E86:E91)</f>
        <v>857.7</v>
      </c>
      <c r="F85" s="6">
        <f t="shared" si="17"/>
        <v>897.04</v>
      </c>
      <c r="G85" s="6">
        <f t="shared" si="17"/>
        <v>931.68999999999994</v>
      </c>
      <c r="H85" s="6">
        <f t="shared" si="17"/>
        <v>910.19</v>
      </c>
      <c r="I85" s="6">
        <f t="shared" si="17"/>
        <v>882.92</v>
      </c>
      <c r="J85" s="6">
        <f t="shared" si="17"/>
        <v>668.02</v>
      </c>
      <c r="K85" s="6">
        <f t="shared" si="17"/>
        <v>851.35000000000014</v>
      </c>
      <c r="L85" s="6">
        <f t="shared" si="17"/>
        <v>967.85</v>
      </c>
      <c r="M85" s="6">
        <f t="shared" si="17"/>
        <v>957.89</v>
      </c>
      <c r="N85" s="6">
        <f t="shared" si="17"/>
        <v>885.72</v>
      </c>
      <c r="O85" s="6">
        <f t="shared" si="17"/>
        <v>867.66</v>
      </c>
      <c r="P85" s="6">
        <f t="shared" si="17"/>
        <v>815.59</v>
      </c>
      <c r="Q85" s="6">
        <f t="shared" si="17"/>
        <v>827.7299999999999</v>
      </c>
      <c r="R85" s="6">
        <f t="shared" si="17"/>
        <v>826.99</v>
      </c>
      <c r="S85" s="6">
        <f t="shared" si="17"/>
        <v>959.43</v>
      </c>
      <c r="T85" s="6">
        <f t="shared" si="17"/>
        <v>965.81999999999994</v>
      </c>
      <c r="U85" s="6">
        <f t="shared" si="17"/>
        <v>901.04</v>
      </c>
      <c r="V85" s="6">
        <f t="shared" si="17"/>
        <v>763.24</v>
      </c>
      <c r="W85" s="6">
        <f t="shared" si="17"/>
        <v>791.69</v>
      </c>
      <c r="X85" s="6">
        <f t="shared" si="17"/>
        <v>827.74</v>
      </c>
      <c r="Y85" s="6">
        <f t="shared" si="17"/>
        <v>851.93</v>
      </c>
      <c r="Z85" s="6">
        <f t="shared" si="17"/>
        <v>934.83</v>
      </c>
      <c r="AA85" s="6">
        <f t="shared" si="17"/>
        <v>918.71</v>
      </c>
      <c r="AB85" s="6">
        <f t="shared" si="17"/>
        <v>953.06000000000006</v>
      </c>
      <c r="AC85" s="6">
        <f t="shared" si="17"/>
        <v>899.85</v>
      </c>
      <c r="AD85" s="6">
        <f t="shared" si="17"/>
        <v>824.5200000000001</v>
      </c>
      <c r="AE85" s="6">
        <f t="shared" si="17"/>
        <v>706.60000000000014</v>
      </c>
      <c r="AF85" s="6">
        <f t="shared" si="17"/>
        <v>899.53</v>
      </c>
      <c r="AG85" s="6">
        <f t="shared" si="17"/>
        <v>926.24</v>
      </c>
      <c r="AH85" s="6">
        <f t="shared" si="17"/>
        <v>938.23000000000013</v>
      </c>
      <c r="AI85" s="6">
        <f t="shared" si="17"/>
        <v>0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</row>
    <row r="86" spans="1:109" s="1" customFormat="1" x14ac:dyDescent="0.25">
      <c r="A86" s="7"/>
      <c r="B86" s="8" t="s">
        <v>7</v>
      </c>
      <c r="C86" s="4" t="s">
        <v>6</v>
      </c>
      <c r="D86" s="5">
        <f t="shared" si="16"/>
        <v>2144.8199999999997</v>
      </c>
      <c r="E86" s="9">
        <v>67</v>
      </c>
      <c r="F86" s="9">
        <v>77.7</v>
      </c>
      <c r="G86" s="9">
        <v>72.010000000000005</v>
      </c>
      <c r="H86" s="9">
        <v>95.4</v>
      </c>
      <c r="I86" s="9">
        <v>77.14</v>
      </c>
      <c r="J86" s="9">
        <v>67.5</v>
      </c>
      <c r="K86" s="9">
        <v>51.66</v>
      </c>
      <c r="L86" s="9">
        <v>88.36</v>
      </c>
      <c r="M86" s="9">
        <f>84.37+0.54</f>
        <v>84.910000000000011</v>
      </c>
      <c r="N86" s="9">
        <v>48.88</v>
      </c>
      <c r="O86" s="9">
        <v>44.28</v>
      </c>
      <c r="P86" s="9">
        <v>77.8</v>
      </c>
      <c r="Q86" s="9">
        <v>79.489999999999995</v>
      </c>
      <c r="R86" s="9">
        <v>55.81</v>
      </c>
      <c r="S86" s="9">
        <v>77.819999999999993</v>
      </c>
      <c r="T86" s="9">
        <v>90.58</v>
      </c>
      <c r="U86" s="9">
        <v>88.17</v>
      </c>
      <c r="V86" s="9">
        <v>78.5</v>
      </c>
      <c r="W86" s="9">
        <v>66.67</v>
      </c>
      <c r="X86" s="9">
        <v>73.7</v>
      </c>
      <c r="Y86" s="9">
        <v>88.87</v>
      </c>
      <c r="Z86" s="9">
        <v>58.14</v>
      </c>
      <c r="AA86" s="9">
        <v>70.47</v>
      </c>
      <c r="AB86" s="9">
        <v>95.22</v>
      </c>
      <c r="AC86" s="9">
        <v>68.8</v>
      </c>
      <c r="AD86" s="9">
        <v>51.12</v>
      </c>
      <c r="AE86" s="9">
        <v>55.1</v>
      </c>
      <c r="AF86" s="9">
        <v>59.24</v>
      </c>
      <c r="AG86" s="9">
        <v>64.760000000000005</v>
      </c>
      <c r="AH86" s="9">
        <v>69.72</v>
      </c>
      <c r="AI86" s="12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</row>
    <row r="87" spans="1:109" s="1" customFormat="1" x14ac:dyDescent="0.25">
      <c r="A87" s="7"/>
      <c r="B87" s="8" t="s">
        <v>8</v>
      </c>
      <c r="C87" s="4" t="s">
        <v>6</v>
      </c>
      <c r="D87" s="13">
        <f t="shared" si="16"/>
        <v>11009.14</v>
      </c>
      <c r="E87" s="9">
        <v>374.23</v>
      </c>
      <c r="F87" s="9">
        <v>392.23</v>
      </c>
      <c r="G87" s="9">
        <v>403.28</v>
      </c>
      <c r="H87" s="9">
        <v>358.7</v>
      </c>
      <c r="I87" s="9">
        <v>375.88</v>
      </c>
      <c r="J87" s="9">
        <v>252.78</v>
      </c>
      <c r="K87" s="9">
        <v>343.06</v>
      </c>
      <c r="L87" s="9">
        <v>397.91</v>
      </c>
      <c r="M87" s="9">
        <v>412.46</v>
      </c>
      <c r="N87" s="9">
        <v>391.81</v>
      </c>
      <c r="O87" s="9">
        <v>362.77</v>
      </c>
      <c r="P87" s="9">
        <v>326.86</v>
      </c>
      <c r="Q87" s="9">
        <v>377.19</v>
      </c>
      <c r="R87" s="9">
        <v>382</v>
      </c>
      <c r="S87" s="9">
        <v>399.59</v>
      </c>
      <c r="T87" s="9">
        <v>422.33</v>
      </c>
      <c r="U87" s="9">
        <v>358.77</v>
      </c>
      <c r="V87" s="9">
        <v>321.39999999999998</v>
      </c>
      <c r="W87" s="9">
        <v>323.16000000000003</v>
      </c>
      <c r="X87" s="9">
        <v>354.41</v>
      </c>
      <c r="Y87" s="9">
        <v>331.24</v>
      </c>
      <c r="Z87" s="9">
        <v>420.34</v>
      </c>
      <c r="AA87" s="9">
        <v>389.67</v>
      </c>
      <c r="AB87" s="9">
        <v>399.86</v>
      </c>
      <c r="AC87" s="9">
        <v>347.6</v>
      </c>
      <c r="AD87" s="9">
        <v>346.68</v>
      </c>
      <c r="AE87" s="9">
        <v>287.41000000000003</v>
      </c>
      <c r="AF87" s="9">
        <v>379.64</v>
      </c>
      <c r="AG87" s="9">
        <v>379.98</v>
      </c>
      <c r="AH87" s="9">
        <v>395.9</v>
      </c>
      <c r="AI87" s="12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</row>
    <row r="88" spans="1:109" s="1" customFormat="1" x14ac:dyDescent="0.25">
      <c r="A88" s="7"/>
      <c r="B88" s="8" t="s">
        <v>9</v>
      </c>
      <c r="C88" s="4" t="s">
        <v>6</v>
      </c>
      <c r="D88" s="13">
        <f t="shared" si="16"/>
        <v>7113.4199999999992</v>
      </c>
      <c r="E88" s="9">
        <v>229.22</v>
      </c>
      <c r="F88" s="9">
        <v>223.53</v>
      </c>
      <c r="G88" s="9">
        <v>270.56</v>
      </c>
      <c r="H88" s="9">
        <v>256.04000000000002</v>
      </c>
      <c r="I88" s="9">
        <v>252.28</v>
      </c>
      <c r="J88" s="9">
        <v>175.44</v>
      </c>
      <c r="K88" s="9">
        <v>266.67</v>
      </c>
      <c r="L88" s="9">
        <v>269.56</v>
      </c>
      <c r="M88" s="9">
        <v>268.77999999999997</v>
      </c>
      <c r="N88" s="9">
        <v>254.26</v>
      </c>
      <c r="O88" s="9">
        <v>252.61</v>
      </c>
      <c r="P88" s="9">
        <v>264.26</v>
      </c>
      <c r="Q88" s="9">
        <v>241.36</v>
      </c>
      <c r="R88" s="9">
        <v>170.23</v>
      </c>
      <c r="S88" s="9">
        <v>261.13</v>
      </c>
      <c r="T88" s="9">
        <v>226.19</v>
      </c>
      <c r="U88" s="9">
        <v>253.73</v>
      </c>
      <c r="V88" s="9">
        <v>150.37</v>
      </c>
      <c r="W88" s="9">
        <v>197.8</v>
      </c>
      <c r="X88" s="9">
        <v>207.48</v>
      </c>
      <c r="Y88" s="9">
        <v>221.53</v>
      </c>
      <c r="Z88" s="9">
        <v>236.16</v>
      </c>
      <c r="AA88" s="9">
        <f>228.08+0.07</f>
        <v>228.15</v>
      </c>
      <c r="AB88" s="9">
        <v>245.25</v>
      </c>
      <c r="AC88" s="9">
        <f>264.79+4.04</f>
        <v>268.83000000000004</v>
      </c>
      <c r="AD88" s="9">
        <v>217.9</v>
      </c>
      <c r="AE88" s="9">
        <v>212.16</v>
      </c>
      <c r="AF88" s="9">
        <f>264.68-5.52</f>
        <v>259.16000000000003</v>
      </c>
      <c r="AG88" s="9">
        <v>269.48</v>
      </c>
      <c r="AH88" s="9">
        <v>263.3</v>
      </c>
      <c r="AI88" s="12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</row>
    <row r="89" spans="1:109" s="1" customFormat="1" ht="16.5" customHeight="1" x14ac:dyDescent="0.25">
      <c r="A89" s="7"/>
      <c r="B89" s="8" t="s">
        <v>10</v>
      </c>
      <c r="C89" s="4" t="s">
        <v>6</v>
      </c>
      <c r="D89" s="13">
        <f t="shared" si="16"/>
        <v>2086.65</v>
      </c>
      <c r="E89" s="9">
        <v>68.010000000000005</v>
      </c>
      <c r="F89" s="9">
        <f>71.95-1.54</f>
        <v>70.41</v>
      </c>
      <c r="G89" s="9">
        <v>65.510000000000005</v>
      </c>
      <c r="H89" s="9">
        <v>69.77</v>
      </c>
      <c r="I89" s="9">
        <v>62.78</v>
      </c>
      <c r="J89" s="9">
        <v>62.22</v>
      </c>
      <c r="K89" s="9">
        <v>64.39</v>
      </c>
      <c r="L89" s="9">
        <v>65.63</v>
      </c>
      <c r="M89" s="9">
        <v>60.49</v>
      </c>
      <c r="N89" s="9">
        <v>60.38</v>
      </c>
      <c r="O89" s="9">
        <v>71.849999999999994</v>
      </c>
      <c r="P89" s="9">
        <v>67.819999999999993</v>
      </c>
      <c r="Q89" s="9">
        <v>65.569999999999993</v>
      </c>
      <c r="R89" s="9">
        <v>75.97</v>
      </c>
      <c r="S89" s="9">
        <v>80.55</v>
      </c>
      <c r="T89" s="9">
        <v>76.44</v>
      </c>
      <c r="U89" s="9">
        <v>66.91</v>
      </c>
      <c r="V89" s="9">
        <v>71.64</v>
      </c>
      <c r="W89" s="9">
        <v>75.319999999999993</v>
      </c>
      <c r="X89" s="9">
        <v>68.930000000000007</v>
      </c>
      <c r="Y89" s="9">
        <v>67.78</v>
      </c>
      <c r="Z89" s="9">
        <v>71.819999999999993</v>
      </c>
      <c r="AA89" s="9">
        <v>74.02</v>
      </c>
      <c r="AB89" s="9">
        <v>71.81</v>
      </c>
      <c r="AC89" s="9">
        <v>77.72</v>
      </c>
      <c r="AD89" s="9">
        <v>70.19</v>
      </c>
      <c r="AE89" s="9">
        <v>68.11</v>
      </c>
      <c r="AF89" s="9">
        <v>72.97</v>
      </c>
      <c r="AG89" s="9">
        <v>71.56</v>
      </c>
      <c r="AH89" s="9">
        <v>70.08</v>
      </c>
      <c r="AI89" s="12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</row>
    <row r="90" spans="1:109" s="1" customFormat="1" x14ac:dyDescent="0.25">
      <c r="A90" s="7"/>
      <c r="B90" s="8" t="s">
        <v>11</v>
      </c>
      <c r="C90" s="4" t="s">
        <v>6</v>
      </c>
      <c r="D90" s="5">
        <f t="shared" si="16"/>
        <v>2683.9300000000003</v>
      </c>
      <c r="E90" s="9">
        <v>84.92</v>
      </c>
      <c r="F90" s="9">
        <v>98.42</v>
      </c>
      <c r="G90" s="9">
        <v>86.37</v>
      </c>
      <c r="H90" s="9">
        <v>90.05</v>
      </c>
      <c r="I90" s="9">
        <v>73.86</v>
      </c>
      <c r="J90" s="9">
        <v>69.099999999999994</v>
      </c>
      <c r="K90" s="9">
        <f>79.72+0.54</f>
        <v>80.260000000000005</v>
      </c>
      <c r="L90" s="9">
        <v>102.47</v>
      </c>
      <c r="M90" s="9">
        <v>91.7</v>
      </c>
      <c r="N90" s="9">
        <v>89.46</v>
      </c>
      <c r="O90" s="9">
        <v>94.76</v>
      </c>
      <c r="P90" s="9">
        <v>78.849999999999994</v>
      </c>
      <c r="Q90" s="9">
        <v>64.12</v>
      </c>
      <c r="R90" s="9">
        <v>97.76</v>
      </c>
      <c r="S90" s="9">
        <v>94.96</v>
      </c>
      <c r="T90" s="9">
        <f>100.12+1.62</f>
        <v>101.74000000000001</v>
      </c>
      <c r="U90" s="9">
        <v>82.6</v>
      </c>
      <c r="V90" s="9">
        <v>87.86</v>
      </c>
      <c r="W90" s="9">
        <v>76.849999999999994</v>
      </c>
      <c r="X90" s="9">
        <v>75.02</v>
      </c>
      <c r="Y90" s="9">
        <v>98.15</v>
      </c>
      <c r="Z90" s="9">
        <v>102.22</v>
      </c>
      <c r="AA90" s="9">
        <v>104.44</v>
      </c>
      <c r="AB90" s="9">
        <v>93.04</v>
      </c>
      <c r="AC90" s="9">
        <v>97.53</v>
      </c>
      <c r="AD90" s="9">
        <v>101.71</v>
      </c>
      <c r="AE90" s="9">
        <v>83.82</v>
      </c>
      <c r="AF90" s="9">
        <v>93.06</v>
      </c>
      <c r="AG90" s="9">
        <v>93.18</v>
      </c>
      <c r="AH90" s="9">
        <v>95.65</v>
      </c>
      <c r="AI90" s="12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</row>
    <row r="91" spans="1:109" s="1" customFormat="1" x14ac:dyDescent="0.25">
      <c r="A91" s="7"/>
      <c r="B91" s="8" t="s">
        <v>12</v>
      </c>
      <c r="C91" s="4" t="s">
        <v>6</v>
      </c>
      <c r="D91" s="13">
        <f t="shared" si="16"/>
        <v>1172.8399999999999</v>
      </c>
      <c r="E91" s="9">
        <v>34.32</v>
      </c>
      <c r="F91" s="9">
        <v>34.75</v>
      </c>
      <c r="G91" s="9">
        <v>33.96</v>
      </c>
      <c r="H91" s="9">
        <v>40.229999999999997</v>
      </c>
      <c r="I91" s="9">
        <v>40.98</v>
      </c>
      <c r="J91" s="9">
        <v>40.98</v>
      </c>
      <c r="K91" s="9">
        <v>45.31</v>
      </c>
      <c r="L91" s="9">
        <v>43.92</v>
      </c>
      <c r="M91" s="9">
        <v>39.549999999999997</v>
      </c>
      <c r="N91" s="9">
        <v>40.93</v>
      </c>
      <c r="O91" s="9">
        <v>41.39</v>
      </c>
      <c r="P91" s="9"/>
      <c r="Q91" s="9"/>
      <c r="R91" s="9">
        <v>45.22</v>
      </c>
      <c r="S91" s="9">
        <v>45.38</v>
      </c>
      <c r="T91" s="9">
        <v>48.54</v>
      </c>
      <c r="U91" s="9">
        <v>50.86</v>
      </c>
      <c r="V91" s="9">
        <v>53.47</v>
      </c>
      <c r="W91" s="9">
        <v>51.89</v>
      </c>
      <c r="X91" s="9">
        <v>48.2</v>
      </c>
      <c r="Y91" s="9">
        <v>44.36</v>
      </c>
      <c r="Z91" s="9">
        <v>46.15</v>
      </c>
      <c r="AA91" s="9">
        <v>51.96</v>
      </c>
      <c r="AB91" s="9">
        <v>47.88</v>
      </c>
      <c r="AC91" s="9">
        <v>39.369999999999997</v>
      </c>
      <c r="AD91" s="9">
        <v>36.92</v>
      </c>
      <c r="AE91" s="9"/>
      <c r="AF91" s="9">
        <v>35.46</v>
      </c>
      <c r="AG91" s="9">
        <v>47.28</v>
      </c>
      <c r="AH91" s="9">
        <v>43.58</v>
      </c>
      <c r="AI91" s="12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</row>
    <row r="93" spans="1:109" ht="21" x14ac:dyDescent="0.35">
      <c r="A93" s="27" t="s">
        <v>23</v>
      </c>
    </row>
    <row r="94" spans="1:109" s="1" customFormat="1" ht="20.25" x14ac:dyDescent="0.25">
      <c r="A94" s="2" t="s">
        <v>4</v>
      </c>
      <c r="B94" s="3" t="s">
        <v>5</v>
      </c>
      <c r="C94" s="4" t="s">
        <v>6</v>
      </c>
      <c r="D94" s="5">
        <f t="shared" ref="D94:D100" si="18">SUM(E94:AI94)</f>
        <v>23363.5</v>
      </c>
      <c r="E94" s="6">
        <f t="shared" ref="E94:AI94" si="19">SUM(E95:E100)</f>
        <v>919.31000000000017</v>
      </c>
      <c r="F94" s="6">
        <f t="shared" si="19"/>
        <v>965.06000000000006</v>
      </c>
      <c r="G94" s="6">
        <f t="shared" si="19"/>
        <v>884.15000000000009</v>
      </c>
      <c r="H94" s="6">
        <f t="shared" si="19"/>
        <v>914.56</v>
      </c>
      <c r="I94" s="6">
        <f t="shared" si="19"/>
        <v>950.96999999999991</v>
      </c>
      <c r="J94" s="6">
        <f t="shared" si="19"/>
        <v>876.4799999999999</v>
      </c>
      <c r="K94" s="6">
        <f t="shared" si="19"/>
        <v>891.96</v>
      </c>
      <c r="L94" s="6">
        <f t="shared" si="19"/>
        <v>803.45999999999992</v>
      </c>
      <c r="M94" s="6">
        <f t="shared" si="19"/>
        <v>789.25</v>
      </c>
      <c r="N94" s="6">
        <f t="shared" si="19"/>
        <v>756.8900000000001</v>
      </c>
      <c r="O94" s="6">
        <f t="shared" si="19"/>
        <v>725.37</v>
      </c>
      <c r="P94" s="6">
        <f t="shared" si="19"/>
        <v>861.83</v>
      </c>
      <c r="Q94" s="6">
        <f t="shared" si="19"/>
        <v>820.05</v>
      </c>
      <c r="R94" s="6">
        <f t="shared" si="19"/>
        <v>826.66000000000008</v>
      </c>
      <c r="S94" s="6">
        <f t="shared" si="19"/>
        <v>794.75000000000011</v>
      </c>
      <c r="T94" s="6">
        <f t="shared" si="19"/>
        <v>822.76</v>
      </c>
      <c r="U94" s="6">
        <f t="shared" si="19"/>
        <v>818.14</v>
      </c>
      <c r="V94" s="6">
        <f t="shared" si="19"/>
        <v>871.5300000000002</v>
      </c>
      <c r="W94" s="6">
        <f t="shared" si="19"/>
        <v>911.29</v>
      </c>
      <c r="X94" s="6">
        <f t="shared" si="19"/>
        <v>850.12</v>
      </c>
      <c r="Y94" s="6">
        <f t="shared" si="19"/>
        <v>845.65</v>
      </c>
      <c r="Z94" s="6">
        <f t="shared" si="19"/>
        <v>866.69999999999993</v>
      </c>
      <c r="AA94" s="6">
        <f t="shared" si="19"/>
        <v>831.88</v>
      </c>
      <c r="AB94" s="6">
        <f t="shared" si="19"/>
        <v>796.03999999999985</v>
      </c>
      <c r="AC94" s="6">
        <f t="shared" si="19"/>
        <v>617.39</v>
      </c>
      <c r="AD94" s="6">
        <f t="shared" si="19"/>
        <v>833.31999999999994</v>
      </c>
      <c r="AE94" s="6">
        <f t="shared" si="19"/>
        <v>812.82999999999993</v>
      </c>
      <c r="AF94" s="6">
        <f t="shared" si="19"/>
        <v>566.93999999999994</v>
      </c>
      <c r="AG94" s="6">
        <f t="shared" si="19"/>
        <v>138.16</v>
      </c>
      <c r="AH94" s="6">
        <f t="shared" si="19"/>
        <v>0</v>
      </c>
      <c r="AI94" s="6">
        <f t="shared" si="19"/>
        <v>0</v>
      </c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</row>
    <row r="95" spans="1:109" s="1" customFormat="1" x14ac:dyDescent="0.25">
      <c r="A95" s="7"/>
      <c r="B95" s="8" t="s">
        <v>7</v>
      </c>
      <c r="C95" s="4" t="s">
        <v>6</v>
      </c>
      <c r="D95" s="5">
        <f t="shared" si="18"/>
        <v>1918.96</v>
      </c>
      <c r="E95" s="9">
        <v>61.57</v>
      </c>
      <c r="F95" s="9">
        <v>78.86</v>
      </c>
      <c r="G95" s="9">
        <v>78.2</v>
      </c>
      <c r="H95" s="9">
        <v>72.02</v>
      </c>
      <c r="I95" s="9">
        <v>73.89</v>
      </c>
      <c r="J95" s="9">
        <v>65.489999999999995</v>
      </c>
      <c r="K95" s="9">
        <v>78.680000000000007</v>
      </c>
      <c r="L95" s="9">
        <v>62.38</v>
      </c>
      <c r="M95" s="9">
        <v>68.099999999999994</v>
      </c>
      <c r="N95" s="9">
        <v>94.98</v>
      </c>
      <c r="O95" s="9">
        <v>57.39</v>
      </c>
      <c r="P95" s="9">
        <v>76.53</v>
      </c>
      <c r="Q95" s="9">
        <v>59.6</v>
      </c>
      <c r="R95" s="9">
        <v>72.739999999999995</v>
      </c>
      <c r="S95" s="9">
        <v>67.61</v>
      </c>
      <c r="T95" s="9">
        <v>49.47</v>
      </c>
      <c r="U95" s="9">
        <v>67.599999999999994</v>
      </c>
      <c r="V95" s="9">
        <v>90.31</v>
      </c>
      <c r="W95" s="9">
        <v>88.12</v>
      </c>
      <c r="X95" s="9">
        <v>66.64</v>
      </c>
      <c r="Y95" s="9">
        <v>50.84</v>
      </c>
      <c r="Z95" s="9">
        <v>88.78</v>
      </c>
      <c r="AA95" s="9">
        <v>58.14</v>
      </c>
      <c r="AB95" s="9">
        <v>49.77</v>
      </c>
      <c r="AC95" s="9">
        <v>55.26</v>
      </c>
      <c r="AD95" s="9">
        <v>67.28</v>
      </c>
      <c r="AE95" s="9">
        <v>70.760000000000005</v>
      </c>
      <c r="AF95" s="9">
        <v>41.01</v>
      </c>
      <c r="AG95" s="9">
        <v>6.94</v>
      </c>
      <c r="AH95" s="9"/>
      <c r="AI95" s="9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</row>
    <row r="96" spans="1:109" s="1" customFormat="1" x14ac:dyDescent="0.25">
      <c r="A96" s="7"/>
      <c r="B96" s="8" t="s">
        <v>8</v>
      </c>
      <c r="C96" s="4" t="s">
        <v>6</v>
      </c>
      <c r="D96" s="13">
        <f t="shared" si="18"/>
        <v>8865.8799999999992</v>
      </c>
      <c r="E96" s="9">
        <v>400.92</v>
      </c>
      <c r="F96" s="9">
        <v>375.64</v>
      </c>
      <c r="G96" s="9">
        <v>312.12</v>
      </c>
      <c r="H96" s="9">
        <v>357.78</v>
      </c>
      <c r="I96" s="9">
        <v>376.96</v>
      </c>
      <c r="J96" s="9">
        <v>324.95999999999998</v>
      </c>
      <c r="K96" s="9">
        <v>364.61</v>
      </c>
      <c r="L96" s="9">
        <v>340.85</v>
      </c>
      <c r="M96" s="9">
        <v>311.37</v>
      </c>
      <c r="N96" s="9">
        <v>265.70999999999998</v>
      </c>
      <c r="O96" s="9">
        <v>306.44</v>
      </c>
      <c r="P96" s="9">
        <v>361.1</v>
      </c>
      <c r="Q96" s="9">
        <v>311</v>
      </c>
      <c r="R96" s="9">
        <v>318.76</v>
      </c>
      <c r="S96" s="9">
        <v>296.38</v>
      </c>
      <c r="T96" s="9">
        <v>325.27999999999997</v>
      </c>
      <c r="U96" s="9">
        <v>323.44</v>
      </c>
      <c r="V96" s="9">
        <v>356.62</v>
      </c>
      <c r="W96" s="9">
        <v>355.77</v>
      </c>
      <c r="X96" s="9">
        <v>341.37</v>
      </c>
      <c r="Y96" s="9">
        <v>341.46</v>
      </c>
      <c r="Z96" s="9">
        <v>344.44</v>
      </c>
      <c r="AA96" s="9">
        <v>301.13</v>
      </c>
      <c r="AB96" s="9">
        <v>271.77999999999997</v>
      </c>
      <c r="AC96" s="9">
        <v>134.58000000000001</v>
      </c>
      <c r="AD96" s="9">
        <v>299.3</v>
      </c>
      <c r="AE96" s="9">
        <v>255.36</v>
      </c>
      <c r="AF96" s="9">
        <v>190.75</v>
      </c>
      <c r="AG96" s="9"/>
      <c r="AH96" s="9"/>
      <c r="AI96" s="9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</row>
    <row r="97" spans="1:109" s="1" customFormat="1" x14ac:dyDescent="0.25">
      <c r="A97" s="7"/>
      <c r="B97" s="8" t="s">
        <v>9</v>
      </c>
      <c r="C97" s="4" t="s">
        <v>6</v>
      </c>
      <c r="D97" s="13">
        <f t="shared" si="18"/>
        <v>6349.69</v>
      </c>
      <c r="E97" s="9">
        <v>256.35000000000002</v>
      </c>
      <c r="F97" s="9">
        <v>266.43</v>
      </c>
      <c r="G97" s="9">
        <v>270.87</v>
      </c>
      <c r="H97" s="9">
        <v>269.37</v>
      </c>
      <c r="I97" s="9">
        <v>263.04000000000002</v>
      </c>
      <c r="J97" s="9">
        <f>268.19-1.64</f>
        <v>266.55</v>
      </c>
      <c r="K97" s="9">
        <v>239.21</v>
      </c>
      <c r="L97" s="9">
        <v>200.03</v>
      </c>
      <c r="M97" s="9">
        <v>207.34</v>
      </c>
      <c r="N97" s="9">
        <v>202.31</v>
      </c>
      <c r="O97" s="9">
        <v>211.22</v>
      </c>
      <c r="P97" s="9">
        <v>212.54</v>
      </c>
      <c r="Q97" s="9">
        <v>214.23</v>
      </c>
      <c r="R97" s="9">
        <v>204.45</v>
      </c>
      <c r="S97" s="9">
        <f>204.79+0.34</f>
        <v>205.13</v>
      </c>
      <c r="T97" s="9">
        <v>224.08</v>
      </c>
      <c r="U97" s="9">
        <v>206.11</v>
      </c>
      <c r="V97" s="9">
        <v>211.77</v>
      </c>
      <c r="W97" s="9">
        <v>246.91</v>
      </c>
      <c r="X97" s="9">
        <v>209.18</v>
      </c>
      <c r="Y97" s="9">
        <v>216.73</v>
      </c>
      <c r="Z97" s="9">
        <v>212.25</v>
      </c>
      <c r="AA97" s="9">
        <v>232.37</v>
      </c>
      <c r="AB97" s="9">
        <v>253.57</v>
      </c>
      <c r="AC97" s="9">
        <v>230.06</v>
      </c>
      <c r="AD97" s="9">
        <v>245.67</v>
      </c>
      <c r="AE97" s="9">
        <v>259.70999999999998</v>
      </c>
      <c r="AF97" s="9">
        <v>112.21</v>
      </c>
      <c r="AG97" s="9"/>
      <c r="AH97" s="9"/>
      <c r="AI97" s="9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</row>
    <row r="98" spans="1:109" s="1" customFormat="1" ht="16.5" customHeight="1" x14ac:dyDescent="0.25">
      <c r="A98" s="7"/>
      <c r="B98" s="8" t="s">
        <v>10</v>
      </c>
      <c r="C98" s="4" t="s">
        <v>6</v>
      </c>
      <c r="D98" s="13">
        <f t="shared" si="18"/>
        <v>2149.38</v>
      </c>
      <c r="E98" s="9">
        <v>68.209999999999994</v>
      </c>
      <c r="F98" s="9">
        <v>86.11</v>
      </c>
      <c r="G98" s="9">
        <v>81.239999999999995</v>
      </c>
      <c r="H98" s="9">
        <v>82.15</v>
      </c>
      <c r="I98" s="9">
        <v>83.17</v>
      </c>
      <c r="J98" s="9">
        <v>77.14</v>
      </c>
      <c r="K98" s="9">
        <v>72.260000000000005</v>
      </c>
      <c r="L98" s="9">
        <v>71.260000000000005</v>
      </c>
      <c r="M98" s="9">
        <v>84.55</v>
      </c>
      <c r="N98" s="9">
        <v>80.599999999999994</v>
      </c>
      <c r="O98" s="9">
        <v>67.36</v>
      </c>
      <c r="P98" s="9">
        <v>64.56</v>
      </c>
      <c r="Q98" s="9">
        <v>79.14</v>
      </c>
      <c r="R98" s="9">
        <v>76.19</v>
      </c>
      <c r="S98" s="9">
        <v>81.569999999999993</v>
      </c>
      <c r="T98" s="9">
        <v>69.77</v>
      </c>
      <c r="U98" s="9">
        <v>72.239999999999995</v>
      </c>
      <c r="V98" s="9">
        <v>65.209999999999994</v>
      </c>
      <c r="W98" s="9">
        <v>67.760000000000005</v>
      </c>
      <c r="X98" s="9">
        <v>86.11</v>
      </c>
      <c r="Y98" s="9">
        <v>85.34</v>
      </c>
      <c r="Z98" s="9">
        <v>69.63</v>
      </c>
      <c r="AA98" s="9">
        <v>83.5</v>
      </c>
      <c r="AB98" s="9">
        <v>83.54</v>
      </c>
      <c r="AC98" s="9">
        <v>64.150000000000006</v>
      </c>
      <c r="AD98" s="9">
        <v>62.65</v>
      </c>
      <c r="AE98" s="9">
        <v>73.86</v>
      </c>
      <c r="AF98" s="9">
        <v>71.849999999999994</v>
      </c>
      <c r="AG98" s="9">
        <v>38.26</v>
      </c>
      <c r="AH98" s="9"/>
      <c r="AI98" s="9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</row>
    <row r="99" spans="1:109" s="1" customFormat="1" x14ac:dyDescent="0.25">
      <c r="A99" s="7"/>
      <c r="B99" s="8" t="s">
        <v>11</v>
      </c>
      <c r="C99" s="4" t="s">
        <v>6</v>
      </c>
      <c r="D99" s="5">
        <f t="shared" si="18"/>
        <v>2437.4699999999998</v>
      </c>
      <c r="E99" s="9">
        <v>84.82</v>
      </c>
      <c r="F99" s="9">
        <v>93.52</v>
      </c>
      <c r="G99" s="9">
        <v>79.64</v>
      </c>
      <c r="H99" s="9">
        <v>70.52</v>
      </c>
      <c r="I99" s="9">
        <v>93</v>
      </c>
      <c r="J99" s="9">
        <v>90.43</v>
      </c>
      <c r="K99" s="9">
        <v>94.39</v>
      </c>
      <c r="L99" s="9">
        <v>83.42</v>
      </c>
      <c r="M99" s="9">
        <v>79.17</v>
      </c>
      <c r="N99" s="9">
        <v>74.569999999999993</v>
      </c>
      <c r="O99" s="9">
        <v>82.96</v>
      </c>
      <c r="P99" s="9">
        <v>104.09</v>
      </c>
      <c r="Q99" s="9">
        <v>92.77</v>
      </c>
      <c r="R99" s="9">
        <v>91.01</v>
      </c>
      <c r="S99" s="9">
        <v>78.94</v>
      </c>
      <c r="T99" s="9">
        <v>87.86</v>
      </c>
      <c r="U99" s="9">
        <v>86.38</v>
      </c>
      <c r="V99" s="9">
        <v>85.43</v>
      </c>
      <c r="W99" s="9">
        <v>86.83</v>
      </c>
      <c r="X99" s="9">
        <v>82.41</v>
      </c>
      <c r="Y99" s="9">
        <v>87.65</v>
      </c>
      <c r="Z99" s="9">
        <v>88.94</v>
      </c>
      <c r="AA99" s="9">
        <v>87.86</v>
      </c>
      <c r="AB99" s="9">
        <v>72.3</v>
      </c>
      <c r="AC99" s="9">
        <v>69.52</v>
      </c>
      <c r="AD99" s="9">
        <v>86.67</v>
      </c>
      <c r="AE99" s="9">
        <f>83.4-0.06</f>
        <v>83.34</v>
      </c>
      <c r="AF99" s="9">
        <v>85.1</v>
      </c>
      <c r="AG99" s="9">
        <v>53.93</v>
      </c>
      <c r="AH99" s="9"/>
      <c r="AI99" s="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</row>
    <row r="100" spans="1:109" s="1" customFormat="1" x14ac:dyDescent="0.25">
      <c r="A100" s="7"/>
      <c r="B100" s="8" t="s">
        <v>12</v>
      </c>
      <c r="C100" s="4" t="s">
        <v>6</v>
      </c>
      <c r="D100" s="13">
        <f t="shared" si="18"/>
        <v>1642.1199999999997</v>
      </c>
      <c r="E100" s="9">
        <v>47.44</v>
      </c>
      <c r="F100" s="9">
        <v>64.5</v>
      </c>
      <c r="G100" s="9">
        <v>62.08</v>
      </c>
      <c r="H100" s="9">
        <v>62.72</v>
      </c>
      <c r="I100" s="9">
        <f>60.58+0.33</f>
        <v>60.91</v>
      </c>
      <c r="J100" s="9">
        <f>51.19+0.72</f>
        <v>51.91</v>
      </c>
      <c r="K100" s="9">
        <v>42.81</v>
      </c>
      <c r="L100" s="9">
        <v>45.52</v>
      </c>
      <c r="M100" s="9">
        <v>38.72</v>
      </c>
      <c r="N100" s="9">
        <v>38.72</v>
      </c>
      <c r="O100" s="9"/>
      <c r="P100" s="9">
        <v>43.01</v>
      </c>
      <c r="Q100" s="9">
        <v>63.31</v>
      </c>
      <c r="R100" s="9">
        <v>63.51</v>
      </c>
      <c r="S100" s="9">
        <v>65.12</v>
      </c>
      <c r="T100" s="9">
        <v>66.3</v>
      </c>
      <c r="U100" s="9">
        <v>62.37</v>
      </c>
      <c r="V100" s="9">
        <v>62.19</v>
      </c>
      <c r="W100" s="9">
        <v>65.900000000000006</v>
      </c>
      <c r="X100" s="9">
        <f>65.44-1.03</f>
        <v>64.41</v>
      </c>
      <c r="Y100" s="9">
        <v>63.63</v>
      </c>
      <c r="Z100" s="9">
        <v>62.66</v>
      </c>
      <c r="AA100" s="9">
        <v>68.88</v>
      </c>
      <c r="AB100" s="9">
        <v>65.08</v>
      </c>
      <c r="AC100" s="9">
        <v>63.82</v>
      </c>
      <c r="AD100" s="9">
        <v>71.75</v>
      </c>
      <c r="AE100" s="9">
        <v>69.8</v>
      </c>
      <c r="AF100" s="9">
        <v>66.02</v>
      </c>
      <c r="AG100" s="9">
        <v>39.03</v>
      </c>
      <c r="AH100" s="9"/>
      <c r="AI100" s="9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</row>
  </sheetData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109"/>
  <sheetViews>
    <sheetView topLeftCell="D76" zoomScale="75" zoomScaleNormal="75" workbookViewId="0">
      <selection activeCell="E103" sqref="E103:AI109"/>
    </sheetView>
  </sheetViews>
  <sheetFormatPr defaultRowHeight="15" x14ac:dyDescent="0.25"/>
  <cols>
    <col min="1" max="1" width="19.5703125" customWidth="1"/>
    <col min="2" max="2" width="16.140625" customWidth="1"/>
    <col min="4" max="4" width="11.5703125" customWidth="1"/>
    <col min="5" max="35" width="10.7109375" customWidth="1"/>
  </cols>
  <sheetData>
    <row r="1" spans="1:109" ht="28.5" x14ac:dyDescent="0.45">
      <c r="A1" s="28" t="s">
        <v>24</v>
      </c>
    </row>
    <row r="2" spans="1:109" s="1" customFormat="1" ht="53.25" customHeight="1" x14ac:dyDescent="0.25">
      <c r="A2" s="32" t="s">
        <v>1</v>
      </c>
      <c r="B2" s="33"/>
      <c r="C2" s="34" t="s">
        <v>2</v>
      </c>
      <c r="D2" s="35" t="s">
        <v>3</v>
      </c>
      <c r="E2" s="32">
        <v>1</v>
      </c>
      <c r="F2" s="32">
        <v>2</v>
      </c>
      <c r="G2" s="32">
        <v>3</v>
      </c>
      <c r="H2" s="32">
        <v>4</v>
      </c>
      <c r="I2" s="32">
        <v>5</v>
      </c>
      <c r="J2" s="36">
        <v>6</v>
      </c>
      <c r="K2" s="36">
        <v>7</v>
      </c>
      <c r="L2" s="32">
        <v>8</v>
      </c>
      <c r="M2" s="32">
        <v>9</v>
      </c>
      <c r="N2" s="32">
        <v>10</v>
      </c>
      <c r="O2" s="32">
        <v>11</v>
      </c>
      <c r="P2" s="32">
        <v>12</v>
      </c>
      <c r="Q2" s="36">
        <v>13</v>
      </c>
      <c r="R2" s="36">
        <v>14</v>
      </c>
      <c r="S2" s="32">
        <v>15</v>
      </c>
      <c r="T2" s="32">
        <v>16</v>
      </c>
      <c r="U2" s="32">
        <v>17</v>
      </c>
      <c r="V2" s="32">
        <v>18</v>
      </c>
      <c r="W2" s="32">
        <v>19</v>
      </c>
      <c r="X2" s="36">
        <v>20</v>
      </c>
      <c r="Y2" s="36">
        <v>21</v>
      </c>
      <c r="Z2" s="32">
        <v>22</v>
      </c>
      <c r="AA2" s="32">
        <v>23</v>
      </c>
      <c r="AB2" s="32">
        <v>24</v>
      </c>
      <c r="AC2" s="32">
        <v>25</v>
      </c>
      <c r="AD2" s="32">
        <v>26</v>
      </c>
      <c r="AE2" s="36">
        <v>27</v>
      </c>
      <c r="AF2" s="37">
        <v>28</v>
      </c>
      <c r="AG2" s="32">
        <v>29</v>
      </c>
      <c r="AH2" s="32">
        <v>30</v>
      </c>
      <c r="AI2" s="39">
        <v>31</v>
      </c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</row>
    <row r="3" spans="1:109" ht="21" x14ac:dyDescent="0.35">
      <c r="A3" s="27" t="s">
        <v>13</v>
      </c>
    </row>
    <row r="4" spans="1:109" s="1" customFormat="1" ht="20.25" x14ac:dyDescent="0.25">
      <c r="A4" s="2" t="s">
        <v>4</v>
      </c>
      <c r="B4" s="3" t="s">
        <v>5</v>
      </c>
      <c r="C4" s="4" t="s">
        <v>6</v>
      </c>
      <c r="D4" s="5">
        <f t="shared" ref="D4:D10" si="0">SUM(E4:AI4)</f>
        <v>15460.999999999996</v>
      </c>
      <c r="E4" s="6">
        <f t="shared" ref="E4:AI4" si="1">SUM(E5:E10)</f>
        <v>0</v>
      </c>
      <c r="F4" s="6">
        <f t="shared" si="1"/>
        <v>0</v>
      </c>
      <c r="G4" s="6">
        <f t="shared" si="1"/>
        <v>0</v>
      </c>
      <c r="H4" s="6">
        <f t="shared" si="1"/>
        <v>0</v>
      </c>
      <c r="I4" s="6">
        <f t="shared" si="1"/>
        <v>0</v>
      </c>
      <c r="J4" s="6">
        <f t="shared" si="1"/>
        <v>0</v>
      </c>
      <c r="K4" s="6">
        <f t="shared" si="1"/>
        <v>0</v>
      </c>
      <c r="L4" s="6">
        <f t="shared" si="1"/>
        <v>394.20000000000005</v>
      </c>
      <c r="M4" s="6">
        <f t="shared" si="1"/>
        <v>550.36</v>
      </c>
      <c r="N4" s="6">
        <f t="shared" si="1"/>
        <v>326.08</v>
      </c>
      <c r="O4" s="6">
        <f t="shared" si="1"/>
        <v>734.2299999999999</v>
      </c>
      <c r="P4" s="6">
        <f t="shared" si="1"/>
        <v>731.83</v>
      </c>
      <c r="Q4" s="6">
        <f t="shared" si="1"/>
        <v>722.31000000000006</v>
      </c>
      <c r="R4" s="6">
        <f t="shared" si="1"/>
        <v>0.68</v>
      </c>
      <c r="S4" s="6">
        <f t="shared" si="1"/>
        <v>0</v>
      </c>
      <c r="T4" s="6">
        <f t="shared" si="1"/>
        <v>809.65</v>
      </c>
      <c r="U4" s="6">
        <f t="shared" si="1"/>
        <v>766.09999999999991</v>
      </c>
      <c r="V4" s="6">
        <f t="shared" si="1"/>
        <v>716.61</v>
      </c>
      <c r="W4" s="6">
        <f t="shared" si="1"/>
        <v>779.1099999999999</v>
      </c>
      <c r="X4" s="6">
        <f t="shared" si="1"/>
        <v>867.01</v>
      </c>
      <c r="Y4" s="6">
        <f t="shared" si="1"/>
        <v>827.82999999999993</v>
      </c>
      <c r="Z4" s="6">
        <f t="shared" si="1"/>
        <v>911.08999999999992</v>
      </c>
      <c r="AA4" s="6">
        <f t="shared" si="1"/>
        <v>963.65</v>
      </c>
      <c r="AB4" s="6">
        <f t="shared" si="1"/>
        <v>902.15</v>
      </c>
      <c r="AC4" s="6">
        <f t="shared" si="1"/>
        <v>828.7399999999999</v>
      </c>
      <c r="AD4" s="6">
        <f t="shared" si="1"/>
        <v>680.8</v>
      </c>
      <c r="AE4" s="6">
        <f t="shared" si="1"/>
        <v>807.35</v>
      </c>
      <c r="AF4" s="6">
        <f t="shared" si="1"/>
        <v>383.09999999999997</v>
      </c>
      <c r="AG4" s="6">
        <f t="shared" si="1"/>
        <v>172.94</v>
      </c>
      <c r="AH4" s="6">
        <f t="shared" si="1"/>
        <v>805.45999999999992</v>
      </c>
      <c r="AI4" s="6">
        <f t="shared" si="1"/>
        <v>779.72</v>
      </c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</row>
    <row r="5" spans="1:109" s="1" customFormat="1" x14ac:dyDescent="0.25">
      <c r="A5" s="7"/>
      <c r="B5" s="8" t="s">
        <v>7</v>
      </c>
      <c r="C5" s="4" t="s">
        <v>6</v>
      </c>
      <c r="D5" s="5">
        <f t="shared" si="0"/>
        <v>1311.3000000000002</v>
      </c>
      <c r="E5" s="9"/>
      <c r="F5" s="9"/>
      <c r="G5" s="9"/>
      <c r="H5" s="9"/>
      <c r="I5" s="9"/>
      <c r="J5" s="9"/>
      <c r="K5" s="9"/>
      <c r="L5" s="9">
        <v>33.53</v>
      </c>
      <c r="M5" s="9">
        <v>33.15</v>
      </c>
      <c r="N5" s="9">
        <v>30.49</v>
      </c>
      <c r="O5" s="9">
        <v>58.27</v>
      </c>
      <c r="P5" s="9">
        <v>44.29</v>
      </c>
      <c r="Q5" s="9">
        <v>51.2</v>
      </c>
      <c r="R5" s="9"/>
      <c r="S5" s="9"/>
      <c r="T5" s="9">
        <v>63.83</v>
      </c>
      <c r="U5" s="9">
        <v>57.81</v>
      </c>
      <c r="V5" s="9">
        <v>55.5</v>
      </c>
      <c r="W5" s="9">
        <v>64.16</v>
      </c>
      <c r="X5" s="9">
        <v>63.24</v>
      </c>
      <c r="Y5" s="9">
        <v>64.010000000000005</v>
      </c>
      <c r="Z5" s="9">
        <v>78.36</v>
      </c>
      <c r="AA5" s="9">
        <v>89.83</v>
      </c>
      <c r="AB5" s="9">
        <v>101.43</v>
      </c>
      <c r="AC5" s="9">
        <v>65.73</v>
      </c>
      <c r="AD5" s="9">
        <v>65.19</v>
      </c>
      <c r="AE5" s="9">
        <v>78.209999999999994</v>
      </c>
      <c r="AF5" s="9">
        <v>36.729999999999997</v>
      </c>
      <c r="AG5" s="9">
        <v>55.75</v>
      </c>
      <c r="AH5" s="9">
        <v>51.21</v>
      </c>
      <c r="AI5" s="9">
        <v>69.38</v>
      </c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</row>
    <row r="6" spans="1:109" s="1" customFormat="1" x14ac:dyDescent="0.25">
      <c r="A6" s="7"/>
      <c r="B6" s="8" t="s">
        <v>8</v>
      </c>
      <c r="C6" s="4" t="s">
        <v>6</v>
      </c>
      <c r="D6" s="13">
        <f t="shared" si="0"/>
        <v>5745.6399999999994</v>
      </c>
      <c r="E6" s="9"/>
      <c r="F6" s="9"/>
      <c r="G6" s="9"/>
      <c r="H6" s="9"/>
      <c r="I6" s="9"/>
      <c r="J6" s="9"/>
      <c r="K6" s="9"/>
      <c r="L6" s="9"/>
      <c r="M6" s="9">
        <v>185.01</v>
      </c>
      <c r="N6" s="9">
        <v>123.31</v>
      </c>
      <c r="O6" s="9">
        <v>289.02999999999997</v>
      </c>
      <c r="P6" s="9">
        <v>297.70999999999998</v>
      </c>
      <c r="Q6" s="9">
        <v>284.55</v>
      </c>
      <c r="R6" s="9">
        <v>0.68</v>
      </c>
      <c r="S6" s="9"/>
      <c r="T6" s="9">
        <v>362.36</v>
      </c>
      <c r="U6" s="9">
        <v>308.35000000000002</v>
      </c>
      <c r="V6" s="9">
        <v>258.33</v>
      </c>
      <c r="W6" s="9">
        <v>296.45</v>
      </c>
      <c r="X6" s="9">
        <v>336.39</v>
      </c>
      <c r="Y6" s="9">
        <v>321.08999999999997</v>
      </c>
      <c r="Z6" s="9">
        <v>376.75</v>
      </c>
      <c r="AA6" s="9">
        <v>397.72</v>
      </c>
      <c r="AB6" s="9">
        <v>319.12</v>
      </c>
      <c r="AC6" s="9">
        <v>324.89999999999998</v>
      </c>
      <c r="AD6" s="9">
        <v>192.66</v>
      </c>
      <c r="AE6" s="9">
        <v>268.05</v>
      </c>
      <c r="AF6" s="9">
        <v>105.29</v>
      </c>
      <c r="AG6" s="9"/>
      <c r="AH6" s="9">
        <v>368.75</v>
      </c>
      <c r="AI6" s="9">
        <v>329.14</v>
      </c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</row>
    <row r="7" spans="1:109" s="1" customFormat="1" x14ac:dyDescent="0.25">
      <c r="A7" s="7"/>
      <c r="B7" s="8" t="s">
        <v>9</v>
      </c>
      <c r="C7" s="4" t="s">
        <v>6</v>
      </c>
      <c r="D7" s="13">
        <f t="shared" si="0"/>
        <v>4009.66</v>
      </c>
      <c r="E7" s="9"/>
      <c r="F7" s="9"/>
      <c r="G7" s="9"/>
      <c r="H7" s="9"/>
      <c r="I7" s="9"/>
      <c r="J7" s="9"/>
      <c r="K7" s="9"/>
      <c r="L7" s="9">
        <v>179.72</v>
      </c>
      <c r="M7" s="9">
        <v>93.14</v>
      </c>
      <c r="N7" s="9"/>
      <c r="O7" s="9">
        <v>202.82</v>
      </c>
      <c r="P7" s="9">
        <v>199.61</v>
      </c>
      <c r="Q7" s="9">
        <v>198.78</v>
      </c>
      <c r="R7" s="9"/>
      <c r="S7" s="9"/>
      <c r="T7" s="9">
        <v>188.38</v>
      </c>
      <c r="U7" s="9">
        <v>196.89</v>
      </c>
      <c r="V7" s="9">
        <v>206.92</v>
      </c>
      <c r="W7" s="9">
        <v>207.44</v>
      </c>
      <c r="X7" s="9">
        <v>232.42</v>
      </c>
      <c r="Y7" s="9">
        <v>205.85</v>
      </c>
      <c r="Z7" s="9">
        <v>234.67</v>
      </c>
      <c r="AA7" s="9">
        <v>236.6</v>
      </c>
      <c r="AB7" s="9">
        <v>232.57</v>
      </c>
      <c r="AC7" s="9">
        <v>205.79</v>
      </c>
      <c r="AD7" s="9">
        <v>198.5</v>
      </c>
      <c r="AE7" s="9">
        <v>237.5</v>
      </c>
      <c r="AF7" s="9">
        <v>122.3</v>
      </c>
      <c r="AG7" s="9"/>
      <c r="AH7" s="9">
        <v>211.37</v>
      </c>
      <c r="AI7" s="9">
        <v>218.39</v>
      </c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</row>
    <row r="8" spans="1:109" s="1" customFormat="1" ht="16.5" customHeight="1" x14ac:dyDescent="0.25">
      <c r="A8" s="7"/>
      <c r="B8" s="8" t="s">
        <v>10</v>
      </c>
      <c r="C8" s="4" t="s">
        <v>6</v>
      </c>
      <c r="D8" s="13">
        <f t="shared" si="0"/>
        <v>1547.88</v>
      </c>
      <c r="E8" s="9"/>
      <c r="F8" s="9"/>
      <c r="G8" s="9"/>
      <c r="H8" s="9"/>
      <c r="I8" s="9"/>
      <c r="J8" s="9"/>
      <c r="K8" s="9"/>
      <c r="L8" s="9">
        <v>77.540000000000006</v>
      </c>
      <c r="M8" s="9">
        <v>78.739999999999995</v>
      </c>
      <c r="N8" s="9">
        <v>80.41</v>
      </c>
      <c r="O8" s="9">
        <v>69.150000000000006</v>
      </c>
      <c r="P8" s="9">
        <v>65.099999999999994</v>
      </c>
      <c r="Q8" s="9">
        <v>61.95</v>
      </c>
      <c r="R8" s="9"/>
      <c r="S8" s="9"/>
      <c r="T8" s="9">
        <v>62.23</v>
      </c>
      <c r="U8" s="9">
        <v>73.45</v>
      </c>
      <c r="V8" s="9">
        <v>68.900000000000006</v>
      </c>
      <c r="W8" s="9">
        <v>70.52</v>
      </c>
      <c r="X8" s="9">
        <v>80.11</v>
      </c>
      <c r="Y8" s="9">
        <v>81.09</v>
      </c>
      <c r="Z8" s="9">
        <v>82.9</v>
      </c>
      <c r="AA8" s="9">
        <v>75.83</v>
      </c>
      <c r="AB8" s="9">
        <v>83.94</v>
      </c>
      <c r="AC8" s="9">
        <v>81.55</v>
      </c>
      <c r="AD8" s="9">
        <v>72.540000000000006</v>
      </c>
      <c r="AE8" s="9">
        <v>69.33</v>
      </c>
      <c r="AF8" s="9">
        <v>56.26</v>
      </c>
      <c r="AG8" s="9">
        <v>58.39</v>
      </c>
      <c r="AH8" s="9">
        <v>59.17</v>
      </c>
      <c r="AI8" s="9">
        <v>38.78</v>
      </c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</row>
    <row r="9" spans="1:109" s="1" customFormat="1" x14ac:dyDescent="0.25">
      <c r="A9" s="7"/>
      <c r="B9" s="8" t="s">
        <v>11</v>
      </c>
      <c r="C9" s="4" t="s">
        <v>6</v>
      </c>
      <c r="D9" s="5">
        <f t="shared" si="0"/>
        <v>1725.5099999999998</v>
      </c>
      <c r="E9" s="9"/>
      <c r="F9" s="9"/>
      <c r="G9" s="9"/>
      <c r="H9" s="9"/>
      <c r="I9" s="9"/>
      <c r="J9" s="9"/>
      <c r="K9" s="9"/>
      <c r="L9" s="9">
        <v>43.41</v>
      </c>
      <c r="M9" s="9">
        <v>97.08</v>
      </c>
      <c r="N9" s="9">
        <v>35.799999999999997</v>
      </c>
      <c r="O9" s="9">
        <v>61.86</v>
      </c>
      <c r="P9" s="9">
        <v>73.05</v>
      </c>
      <c r="Q9" s="9">
        <v>69.989999999999995</v>
      </c>
      <c r="R9" s="9"/>
      <c r="S9" s="9"/>
      <c r="T9" s="9">
        <v>76.650000000000006</v>
      </c>
      <c r="U9" s="9">
        <v>79.56</v>
      </c>
      <c r="V9" s="9">
        <v>79.989999999999995</v>
      </c>
      <c r="W9" s="9">
        <v>91.49</v>
      </c>
      <c r="X9" s="9">
        <v>96.27</v>
      </c>
      <c r="Y9" s="9">
        <v>96.04</v>
      </c>
      <c r="Z9" s="9">
        <v>86.5</v>
      </c>
      <c r="AA9" s="9">
        <v>100.03</v>
      </c>
      <c r="AB9" s="9">
        <v>98.37</v>
      </c>
      <c r="AC9" s="9">
        <v>87.73</v>
      </c>
      <c r="AD9" s="9">
        <v>88.87</v>
      </c>
      <c r="AE9" s="9">
        <v>95.3</v>
      </c>
      <c r="AF9" s="9">
        <v>62.52</v>
      </c>
      <c r="AG9" s="9">
        <v>58.8</v>
      </c>
      <c r="AH9" s="9">
        <v>63.87</v>
      </c>
      <c r="AI9" s="9">
        <v>82.33</v>
      </c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</row>
    <row r="10" spans="1:109" s="1" customFormat="1" x14ac:dyDescent="0.25">
      <c r="A10" s="7"/>
      <c r="B10" s="8" t="s">
        <v>12</v>
      </c>
      <c r="C10" s="4" t="s">
        <v>6</v>
      </c>
      <c r="D10" s="13">
        <f t="shared" si="0"/>
        <v>1121.01</v>
      </c>
      <c r="E10" s="9"/>
      <c r="F10" s="9"/>
      <c r="G10" s="9"/>
      <c r="H10" s="9"/>
      <c r="I10" s="9"/>
      <c r="J10" s="9"/>
      <c r="K10" s="9"/>
      <c r="L10" s="9">
        <v>60</v>
      </c>
      <c r="M10" s="9">
        <v>63.24</v>
      </c>
      <c r="N10" s="9">
        <v>56.07</v>
      </c>
      <c r="O10" s="9">
        <v>53.1</v>
      </c>
      <c r="P10" s="9">
        <v>52.07</v>
      </c>
      <c r="Q10" s="9">
        <v>55.84</v>
      </c>
      <c r="R10" s="9"/>
      <c r="S10" s="9"/>
      <c r="T10" s="9">
        <v>56.2</v>
      </c>
      <c r="U10" s="9">
        <v>50.04</v>
      </c>
      <c r="V10" s="9">
        <v>46.97</v>
      </c>
      <c r="W10" s="9">
        <v>49.05</v>
      </c>
      <c r="X10" s="9">
        <v>58.58</v>
      </c>
      <c r="Y10" s="9">
        <v>59.75</v>
      </c>
      <c r="Z10" s="9">
        <v>51.91</v>
      </c>
      <c r="AA10" s="9">
        <v>63.64</v>
      </c>
      <c r="AB10" s="9">
        <v>66.72</v>
      </c>
      <c r="AC10" s="9">
        <v>63.04</v>
      </c>
      <c r="AD10" s="9">
        <v>63.04</v>
      </c>
      <c r="AE10" s="9">
        <v>58.96</v>
      </c>
      <c r="AF10" s="9"/>
      <c r="AG10" s="9"/>
      <c r="AH10" s="9">
        <v>51.09</v>
      </c>
      <c r="AI10" s="9">
        <f>39.54+2.16</f>
        <v>41.7</v>
      </c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</row>
    <row r="12" spans="1:109" ht="21" x14ac:dyDescent="0.35">
      <c r="A12" s="27" t="s">
        <v>14</v>
      </c>
    </row>
    <row r="13" spans="1:109" s="1" customFormat="1" ht="20.25" x14ac:dyDescent="0.25">
      <c r="A13" s="2" t="s">
        <v>4</v>
      </c>
      <c r="B13" s="3" t="s">
        <v>5</v>
      </c>
      <c r="C13" s="4" t="s">
        <v>6</v>
      </c>
      <c r="D13" s="5">
        <f t="shared" ref="D13:D18" si="2">SUM(E13:AI13)</f>
        <v>17676.900000000001</v>
      </c>
      <c r="E13" s="6">
        <f>SUM(E14:E19)</f>
        <v>697.96999999999991</v>
      </c>
      <c r="F13" s="6">
        <f t="shared" ref="F13:AI13" si="3">SUM(F14:F19)</f>
        <v>701.03</v>
      </c>
      <c r="G13" s="6">
        <f t="shared" si="3"/>
        <v>746.02</v>
      </c>
      <c r="H13" s="6">
        <f t="shared" si="3"/>
        <v>295.68</v>
      </c>
      <c r="I13" s="6">
        <f t="shared" si="3"/>
        <v>0</v>
      </c>
      <c r="J13" s="6">
        <f t="shared" si="3"/>
        <v>884.46</v>
      </c>
      <c r="K13" s="6">
        <f t="shared" si="3"/>
        <v>800.74</v>
      </c>
      <c r="L13" s="6">
        <f t="shared" si="3"/>
        <v>789.19999999999993</v>
      </c>
      <c r="M13" s="6">
        <f t="shared" si="3"/>
        <v>809.86999999999989</v>
      </c>
      <c r="N13" s="6">
        <f t="shared" si="3"/>
        <v>582.29</v>
      </c>
      <c r="O13" s="6">
        <f t="shared" si="3"/>
        <v>1.08</v>
      </c>
      <c r="P13" s="6">
        <f t="shared" si="3"/>
        <v>0</v>
      </c>
      <c r="Q13" s="6">
        <f t="shared" si="3"/>
        <v>862.20999999999992</v>
      </c>
      <c r="R13" s="6">
        <f t="shared" si="3"/>
        <v>807.28</v>
      </c>
      <c r="S13" s="6">
        <f t="shared" si="3"/>
        <v>806.91000000000008</v>
      </c>
      <c r="T13" s="6">
        <f t="shared" si="3"/>
        <v>788.45</v>
      </c>
      <c r="U13" s="6">
        <f t="shared" si="3"/>
        <v>791.64</v>
      </c>
      <c r="V13" s="6">
        <f t="shared" si="3"/>
        <v>336.14</v>
      </c>
      <c r="W13" s="6">
        <f t="shared" si="3"/>
        <v>281.43</v>
      </c>
      <c r="X13" s="6">
        <f t="shared" si="3"/>
        <v>869.22</v>
      </c>
      <c r="Y13" s="6">
        <f t="shared" si="3"/>
        <v>918.87000000000012</v>
      </c>
      <c r="Z13" s="6">
        <f t="shared" si="3"/>
        <v>841.02</v>
      </c>
      <c r="AA13" s="6">
        <f t="shared" si="3"/>
        <v>804.7700000000001</v>
      </c>
      <c r="AB13" s="6">
        <f t="shared" si="3"/>
        <v>703.4</v>
      </c>
      <c r="AC13" s="6">
        <f t="shared" si="3"/>
        <v>596.78</v>
      </c>
      <c r="AD13" s="6">
        <f t="shared" si="3"/>
        <v>477.69</v>
      </c>
      <c r="AE13" s="6">
        <f t="shared" si="3"/>
        <v>733.41999999999985</v>
      </c>
      <c r="AF13" s="6">
        <f t="shared" si="3"/>
        <v>749.33</v>
      </c>
      <c r="AG13" s="6">
        <f t="shared" si="3"/>
        <v>0</v>
      </c>
      <c r="AH13" s="6">
        <f t="shared" si="3"/>
        <v>0</v>
      </c>
      <c r="AI13" s="6">
        <f t="shared" si="3"/>
        <v>0</v>
      </c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</row>
    <row r="14" spans="1:109" s="1" customFormat="1" x14ac:dyDescent="0.25">
      <c r="A14" s="7"/>
      <c r="B14" s="8" t="s">
        <v>7</v>
      </c>
      <c r="C14" s="4" t="s">
        <v>6</v>
      </c>
      <c r="D14" s="5">
        <f t="shared" si="2"/>
        <v>1431.3399999999995</v>
      </c>
      <c r="E14" s="9">
        <v>57.59</v>
      </c>
      <c r="F14" s="9">
        <v>56.95</v>
      </c>
      <c r="G14" s="9">
        <v>76.16</v>
      </c>
      <c r="H14" s="9">
        <v>34.83</v>
      </c>
      <c r="I14" s="9"/>
      <c r="J14" s="9">
        <v>78.77</v>
      </c>
      <c r="K14" s="9">
        <f>66.84-0.28</f>
        <v>66.56</v>
      </c>
      <c r="L14" s="9">
        <v>54.32</v>
      </c>
      <c r="M14" s="9">
        <v>68.34</v>
      </c>
      <c r="N14" s="9">
        <v>68.58</v>
      </c>
      <c r="O14" s="9">
        <v>1.08</v>
      </c>
      <c r="P14" s="9"/>
      <c r="Q14" s="9">
        <v>80.900000000000006</v>
      </c>
      <c r="R14" s="9">
        <v>55.6</v>
      </c>
      <c r="S14" s="9">
        <v>68.84</v>
      </c>
      <c r="T14" s="9">
        <v>76.510000000000005</v>
      </c>
      <c r="U14" s="9">
        <v>50.64</v>
      </c>
      <c r="V14" s="9">
        <v>47.67</v>
      </c>
      <c r="W14" s="9">
        <v>61.48</v>
      </c>
      <c r="X14" s="9">
        <v>44.21</v>
      </c>
      <c r="Y14" s="9">
        <v>65.09</v>
      </c>
      <c r="Z14" s="9">
        <v>56.3</v>
      </c>
      <c r="AA14" s="9">
        <v>52.32</v>
      </c>
      <c r="AB14" s="9">
        <v>41.37</v>
      </c>
      <c r="AC14" s="9">
        <v>41.34</v>
      </c>
      <c r="AD14" s="9">
        <v>43.09</v>
      </c>
      <c r="AE14" s="9">
        <v>50.22</v>
      </c>
      <c r="AF14" s="9">
        <v>32.58</v>
      </c>
      <c r="AG14" s="9"/>
      <c r="AH14" s="9"/>
      <c r="AI14" s="9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</row>
    <row r="15" spans="1:109" s="1" customFormat="1" x14ac:dyDescent="0.25">
      <c r="A15" s="7"/>
      <c r="B15" s="8" t="s">
        <v>8</v>
      </c>
      <c r="C15" s="4" t="s">
        <v>6</v>
      </c>
      <c r="D15" s="5">
        <f t="shared" si="2"/>
        <v>7328.6899999999987</v>
      </c>
      <c r="E15" s="9">
        <v>280.18</v>
      </c>
      <c r="F15" s="9">
        <v>314.64</v>
      </c>
      <c r="G15" s="9">
        <v>316.08</v>
      </c>
      <c r="H15" s="9">
        <v>91.38</v>
      </c>
      <c r="I15" s="9"/>
      <c r="J15" s="9">
        <v>436.94</v>
      </c>
      <c r="K15" s="9">
        <v>374.24</v>
      </c>
      <c r="L15" s="9">
        <v>377.11</v>
      </c>
      <c r="M15" s="9">
        <v>373.83</v>
      </c>
      <c r="N15" s="9">
        <v>202.06</v>
      </c>
      <c r="O15" s="9"/>
      <c r="P15" s="9"/>
      <c r="Q15" s="9">
        <v>392.03</v>
      </c>
      <c r="R15" s="9">
        <v>368.25</v>
      </c>
      <c r="S15" s="9">
        <v>371.36</v>
      </c>
      <c r="T15" s="9">
        <v>359.76</v>
      </c>
      <c r="U15" s="9">
        <v>316.11</v>
      </c>
      <c r="V15" s="9"/>
      <c r="W15" s="9"/>
      <c r="X15" s="9">
        <v>399.62</v>
      </c>
      <c r="Y15" s="9">
        <v>402.84</v>
      </c>
      <c r="Z15" s="9">
        <v>367.28</v>
      </c>
      <c r="AA15" s="9">
        <v>319.20999999999998</v>
      </c>
      <c r="AB15" s="9">
        <v>214.91</v>
      </c>
      <c r="AC15" s="9">
        <v>241.58</v>
      </c>
      <c r="AD15" s="9">
        <v>216.22</v>
      </c>
      <c r="AE15" s="9">
        <v>283.79000000000002</v>
      </c>
      <c r="AF15" s="9">
        <v>309.27</v>
      </c>
      <c r="AG15" s="9"/>
      <c r="AH15" s="9"/>
      <c r="AI15" s="9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</row>
    <row r="16" spans="1:109" s="1" customFormat="1" x14ac:dyDescent="0.25">
      <c r="A16" s="7"/>
      <c r="B16" s="8" t="s">
        <v>9</v>
      </c>
      <c r="C16" s="4" t="s">
        <v>6</v>
      </c>
      <c r="D16" s="5">
        <f>SUM(E16:AI16)</f>
        <v>4181.4500000000007</v>
      </c>
      <c r="E16" s="9">
        <v>215.92</v>
      </c>
      <c r="F16" s="9">
        <v>184.41</v>
      </c>
      <c r="G16" s="9">
        <v>190.82</v>
      </c>
      <c r="H16" s="9">
        <v>100.98</v>
      </c>
      <c r="I16" s="9"/>
      <c r="J16" s="9">
        <v>188.63</v>
      </c>
      <c r="K16" s="9">
        <v>207.17</v>
      </c>
      <c r="L16" s="9">
        <v>214.64</v>
      </c>
      <c r="M16" s="9">
        <v>216.94</v>
      </c>
      <c r="N16" s="9">
        <v>192.28</v>
      </c>
      <c r="O16" s="9"/>
      <c r="P16" s="9"/>
      <c r="Q16" s="9">
        <v>211.41</v>
      </c>
      <c r="R16" s="9">
        <v>173.66</v>
      </c>
      <c r="S16" s="9">
        <v>157.52000000000001</v>
      </c>
      <c r="T16" s="9">
        <v>147.34</v>
      </c>
      <c r="U16" s="9">
        <v>212.36</v>
      </c>
      <c r="V16" s="9">
        <v>90.08</v>
      </c>
      <c r="W16" s="9"/>
      <c r="X16" s="9">
        <v>203.39</v>
      </c>
      <c r="Y16" s="9">
        <v>219.07</v>
      </c>
      <c r="Z16" s="9">
        <v>210.63</v>
      </c>
      <c r="AA16" s="9">
        <v>205.69</v>
      </c>
      <c r="AB16" s="9">
        <v>202.73</v>
      </c>
      <c r="AC16" s="9">
        <v>91.47</v>
      </c>
      <c r="AD16" s="9"/>
      <c r="AE16" s="9">
        <v>191.31</v>
      </c>
      <c r="AF16" s="9">
        <v>153</v>
      </c>
      <c r="AG16" s="9"/>
      <c r="AH16" s="9"/>
      <c r="AI16" s="9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</row>
    <row r="17" spans="1:109" s="1" customFormat="1" ht="16.5" customHeight="1" x14ac:dyDescent="0.25">
      <c r="A17" s="7"/>
      <c r="B17" s="8" t="s">
        <v>10</v>
      </c>
      <c r="C17" s="4" t="s">
        <v>6</v>
      </c>
      <c r="D17" s="5">
        <f t="shared" si="2"/>
        <v>1729.02</v>
      </c>
      <c r="E17" s="9">
        <v>36.86</v>
      </c>
      <c r="F17" s="9">
        <v>38.880000000000003</v>
      </c>
      <c r="G17" s="9">
        <v>54.02</v>
      </c>
      <c r="H17" s="9">
        <v>20.99</v>
      </c>
      <c r="I17" s="9"/>
      <c r="J17" s="9">
        <v>65.569999999999993</v>
      </c>
      <c r="K17" s="9">
        <v>50.44</v>
      </c>
      <c r="L17" s="9">
        <v>45.49</v>
      </c>
      <c r="M17" s="9">
        <v>51.96</v>
      </c>
      <c r="N17" s="9">
        <v>60.88</v>
      </c>
      <c r="O17" s="9"/>
      <c r="P17" s="9"/>
      <c r="Q17" s="9">
        <v>56.85</v>
      </c>
      <c r="R17" s="9">
        <v>67.12</v>
      </c>
      <c r="S17" s="9">
        <v>64.900000000000006</v>
      </c>
      <c r="T17" s="9">
        <v>64.25</v>
      </c>
      <c r="U17" s="9">
        <v>89.38</v>
      </c>
      <c r="V17" s="9">
        <v>83.83</v>
      </c>
      <c r="W17" s="9">
        <v>85.35</v>
      </c>
      <c r="X17" s="9">
        <v>78.010000000000005</v>
      </c>
      <c r="Y17" s="9">
        <v>88.68</v>
      </c>
      <c r="Z17" s="9">
        <v>74.91</v>
      </c>
      <c r="AA17" s="9">
        <v>94.59</v>
      </c>
      <c r="AB17" s="9">
        <v>105.53</v>
      </c>
      <c r="AC17" s="9">
        <v>98.25</v>
      </c>
      <c r="AD17" s="9">
        <v>91.47</v>
      </c>
      <c r="AE17" s="9">
        <v>76.3</v>
      </c>
      <c r="AF17" s="9">
        <v>84.51</v>
      </c>
      <c r="AG17" s="9"/>
      <c r="AH17" s="9"/>
      <c r="AI17" s="9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</row>
    <row r="18" spans="1:109" s="1" customFormat="1" x14ac:dyDescent="0.25">
      <c r="A18" s="7"/>
      <c r="B18" s="8" t="s">
        <v>11</v>
      </c>
      <c r="C18" s="4" t="s">
        <v>6</v>
      </c>
      <c r="D18" s="5">
        <f t="shared" si="2"/>
        <v>1821.2100000000003</v>
      </c>
      <c r="E18" s="9">
        <v>77.11</v>
      </c>
      <c r="F18" s="9">
        <v>72.16</v>
      </c>
      <c r="G18" s="9">
        <v>85.1</v>
      </c>
      <c r="H18" s="9">
        <v>47.5</v>
      </c>
      <c r="I18" s="9"/>
      <c r="J18" s="9">
        <v>89.99</v>
      </c>
      <c r="K18" s="9">
        <v>82.32</v>
      </c>
      <c r="L18" s="9">
        <v>80.61</v>
      </c>
      <c r="M18" s="9">
        <v>71.540000000000006</v>
      </c>
      <c r="N18" s="9">
        <v>58.49</v>
      </c>
      <c r="O18" s="9"/>
      <c r="P18" s="9"/>
      <c r="Q18" s="9">
        <v>74.650000000000006</v>
      </c>
      <c r="R18" s="9">
        <v>84.68</v>
      </c>
      <c r="S18" s="9">
        <v>84.45</v>
      </c>
      <c r="T18" s="9">
        <v>73.91</v>
      </c>
      <c r="U18" s="9">
        <v>69.92</v>
      </c>
      <c r="V18" s="9">
        <v>59.38</v>
      </c>
      <c r="W18" s="9">
        <v>66.739999999999995</v>
      </c>
      <c r="X18" s="9">
        <f>76.86+1.28</f>
        <v>78.14</v>
      </c>
      <c r="Y18" s="9">
        <v>75.44</v>
      </c>
      <c r="Z18" s="9">
        <v>65.459999999999994</v>
      </c>
      <c r="AA18" s="9">
        <v>64.010000000000005</v>
      </c>
      <c r="AB18" s="9">
        <v>76.41</v>
      </c>
      <c r="AC18" s="9">
        <v>54.07</v>
      </c>
      <c r="AD18" s="9">
        <v>57.73</v>
      </c>
      <c r="AE18" s="9">
        <v>65.650000000000006</v>
      </c>
      <c r="AF18" s="9">
        <v>105.75</v>
      </c>
      <c r="AG18" s="9"/>
      <c r="AH18" s="9"/>
      <c r="AI18" s="9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</row>
    <row r="19" spans="1:109" s="1" customFormat="1" ht="15.75" thickBot="1" x14ac:dyDescent="0.3">
      <c r="A19" s="7"/>
      <c r="B19" s="8" t="s">
        <v>12</v>
      </c>
      <c r="C19" s="4" t="s">
        <v>6</v>
      </c>
      <c r="D19" s="29">
        <f>SUM(E19:AI19)</f>
        <v>1185.1900000000003</v>
      </c>
      <c r="E19" s="9">
        <v>30.31</v>
      </c>
      <c r="F19" s="9">
        <v>33.99</v>
      </c>
      <c r="G19" s="9">
        <v>23.84</v>
      </c>
      <c r="H19" s="9"/>
      <c r="I19" s="9"/>
      <c r="J19" s="9">
        <v>24.56</v>
      </c>
      <c r="K19" s="9">
        <v>20.010000000000002</v>
      </c>
      <c r="L19" s="9">
        <v>17.03</v>
      </c>
      <c r="M19" s="9">
        <v>27.26</v>
      </c>
      <c r="N19" s="9"/>
      <c r="O19" s="9"/>
      <c r="P19" s="9"/>
      <c r="Q19" s="9">
        <v>46.37</v>
      </c>
      <c r="R19" s="9">
        <v>57.97</v>
      </c>
      <c r="S19" s="9">
        <v>59.84</v>
      </c>
      <c r="T19" s="9">
        <v>66.680000000000007</v>
      </c>
      <c r="U19" s="9">
        <v>53.23</v>
      </c>
      <c r="V19" s="9">
        <v>55.18</v>
      </c>
      <c r="W19" s="9">
        <v>67.86</v>
      </c>
      <c r="X19" s="9">
        <f>70.15-4.3</f>
        <v>65.850000000000009</v>
      </c>
      <c r="Y19" s="9">
        <v>67.75</v>
      </c>
      <c r="Z19" s="9">
        <v>66.44</v>
      </c>
      <c r="AA19" s="9">
        <v>68.95</v>
      </c>
      <c r="AB19" s="9">
        <v>62.45</v>
      </c>
      <c r="AC19" s="9">
        <v>70.069999999999993</v>
      </c>
      <c r="AD19" s="9">
        <v>69.180000000000007</v>
      </c>
      <c r="AE19" s="9">
        <v>66.150000000000006</v>
      </c>
      <c r="AF19" s="9">
        <f>64.32-0.1</f>
        <v>64.22</v>
      </c>
      <c r="AG19" s="9"/>
      <c r="AH19" s="9"/>
      <c r="AI19" s="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</row>
    <row r="21" spans="1:109" ht="21" x14ac:dyDescent="0.35">
      <c r="A21" s="27" t="s">
        <v>15</v>
      </c>
    </row>
    <row r="22" spans="1:109" s="1" customFormat="1" ht="20.25" x14ac:dyDescent="0.25">
      <c r="A22" s="2" t="s">
        <v>4</v>
      </c>
      <c r="B22" s="3" t="s">
        <v>5</v>
      </c>
      <c r="C22" s="4" t="s">
        <v>6</v>
      </c>
      <c r="D22" s="5">
        <f t="shared" ref="D22:D27" si="4">SUM(E22:AI22)</f>
        <v>19065.889999999996</v>
      </c>
      <c r="E22" s="6">
        <f>SUM(E23:E28)</f>
        <v>750.89</v>
      </c>
      <c r="F22" s="6">
        <f t="shared" ref="F22:AI22" si="5">SUM(F23:F28)</f>
        <v>743.13000000000011</v>
      </c>
      <c r="G22" s="6">
        <f t="shared" si="5"/>
        <v>586.93000000000006</v>
      </c>
      <c r="H22" s="6">
        <f t="shared" si="5"/>
        <v>0</v>
      </c>
      <c r="I22" s="6">
        <f t="shared" si="5"/>
        <v>0</v>
      </c>
      <c r="J22" s="6">
        <f t="shared" si="5"/>
        <v>799.89999999999986</v>
      </c>
      <c r="K22" s="6">
        <f t="shared" si="5"/>
        <v>612.68000000000006</v>
      </c>
      <c r="L22" s="6">
        <f t="shared" si="5"/>
        <v>470.49</v>
      </c>
      <c r="M22" s="6">
        <f t="shared" si="5"/>
        <v>487.4</v>
      </c>
      <c r="N22" s="6">
        <f t="shared" si="5"/>
        <v>365.14</v>
      </c>
      <c r="O22" s="6">
        <f t="shared" si="5"/>
        <v>193.68</v>
      </c>
      <c r="P22" s="6">
        <f t="shared" si="5"/>
        <v>164.63</v>
      </c>
      <c r="Q22" s="6">
        <f t="shared" si="5"/>
        <v>778.61</v>
      </c>
      <c r="R22" s="6">
        <f t="shared" si="5"/>
        <v>759.98</v>
      </c>
      <c r="S22" s="6">
        <f t="shared" si="5"/>
        <v>668.84999999999991</v>
      </c>
      <c r="T22" s="6">
        <f t="shared" si="5"/>
        <v>680.31999999999994</v>
      </c>
      <c r="U22" s="6">
        <f t="shared" si="5"/>
        <v>426.83000000000004</v>
      </c>
      <c r="V22" s="6">
        <f t="shared" si="5"/>
        <v>194.08</v>
      </c>
      <c r="W22" s="6">
        <f t="shared" si="5"/>
        <v>180.04999999999998</v>
      </c>
      <c r="X22" s="6">
        <f t="shared" si="5"/>
        <v>886.38</v>
      </c>
      <c r="Y22" s="6">
        <f t="shared" si="5"/>
        <v>881.44999999999982</v>
      </c>
      <c r="Z22" s="6">
        <f t="shared" si="5"/>
        <v>887.05</v>
      </c>
      <c r="AA22" s="6">
        <f t="shared" si="5"/>
        <v>864.05000000000007</v>
      </c>
      <c r="AB22" s="6">
        <f t="shared" si="5"/>
        <v>958.15</v>
      </c>
      <c r="AC22" s="6">
        <f t="shared" si="5"/>
        <v>848.89</v>
      </c>
      <c r="AD22" s="6">
        <f t="shared" si="5"/>
        <v>785.67000000000007</v>
      </c>
      <c r="AE22" s="6">
        <f t="shared" si="5"/>
        <v>821.57</v>
      </c>
      <c r="AF22" s="6">
        <f t="shared" si="5"/>
        <v>830.18</v>
      </c>
      <c r="AG22" s="6">
        <f t="shared" si="5"/>
        <v>816.12</v>
      </c>
      <c r="AH22" s="6">
        <f t="shared" si="5"/>
        <v>830.05</v>
      </c>
      <c r="AI22" s="6">
        <f t="shared" si="5"/>
        <v>792.7399999999999</v>
      </c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</row>
    <row r="23" spans="1:109" s="1" customFormat="1" x14ac:dyDescent="0.25">
      <c r="A23" s="7"/>
      <c r="B23" s="8" t="s">
        <v>7</v>
      </c>
      <c r="C23" s="4" t="s">
        <v>6</v>
      </c>
      <c r="D23" s="5">
        <f t="shared" si="4"/>
        <v>1455.4399999999996</v>
      </c>
      <c r="E23" s="9">
        <v>32.950000000000003</v>
      </c>
      <c r="F23" s="9">
        <v>61.29</v>
      </c>
      <c r="G23" s="9">
        <v>60.04</v>
      </c>
      <c r="H23" s="9"/>
      <c r="I23" s="9"/>
      <c r="J23" s="9">
        <v>63.27</v>
      </c>
      <c r="K23" s="9">
        <v>38.770000000000003</v>
      </c>
      <c r="L23" s="9">
        <v>27.02</v>
      </c>
      <c r="M23" s="9">
        <v>19.13</v>
      </c>
      <c r="N23" s="9">
        <v>54.27</v>
      </c>
      <c r="O23" s="9">
        <v>53.13</v>
      </c>
      <c r="P23" s="9">
        <v>31.68</v>
      </c>
      <c r="Q23" s="9">
        <v>37.549999999999997</v>
      </c>
      <c r="R23" s="9">
        <v>47.76</v>
      </c>
      <c r="S23" s="9">
        <v>43.89</v>
      </c>
      <c r="T23" s="9">
        <v>48.15</v>
      </c>
      <c r="U23" s="9">
        <v>61.63</v>
      </c>
      <c r="V23" s="9">
        <v>40.26</v>
      </c>
      <c r="W23" s="9">
        <v>46.06</v>
      </c>
      <c r="X23" s="9">
        <v>61.19</v>
      </c>
      <c r="Y23" s="9">
        <f>60.14-2.22</f>
        <v>57.92</v>
      </c>
      <c r="Z23" s="9">
        <v>46.72</v>
      </c>
      <c r="AA23" s="9">
        <v>58.35</v>
      </c>
      <c r="AB23" s="9">
        <v>52.8</v>
      </c>
      <c r="AC23" s="9">
        <v>52.69</v>
      </c>
      <c r="AD23" s="9">
        <v>48.1</v>
      </c>
      <c r="AE23" s="9">
        <f>47.94+0.09</f>
        <v>48.03</v>
      </c>
      <c r="AF23" s="9">
        <v>76.58</v>
      </c>
      <c r="AG23" s="9">
        <v>47.6</v>
      </c>
      <c r="AH23" s="9">
        <v>79.61</v>
      </c>
      <c r="AI23" s="9">
        <v>59</v>
      </c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</row>
    <row r="24" spans="1:109" s="1" customFormat="1" x14ac:dyDescent="0.25">
      <c r="A24" s="7"/>
      <c r="B24" s="8" t="s">
        <v>8</v>
      </c>
      <c r="C24" s="4" t="s">
        <v>6</v>
      </c>
      <c r="D24" s="5">
        <f t="shared" si="4"/>
        <v>7344.32</v>
      </c>
      <c r="E24" s="9">
        <v>340.37</v>
      </c>
      <c r="F24" s="9">
        <v>300.54000000000002</v>
      </c>
      <c r="G24" s="9">
        <v>229.77</v>
      </c>
      <c r="H24" s="9"/>
      <c r="I24" s="9"/>
      <c r="J24" s="9">
        <v>367.78</v>
      </c>
      <c r="K24" s="9">
        <v>227.35</v>
      </c>
      <c r="L24" s="9">
        <v>155.63999999999999</v>
      </c>
      <c r="M24" s="9">
        <v>203.15</v>
      </c>
      <c r="N24" s="9">
        <v>55.17</v>
      </c>
      <c r="O24" s="9"/>
      <c r="P24" s="9"/>
      <c r="Q24" s="9">
        <v>382.83</v>
      </c>
      <c r="R24" s="9">
        <v>346.29</v>
      </c>
      <c r="S24" s="9">
        <v>288.88</v>
      </c>
      <c r="T24" s="9">
        <v>305.13</v>
      </c>
      <c r="U24" s="9">
        <v>51.88</v>
      </c>
      <c r="V24" s="9"/>
      <c r="W24" s="9"/>
      <c r="X24" s="9">
        <v>399.83</v>
      </c>
      <c r="Y24" s="9">
        <v>373.26</v>
      </c>
      <c r="Z24" s="9">
        <v>405.76</v>
      </c>
      <c r="AA24" s="9">
        <v>370.99</v>
      </c>
      <c r="AB24" s="9">
        <v>389</v>
      </c>
      <c r="AC24" s="9">
        <v>309.49</v>
      </c>
      <c r="AD24" s="9">
        <v>262.66000000000003</v>
      </c>
      <c r="AE24" s="9">
        <v>302.74</v>
      </c>
      <c r="AF24" s="9">
        <v>301.55</v>
      </c>
      <c r="AG24" s="9">
        <v>342.96</v>
      </c>
      <c r="AH24" s="9">
        <v>354.05</v>
      </c>
      <c r="AI24" s="9">
        <v>277.25</v>
      </c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</row>
    <row r="25" spans="1:109" s="1" customFormat="1" x14ac:dyDescent="0.25">
      <c r="A25" s="7"/>
      <c r="B25" s="8" t="s">
        <v>9</v>
      </c>
      <c r="C25" s="4" t="s">
        <v>6</v>
      </c>
      <c r="D25" s="5">
        <f>SUM(E25:AI25)</f>
        <v>4365.9699999999993</v>
      </c>
      <c r="E25" s="9">
        <v>153.36000000000001</v>
      </c>
      <c r="F25" s="9">
        <v>132.5</v>
      </c>
      <c r="G25" s="9">
        <v>81.209999999999994</v>
      </c>
      <c r="H25" s="9"/>
      <c r="I25" s="9"/>
      <c r="J25" s="9">
        <v>139.05000000000001</v>
      </c>
      <c r="K25" s="9">
        <v>134.81</v>
      </c>
      <c r="L25" s="9">
        <v>123.77</v>
      </c>
      <c r="M25" s="9">
        <v>106.5</v>
      </c>
      <c r="N25" s="9">
        <v>84.19</v>
      </c>
      <c r="O25" s="9"/>
      <c r="P25" s="9"/>
      <c r="Q25" s="9">
        <f>161.23-1.96</f>
        <v>159.26999999999998</v>
      </c>
      <c r="R25" s="9">
        <f>136.71+0.28</f>
        <v>136.99</v>
      </c>
      <c r="S25" s="9">
        <v>123.28</v>
      </c>
      <c r="T25" s="9">
        <v>132.66999999999999</v>
      </c>
      <c r="U25" s="9">
        <v>105.53</v>
      </c>
      <c r="V25" s="9"/>
      <c r="W25" s="9"/>
      <c r="X25" s="9">
        <v>209.26</v>
      </c>
      <c r="Y25" s="9">
        <f>216.48+0.42</f>
        <v>216.89999999999998</v>
      </c>
      <c r="Z25" s="9">
        <v>193.25</v>
      </c>
      <c r="AA25" s="9">
        <v>205.93</v>
      </c>
      <c r="AB25" s="9">
        <v>266.22000000000003</v>
      </c>
      <c r="AC25" s="9">
        <v>253.54</v>
      </c>
      <c r="AD25" s="9">
        <v>240.77</v>
      </c>
      <c r="AE25" s="9">
        <v>265.51</v>
      </c>
      <c r="AF25" s="9">
        <v>221.99</v>
      </c>
      <c r="AG25" s="9">
        <v>231.82</v>
      </c>
      <c r="AH25" s="9">
        <f>197.29+0.28</f>
        <v>197.57</v>
      </c>
      <c r="AI25" s="9">
        <v>250.08</v>
      </c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</row>
    <row r="26" spans="1:109" s="1" customFormat="1" ht="16.5" customHeight="1" x14ac:dyDescent="0.25">
      <c r="A26" s="7"/>
      <c r="B26" s="8" t="s">
        <v>10</v>
      </c>
      <c r="C26" s="4" t="s">
        <v>6</v>
      </c>
      <c r="D26" s="5">
        <f t="shared" si="4"/>
        <v>2277.1800000000003</v>
      </c>
      <c r="E26" s="9">
        <v>68.81</v>
      </c>
      <c r="F26" s="9">
        <v>88.5</v>
      </c>
      <c r="G26" s="9">
        <v>78.510000000000005</v>
      </c>
      <c r="H26" s="9"/>
      <c r="I26" s="9"/>
      <c r="J26" s="9">
        <v>97.66</v>
      </c>
      <c r="K26" s="9">
        <v>98.65</v>
      </c>
      <c r="L26" s="9">
        <v>76.66</v>
      </c>
      <c r="M26" s="9">
        <f>66.33-0.19</f>
        <v>66.14</v>
      </c>
      <c r="N26" s="9">
        <v>87.13</v>
      </c>
      <c r="O26" s="9">
        <v>78.27</v>
      </c>
      <c r="P26" s="9">
        <v>71.2</v>
      </c>
      <c r="Q26" s="9">
        <v>82.86</v>
      </c>
      <c r="R26" s="9">
        <v>93.59</v>
      </c>
      <c r="S26" s="9">
        <v>77.349999999999994</v>
      </c>
      <c r="T26" s="9">
        <v>59.46</v>
      </c>
      <c r="U26" s="9">
        <v>75.650000000000006</v>
      </c>
      <c r="V26" s="9">
        <v>76.09</v>
      </c>
      <c r="W26" s="9">
        <v>89.96</v>
      </c>
      <c r="X26" s="9">
        <v>74.55</v>
      </c>
      <c r="Y26" s="9">
        <v>87.82</v>
      </c>
      <c r="Z26" s="9">
        <v>88.48</v>
      </c>
      <c r="AA26" s="9">
        <v>82.68</v>
      </c>
      <c r="AB26" s="9">
        <v>87.88</v>
      </c>
      <c r="AC26" s="9">
        <v>84</v>
      </c>
      <c r="AD26" s="9">
        <v>82.98</v>
      </c>
      <c r="AE26" s="9">
        <v>79.2</v>
      </c>
      <c r="AF26" s="9">
        <v>63.79</v>
      </c>
      <c r="AG26" s="9">
        <v>53.72</v>
      </c>
      <c r="AH26" s="9">
        <v>55.4</v>
      </c>
      <c r="AI26" s="9">
        <v>70.19</v>
      </c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</row>
    <row r="27" spans="1:109" s="1" customFormat="1" x14ac:dyDescent="0.25">
      <c r="A27" s="7"/>
      <c r="B27" s="8" t="s">
        <v>11</v>
      </c>
      <c r="C27" s="4" t="s">
        <v>6</v>
      </c>
      <c r="D27" s="5">
        <f t="shared" si="4"/>
        <v>1900.5000000000002</v>
      </c>
      <c r="E27" s="9">
        <v>90.63</v>
      </c>
      <c r="F27" s="9">
        <v>95.37</v>
      </c>
      <c r="G27" s="9">
        <v>67.459999999999994</v>
      </c>
      <c r="H27" s="9"/>
      <c r="I27" s="9"/>
      <c r="J27" s="9">
        <v>69.33</v>
      </c>
      <c r="K27" s="9">
        <v>46.66</v>
      </c>
      <c r="L27" s="9">
        <v>25.5</v>
      </c>
      <c r="M27" s="9">
        <v>25.76</v>
      </c>
      <c r="N27" s="9">
        <f>17.99-0.12</f>
        <v>17.869999999999997</v>
      </c>
      <c r="O27" s="9"/>
      <c r="P27" s="9"/>
      <c r="Q27" s="9">
        <v>49.37</v>
      </c>
      <c r="R27" s="9">
        <v>72.39</v>
      </c>
      <c r="S27" s="9">
        <v>77.3</v>
      </c>
      <c r="T27" s="9">
        <f>73.95+0.02</f>
        <v>73.97</v>
      </c>
      <c r="U27" s="9">
        <v>72.010000000000005</v>
      </c>
      <c r="V27" s="9">
        <v>34.33</v>
      </c>
      <c r="W27" s="9"/>
      <c r="X27" s="9">
        <v>93.44</v>
      </c>
      <c r="Y27" s="9">
        <f>93.6+0.41</f>
        <v>94.009999999999991</v>
      </c>
      <c r="Z27" s="9">
        <v>94.82</v>
      </c>
      <c r="AA27" s="9">
        <v>97.95</v>
      </c>
      <c r="AB27" s="9">
        <v>98.17</v>
      </c>
      <c r="AC27" s="9">
        <v>85.67</v>
      </c>
      <c r="AD27" s="9">
        <v>85.78</v>
      </c>
      <c r="AE27" s="9">
        <v>89.64</v>
      </c>
      <c r="AF27" s="9">
        <v>99.47</v>
      </c>
      <c r="AG27" s="9">
        <v>80.66</v>
      </c>
      <c r="AH27" s="9">
        <f>80.45-0.06</f>
        <v>80.39</v>
      </c>
      <c r="AI27" s="9">
        <v>82.55</v>
      </c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</row>
    <row r="28" spans="1:109" s="1" customFormat="1" ht="15.75" thickBot="1" x14ac:dyDescent="0.3">
      <c r="A28" s="7"/>
      <c r="B28" s="8" t="s">
        <v>12</v>
      </c>
      <c r="C28" s="4" t="s">
        <v>6</v>
      </c>
      <c r="D28" s="29">
        <f>SUM(E28:AI28)</f>
        <v>1722.4799999999996</v>
      </c>
      <c r="E28" s="9">
        <v>64.77</v>
      </c>
      <c r="F28" s="9">
        <v>64.930000000000007</v>
      </c>
      <c r="G28" s="9">
        <v>69.94</v>
      </c>
      <c r="H28" s="9"/>
      <c r="I28" s="9"/>
      <c r="J28" s="9">
        <v>62.81</v>
      </c>
      <c r="K28" s="9">
        <v>66.44</v>
      </c>
      <c r="L28" s="9">
        <v>61.9</v>
      </c>
      <c r="M28" s="9">
        <v>66.72</v>
      </c>
      <c r="N28" s="9">
        <v>66.510000000000005</v>
      </c>
      <c r="O28" s="9">
        <v>62.28</v>
      </c>
      <c r="P28" s="9">
        <v>61.75</v>
      </c>
      <c r="Q28" s="9">
        <v>66.73</v>
      </c>
      <c r="R28" s="9">
        <v>62.96</v>
      </c>
      <c r="S28" s="9">
        <v>58.15</v>
      </c>
      <c r="T28" s="9">
        <v>60.94</v>
      </c>
      <c r="U28" s="9">
        <v>60.13</v>
      </c>
      <c r="V28" s="9">
        <v>43.4</v>
      </c>
      <c r="W28" s="9">
        <v>44.03</v>
      </c>
      <c r="X28" s="9">
        <v>48.11</v>
      </c>
      <c r="Y28" s="9">
        <v>51.54</v>
      </c>
      <c r="Z28" s="9">
        <v>58.02</v>
      </c>
      <c r="AA28" s="9">
        <v>48.15</v>
      </c>
      <c r="AB28" s="9">
        <f>64.69-0.61</f>
        <v>64.08</v>
      </c>
      <c r="AC28" s="9">
        <v>63.5</v>
      </c>
      <c r="AD28" s="9">
        <v>65.38</v>
      </c>
      <c r="AE28" s="9">
        <v>36.450000000000003</v>
      </c>
      <c r="AF28" s="9">
        <v>66.8</v>
      </c>
      <c r="AG28" s="9">
        <v>59.36</v>
      </c>
      <c r="AH28" s="9">
        <v>63.03</v>
      </c>
      <c r="AI28" s="9">
        <v>53.67</v>
      </c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</row>
    <row r="30" spans="1:109" ht="21" x14ac:dyDescent="0.35">
      <c r="A30" s="27" t="s">
        <v>16</v>
      </c>
    </row>
    <row r="31" spans="1:109" s="1" customFormat="1" ht="20.25" x14ac:dyDescent="0.25">
      <c r="A31" s="2" t="s">
        <v>4</v>
      </c>
      <c r="B31" s="3" t="s">
        <v>5</v>
      </c>
      <c r="C31" s="4" t="s">
        <v>6</v>
      </c>
      <c r="D31" s="5">
        <f t="shared" ref="D31:D36" si="6">SUM(E31:AI31)</f>
        <v>25790.179999999997</v>
      </c>
      <c r="E31" s="6">
        <f>SUM(E32:E37)</f>
        <v>759.6099999999999</v>
      </c>
      <c r="F31" s="6">
        <f t="shared" ref="F31:AI31" si="7">SUM(F32:F37)</f>
        <v>786.06000000000006</v>
      </c>
      <c r="G31" s="6">
        <f t="shared" si="7"/>
        <v>763.86</v>
      </c>
      <c r="H31" s="6">
        <f t="shared" si="7"/>
        <v>805.8599999999999</v>
      </c>
      <c r="I31" s="6">
        <f t="shared" si="7"/>
        <v>934</v>
      </c>
      <c r="J31" s="6">
        <f t="shared" si="7"/>
        <v>862.27</v>
      </c>
      <c r="K31" s="6">
        <f t="shared" si="7"/>
        <v>769.14</v>
      </c>
      <c r="L31" s="6">
        <f t="shared" si="7"/>
        <v>722.36</v>
      </c>
      <c r="M31" s="6">
        <f t="shared" si="7"/>
        <v>842.9</v>
      </c>
      <c r="N31" s="6">
        <f t="shared" si="7"/>
        <v>874.83</v>
      </c>
      <c r="O31" s="6">
        <f t="shared" si="7"/>
        <v>825.27</v>
      </c>
      <c r="P31" s="6">
        <f t="shared" si="7"/>
        <v>886.33999999999992</v>
      </c>
      <c r="Q31" s="6">
        <f t="shared" si="7"/>
        <v>897.92000000000007</v>
      </c>
      <c r="R31" s="6">
        <f t="shared" si="7"/>
        <v>815.55</v>
      </c>
      <c r="S31" s="6">
        <f t="shared" si="7"/>
        <v>681.85</v>
      </c>
      <c r="T31" s="6">
        <f t="shared" si="7"/>
        <v>806.72000000000014</v>
      </c>
      <c r="U31" s="6">
        <f t="shared" si="7"/>
        <v>880.72</v>
      </c>
      <c r="V31" s="6">
        <f t="shared" si="7"/>
        <v>901.81</v>
      </c>
      <c r="W31" s="6">
        <f t="shared" si="7"/>
        <v>946.02999999999986</v>
      </c>
      <c r="X31" s="6">
        <f t="shared" si="7"/>
        <v>870.84</v>
      </c>
      <c r="Y31" s="6">
        <f t="shared" si="7"/>
        <v>885.46999999999991</v>
      </c>
      <c r="Z31" s="6">
        <f t="shared" si="7"/>
        <v>926.50999999999988</v>
      </c>
      <c r="AA31" s="6">
        <f t="shared" si="7"/>
        <v>847.04000000000008</v>
      </c>
      <c r="AB31" s="6">
        <f t="shared" si="7"/>
        <v>906.80000000000007</v>
      </c>
      <c r="AC31" s="6">
        <f t="shared" si="7"/>
        <v>965.45999999999992</v>
      </c>
      <c r="AD31" s="6">
        <f t="shared" si="7"/>
        <v>1012.7499999999999</v>
      </c>
      <c r="AE31" s="6">
        <f t="shared" si="7"/>
        <v>946.38</v>
      </c>
      <c r="AF31" s="6">
        <f t="shared" si="7"/>
        <v>875.84</v>
      </c>
      <c r="AG31" s="6">
        <f t="shared" si="7"/>
        <v>867.78</v>
      </c>
      <c r="AH31" s="6">
        <f t="shared" si="7"/>
        <v>922.21</v>
      </c>
      <c r="AI31" s="6">
        <f t="shared" si="7"/>
        <v>0</v>
      </c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</row>
    <row r="32" spans="1:109" s="1" customFormat="1" x14ac:dyDescent="0.25">
      <c r="A32" s="7"/>
      <c r="B32" s="8" t="s">
        <v>7</v>
      </c>
      <c r="C32" s="4" t="s">
        <v>6</v>
      </c>
      <c r="D32" s="5">
        <f t="shared" si="6"/>
        <v>2338.1500000000005</v>
      </c>
      <c r="E32" s="9">
        <v>90.56</v>
      </c>
      <c r="F32" s="9">
        <v>80.790000000000006</v>
      </c>
      <c r="G32" s="9">
        <v>69.69</v>
      </c>
      <c r="H32" s="9">
        <v>85.81</v>
      </c>
      <c r="I32" s="9">
        <v>90.35</v>
      </c>
      <c r="J32" s="9">
        <v>93.42</v>
      </c>
      <c r="K32" s="9">
        <v>72.819999999999993</v>
      </c>
      <c r="L32" s="9">
        <v>85.6</v>
      </c>
      <c r="M32" s="9">
        <v>74.650000000000006</v>
      </c>
      <c r="N32" s="9">
        <v>97.98</v>
      </c>
      <c r="O32" s="9">
        <v>69.55</v>
      </c>
      <c r="P32" s="9">
        <v>93.01</v>
      </c>
      <c r="Q32" s="9">
        <v>89.2</v>
      </c>
      <c r="R32" s="9">
        <v>54.83</v>
      </c>
      <c r="S32" s="9">
        <v>76.489999999999995</v>
      </c>
      <c r="T32" s="9">
        <v>60.02</v>
      </c>
      <c r="U32" s="9">
        <v>73.64</v>
      </c>
      <c r="V32" s="9">
        <v>72.459999999999994</v>
      </c>
      <c r="W32" s="9">
        <v>92.3</v>
      </c>
      <c r="X32" s="9">
        <v>61.19</v>
      </c>
      <c r="Y32" s="9">
        <v>83</v>
      </c>
      <c r="Z32" s="9">
        <v>97.66</v>
      </c>
      <c r="AA32" s="9">
        <v>59.39</v>
      </c>
      <c r="AB32" s="9">
        <f>52.13-0.62</f>
        <v>51.510000000000005</v>
      </c>
      <c r="AC32" s="9">
        <v>67.52</v>
      </c>
      <c r="AD32" s="9">
        <f>91.94+1.01</f>
        <v>92.95</v>
      </c>
      <c r="AE32" s="9">
        <v>87.37</v>
      </c>
      <c r="AF32" s="9">
        <v>61.85</v>
      </c>
      <c r="AG32" s="9">
        <v>60.01</v>
      </c>
      <c r="AH32" s="9">
        <v>92.53</v>
      </c>
      <c r="AI32" s="9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</row>
    <row r="33" spans="1:109" s="1" customFormat="1" x14ac:dyDescent="0.25">
      <c r="A33" s="7"/>
      <c r="B33" s="8" t="s">
        <v>8</v>
      </c>
      <c r="C33" s="4" t="s">
        <v>6</v>
      </c>
      <c r="D33" s="5">
        <f t="shared" si="6"/>
        <v>10324.140000000001</v>
      </c>
      <c r="E33" s="9">
        <v>266.33999999999997</v>
      </c>
      <c r="F33" s="9">
        <v>304.39999999999998</v>
      </c>
      <c r="G33" s="9">
        <v>318.67</v>
      </c>
      <c r="H33" s="9">
        <v>338.23</v>
      </c>
      <c r="I33" s="9">
        <v>396.33</v>
      </c>
      <c r="J33" s="9">
        <v>327.93</v>
      </c>
      <c r="K33" s="9">
        <v>307.41000000000003</v>
      </c>
      <c r="L33" s="9">
        <v>239.05</v>
      </c>
      <c r="M33" s="9">
        <v>342.81</v>
      </c>
      <c r="N33" s="9">
        <v>340.56</v>
      </c>
      <c r="O33" s="9">
        <v>336.41</v>
      </c>
      <c r="P33" s="9">
        <v>342.65</v>
      </c>
      <c r="Q33" s="9">
        <v>361.66</v>
      </c>
      <c r="R33" s="9">
        <v>309.19</v>
      </c>
      <c r="S33" s="9">
        <v>238.89</v>
      </c>
      <c r="T33" s="9">
        <v>334.6</v>
      </c>
      <c r="U33" s="9">
        <v>389.7</v>
      </c>
      <c r="V33" s="9">
        <v>359.47</v>
      </c>
      <c r="W33" s="9">
        <v>389.39</v>
      </c>
      <c r="X33" s="9">
        <v>359.83</v>
      </c>
      <c r="Y33" s="9">
        <v>350.65</v>
      </c>
      <c r="Z33" s="9">
        <v>322.52</v>
      </c>
      <c r="AA33" s="9">
        <v>350.72</v>
      </c>
      <c r="AB33" s="9">
        <v>400.98</v>
      </c>
      <c r="AC33" s="9">
        <v>389.34</v>
      </c>
      <c r="AD33" s="9">
        <v>412</v>
      </c>
      <c r="AE33" s="9">
        <v>415.05</v>
      </c>
      <c r="AF33" s="9">
        <v>366.11</v>
      </c>
      <c r="AG33" s="9">
        <v>359.7</v>
      </c>
      <c r="AH33" s="9">
        <v>353.55</v>
      </c>
      <c r="AI33" s="9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</row>
    <row r="34" spans="1:109" s="1" customFormat="1" x14ac:dyDescent="0.25">
      <c r="A34" s="7"/>
      <c r="B34" s="8" t="s">
        <v>9</v>
      </c>
      <c r="C34" s="4" t="s">
        <v>6</v>
      </c>
      <c r="D34" s="5">
        <f>SUM(E34:AI34)</f>
        <v>6136.6</v>
      </c>
      <c r="E34" s="9">
        <v>263.94</v>
      </c>
      <c r="F34" s="9">
        <v>263.83999999999997</v>
      </c>
      <c r="G34" s="9">
        <v>181.08</v>
      </c>
      <c r="H34" s="9">
        <v>152.25</v>
      </c>
      <c r="I34" s="9">
        <f>186.16+4.58</f>
        <v>190.74</v>
      </c>
      <c r="J34" s="9">
        <v>201.09</v>
      </c>
      <c r="K34" s="9">
        <v>161.66999999999999</v>
      </c>
      <c r="L34" s="9">
        <v>175.11</v>
      </c>
      <c r="M34" s="9">
        <v>208.33</v>
      </c>
      <c r="N34" s="9">
        <v>200.67</v>
      </c>
      <c r="O34" s="9">
        <f>167.95-0.09</f>
        <v>167.85999999999999</v>
      </c>
      <c r="P34" s="9">
        <v>194.75</v>
      </c>
      <c r="Q34" s="9">
        <v>218.63</v>
      </c>
      <c r="R34" s="9">
        <f>205.48+2.08</f>
        <v>207.56</v>
      </c>
      <c r="S34" s="9">
        <v>141.46</v>
      </c>
      <c r="T34" s="9">
        <v>195.82</v>
      </c>
      <c r="U34" s="9">
        <v>194.11</v>
      </c>
      <c r="V34" s="9">
        <f>208.67-0.09</f>
        <v>208.57999999999998</v>
      </c>
      <c r="W34" s="9">
        <v>200.13</v>
      </c>
      <c r="X34" s="9">
        <v>202.26</v>
      </c>
      <c r="Y34" s="9">
        <f>210.68+0.09</f>
        <v>210.77</v>
      </c>
      <c r="Z34" s="9">
        <v>255.64</v>
      </c>
      <c r="AA34" s="9">
        <v>209.03</v>
      </c>
      <c r="AB34" s="9">
        <f>213.97-0.02</f>
        <v>213.95</v>
      </c>
      <c r="AC34" s="9">
        <v>233.08</v>
      </c>
      <c r="AD34" s="9">
        <v>245.72</v>
      </c>
      <c r="AE34" s="9">
        <v>199.59</v>
      </c>
      <c r="AF34" s="9">
        <v>201.16</v>
      </c>
      <c r="AG34" s="9">
        <v>209.75</v>
      </c>
      <c r="AH34" s="9">
        <v>228.03</v>
      </c>
      <c r="AI34" s="9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</row>
    <row r="35" spans="1:109" s="1" customFormat="1" ht="16.5" customHeight="1" x14ac:dyDescent="0.25">
      <c r="A35" s="7"/>
      <c r="B35" s="8" t="s">
        <v>10</v>
      </c>
      <c r="C35" s="4" t="s">
        <v>6</v>
      </c>
      <c r="D35" s="5">
        <f t="shared" si="6"/>
        <v>2574.11</v>
      </c>
      <c r="E35" s="9">
        <v>69.05</v>
      </c>
      <c r="F35" s="9">
        <v>64.33</v>
      </c>
      <c r="G35" s="9">
        <v>66.489999999999995</v>
      </c>
      <c r="H35" s="9">
        <v>77.52</v>
      </c>
      <c r="I35" s="9">
        <v>87.24</v>
      </c>
      <c r="J35" s="9">
        <f>82.69-2.8</f>
        <v>79.89</v>
      </c>
      <c r="K35" s="9">
        <v>71.930000000000007</v>
      </c>
      <c r="L35" s="9">
        <v>67.92</v>
      </c>
      <c r="M35" s="9">
        <v>61.27</v>
      </c>
      <c r="N35" s="9">
        <v>87.58</v>
      </c>
      <c r="O35" s="9">
        <v>88.41</v>
      </c>
      <c r="P35" s="9">
        <v>88.43</v>
      </c>
      <c r="Q35" s="9">
        <v>79.150000000000006</v>
      </c>
      <c r="R35" s="9">
        <v>106.72</v>
      </c>
      <c r="S35" s="9">
        <v>96.72</v>
      </c>
      <c r="T35" s="9">
        <v>81.25</v>
      </c>
      <c r="U35" s="9">
        <f>77.24+0.14</f>
        <v>77.38</v>
      </c>
      <c r="V35" s="9">
        <v>87.17</v>
      </c>
      <c r="W35" s="9">
        <v>94.52</v>
      </c>
      <c r="X35" s="9">
        <v>89.58</v>
      </c>
      <c r="Y35" s="9">
        <f>85.85+0.29</f>
        <v>86.14</v>
      </c>
      <c r="Z35" s="9">
        <v>99.57</v>
      </c>
      <c r="AA35" s="9">
        <v>100.35</v>
      </c>
      <c r="AB35" s="9">
        <v>93.15</v>
      </c>
      <c r="AC35" s="9">
        <v>105.26</v>
      </c>
      <c r="AD35" s="9">
        <v>89.5</v>
      </c>
      <c r="AE35" s="9">
        <v>83.86</v>
      </c>
      <c r="AF35" s="9">
        <v>96.63</v>
      </c>
      <c r="AG35" s="9">
        <v>99.27</v>
      </c>
      <c r="AH35" s="9">
        <v>97.83</v>
      </c>
      <c r="AI35" s="9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</row>
    <row r="36" spans="1:109" s="1" customFormat="1" x14ac:dyDescent="0.25">
      <c r="A36" s="7"/>
      <c r="B36" s="8" t="s">
        <v>11</v>
      </c>
      <c r="C36" s="4" t="s">
        <v>6</v>
      </c>
      <c r="D36" s="5">
        <f t="shared" si="6"/>
        <v>2709.1400000000008</v>
      </c>
      <c r="E36" s="9">
        <v>69.72</v>
      </c>
      <c r="F36" s="9">
        <v>72.7</v>
      </c>
      <c r="G36" s="9">
        <v>85.53</v>
      </c>
      <c r="H36" s="9">
        <v>102.77</v>
      </c>
      <c r="I36" s="9">
        <v>113.52</v>
      </c>
      <c r="J36" s="9">
        <f>99.96-0.03</f>
        <v>99.929999999999993</v>
      </c>
      <c r="K36" s="9">
        <v>93.22</v>
      </c>
      <c r="L36" s="9">
        <v>92.34</v>
      </c>
      <c r="M36" s="9">
        <v>93.66</v>
      </c>
      <c r="N36" s="9">
        <v>84.16</v>
      </c>
      <c r="O36" s="9">
        <v>98.85</v>
      </c>
      <c r="P36" s="9">
        <v>102.54</v>
      </c>
      <c r="Q36" s="9">
        <f>95.52-1.06</f>
        <v>94.46</v>
      </c>
      <c r="R36" s="9">
        <f>82.94-0.29</f>
        <v>82.649999999999991</v>
      </c>
      <c r="S36" s="9">
        <v>70.3</v>
      </c>
      <c r="T36" s="9">
        <v>76.44</v>
      </c>
      <c r="U36" s="9">
        <v>90.16</v>
      </c>
      <c r="V36" s="9">
        <v>111</v>
      </c>
      <c r="W36" s="9">
        <v>101.8</v>
      </c>
      <c r="X36" s="9">
        <v>91.01</v>
      </c>
      <c r="Y36" s="9">
        <v>88.5</v>
      </c>
      <c r="Z36" s="9">
        <v>88.11</v>
      </c>
      <c r="AA36" s="9">
        <v>64.33</v>
      </c>
      <c r="AB36" s="9">
        <v>80.760000000000005</v>
      </c>
      <c r="AC36" s="9">
        <v>107.17</v>
      </c>
      <c r="AD36" s="9">
        <v>106.17</v>
      </c>
      <c r="AE36" s="9">
        <v>95.86</v>
      </c>
      <c r="AF36" s="9">
        <v>85.37</v>
      </c>
      <c r="AG36" s="9">
        <v>78.52</v>
      </c>
      <c r="AH36" s="9">
        <v>87.59</v>
      </c>
      <c r="AI36" s="9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</row>
    <row r="37" spans="1:109" s="1" customFormat="1" ht="15.75" thickBot="1" x14ac:dyDescent="0.3">
      <c r="A37" s="7"/>
      <c r="B37" s="8" t="s">
        <v>12</v>
      </c>
      <c r="C37" s="4" t="s">
        <v>6</v>
      </c>
      <c r="D37" s="29">
        <f>SUM(E37:AI37)</f>
        <v>1708.0400000000004</v>
      </c>
      <c r="E37" s="9"/>
      <c r="F37" s="9"/>
      <c r="G37" s="9">
        <v>42.4</v>
      </c>
      <c r="H37" s="9">
        <v>49.28</v>
      </c>
      <c r="I37" s="9">
        <v>55.82</v>
      </c>
      <c r="J37" s="9">
        <v>60.01</v>
      </c>
      <c r="K37" s="9">
        <v>62.09</v>
      </c>
      <c r="L37" s="9">
        <v>62.34</v>
      </c>
      <c r="M37" s="9">
        <v>62.18</v>
      </c>
      <c r="N37" s="9">
        <v>63.88</v>
      </c>
      <c r="O37" s="9">
        <v>64.19</v>
      </c>
      <c r="P37" s="9">
        <v>64.959999999999994</v>
      </c>
      <c r="Q37" s="9">
        <v>54.82</v>
      </c>
      <c r="R37" s="9">
        <v>54.6</v>
      </c>
      <c r="S37" s="9">
        <v>57.99</v>
      </c>
      <c r="T37" s="9">
        <v>58.59</v>
      </c>
      <c r="U37" s="9">
        <f>56.87-1.14</f>
        <v>55.73</v>
      </c>
      <c r="V37" s="9">
        <v>63.13</v>
      </c>
      <c r="W37" s="9">
        <v>67.89</v>
      </c>
      <c r="X37" s="9">
        <v>66.97</v>
      </c>
      <c r="Y37" s="9">
        <v>66.41</v>
      </c>
      <c r="Z37" s="9">
        <v>63.01</v>
      </c>
      <c r="AA37" s="9">
        <v>63.22</v>
      </c>
      <c r="AB37" s="9">
        <v>66.45</v>
      </c>
      <c r="AC37" s="9">
        <v>63.09</v>
      </c>
      <c r="AD37" s="9">
        <v>66.41</v>
      </c>
      <c r="AE37" s="9">
        <v>64.650000000000006</v>
      </c>
      <c r="AF37" s="9">
        <v>64.72</v>
      </c>
      <c r="AG37" s="9">
        <v>60.53</v>
      </c>
      <c r="AH37" s="9">
        <v>62.68</v>
      </c>
      <c r="AI37" s="9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</row>
    <row r="39" spans="1:109" ht="21" x14ac:dyDescent="0.35">
      <c r="A39" s="27" t="s">
        <v>25</v>
      </c>
    </row>
    <row r="40" spans="1:109" s="1" customFormat="1" ht="20.25" x14ac:dyDescent="0.25">
      <c r="A40" s="2" t="s">
        <v>4</v>
      </c>
      <c r="B40" s="3" t="s">
        <v>5</v>
      </c>
      <c r="C40" s="4" t="s">
        <v>6</v>
      </c>
      <c r="D40" s="5">
        <f t="shared" ref="D40:D45" si="8">SUM(E40:AI40)</f>
        <v>24719.34</v>
      </c>
      <c r="E40" s="6">
        <f>SUM(E41:E46)</f>
        <v>785.21</v>
      </c>
      <c r="F40" s="6">
        <f t="shared" ref="F40:AI40" si="9">SUM(F41:F46)</f>
        <v>739.53</v>
      </c>
      <c r="G40" s="6">
        <f t="shared" si="9"/>
        <v>835.18999999999983</v>
      </c>
      <c r="H40" s="6">
        <f t="shared" si="9"/>
        <v>821.1400000000001</v>
      </c>
      <c r="I40" s="6">
        <f t="shared" si="9"/>
        <v>740.92000000000007</v>
      </c>
      <c r="J40" s="6">
        <f t="shared" si="9"/>
        <v>756.47</v>
      </c>
      <c r="K40" s="6">
        <f t="shared" si="9"/>
        <v>771.29</v>
      </c>
      <c r="L40" s="6">
        <f t="shared" si="9"/>
        <v>759.75</v>
      </c>
      <c r="M40" s="6">
        <f t="shared" si="9"/>
        <v>661.22</v>
      </c>
      <c r="N40" s="6">
        <f t="shared" si="9"/>
        <v>773.78</v>
      </c>
      <c r="O40" s="6">
        <f t="shared" si="9"/>
        <v>788.1</v>
      </c>
      <c r="P40" s="6">
        <f t="shared" si="9"/>
        <v>706.5</v>
      </c>
      <c r="Q40" s="6">
        <f t="shared" si="9"/>
        <v>631.12</v>
      </c>
      <c r="R40" s="6">
        <f t="shared" si="9"/>
        <v>590.94999999999993</v>
      </c>
      <c r="S40" s="6">
        <f t="shared" si="9"/>
        <v>799.70999999999992</v>
      </c>
      <c r="T40" s="6">
        <f t="shared" si="9"/>
        <v>860.80000000000007</v>
      </c>
      <c r="U40" s="6">
        <f t="shared" si="9"/>
        <v>839.31000000000006</v>
      </c>
      <c r="V40" s="6">
        <f t="shared" si="9"/>
        <v>822.9</v>
      </c>
      <c r="W40" s="6">
        <f t="shared" si="9"/>
        <v>842.97</v>
      </c>
      <c r="X40" s="6">
        <f t="shared" si="9"/>
        <v>802.21999999999991</v>
      </c>
      <c r="Y40" s="6">
        <f t="shared" si="9"/>
        <v>831.56</v>
      </c>
      <c r="Z40" s="6">
        <f t="shared" si="9"/>
        <v>812.46999999999991</v>
      </c>
      <c r="AA40" s="6">
        <f t="shared" si="9"/>
        <v>862.1</v>
      </c>
      <c r="AB40" s="6">
        <f t="shared" si="9"/>
        <v>932.86000000000013</v>
      </c>
      <c r="AC40" s="6">
        <f t="shared" si="9"/>
        <v>838.24</v>
      </c>
      <c r="AD40" s="6">
        <f t="shared" si="9"/>
        <v>814.76</v>
      </c>
      <c r="AE40" s="6">
        <f t="shared" si="9"/>
        <v>864.21999999999991</v>
      </c>
      <c r="AF40" s="6">
        <f t="shared" si="9"/>
        <v>797.89</v>
      </c>
      <c r="AG40" s="6">
        <f t="shared" si="9"/>
        <v>790.47</v>
      </c>
      <c r="AH40" s="6">
        <f t="shared" si="9"/>
        <v>942.88</v>
      </c>
      <c r="AI40" s="6">
        <f t="shared" si="9"/>
        <v>902.81</v>
      </c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</row>
    <row r="41" spans="1:109" s="1" customFormat="1" x14ac:dyDescent="0.25">
      <c r="A41" s="7"/>
      <c r="B41" s="8" t="s">
        <v>7</v>
      </c>
      <c r="C41" s="4" t="s">
        <v>6</v>
      </c>
      <c r="D41" s="5">
        <f t="shared" si="8"/>
        <v>2290.96</v>
      </c>
      <c r="E41" s="9">
        <v>90.15</v>
      </c>
      <c r="F41" s="9">
        <v>62.08</v>
      </c>
      <c r="G41" s="9">
        <v>70.94</v>
      </c>
      <c r="H41" s="9">
        <v>78.849999999999994</v>
      </c>
      <c r="I41" s="9">
        <v>79.930000000000007</v>
      </c>
      <c r="J41" s="9">
        <v>79.08</v>
      </c>
      <c r="K41" s="9">
        <v>76.72</v>
      </c>
      <c r="L41" s="9">
        <v>70</v>
      </c>
      <c r="M41" s="9">
        <v>56.88</v>
      </c>
      <c r="N41" s="9">
        <f>58.37+4.12</f>
        <v>62.489999999999995</v>
      </c>
      <c r="O41" s="9">
        <f>95.62+0.03</f>
        <v>95.65</v>
      </c>
      <c r="P41" s="9">
        <v>36.17</v>
      </c>
      <c r="Q41" s="9">
        <v>59.92</v>
      </c>
      <c r="R41" s="9">
        <v>74.349999999999994</v>
      </c>
      <c r="S41" s="9">
        <v>69.930000000000007</v>
      </c>
      <c r="T41" s="9">
        <f>66.32+0.27</f>
        <v>66.589999999999989</v>
      </c>
      <c r="U41" s="9">
        <v>72.16</v>
      </c>
      <c r="V41" s="9">
        <v>71.88</v>
      </c>
      <c r="W41" s="9">
        <v>61.42</v>
      </c>
      <c r="X41" s="9">
        <v>59.69</v>
      </c>
      <c r="Y41" s="9">
        <v>62.03</v>
      </c>
      <c r="Z41" s="9">
        <v>88.62</v>
      </c>
      <c r="AA41" s="9">
        <v>70.09</v>
      </c>
      <c r="AB41" s="9">
        <v>82.74</v>
      </c>
      <c r="AC41" s="9">
        <v>56.45</v>
      </c>
      <c r="AD41" s="9">
        <v>76.23</v>
      </c>
      <c r="AE41" s="9">
        <v>103.5</v>
      </c>
      <c r="AF41" s="9">
        <v>90.43</v>
      </c>
      <c r="AG41" s="9">
        <v>72.349999999999994</v>
      </c>
      <c r="AH41" s="9">
        <f>102.31-0.17</f>
        <v>102.14</v>
      </c>
      <c r="AI41" s="9">
        <v>91.5</v>
      </c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</row>
    <row r="42" spans="1:109" s="1" customFormat="1" x14ac:dyDescent="0.25">
      <c r="A42" s="7"/>
      <c r="B42" s="8" t="s">
        <v>8</v>
      </c>
      <c r="C42" s="4" t="s">
        <v>6</v>
      </c>
      <c r="D42" s="5">
        <f t="shared" si="8"/>
        <v>9299.119999999999</v>
      </c>
      <c r="E42" s="9">
        <v>277.52</v>
      </c>
      <c r="F42" s="9">
        <v>249.02</v>
      </c>
      <c r="G42" s="9">
        <v>282.14</v>
      </c>
      <c r="H42" s="9">
        <v>254.89</v>
      </c>
      <c r="I42" s="9">
        <v>237.66</v>
      </c>
      <c r="J42" s="9">
        <v>252.18</v>
      </c>
      <c r="K42" s="9">
        <v>211.61</v>
      </c>
      <c r="L42" s="9">
        <v>234.25</v>
      </c>
      <c r="M42" s="9">
        <v>276.48</v>
      </c>
      <c r="N42" s="9">
        <v>338</v>
      </c>
      <c r="O42" s="9">
        <v>317.63</v>
      </c>
      <c r="P42" s="9">
        <v>300.7</v>
      </c>
      <c r="Q42" s="9">
        <v>225.06</v>
      </c>
      <c r="R42" s="9">
        <v>175.12</v>
      </c>
      <c r="S42" s="9">
        <v>307.19</v>
      </c>
      <c r="T42" s="9">
        <v>380.5</v>
      </c>
      <c r="U42" s="9">
        <v>390.44</v>
      </c>
      <c r="V42" s="9">
        <v>347.33</v>
      </c>
      <c r="W42" s="9">
        <v>323.47000000000003</v>
      </c>
      <c r="X42" s="9">
        <v>309.08</v>
      </c>
      <c r="Y42" s="9">
        <v>324.36</v>
      </c>
      <c r="Z42" s="9">
        <v>311.70999999999998</v>
      </c>
      <c r="AA42" s="9">
        <v>370.41</v>
      </c>
      <c r="AB42" s="9">
        <v>387.71</v>
      </c>
      <c r="AC42" s="9">
        <v>351.79</v>
      </c>
      <c r="AD42" s="9">
        <v>295.04000000000002</v>
      </c>
      <c r="AE42" s="9">
        <v>282.52</v>
      </c>
      <c r="AF42" s="9">
        <v>271.70999999999998</v>
      </c>
      <c r="AG42" s="9">
        <v>302.89</v>
      </c>
      <c r="AH42" s="9">
        <v>371.68</v>
      </c>
      <c r="AI42" s="9">
        <v>339.03</v>
      </c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</row>
    <row r="43" spans="1:109" s="1" customFormat="1" x14ac:dyDescent="0.25">
      <c r="A43" s="7"/>
      <c r="B43" s="8" t="s">
        <v>9</v>
      </c>
      <c r="C43" s="4" t="s">
        <v>6</v>
      </c>
      <c r="D43" s="5">
        <f>SUM(E43:AI43)</f>
        <v>6026.09</v>
      </c>
      <c r="E43" s="9">
        <v>169.08</v>
      </c>
      <c r="F43" s="9">
        <v>173.05</v>
      </c>
      <c r="G43" s="9">
        <v>232.59</v>
      </c>
      <c r="H43" s="9">
        <v>259.51</v>
      </c>
      <c r="I43" s="9">
        <v>185.95</v>
      </c>
      <c r="J43" s="9">
        <v>200.06</v>
      </c>
      <c r="K43" s="9">
        <v>250.66</v>
      </c>
      <c r="L43" s="9">
        <v>244.95</v>
      </c>
      <c r="M43" s="9">
        <v>192.64</v>
      </c>
      <c r="N43" s="9">
        <v>201.42</v>
      </c>
      <c r="O43" s="9">
        <v>186.86</v>
      </c>
      <c r="P43" s="9">
        <v>189.36</v>
      </c>
      <c r="Q43" s="9">
        <v>155.19999999999999</v>
      </c>
      <c r="R43" s="9">
        <v>155.15</v>
      </c>
      <c r="S43" s="9">
        <v>198.19</v>
      </c>
      <c r="T43" s="9">
        <v>205.05</v>
      </c>
      <c r="U43" s="9">
        <v>157.05000000000001</v>
      </c>
      <c r="V43" s="9">
        <v>172.38</v>
      </c>
      <c r="W43" s="9">
        <v>196.54</v>
      </c>
      <c r="X43" s="9">
        <v>175.24</v>
      </c>
      <c r="Y43" s="9">
        <v>184.98</v>
      </c>
      <c r="Z43" s="9">
        <v>165.81</v>
      </c>
      <c r="AA43" s="9">
        <f>170.32+3.67</f>
        <v>173.98999999999998</v>
      </c>
      <c r="AB43" s="9">
        <v>214.03</v>
      </c>
      <c r="AC43" s="9">
        <v>189.61</v>
      </c>
      <c r="AD43" s="9">
        <v>189.3</v>
      </c>
      <c r="AE43" s="9">
        <v>236.06</v>
      </c>
      <c r="AF43" s="9">
        <v>185.73</v>
      </c>
      <c r="AG43" s="9">
        <v>178.25</v>
      </c>
      <c r="AH43" s="9">
        <v>193.79</v>
      </c>
      <c r="AI43" s="9">
        <v>213.61</v>
      </c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</row>
    <row r="44" spans="1:109" s="1" customFormat="1" ht="16.5" customHeight="1" x14ac:dyDescent="0.25">
      <c r="A44" s="7"/>
      <c r="B44" s="8" t="s">
        <v>10</v>
      </c>
      <c r="C44" s="4" t="s">
        <v>6</v>
      </c>
      <c r="D44" s="5">
        <f t="shared" si="8"/>
        <v>2713.42</v>
      </c>
      <c r="E44" s="9">
        <v>98.1</v>
      </c>
      <c r="F44" s="9">
        <v>99.06</v>
      </c>
      <c r="G44" s="9">
        <v>95.89</v>
      </c>
      <c r="H44" s="9">
        <v>87.11</v>
      </c>
      <c r="I44" s="9">
        <v>92.13</v>
      </c>
      <c r="J44" s="9">
        <v>90.96</v>
      </c>
      <c r="K44" s="9">
        <v>87.87</v>
      </c>
      <c r="L44" s="9">
        <v>81.81</v>
      </c>
      <c r="M44" s="9">
        <v>65.33</v>
      </c>
      <c r="N44" s="9">
        <v>62.91</v>
      </c>
      <c r="O44" s="9">
        <v>66.39</v>
      </c>
      <c r="P44" s="9">
        <v>75.3</v>
      </c>
      <c r="Q44" s="9">
        <v>78.33</v>
      </c>
      <c r="R44" s="9">
        <v>80.63</v>
      </c>
      <c r="S44" s="9">
        <v>79.97</v>
      </c>
      <c r="T44" s="9">
        <v>71.319999999999993</v>
      </c>
      <c r="U44" s="9">
        <v>73.53</v>
      </c>
      <c r="V44" s="9">
        <v>73.489999999999995</v>
      </c>
      <c r="W44" s="9">
        <v>109.26</v>
      </c>
      <c r="X44" s="9">
        <v>108.17</v>
      </c>
      <c r="Y44" s="9">
        <v>104.29</v>
      </c>
      <c r="Z44" s="9">
        <f>80.81-0.15</f>
        <v>80.66</v>
      </c>
      <c r="AA44" s="9">
        <v>84.87</v>
      </c>
      <c r="AB44" s="9">
        <v>87.2</v>
      </c>
      <c r="AC44" s="9">
        <v>78.63</v>
      </c>
      <c r="AD44" s="9">
        <v>101.61</v>
      </c>
      <c r="AE44" s="9">
        <v>98.91</v>
      </c>
      <c r="AF44" s="9">
        <v>107.59</v>
      </c>
      <c r="AG44" s="9">
        <v>91.62</v>
      </c>
      <c r="AH44" s="9">
        <v>102.38</v>
      </c>
      <c r="AI44" s="9">
        <v>98.1</v>
      </c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</row>
    <row r="45" spans="1:109" s="1" customFormat="1" x14ac:dyDescent="0.25">
      <c r="A45" s="7"/>
      <c r="B45" s="8" t="s">
        <v>11</v>
      </c>
      <c r="C45" s="4" t="s">
        <v>6</v>
      </c>
      <c r="D45" s="5">
        <f t="shared" si="8"/>
        <v>2518.7600000000002</v>
      </c>
      <c r="E45" s="9">
        <v>86.07</v>
      </c>
      <c r="F45" s="9">
        <v>91.04</v>
      </c>
      <c r="G45" s="9">
        <v>88.31</v>
      </c>
      <c r="H45" s="9">
        <v>76.06</v>
      </c>
      <c r="I45" s="9">
        <v>78.819999999999993</v>
      </c>
      <c r="J45" s="9">
        <v>72.94</v>
      </c>
      <c r="K45" s="9">
        <v>84.99</v>
      </c>
      <c r="L45" s="9">
        <v>68.72</v>
      </c>
      <c r="M45" s="9">
        <v>69.89</v>
      </c>
      <c r="N45" s="9">
        <v>65.849999999999994</v>
      </c>
      <c r="O45" s="9">
        <v>80.61</v>
      </c>
      <c r="P45" s="9">
        <v>46.13</v>
      </c>
      <c r="Q45" s="9">
        <v>54.03</v>
      </c>
      <c r="R45" s="9">
        <v>51.52</v>
      </c>
      <c r="S45" s="9">
        <v>85.26</v>
      </c>
      <c r="T45" s="9">
        <v>79.14</v>
      </c>
      <c r="U45" s="9">
        <v>90.63</v>
      </c>
      <c r="V45" s="9">
        <v>97.11</v>
      </c>
      <c r="W45" s="9">
        <v>85.49</v>
      </c>
      <c r="X45" s="9">
        <v>83.55</v>
      </c>
      <c r="Y45" s="9">
        <v>88.24</v>
      </c>
      <c r="Z45" s="9">
        <v>97.42</v>
      </c>
      <c r="AA45" s="9">
        <v>93.33</v>
      </c>
      <c r="AB45" s="9">
        <v>94.5</v>
      </c>
      <c r="AC45" s="9">
        <v>94.22</v>
      </c>
      <c r="AD45" s="9">
        <v>87.42</v>
      </c>
      <c r="AE45" s="9">
        <v>77.45</v>
      </c>
      <c r="AF45" s="9">
        <v>76.400000000000006</v>
      </c>
      <c r="AG45" s="9">
        <v>77.53</v>
      </c>
      <c r="AH45" s="9">
        <v>102.92</v>
      </c>
      <c r="AI45" s="9">
        <f>93.35-0.18</f>
        <v>93.169999999999987</v>
      </c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</row>
    <row r="46" spans="1:109" s="1" customFormat="1" ht="15.75" thickBot="1" x14ac:dyDescent="0.3">
      <c r="A46" s="7"/>
      <c r="B46" s="8" t="s">
        <v>12</v>
      </c>
      <c r="C46" s="4" t="s">
        <v>6</v>
      </c>
      <c r="D46" s="29">
        <f>SUM(E46:AI46)</f>
        <v>1870.9900000000005</v>
      </c>
      <c r="E46" s="9">
        <v>64.290000000000006</v>
      </c>
      <c r="F46" s="9">
        <v>65.28</v>
      </c>
      <c r="G46" s="9">
        <v>65.319999999999993</v>
      </c>
      <c r="H46" s="9">
        <v>64.72</v>
      </c>
      <c r="I46" s="9">
        <v>66.430000000000007</v>
      </c>
      <c r="J46" s="9">
        <v>61.25</v>
      </c>
      <c r="K46" s="9">
        <v>59.44</v>
      </c>
      <c r="L46" s="9">
        <v>60.02</v>
      </c>
      <c r="M46" s="9"/>
      <c r="N46" s="9">
        <v>43.11</v>
      </c>
      <c r="O46" s="9">
        <v>40.96</v>
      </c>
      <c r="P46" s="9">
        <v>58.84</v>
      </c>
      <c r="Q46" s="9">
        <v>58.58</v>
      </c>
      <c r="R46" s="9">
        <v>54.18</v>
      </c>
      <c r="S46" s="9">
        <v>59.17</v>
      </c>
      <c r="T46" s="9">
        <v>58.2</v>
      </c>
      <c r="U46" s="9">
        <v>55.5</v>
      </c>
      <c r="V46" s="9">
        <v>60.71</v>
      </c>
      <c r="W46" s="9">
        <v>66.790000000000006</v>
      </c>
      <c r="X46" s="9">
        <v>66.489999999999995</v>
      </c>
      <c r="Y46" s="9">
        <v>67.66</v>
      </c>
      <c r="Z46" s="9">
        <v>68.25</v>
      </c>
      <c r="AA46" s="9">
        <v>69.41</v>
      </c>
      <c r="AB46" s="9">
        <v>66.680000000000007</v>
      </c>
      <c r="AC46" s="9">
        <v>67.540000000000006</v>
      </c>
      <c r="AD46" s="9">
        <v>65.16</v>
      </c>
      <c r="AE46" s="9">
        <v>65.78</v>
      </c>
      <c r="AF46" s="9">
        <v>66.03</v>
      </c>
      <c r="AG46" s="9">
        <v>67.83</v>
      </c>
      <c r="AH46" s="9">
        <v>69.97</v>
      </c>
      <c r="AI46" s="9">
        <v>67.400000000000006</v>
      </c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</row>
    <row r="48" spans="1:109" ht="21" x14ac:dyDescent="0.35">
      <c r="A48" s="27" t="s">
        <v>17</v>
      </c>
    </row>
    <row r="49" spans="1:109" s="1" customFormat="1" ht="20.25" x14ac:dyDescent="0.25">
      <c r="A49" s="2" t="s">
        <v>4</v>
      </c>
      <c r="B49" s="3" t="s">
        <v>5</v>
      </c>
      <c r="C49" s="4" t="s">
        <v>6</v>
      </c>
      <c r="D49" s="5">
        <f t="shared" ref="D49:D54" si="10">SUM(E49:AI49)</f>
        <v>26197.160000000003</v>
      </c>
      <c r="E49" s="6">
        <f>SUM(E50:E55)</f>
        <v>932.97</v>
      </c>
      <c r="F49" s="6">
        <f t="shared" ref="F49:AI49" si="11">SUM(F50:F55)</f>
        <v>787.30000000000007</v>
      </c>
      <c r="G49" s="6">
        <f t="shared" si="11"/>
        <v>766.83</v>
      </c>
      <c r="H49" s="6">
        <f t="shared" si="11"/>
        <v>846.5200000000001</v>
      </c>
      <c r="I49" s="6">
        <f t="shared" si="11"/>
        <v>813.36</v>
      </c>
      <c r="J49" s="6">
        <f t="shared" si="11"/>
        <v>814.83</v>
      </c>
      <c r="K49" s="6">
        <f t="shared" si="11"/>
        <v>892.94</v>
      </c>
      <c r="L49" s="6">
        <f t="shared" si="11"/>
        <v>831.57999999999993</v>
      </c>
      <c r="M49" s="6">
        <f t="shared" si="11"/>
        <v>733.06999999999994</v>
      </c>
      <c r="N49" s="6">
        <f t="shared" si="11"/>
        <v>597.85</v>
      </c>
      <c r="O49" s="6">
        <f t="shared" si="11"/>
        <v>629.74</v>
      </c>
      <c r="P49" s="6">
        <f t="shared" si="11"/>
        <v>632.65000000000009</v>
      </c>
      <c r="Q49" s="6">
        <f t="shared" si="11"/>
        <v>805.82</v>
      </c>
      <c r="R49" s="6">
        <f t="shared" si="11"/>
        <v>751.20999999999992</v>
      </c>
      <c r="S49" s="6">
        <f t="shared" si="11"/>
        <v>823.6099999999999</v>
      </c>
      <c r="T49" s="6">
        <f t="shared" si="11"/>
        <v>835.12</v>
      </c>
      <c r="U49" s="6">
        <f t="shared" si="11"/>
        <v>773.39</v>
      </c>
      <c r="V49" s="6">
        <f t="shared" si="11"/>
        <v>833.45999999999992</v>
      </c>
      <c r="W49" s="6">
        <f t="shared" si="11"/>
        <v>986.08999999999992</v>
      </c>
      <c r="X49" s="6">
        <f t="shared" si="11"/>
        <v>978.34999999999991</v>
      </c>
      <c r="Y49" s="6">
        <f t="shared" si="11"/>
        <v>968.72</v>
      </c>
      <c r="Z49" s="6">
        <f t="shared" si="11"/>
        <v>932.66</v>
      </c>
      <c r="AA49" s="6">
        <f t="shared" si="11"/>
        <v>1030.42</v>
      </c>
      <c r="AB49" s="6">
        <f t="shared" si="11"/>
        <v>1040.79</v>
      </c>
      <c r="AC49" s="6">
        <f t="shared" si="11"/>
        <v>975.40000000000009</v>
      </c>
      <c r="AD49" s="6">
        <f t="shared" si="11"/>
        <v>984.36000000000013</v>
      </c>
      <c r="AE49" s="6">
        <f t="shared" si="11"/>
        <v>1069.81</v>
      </c>
      <c r="AF49" s="6">
        <f t="shared" si="11"/>
        <v>1034.94</v>
      </c>
      <c r="AG49" s="6">
        <f t="shared" si="11"/>
        <v>1052.97</v>
      </c>
      <c r="AH49" s="6">
        <f t="shared" si="11"/>
        <v>1040.4000000000001</v>
      </c>
      <c r="AI49" s="6">
        <f t="shared" si="11"/>
        <v>0</v>
      </c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</row>
    <row r="50" spans="1:109" s="1" customFormat="1" x14ac:dyDescent="0.25">
      <c r="A50" s="7"/>
      <c r="B50" s="8" t="s">
        <v>7</v>
      </c>
      <c r="C50" s="4" t="s">
        <v>6</v>
      </c>
      <c r="D50" s="5">
        <f t="shared" si="10"/>
        <v>2240.88</v>
      </c>
      <c r="E50" s="9">
        <v>82.46</v>
      </c>
      <c r="F50" s="9">
        <v>66.48</v>
      </c>
      <c r="G50" s="9">
        <v>44.85</v>
      </c>
      <c r="H50" s="9">
        <v>88.76</v>
      </c>
      <c r="I50" s="9">
        <v>60.11</v>
      </c>
      <c r="J50" s="9">
        <v>58.26</v>
      </c>
      <c r="K50" s="9">
        <v>79.010000000000005</v>
      </c>
      <c r="L50" s="9">
        <v>55.61</v>
      </c>
      <c r="M50" s="9">
        <v>75.47</v>
      </c>
      <c r="N50" s="9">
        <v>39.42</v>
      </c>
      <c r="O50" s="9">
        <v>39.200000000000003</v>
      </c>
      <c r="P50" s="9">
        <v>41.54</v>
      </c>
      <c r="Q50" s="9">
        <v>85.86</v>
      </c>
      <c r="R50" s="9">
        <v>59.77</v>
      </c>
      <c r="S50" s="9">
        <v>60.72</v>
      </c>
      <c r="T50" s="9">
        <v>83.98</v>
      </c>
      <c r="U50" s="9">
        <v>72.209999999999994</v>
      </c>
      <c r="V50" s="9">
        <v>69.88</v>
      </c>
      <c r="W50" s="9">
        <v>76.23</v>
      </c>
      <c r="X50" s="9">
        <v>82.13</v>
      </c>
      <c r="Y50" s="9">
        <f>89.01+0.11</f>
        <v>89.12</v>
      </c>
      <c r="Z50" s="9">
        <v>78.2</v>
      </c>
      <c r="AA50" s="9">
        <f>106.02+0.48</f>
        <v>106.5</v>
      </c>
      <c r="AB50" s="9">
        <v>114.66</v>
      </c>
      <c r="AC50" s="9">
        <v>92.87</v>
      </c>
      <c r="AD50" s="9">
        <v>86.05</v>
      </c>
      <c r="AE50" s="9">
        <v>91.68</v>
      </c>
      <c r="AF50" s="9">
        <v>89.36</v>
      </c>
      <c r="AG50" s="9">
        <v>82.14</v>
      </c>
      <c r="AH50" s="9">
        <v>88.35</v>
      </c>
      <c r="AI50" s="9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</row>
    <row r="51" spans="1:109" s="1" customFormat="1" x14ac:dyDescent="0.25">
      <c r="A51" s="7"/>
      <c r="B51" s="8" t="s">
        <v>8</v>
      </c>
      <c r="C51" s="4" t="s">
        <v>6</v>
      </c>
      <c r="D51" s="5">
        <f t="shared" si="10"/>
        <v>10167.94</v>
      </c>
      <c r="E51" s="9">
        <v>380.35</v>
      </c>
      <c r="F51" s="9">
        <v>291.14999999999998</v>
      </c>
      <c r="G51" s="9">
        <v>256.79000000000002</v>
      </c>
      <c r="H51" s="9">
        <v>288.54000000000002</v>
      </c>
      <c r="I51" s="9">
        <v>338.31</v>
      </c>
      <c r="J51" s="9">
        <v>326.12</v>
      </c>
      <c r="K51" s="9">
        <v>354.99</v>
      </c>
      <c r="L51" s="9">
        <v>335.89</v>
      </c>
      <c r="M51" s="9">
        <v>266.83</v>
      </c>
      <c r="N51" s="9">
        <v>196.45</v>
      </c>
      <c r="O51" s="9">
        <v>207.9</v>
      </c>
      <c r="P51" s="9">
        <v>217.75</v>
      </c>
      <c r="Q51" s="9">
        <v>273.72000000000003</v>
      </c>
      <c r="R51" s="9">
        <v>326.57</v>
      </c>
      <c r="S51" s="9">
        <v>333.01</v>
      </c>
      <c r="T51" s="9">
        <v>305.36</v>
      </c>
      <c r="U51" s="9">
        <v>253.01</v>
      </c>
      <c r="V51" s="9">
        <v>311.88</v>
      </c>
      <c r="W51" s="9">
        <v>408.57</v>
      </c>
      <c r="X51" s="9">
        <v>414.84</v>
      </c>
      <c r="Y51" s="9">
        <v>383.89</v>
      </c>
      <c r="Z51" s="9">
        <v>375.06</v>
      </c>
      <c r="AA51" s="9">
        <v>414.17</v>
      </c>
      <c r="AB51" s="9">
        <v>411.26</v>
      </c>
      <c r="AC51" s="9">
        <v>390.78</v>
      </c>
      <c r="AD51" s="9">
        <v>395.8</v>
      </c>
      <c r="AE51" s="9">
        <v>414.05</v>
      </c>
      <c r="AF51" s="9">
        <v>426.02</v>
      </c>
      <c r="AG51" s="9">
        <v>443.29</v>
      </c>
      <c r="AH51" s="9">
        <v>425.59</v>
      </c>
      <c r="AI51" s="9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</row>
    <row r="52" spans="1:109" s="1" customFormat="1" x14ac:dyDescent="0.25">
      <c r="A52" s="7"/>
      <c r="B52" s="8" t="s">
        <v>9</v>
      </c>
      <c r="C52" s="4" t="s">
        <v>6</v>
      </c>
      <c r="D52" s="5">
        <f>SUM(E52:AI52)</f>
        <v>6537.89</v>
      </c>
      <c r="E52" s="9">
        <v>236.82</v>
      </c>
      <c r="F52" s="9">
        <v>191.01</v>
      </c>
      <c r="G52" s="9">
        <v>216.4</v>
      </c>
      <c r="H52" s="9">
        <v>243.85</v>
      </c>
      <c r="I52" s="9">
        <v>207.46</v>
      </c>
      <c r="J52" s="9">
        <v>211.67</v>
      </c>
      <c r="K52" s="9">
        <v>226.56</v>
      </c>
      <c r="L52" s="9">
        <v>215.92</v>
      </c>
      <c r="M52" s="9">
        <v>173.2</v>
      </c>
      <c r="N52" s="9">
        <v>148.43</v>
      </c>
      <c r="O52" s="9">
        <v>177.01</v>
      </c>
      <c r="P52" s="9">
        <v>172.28</v>
      </c>
      <c r="Q52" s="9">
        <v>224.19</v>
      </c>
      <c r="R52" s="9">
        <v>153.29</v>
      </c>
      <c r="S52" s="9">
        <v>202.82</v>
      </c>
      <c r="T52" s="9">
        <v>202.17</v>
      </c>
      <c r="U52" s="9">
        <v>223.4</v>
      </c>
      <c r="V52" s="9">
        <v>215.92</v>
      </c>
      <c r="W52" s="9">
        <v>236.14</v>
      </c>
      <c r="X52" s="9">
        <v>223.01</v>
      </c>
      <c r="Y52" s="9">
        <f>239.58-0.68</f>
        <v>238.9</v>
      </c>
      <c r="Z52" s="9">
        <f>233.78-2.78</f>
        <v>231</v>
      </c>
      <c r="AA52" s="9">
        <v>242.14</v>
      </c>
      <c r="AB52" s="9">
        <v>251.82</v>
      </c>
      <c r="AC52" s="9">
        <v>228.55</v>
      </c>
      <c r="AD52" s="9">
        <v>241.12</v>
      </c>
      <c r="AE52" s="9">
        <v>268.83</v>
      </c>
      <c r="AF52" s="9">
        <v>235.84</v>
      </c>
      <c r="AG52" s="9">
        <f>244.74+2.8</f>
        <v>247.54000000000002</v>
      </c>
      <c r="AH52" s="9">
        <v>250.6</v>
      </c>
      <c r="AI52" s="9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</row>
    <row r="53" spans="1:109" s="1" customFormat="1" ht="16.5" customHeight="1" x14ac:dyDescent="0.25">
      <c r="A53" s="7"/>
      <c r="B53" s="8" t="s">
        <v>10</v>
      </c>
      <c r="C53" s="4" t="s">
        <v>6</v>
      </c>
      <c r="D53" s="5">
        <f t="shared" si="10"/>
        <v>2654.8700000000003</v>
      </c>
      <c r="E53" s="9">
        <v>77.3</v>
      </c>
      <c r="F53" s="9">
        <v>87.95</v>
      </c>
      <c r="G53" s="9">
        <v>90.3</v>
      </c>
      <c r="H53" s="9">
        <v>92.32</v>
      </c>
      <c r="I53" s="9">
        <f>78.57-0.06</f>
        <v>78.509999999999991</v>
      </c>
      <c r="J53" s="9">
        <v>75.209999999999994</v>
      </c>
      <c r="K53" s="9">
        <v>78.22</v>
      </c>
      <c r="L53" s="9">
        <v>84.77</v>
      </c>
      <c r="M53" s="9">
        <v>78.41</v>
      </c>
      <c r="N53" s="9">
        <v>91.39</v>
      </c>
      <c r="O53" s="9">
        <v>83.9</v>
      </c>
      <c r="P53" s="9">
        <v>81.2</v>
      </c>
      <c r="Q53" s="9">
        <v>86.44</v>
      </c>
      <c r="R53" s="9">
        <v>65.739999999999995</v>
      </c>
      <c r="S53" s="9">
        <v>83.66</v>
      </c>
      <c r="T53" s="9">
        <v>89.7</v>
      </c>
      <c r="U53" s="9">
        <v>93.24</v>
      </c>
      <c r="V53" s="9">
        <v>85.68</v>
      </c>
      <c r="W53" s="9">
        <v>92.57</v>
      </c>
      <c r="X53" s="9">
        <v>90.24</v>
      </c>
      <c r="Y53" s="9">
        <v>98.46</v>
      </c>
      <c r="Z53" s="9">
        <v>83.38</v>
      </c>
      <c r="AA53" s="9">
        <v>100.15</v>
      </c>
      <c r="AB53" s="9">
        <v>92.4</v>
      </c>
      <c r="AC53" s="9">
        <v>98.86</v>
      </c>
      <c r="AD53" s="9">
        <v>90.46</v>
      </c>
      <c r="AE53" s="9">
        <v>106.55</v>
      </c>
      <c r="AF53" s="9">
        <v>97.33</v>
      </c>
      <c r="AG53" s="9">
        <f>103.68+0.15</f>
        <v>103.83000000000001</v>
      </c>
      <c r="AH53" s="9">
        <v>96.7</v>
      </c>
      <c r="AI53" s="9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</row>
    <row r="54" spans="1:109" s="1" customFormat="1" x14ac:dyDescent="0.25">
      <c r="A54" s="7"/>
      <c r="B54" s="8" t="s">
        <v>11</v>
      </c>
      <c r="C54" s="4" t="s">
        <v>6</v>
      </c>
      <c r="D54" s="5">
        <f t="shared" si="10"/>
        <v>2649.8700000000003</v>
      </c>
      <c r="E54" s="9">
        <v>88.45</v>
      </c>
      <c r="F54" s="9">
        <v>83.61</v>
      </c>
      <c r="G54" s="9">
        <v>90.03</v>
      </c>
      <c r="H54" s="9">
        <v>78.48</v>
      </c>
      <c r="I54" s="9">
        <v>69.61</v>
      </c>
      <c r="J54" s="9">
        <v>87.1</v>
      </c>
      <c r="K54" s="9">
        <v>92.45</v>
      </c>
      <c r="L54" s="9">
        <v>82.14</v>
      </c>
      <c r="M54" s="9">
        <v>73.8</v>
      </c>
      <c r="N54" s="9">
        <v>62.14</v>
      </c>
      <c r="O54" s="9">
        <v>64.92</v>
      </c>
      <c r="P54" s="9">
        <v>64.959999999999994</v>
      </c>
      <c r="Q54" s="9">
        <v>70.150000000000006</v>
      </c>
      <c r="R54" s="9">
        <v>82.79</v>
      </c>
      <c r="S54" s="9">
        <v>80.349999999999994</v>
      </c>
      <c r="T54" s="9">
        <v>85.27</v>
      </c>
      <c r="U54" s="9">
        <v>64</v>
      </c>
      <c r="V54" s="9">
        <v>84.18</v>
      </c>
      <c r="W54" s="9">
        <v>104.66</v>
      </c>
      <c r="X54" s="9">
        <v>101.82</v>
      </c>
      <c r="Y54" s="9">
        <v>92.01</v>
      </c>
      <c r="Z54" s="9">
        <f>100.6+0.03</f>
        <v>100.63</v>
      </c>
      <c r="AA54" s="9">
        <v>97.8</v>
      </c>
      <c r="AB54" s="9">
        <v>102.14</v>
      </c>
      <c r="AC54" s="9">
        <v>101.33</v>
      </c>
      <c r="AD54" s="9">
        <v>100.34</v>
      </c>
      <c r="AE54" s="9">
        <f>116.23-0.06</f>
        <v>116.17</v>
      </c>
      <c r="AF54" s="9">
        <f>114.88-1.96</f>
        <v>112.92</v>
      </c>
      <c r="AG54" s="9">
        <f>104.53-0.39</f>
        <v>104.14</v>
      </c>
      <c r="AH54" s="9">
        <v>111.48</v>
      </c>
      <c r="AI54" s="9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</row>
    <row r="55" spans="1:109" s="1" customFormat="1" ht="15.75" thickBot="1" x14ac:dyDescent="0.3">
      <c r="A55" s="7"/>
      <c r="B55" s="8" t="s">
        <v>12</v>
      </c>
      <c r="C55" s="4" t="s">
        <v>6</v>
      </c>
      <c r="D55" s="29">
        <f>SUM(E55:AI55)</f>
        <v>1945.7099999999998</v>
      </c>
      <c r="E55" s="9">
        <v>67.59</v>
      </c>
      <c r="F55" s="9">
        <v>67.099999999999994</v>
      </c>
      <c r="G55" s="9">
        <v>68.459999999999994</v>
      </c>
      <c r="H55" s="9">
        <v>54.57</v>
      </c>
      <c r="I55" s="9">
        <v>59.36</v>
      </c>
      <c r="J55" s="9">
        <v>56.47</v>
      </c>
      <c r="K55" s="9">
        <v>61.71</v>
      </c>
      <c r="L55" s="9">
        <v>57.25</v>
      </c>
      <c r="M55" s="9">
        <v>65.36</v>
      </c>
      <c r="N55" s="9">
        <v>60.02</v>
      </c>
      <c r="O55" s="9">
        <v>56.81</v>
      </c>
      <c r="P55" s="9">
        <v>54.92</v>
      </c>
      <c r="Q55" s="9">
        <v>65.459999999999994</v>
      </c>
      <c r="R55" s="9">
        <v>63.05</v>
      </c>
      <c r="S55" s="9">
        <v>63.05</v>
      </c>
      <c r="T55" s="9">
        <v>68.64</v>
      </c>
      <c r="U55" s="9">
        <v>67.53</v>
      </c>
      <c r="V55" s="9">
        <v>65.92</v>
      </c>
      <c r="W55" s="9">
        <v>67.92</v>
      </c>
      <c r="X55" s="9">
        <v>66.31</v>
      </c>
      <c r="Y55" s="9">
        <v>66.34</v>
      </c>
      <c r="Z55" s="9">
        <f>67.49-3.1</f>
        <v>64.39</v>
      </c>
      <c r="AA55" s="9">
        <v>69.66</v>
      </c>
      <c r="AB55" s="9">
        <v>68.510000000000005</v>
      </c>
      <c r="AC55" s="9">
        <v>63.01</v>
      </c>
      <c r="AD55" s="9">
        <v>70.59</v>
      </c>
      <c r="AE55" s="9">
        <f>74.22-1.69</f>
        <v>72.53</v>
      </c>
      <c r="AF55" s="9">
        <f>71.37+2.1</f>
        <v>73.47</v>
      </c>
      <c r="AG55" s="9">
        <v>72.03</v>
      </c>
      <c r="AH55" s="9">
        <v>67.680000000000007</v>
      </c>
      <c r="AI55" s="9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</row>
    <row r="57" spans="1:109" ht="21" x14ac:dyDescent="0.35">
      <c r="A57" s="27" t="s">
        <v>18</v>
      </c>
    </row>
    <row r="58" spans="1:109" s="1" customFormat="1" ht="20.25" x14ac:dyDescent="0.25">
      <c r="A58" s="2" t="s">
        <v>4</v>
      </c>
      <c r="B58" s="3" t="s">
        <v>5</v>
      </c>
      <c r="C58" s="4" t="s">
        <v>6</v>
      </c>
      <c r="D58" s="5">
        <f t="shared" ref="D58:D63" si="12">SUM(E58:AI58)</f>
        <v>30234.110000000004</v>
      </c>
      <c r="E58" s="6">
        <f>SUM(E59:E64)</f>
        <v>938.18000000000006</v>
      </c>
      <c r="F58" s="6">
        <f t="shared" ref="F58:AI58" si="13">SUM(F59:F64)</f>
        <v>1056.0600000000002</v>
      </c>
      <c r="G58" s="6">
        <f t="shared" si="13"/>
        <v>1032.8</v>
      </c>
      <c r="H58" s="6">
        <f t="shared" si="13"/>
        <v>992.8</v>
      </c>
      <c r="I58" s="6">
        <f t="shared" si="13"/>
        <v>977.55</v>
      </c>
      <c r="J58" s="6">
        <f t="shared" si="13"/>
        <v>1075.24</v>
      </c>
      <c r="K58" s="6">
        <f t="shared" si="13"/>
        <v>991.14</v>
      </c>
      <c r="L58" s="6">
        <f t="shared" si="13"/>
        <v>1014.6400000000001</v>
      </c>
      <c r="M58" s="6">
        <f t="shared" si="13"/>
        <v>992.67</v>
      </c>
      <c r="N58" s="6">
        <f t="shared" si="13"/>
        <v>981.51</v>
      </c>
      <c r="O58" s="6">
        <f t="shared" si="13"/>
        <v>967.32999999999993</v>
      </c>
      <c r="P58" s="6">
        <f t="shared" si="13"/>
        <v>958.28</v>
      </c>
      <c r="Q58" s="6">
        <f t="shared" si="13"/>
        <v>962.62000000000012</v>
      </c>
      <c r="R58" s="6">
        <f t="shared" si="13"/>
        <v>679.37</v>
      </c>
      <c r="S58" s="6">
        <f t="shared" si="13"/>
        <v>598.54</v>
      </c>
      <c r="T58" s="6">
        <f t="shared" si="13"/>
        <v>681.01</v>
      </c>
      <c r="U58" s="6">
        <f t="shared" si="13"/>
        <v>785.06000000000006</v>
      </c>
      <c r="V58" s="6">
        <f t="shared" si="13"/>
        <v>888.18000000000006</v>
      </c>
      <c r="W58" s="6">
        <f t="shared" si="13"/>
        <v>866.57</v>
      </c>
      <c r="X58" s="6">
        <f t="shared" si="13"/>
        <v>853.86</v>
      </c>
      <c r="Y58" s="6">
        <f t="shared" si="13"/>
        <v>1031.32</v>
      </c>
      <c r="Z58" s="6">
        <f t="shared" si="13"/>
        <v>1115.6999999999998</v>
      </c>
      <c r="AA58" s="6">
        <f t="shared" si="13"/>
        <v>1065.31</v>
      </c>
      <c r="AB58" s="6">
        <f t="shared" si="13"/>
        <v>1049.28</v>
      </c>
      <c r="AC58" s="6">
        <f t="shared" si="13"/>
        <v>1124.01</v>
      </c>
      <c r="AD58" s="6">
        <f t="shared" si="13"/>
        <v>1114.42</v>
      </c>
      <c r="AE58" s="6">
        <f t="shared" si="13"/>
        <v>1106.3800000000001</v>
      </c>
      <c r="AF58" s="6">
        <f t="shared" si="13"/>
        <v>1093.9399999999998</v>
      </c>
      <c r="AG58" s="6">
        <f t="shared" si="13"/>
        <v>1015.03</v>
      </c>
      <c r="AH58" s="6">
        <f t="shared" si="13"/>
        <v>1125.3300000000002</v>
      </c>
      <c r="AI58" s="6">
        <f t="shared" si="13"/>
        <v>1099.98</v>
      </c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</row>
    <row r="59" spans="1:109" s="1" customFormat="1" x14ac:dyDescent="0.25">
      <c r="A59" s="7"/>
      <c r="B59" s="8" t="s">
        <v>7</v>
      </c>
      <c r="C59" s="4" t="s">
        <v>6</v>
      </c>
      <c r="D59" s="5">
        <f t="shared" si="12"/>
        <v>2652.8499999999995</v>
      </c>
      <c r="E59" s="9">
        <v>62.61</v>
      </c>
      <c r="F59" s="9">
        <v>108.11</v>
      </c>
      <c r="G59" s="9">
        <v>97.76</v>
      </c>
      <c r="H59" s="9">
        <v>80.19</v>
      </c>
      <c r="I59" s="9">
        <v>101.07</v>
      </c>
      <c r="J59" s="9">
        <v>113.02</v>
      </c>
      <c r="K59" s="9">
        <v>80.069999999999993</v>
      </c>
      <c r="L59" s="9">
        <v>96.47</v>
      </c>
      <c r="M59" s="9">
        <v>87.47</v>
      </c>
      <c r="N59" s="9">
        <v>96.62</v>
      </c>
      <c r="O59" s="9">
        <v>90.77</v>
      </c>
      <c r="P59" s="9">
        <v>86.38</v>
      </c>
      <c r="Q59" s="9">
        <v>107.51</v>
      </c>
      <c r="R59" s="9">
        <v>45.62</v>
      </c>
      <c r="S59" s="9">
        <v>30.06</v>
      </c>
      <c r="T59" s="9">
        <v>29.98</v>
      </c>
      <c r="U59" s="9">
        <v>50.32</v>
      </c>
      <c r="V59" s="9">
        <v>71.569999999999993</v>
      </c>
      <c r="W59" s="9">
        <v>77.09</v>
      </c>
      <c r="X59" s="9">
        <v>76.239999999999995</v>
      </c>
      <c r="Y59" s="9">
        <v>80.28</v>
      </c>
      <c r="Z59" s="9">
        <v>104.3</v>
      </c>
      <c r="AA59" s="9">
        <v>104.26</v>
      </c>
      <c r="AB59" s="9">
        <v>99.23</v>
      </c>
      <c r="AC59" s="9">
        <v>104.86</v>
      </c>
      <c r="AD59" s="9">
        <v>102.22</v>
      </c>
      <c r="AE59" s="9">
        <v>86.06</v>
      </c>
      <c r="AF59" s="9">
        <v>82.48</v>
      </c>
      <c r="AG59" s="9">
        <v>91.84</v>
      </c>
      <c r="AH59" s="9">
        <v>102.17</v>
      </c>
      <c r="AI59" s="9">
        <v>106.22</v>
      </c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</row>
    <row r="60" spans="1:109" s="1" customFormat="1" x14ac:dyDescent="0.25">
      <c r="A60" s="7"/>
      <c r="B60" s="8" t="s">
        <v>8</v>
      </c>
      <c r="C60" s="4" t="s">
        <v>6</v>
      </c>
      <c r="D60" s="5">
        <f t="shared" si="12"/>
        <v>12118.269999999999</v>
      </c>
      <c r="E60" s="9">
        <v>405.71</v>
      </c>
      <c r="F60" s="9">
        <v>456.98</v>
      </c>
      <c r="G60" s="9">
        <v>434.37</v>
      </c>
      <c r="H60" s="9">
        <v>400.01</v>
      </c>
      <c r="I60" s="9">
        <v>404.51</v>
      </c>
      <c r="J60" s="9">
        <v>450.96</v>
      </c>
      <c r="K60" s="9">
        <v>426.6</v>
      </c>
      <c r="L60" s="9">
        <v>400.23</v>
      </c>
      <c r="M60" s="9">
        <v>435.39</v>
      </c>
      <c r="N60" s="9">
        <v>408.2</v>
      </c>
      <c r="O60" s="9">
        <v>393.16</v>
      </c>
      <c r="P60" s="9">
        <v>435.44</v>
      </c>
      <c r="Q60" s="9">
        <v>382.17</v>
      </c>
      <c r="R60" s="9">
        <v>208.3</v>
      </c>
      <c r="S60" s="9">
        <v>186.67</v>
      </c>
      <c r="T60" s="9">
        <v>200.27</v>
      </c>
      <c r="U60" s="9">
        <v>320.16000000000003</v>
      </c>
      <c r="V60" s="9">
        <v>339.25</v>
      </c>
      <c r="W60" s="9">
        <v>326.87</v>
      </c>
      <c r="X60" s="9">
        <v>324.66000000000003</v>
      </c>
      <c r="Y60" s="9">
        <v>404.25</v>
      </c>
      <c r="Z60" s="9">
        <v>451.02</v>
      </c>
      <c r="AA60" s="9">
        <v>429.34</v>
      </c>
      <c r="AB60" s="9">
        <v>402.73</v>
      </c>
      <c r="AC60" s="9">
        <v>438.7</v>
      </c>
      <c r="AD60" s="9">
        <v>454.13</v>
      </c>
      <c r="AE60" s="9">
        <v>454.49</v>
      </c>
      <c r="AF60" s="9">
        <v>439.14</v>
      </c>
      <c r="AG60" s="9">
        <v>418.01</v>
      </c>
      <c r="AH60" s="9">
        <v>449.81</v>
      </c>
      <c r="AI60" s="9">
        <v>436.74</v>
      </c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</row>
    <row r="61" spans="1:109" s="1" customFormat="1" x14ac:dyDescent="0.25">
      <c r="A61" s="7"/>
      <c r="B61" s="8" t="s">
        <v>9</v>
      </c>
      <c r="C61" s="4" t="s">
        <v>6</v>
      </c>
      <c r="D61" s="5">
        <f>SUM(E61:AI61)</f>
        <v>7659.369999999999</v>
      </c>
      <c r="E61" s="9">
        <v>204.14</v>
      </c>
      <c r="F61" s="9">
        <v>214.09</v>
      </c>
      <c r="G61" s="9">
        <v>241.86</v>
      </c>
      <c r="H61" s="9">
        <v>223.03</v>
      </c>
      <c r="I61" s="9">
        <v>191</v>
      </c>
      <c r="J61" s="9">
        <v>228.13</v>
      </c>
      <c r="K61" s="9">
        <v>216.81</v>
      </c>
      <c r="L61" s="9">
        <v>260.95999999999998</v>
      </c>
      <c r="M61" s="9">
        <v>231.79</v>
      </c>
      <c r="N61" s="9">
        <v>209.23</v>
      </c>
      <c r="O61" s="9">
        <v>224.56</v>
      </c>
      <c r="P61" s="9">
        <v>173.13</v>
      </c>
      <c r="Q61" s="9">
        <v>222.24</v>
      </c>
      <c r="R61" s="9">
        <v>234.83</v>
      </c>
      <c r="S61" s="9">
        <v>211.83</v>
      </c>
      <c r="T61" s="9">
        <v>273.83</v>
      </c>
      <c r="U61" s="9">
        <v>227.22</v>
      </c>
      <c r="V61" s="9">
        <v>269.68</v>
      </c>
      <c r="W61" s="9">
        <v>266.55</v>
      </c>
      <c r="X61" s="9">
        <v>267.16000000000003</v>
      </c>
      <c r="Y61" s="9">
        <v>270.04000000000002</v>
      </c>
      <c r="Z61" s="9">
        <v>279.32</v>
      </c>
      <c r="AA61" s="9">
        <v>255.38</v>
      </c>
      <c r="AB61" s="9">
        <v>270.02</v>
      </c>
      <c r="AC61" s="9">
        <v>305.08999999999997</v>
      </c>
      <c r="AD61" s="9">
        <v>274.19</v>
      </c>
      <c r="AE61" s="9">
        <v>297.70999999999998</v>
      </c>
      <c r="AF61" s="9">
        <v>283.77999999999997</v>
      </c>
      <c r="AG61" s="9">
        <v>238.44</v>
      </c>
      <c r="AH61" s="9">
        <v>300.2</v>
      </c>
      <c r="AI61" s="9">
        <f>293.42-0.29</f>
        <v>293.13</v>
      </c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</row>
    <row r="62" spans="1:109" s="1" customFormat="1" ht="16.5" customHeight="1" x14ac:dyDescent="0.25">
      <c r="A62" s="7"/>
      <c r="B62" s="8" t="s">
        <v>10</v>
      </c>
      <c r="C62" s="4" t="s">
        <v>6</v>
      </c>
      <c r="D62" s="5">
        <f t="shared" si="12"/>
        <v>2760.9700000000007</v>
      </c>
      <c r="E62" s="9">
        <v>89.97</v>
      </c>
      <c r="F62" s="9">
        <v>99.72</v>
      </c>
      <c r="G62" s="9">
        <v>85.66</v>
      </c>
      <c r="H62" s="9">
        <v>106.41</v>
      </c>
      <c r="I62" s="9">
        <v>101.31</v>
      </c>
      <c r="J62" s="9">
        <v>106.18</v>
      </c>
      <c r="K62" s="9">
        <v>102.03</v>
      </c>
      <c r="L62" s="9">
        <v>89.61</v>
      </c>
      <c r="M62" s="9">
        <v>74.5</v>
      </c>
      <c r="N62" s="9">
        <v>88.97</v>
      </c>
      <c r="O62" s="9">
        <v>89.5</v>
      </c>
      <c r="P62" s="9">
        <v>96.85</v>
      </c>
      <c r="Q62" s="9">
        <v>84.73</v>
      </c>
      <c r="R62" s="9">
        <v>68.5</v>
      </c>
      <c r="S62" s="9">
        <v>63.47</v>
      </c>
      <c r="T62" s="9">
        <v>66.16</v>
      </c>
      <c r="U62" s="9">
        <v>72.63</v>
      </c>
      <c r="V62" s="9">
        <v>73.52</v>
      </c>
      <c r="W62" s="9">
        <v>80.349999999999994</v>
      </c>
      <c r="X62" s="9">
        <v>74.680000000000007</v>
      </c>
      <c r="Y62" s="9">
        <v>98.08</v>
      </c>
      <c r="Z62" s="9">
        <v>99.49</v>
      </c>
      <c r="AA62" s="9">
        <v>90.67</v>
      </c>
      <c r="AB62" s="9">
        <v>98.26</v>
      </c>
      <c r="AC62" s="9">
        <v>98.76</v>
      </c>
      <c r="AD62" s="9">
        <v>96.35</v>
      </c>
      <c r="AE62" s="9">
        <v>92.44</v>
      </c>
      <c r="AF62" s="9">
        <f>96.31+2.08</f>
        <v>98.39</v>
      </c>
      <c r="AG62" s="9">
        <v>89.7</v>
      </c>
      <c r="AH62" s="9">
        <v>100.53</v>
      </c>
      <c r="AI62" s="9">
        <v>83.55</v>
      </c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</row>
    <row r="63" spans="1:109" s="1" customFormat="1" x14ac:dyDescent="0.25">
      <c r="A63" s="7"/>
      <c r="B63" s="8" t="s">
        <v>11</v>
      </c>
      <c r="C63" s="4" t="s">
        <v>6</v>
      </c>
      <c r="D63" s="5">
        <f t="shared" si="12"/>
        <v>3212.3100000000004</v>
      </c>
      <c r="E63" s="9">
        <v>106.68</v>
      </c>
      <c r="F63" s="9">
        <v>108.4</v>
      </c>
      <c r="G63" s="9">
        <v>101.64</v>
      </c>
      <c r="H63" s="9">
        <v>116.48</v>
      </c>
      <c r="I63" s="9">
        <v>112.23</v>
      </c>
      <c r="J63" s="9">
        <v>104.06</v>
      </c>
      <c r="K63" s="9">
        <v>99.04</v>
      </c>
      <c r="L63" s="9">
        <v>96.88</v>
      </c>
      <c r="M63" s="9">
        <v>102.18</v>
      </c>
      <c r="N63" s="9">
        <v>108.71</v>
      </c>
      <c r="O63" s="9">
        <v>100.67</v>
      </c>
      <c r="P63" s="9">
        <v>106.96</v>
      </c>
      <c r="Q63" s="9">
        <v>98.73</v>
      </c>
      <c r="R63" s="9">
        <v>83.45</v>
      </c>
      <c r="S63" s="9">
        <v>70.02</v>
      </c>
      <c r="T63" s="9">
        <v>75.63</v>
      </c>
      <c r="U63" s="9">
        <v>75.819999999999993</v>
      </c>
      <c r="V63" s="9">
        <v>96.44</v>
      </c>
      <c r="W63" s="9">
        <v>80.569999999999993</v>
      </c>
      <c r="X63" s="9">
        <v>77.260000000000005</v>
      </c>
      <c r="Y63" s="9">
        <v>120.26</v>
      </c>
      <c r="Z63" s="9">
        <v>123.13</v>
      </c>
      <c r="AA63" s="9">
        <v>125.36</v>
      </c>
      <c r="AB63" s="9">
        <v>122.77</v>
      </c>
      <c r="AC63" s="9">
        <v>121.94</v>
      </c>
      <c r="AD63" s="9">
        <v>118.86</v>
      </c>
      <c r="AE63" s="9">
        <v>106.17</v>
      </c>
      <c r="AF63" s="9">
        <f>120.77+0.06</f>
        <v>120.83</v>
      </c>
      <c r="AG63" s="9">
        <v>111.22</v>
      </c>
      <c r="AH63" s="9">
        <v>107.16</v>
      </c>
      <c r="AI63" s="9">
        <v>112.76</v>
      </c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</row>
    <row r="64" spans="1:109" s="1" customFormat="1" ht="15.75" thickBot="1" x14ac:dyDescent="0.3">
      <c r="A64" s="7"/>
      <c r="B64" s="8" t="s">
        <v>12</v>
      </c>
      <c r="C64" s="4" t="s">
        <v>6</v>
      </c>
      <c r="D64" s="29">
        <f>SUM(E64:AI64)</f>
        <v>1830.34</v>
      </c>
      <c r="E64" s="9">
        <v>69.069999999999993</v>
      </c>
      <c r="F64" s="9">
        <v>68.760000000000005</v>
      </c>
      <c r="G64" s="9">
        <v>71.510000000000005</v>
      </c>
      <c r="H64" s="9">
        <v>66.680000000000007</v>
      </c>
      <c r="I64" s="9">
        <v>67.430000000000007</v>
      </c>
      <c r="J64" s="9">
        <v>72.89</v>
      </c>
      <c r="K64" s="9">
        <v>66.59</v>
      </c>
      <c r="L64" s="9">
        <v>70.489999999999995</v>
      </c>
      <c r="M64" s="9">
        <v>61.34</v>
      </c>
      <c r="N64" s="9">
        <v>69.78</v>
      </c>
      <c r="O64" s="9">
        <v>68.67</v>
      </c>
      <c r="P64" s="9">
        <v>59.52</v>
      </c>
      <c r="Q64" s="9">
        <v>67.239999999999995</v>
      </c>
      <c r="R64" s="9">
        <v>38.67</v>
      </c>
      <c r="S64" s="9">
        <v>36.49</v>
      </c>
      <c r="T64" s="9">
        <v>35.14</v>
      </c>
      <c r="U64" s="9">
        <v>38.909999999999997</v>
      </c>
      <c r="V64" s="9">
        <v>37.72</v>
      </c>
      <c r="W64" s="9">
        <v>35.14</v>
      </c>
      <c r="X64" s="9">
        <v>33.86</v>
      </c>
      <c r="Y64" s="9">
        <v>58.41</v>
      </c>
      <c r="Z64" s="9">
        <v>58.44</v>
      </c>
      <c r="AA64" s="9">
        <v>60.3</v>
      </c>
      <c r="AB64" s="9">
        <v>56.27</v>
      </c>
      <c r="AC64" s="9">
        <v>54.66</v>
      </c>
      <c r="AD64" s="9">
        <f>68.54+0.13</f>
        <v>68.67</v>
      </c>
      <c r="AE64" s="9">
        <v>69.510000000000005</v>
      </c>
      <c r="AF64" s="9">
        <v>69.319999999999993</v>
      </c>
      <c r="AG64" s="9">
        <v>65.819999999999993</v>
      </c>
      <c r="AH64" s="9">
        <v>65.459999999999994</v>
      </c>
      <c r="AI64" s="9">
        <v>67.58</v>
      </c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</row>
    <row r="66" spans="1:109" ht="21" x14ac:dyDescent="0.35">
      <c r="A66" s="27" t="s">
        <v>19</v>
      </c>
    </row>
    <row r="67" spans="1:109" s="1" customFormat="1" ht="20.25" x14ac:dyDescent="0.25">
      <c r="A67" s="2" t="s">
        <v>4</v>
      </c>
      <c r="B67" s="3" t="s">
        <v>5</v>
      </c>
      <c r="C67" s="4" t="s">
        <v>6</v>
      </c>
      <c r="D67" s="5">
        <f t="shared" ref="D67:D72" si="14">SUM(E67:AI67)</f>
        <v>33019.260000000009</v>
      </c>
      <c r="E67" s="6">
        <f>SUM(E68:E73)</f>
        <v>1110.3</v>
      </c>
      <c r="F67" s="6">
        <f t="shared" ref="F67:AI67" si="15">SUM(F68:F73)</f>
        <v>1039.82</v>
      </c>
      <c r="G67" s="6">
        <f t="shared" si="15"/>
        <v>1076.45</v>
      </c>
      <c r="H67" s="6">
        <f t="shared" si="15"/>
        <v>1032.24</v>
      </c>
      <c r="I67" s="6">
        <f t="shared" si="15"/>
        <v>1066.52</v>
      </c>
      <c r="J67" s="6">
        <f t="shared" si="15"/>
        <v>1041.6699999999998</v>
      </c>
      <c r="K67" s="6">
        <f t="shared" si="15"/>
        <v>1124.51</v>
      </c>
      <c r="L67" s="6">
        <f t="shared" si="15"/>
        <v>1057.9099999999999</v>
      </c>
      <c r="M67" s="6">
        <f t="shared" si="15"/>
        <v>1014.68</v>
      </c>
      <c r="N67" s="6">
        <f t="shared" si="15"/>
        <v>1109.3700000000001</v>
      </c>
      <c r="O67" s="6">
        <f t="shared" si="15"/>
        <v>1096.71</v>
      </c>
      <c r="P67" s="6">
        <f t="shared" si="15"/>
        <v>1061.28</v>
      </c>
      <c r="Q67" s="6">
        <f t="shared" si="15"/>
        <v>1099.33</v>
      </c>
      <c r="R67" s="6">
        <f t="shared" si="15"/>
        <v>1031.1600000000001</v>
      </c>
      <c r="S67" s="6">
        <f t="shared" si="15"/>
        <v>1055.54</v>
      </c>
      <c r="T67" s="6">
        <f t="shared" si="15"/>
        <v>1033.9000000000001</v>
      </c>
      <c r="U67" s="6">
        <f t="shared" si="15"/>
        <v>1030.04</v>
      </c>
      <c r="V67" s="6">
        <f t="shared" si="15"/>
        <v>1045.95</v>
      </c>
      <c r="W67" s="6">
        <f t="shared" si="15"/>
        <v>1054.5700000000002</v>
      </c>
      <c r="X67" s="6">
        <f t="shared" si="15"/>
        <v>1114.52</v>
      </c>
      <c r="Y67" s="6">
        <f t="shared" si="15"/>
        <v>1016.99</v>
      </c>
      <c r="Z67" s="6">
        <f t="shared" si="15"/>
        <v>1066.1100000000001</v>
      </c>
      <c r="AA67" s="6">
        <f t="shared" si="15"/>
        <v>1013.36</v>
      </c>
      <c r="AB67" s="6">
        <f t="shared" si="15"/>
        <v>1053.6399999999999</v>
      </c>
      <c r="AC67" s="6">
        <f t="shared" si="15"/>
        <v>1044.56</v>
      </c>
      <c r="AD67" s="6">
        <f t="shared" si="15"/>
        <v>994.73</v>
      </c>
      <c r="AE67" s="6">
        <f t="shared" si="15"/>
        <v>1132.28</v>
      </c>
      <c r="AF67" s="6">
        <f t="shared" si="15"/>
        <v>1087.6600000000001</v>
      </c>
      <c r="AG67" s="6">
        <f t="shared" si="15"/>
        <v>1056.73</v>
      </c>
      <c r="AH67" s="6">
        <f t="shared" si="15"/>
        <v>1103.2</v>
      </c>
      <c r="AI67" s="6">
        <f t="shared" si="15"/>
        <v>1153.53</v>
      </c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</row>
    <row r="68" spans="1:109" s="1" customFormat="1" x14ac:dyDescent="0.25">
      <c r="A68" s="7"/>
      <c r="B68" s="8" t="s">
        <v>7</v>
      </c>
      <c r="C68" s="4" t="s">
        <v>6</v>
      </c>
      <c r="D68" s="5">
        <f t="shared" si="14"/>
        <v>3066.8100000000004</v>
      </c>
      <c r="E68" s="9">
        <v>91.64</v>
      </c>
      <c r="F68" s="9">
        <v>94.47</v>
      </c>
      <c r="G68" s="9">
        <v>94.65</v>
      </c>
      <c r="H68" s="9">
        <v>79.28</v>
      </c>
      <c r="I68" s="9">
        <v>93.49</v>
      </c>
      <c r="J68" s="9">
        <v>104.9</v>
      </c>
      <c r="K68" s="9">
        <v>119.73</v>
      </c>
      <c r="L68" s="9">
        <v>100.77</v>
      </c>
      <c r="M68" s="9">
        <v>85.43</v>
      </c>
      <c r="N68" s="9">
        <v>120.92</v>
      </c>
      <c r="O68" s="9">
        <v>92.27</v>
      </c>
      <c r="P68" s="9">
        <v>87.35</v>
      </c>
      <c r="Q68" s="9">
        <v>105.99</v>
      </c>
      <c r="R68" s="9">
        <v>95.49</v>
      </c>
      <c r="S68" s="9">
        <v>95.37</v>
      </c>
      <c r="T68" s="9">
        <f>96.01-0.03</f>
        <v>95.98</v>
      </c>
      <c r="U68" s="9">
        <v>97.38</v>
      </c>
      <c r="V68" s="9">
        <v>94.47</v>
      </c>
      <c r="W68" s="9">
        <v>106.46</v>
      </c>
      <c r="X68" s="9">
        <v>104.03</v>
      </c>
      <c r="Y68" s="9">
        <v>106.04</v>
      </c>
      <c r="Z68" s="9">
        <v>105.75</v>
      </c>
      <c r="AA68" s="9">
        <v>77.180000000000007</v>
      </c>
      <c r="AB68" s="9">
        <v>105.87</v>
      </c>
      <c r="AC68" s="9">
        <v>63.08</v>
      </c>
      <c r="AD68" s="9">
        <v>112.41</v>
      </c>
      <c r="AE68" s="9">
        <v>106.34</v>
      </c>
      <c r="AF68" s="9">
        <f>120.98-0.79</f>
        <v>120.19</v>
      </c>
      <c r="AG68" s="9">
        <f>90.47+1.08</f>
        <v>91.55</v>
      </c>
      <c r="AH68" s="9">
        <f>91.26</f>
        <v>91.26</v>
      </c>
      <c r="AI68" s="9">
        <v>127.07</v>
      </c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</row>
    <row r="69" spans="1:109" s="1" customFormat="1" x14ac:dyDescent="0.25">
      <c r="A69" s="7"/>
      <c r="B69" s="8" t="s">
        <v>8</v>
      </c>
      <c r="C69" s="4" t="s">
        <v>6</v>
      </c>
      <c r="D69" s="5">
        <f t="shared" si="14"/>
        <v>12914.569999999998</v>
      </c>
      <c r="E69" s="9">
        <v>455.63</v>
      </c>
      <c r="F69" s="9">
        <v>415.31</v>
      </c>
      <c r="G69" s="9">
        <v>451.35</v>
      </c>
      <c r="H69" s="9">
        <v>393.86</v>
      </c>
      <c r="I69" s="9">
        <v>414.19</v>
      </c>
      <c r="J69" s="9">
        <v>366.02</v>
      </c>
      <c r="K69" s="9">
        <v>465.87</v>
      </c>
      <c r="L69" s="9">
        <v>409.3</v>
      </c>
      <c r="M69" s="9">
        <v>408.41</v>
      </c>
      <c r="N69" s="9">
        <v>435.47</v>
      </c>
      <c r="O69" s="9">
        <v>447.85</v>
      </c>
      <c r="P69" s="9">
        <v>416.54</v>
      </c>
      <c r="Q69" s="9">
        <v>435.31</v>
      </c>
      <c r="R69" s="9">
        <v>409.6</v>
      </c>
      <c r="S69" s="9">
        <v>414.26</v>
      </c>
      <c r="T69" s="9">
        <v>400.82</v>
      </c>
      <c r="U69" s="9">
        <v>384.94</v>
      </c>
      <c r="V69" s="9">
        <v>403.77</v>
      </c>
      <c r="W69" s="9">
        <v>395.99</v>
      </c>
      <c r="X69" s="9">
        <v>453.02</v>
      </c>
      <c r="Y69" s="9">
        <v>376.99</v>
      </c>
      <c r="Z69" s="9">
        <v>419.21</v>
      </c>
      <c r="AA69" s="9">
        <v>418.57</v>
      </c>
      <c r="AB69" s="9">
        <v>409.68</v>
      </c>
      <c r="AC69" s="9">
        <v>412.01</v>
      </c>
      <c r="AD69" s="9">
        <v>337.02</v>
      </c>
      <c r="AE69" s="9">
        <v>452.63</v>
      </c>
      <c r="AF69" s="9">
        <v>407.89</v>
      </c>
      <c r="AG69" s="9">
        <f>422.72-0.04</f>
        <v>422.68</v>
      </c>
      <c r="AH69" s="9">
        <f>434</f>
        <v>434</v>
      </c>
      <c r="AI69" s="9">
        <v>446.38</v>
      </c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</row>
    <row r="70" spans="1:109" s="1" customFormat="1" x14ac:dyDescent="0.25">
      <c r="A70" s="7"/>
      <c r="B70" s="8" t="s">
        <v>9</v>
      </c>
      <c r="C70" s="4" t="s">
        <v>6</v>
      </c>
      <c r="D70" s="5">
        <f>SUM(E70:AI70)</f>
        <v>8491.35</v>
      </c>
      <c r="E70" s="9">
        <v>287.35000000000002</v>
      </c>
      <c r="F70" s="9">
        <v>254.65</v>
      </c>
      <c r="G70" s="9">
        <v>280.85000000000002</v>
      </c>
      <c r="H70" s="9">
        <v>294.27999999999997</v>
      </c>
      <c r="I70" s="9">
        <v>286.63</v>
      </c>
      <c r="J70" s="9">
        <v>291.14999999999998</v>
      </c>
      <c r="K70" s="9">
        <v>263.33</v>
      </c>
      <c r="L70" s="9">
        <v>279.81</v>
      </c>
      <c r="M70" s="9">
        <v>252.37</v>
      </c>
      <c r="N70" s="9">
        <v>277.58</v>
      </c>
      <c r="O70" s="9">
        <v>286.77999999999997</v>
      </c>
      <c r="P70" s="9">
        <v>296.13</v>
      </c>
      <c r="Q70" s="9">
        <v>278.05</v>
      </c>
      <c r="R70" s="9">
        <v>272.8</v>
      </c>
      <c r="S70" s="9">
        <v>251.4</v>
      </c>
      <c r="T70" s="9">
        <v>266.72000000000003</v>
      </c>
      <c r="U70" s="9">
        <v>274.67</v>
      </c>
      <c r="V70" s="9">
        <v>270.82</v>
      </c>
      <c r="W70" s="9">
        <v>281.22000000000003</v>
      </c>
      <c r="X70" s="9">
        <v>280.44</v>
      </c>
      <c r="Y70" s="9">
        <v>266.94</v>
      </c>
      <c r="Z70" s="9">
        <v>257.95999999999998</v>
      </c>
      <c r="AA70" s="9">
        <v>246.25</v>
      </c>
      <c r="AB70" s="9">
        <f>258.57+2.82</f>
        <v>261.39</v>
      </c>
      <c r="AC70" s="9">
        <v>289.87</v>
      </c>
      <c r="AD70" s="9">
        <v>273.73</v>
      </c>
      <c r="AE70" s="9">
        <v>280.85000000000002</v>
      </c>
      <c r="AF70" s="9">
        <v>260.95</v>
      </c>
      <c r="AG70" s="9">
        <v>262.72000000000003</v>
      </c>
      <c r="AH70" s="9">
        <v>282.27999999999997</v>
      </c>
      <c r="AI70" s="9">
        <v>281.38</v>
      </c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</row>
    <row r="71" spans="1:109" s="1" customFormat="1" ht="16.5" customHeight="1" x14ac:dyDescent="0.25">
      <c r="A71" s="7"/>
      <c r="B71" s="8" t="s">
        <v>10</v>
      </c>
      <c r="C71" s="4" t="s">
        <v>6</v>
      </c>
      <c r="D71" s="5">
        <f t="shared" si="14"/>
        <v>2903.07</v>
      </c>
      <c r="E71" s="9">
        <v>103.45</v>
      </c>
      <c r="F71" s="9">
        <v>101.57</v>
      </c>
      <c r="G71" s="9">
        <v>82.67</v>
      </c>
      <c r="H71" s="9">
        <v>99.01</v>
      </c>
      <c r="I71" s="9">
        <v>94.92</v>
      </c>
      <c r="J71" s="9">
        <v>99.24</v>
      </c>
      <c r="K71" s="9">
        <v>85.22</v>
      </c>
      <c r="L71" s="9">
        <v>88.28</v>
      </c>
      <c r="M71" s="9">
        <f>98.27+0.14</f>
        <v>98.41</v>
      </c>
      <c r="N71" s="9">
        <v>89.55</v>
      </c>
      <c r="O71" s="9">
        <f>91.15+0.04</f>
        <v>91.190000000000012</v>
      </c>
      <c r="P71" s="9">
        <v>79.59</v>
      </c>
      <c r="Q71" s="9">
        <v>89.6</v>
      </c>
      <c r="R71" s="9">
        <v>83.01</v>
      </c>
      <c r="S71" s="9">
        <v>98.15</v>
      </c>
      <c r="T71" s="9">
        <v>91.25</v>
      </c>
      <c r="U71" s="9">
        <v>94.37</v>
      </c>
      <c r="V71" s="9">
        <v>82.41</v>
      </c>
      <c r="W71" s="9">
        <v>87.98</v>
      </c>
      <c r="X71" s="9">
        <v>98.28</v>
      </c>
      <c r="Y71" s="9">
        <v>85.94</v>
      </c>
      <c r="Z71" s="9">
        <v>92.33</v>
      </c>
      <c r="AA71" s="9">
        <v>85.96</v>
      </c>
      <c r="AB71" s="9">
        <v>91.11</v>
      </c>
      <c r="AC71" s="9">
        <v>93.41</v>
      </c>
      <c r="AD71" s="9">
        <v>95.01</v>
      </c>
      <c r="AE71" s="9">
        <v>100.2</v>
      </c>
      <c r="AF71" s="9">
        <f>110.29-0.02</f>
        <v>110.27000000000001</v>
      </c>
      <c r="AG71" s="9">
        <f>95.73-0.64</f>
        <v>95.09</v>
      </c>
      <c r="AH71" s="9">
        <f>105.93</f>
        <v>105.93</v>
      </c>
      <c r="AI71" s="9">
        <v>109.67</v>
      </c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</row>
    <row r="72" spans="1:109" s="1" customFormat="1" x14ac:dyDescent="0.25">
      <c r="A72" s="7"/>
      <c r="B72" s="8" t="s">
        <v>11</v>
      </c>
      <c r="C72" s="4" t="s">
        <v>6</v>
      </c>
      <c r="D72" s="5">
        <f t="shared" si="14"/>
        <v>3547.5099999999998</v>
      </c>
      <c r="E72" s="9">
        <v>110.18</v>
      </c>
      <c r="F72" s="9">
        <v>109.85</v>
      </c>
      <c r="G72" s="9">
        <v>104.49</v>
      </c>
      <c r="H72" s="9">
        <f>94.61+0.12</f>
        <v>94.73</v>
      </c>
      <c r="I72" s="9">
        <v>109.73</v>
      </c>
      <c r="J72" s="9">
        <v>113.05</v>
      </c>
      <c r="K72" s="9">
        <v>118.54</v>
      </c>
      <c r="L72" s="9">
        <v>113.88</v>
      </c>
      <c r="M72" s="9">
        <v>106.29</v>
      </c>
      <c r="N72" s="9">
        <v>125.17</v>
      </c>
      <c r="O72" s="9">
        <f>114.61+0.12</f>
        <v>114.73</v>
      </c>
      <c r="P72" s="9">
        <v>117.45</v>
      </c>
      <c r="Q72" s="9">
        <v>125.75</v>
      </c>
      <c r="R72" s="9">
        <v>102.54</v>
      </c>
      <c r="S72" s="9">
        <f>126.46+0.06</f>
        <v>126.52</v>
      </c>
      <c r="T72" s="9">
        <v>109.34</v>
      </c>
      <c r="U72" s="9">
        <f>112.15-1.1</f>
        <v>111.05000000000001</v>
      </c>
      <c r="V72" s="9">
        <v>128.56</v>
      </c>
      <c r="W72" s="9">
        <v>117.29</v>
      </c>
      <c r="X72" s="9">
        <v>110.59</v>
      </c>
      <c r="Y72" s="9">
        <v>110.64</v>
      </c>
      <c r="Z72" s="9">
        <v>120.35</v>
      </c>
      <c r="AA72" s="9">
        <v>115.23</v>
      </c>
      <c r="AB72" s="9">
        <f>113.57-0.42</f>
        <v>113.14999999999999</v>
      </c>
      <c r="AC72" s="9">
        <v>115.73</v>
      </c>
      <c r="AD72" s="9">
        <v>105.97</v>
      </c>
      <c r="AE72" s="9">
        <v>123.15</v>
      </c>
      <c r="AF72" s="9">
        <v>117.94</v>
      </c>
      <c r="AG72" s="9">
        <f>116.09-1.07</f>
        <v>115.02000000000001</v>
      </c>
      <c r="AH72" s="9">
        <f>124.16+0.24</f>
        <v>124.39999999999999</v>
      </c>
      <c r="AI72" s="9">
        <v>116.2</v>
      </c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</row>
    <row r="73" spans="1:109" s="1" customFormat="1" ht="15.75" thickBot="1" x14ac:dyDescent="0.3">
      <c r="A73" s="7"/>
      <c r="B73" s="8" t="s">
        <v>12</v>
      </c>
      <c r="C73" s="4" t="s">
        <v>6</v>
      </c>
      <c r="D73" s="29">
        <f>SUM(E73:AI73)</f>
        <v>2095.9500000000003</v>
      </c>
      <c r="E73" s="9">
        <v>62.05</v>
      </c>
      <c r="F73" s="9">
        <v>63.97</v>
      </c>
      <c r="G73" s="9">
        <v>62.44</v>
      </c>
      <c r="H73" s="9">
        <v>71.08</v>
      </c>
      <c r="I73" s="9">
        <v>67.56</v>
      </c>
      <c r="J73" s="9">
        <v>67.31</v>
      </c>
      <c r="K73" s="9">
        <v>71.819999999999993</v>
      </c>
      <c r="L73" s="9">
        <v>65.87</v>
      </c>
      <c r="M73" s="9">
        <v>63.77</v>
      </c>
      <c r="N73" s="9">
        <v>60.68</v>
      </c>
      <c r="O73" s="9">
        <v>63.89</v>
      </c>
      <c r="P73" s="9">
        <v>64.22</v>
      </c>
      <c r="Q73" s="9">
        <v>64.63</v>
      </c>
      <c r="R73" s="9">
        <v>67.72</v>
      </c>
      <c r="S73" s="9">
        <v>69.84</v>
      </c>
      <c r="T73" s="9">
        <v>69.790000000000006</v>
      </c>
      <c r="U73" s="9">
        <f>68.22-0.59</f>
        <v>67.63</v>
      </c>
      <c r="V73" s="9">
        <v>65.92</v>
      </c>
      <c r="W73" s="9">
        <v>65.63</v>
      </c>
      <c r="X73" s="9">
        <v>68.16</v>
      </c>
      <c r="Y73" s="9">
        <v>70.44</v>
      </c>
      <c r="Z73" s="9">
        <v>70.510000000000005</v>
      </c>
      <c r="AA73" s="9">
        <v>70.17</v>
      </c>
      <c r="AB73" s="9">
        <v>72.44</v>
      </c>
      <c r="AC73" s="9">
        <v>70.459999999999994</v>
      </c>
      <c r="AD73" s="9">
        <v>70.59</v>
      </c>
      <c r="AE73" s="9">
        <v>69.11</v>
      </c>
      <c r="AF73" s="9">
        <v>70.42</v>
      </c>
      <c r="AG73" s="9">
        <v>69.67</v>
      </c>
      <c r="AH73" s="9">
        <v>65.33</v>
      </c>
      <c r="AI73" s="9">
        <v>72.83</v>
      </c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</row>
    <row r="75" spans="1:109" ht="21" x14ac:dyDescent="0.35">
      <c r="A75" s="27" t="s">
        <v>20</v>
      </c>
    </row>
    <row r="76" spans="1:109" s="1" customFormat="1" ht="20.25" x14ac:dyDescent="0.25">
      <c r="A76" s="2" t="s">
        <v>4</v>
      </c>
      <c r="B76" s="3" t="s">
        <v>5</v>
      </c>
      <c r="C76" s="4" t="s">
        <v>6</v>
      </c>
      <c r="D76" s="5">
        <f t="shared" ref="D76:D81" si="16">SUM(E76:AI76)</f>
        <v>32162.6</v>
      </c>
      <c r="E76" s="6">
        <f>SUM(E77:E82)</f>
        <v>1067.9100000000001</v>
      </c>
      <c r="F76" s="6">
        <f t="shared" ref="F76:AI76" si="17">SUM(F77:F82)</f>
        <v>1021.3100000000001</v>
      </c>
      <c r="G76" s="6">
        <f t="shared" si="17"/>
        <v>1029.74</v>
      </c>
      <c r="H76" s="6">
        <f t="shared" si="17"/>
        <v>1146.57</v>
      </c>
      <c r="I76" s="6">
        <f t="shared" si="17"/>
        <v>1028.6699999999998</v>
      </c>
      <c r="J76" s="6">
        <f t="shared" si="17"/>
        <v>993.45999999999992</v>
      </c>
      <c r="K76" s="6">
        <f t="shared" si="17"/>
        <v>1090.06</v>
      </c>
      <c r="L76" s="6">
        <f t="shared" si="17"/>
        <v>1132.0700000000002</v>
      </c>
      <c r="M76" s="6">
        <f t="shared" si="17"/>
        <v>1155.92</v>
      </c>
      <c r="N76" s="6">
        <f t="shared" si="17"/>
        <v>1040.28</v>
      </c>
      <c r="O76" s="6">
        <f t="shared" si="17"/>
        <v>1120.2099999999998</v>
      </c>
      <c r="P76" s="6">
        <f t="shared" si="17"/>
        <v>1145.96</v>
      </c>
      <c r="Q76" s="6">
        <f t="shared" si="17"/>
        <v>1102.08</v>
      </c>
      <c r="R76" s="6">
        <f t="shared" si="17"/>
        <v>1095</v>
      </c>
      <c r="S76" s="6">
        <f t="shared" si="17"/>
        <v>1047.54</v>
      </c>
      <c r="T76" s="6">
        <f t="shared" si="17"/>
        <v>1072.8499999999999</v>
      </c>
      <c r="U76" s="6">
        <f t="shared" si="17"/>
        <v>970.27</v>
      </c>
      <c r="V76" s="6">
        <f t="shared" si="17"/>
        <v>993.55000000000007</v>
      </c>
      <c r="W76" s="6">
        <f t="shared" si="17"/>
        <v>1083.6600000000001</v>
      </c>
      <c r="X76" s="6">
        <f t="shared" si="17"/>
        <v>1118.51</v>
      </c>
      <c r="Y76" s="6">
        <f t="shared" si="17"/>
        <v>1080.79</v>
      </c>
      <c r="Z76" s="6">
        <f t="shared" si="17"/>
        <v>1053.6399999999999</v>
      </c>
      <c r="AA76" s="6">
        <f t="shared" si="17"/>
        <v>1008.99</v>
      </c>
      <c r="AB76" s="6">
        <f t="shared" si="17"/>
        <v>1095.7099999999998</v>
      </c>
      <c r="AC76" s="6">
        <f t="shared" si="17"/>
        <v>1086.79</v>
      </c>
      <c r="AD76" s="6">
        <f t="shared" si="17"/>
        <v>1006.2099999999998</v>
      </c>
      <c r="AE76" s="6">
        <f t="shared" si="17"/>
        <v>1103.3799999999999</v>
      </c>
      <c r="AF76" s="6">
        <f t="shared" si="17"/>
        <v>1065.8599999999999</v>
      </c>
      <c r="AG76" s="6">
        <f t="shared" si="17"/>
        <v>1132.5899999999999</v>
      </c>
      <c r="AH76" s="6">
        <f t="shared" si="17"/>
        <v>1073.02</v>
      </c>
      <c r="AI76" s="6">
        <f t="shared" si="17"/>
        <v>0</v>
      </c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</row>
    <row r="77" spans="1:109" s="1" customFormat="1" x14ac:dyDescent="0.25">
      <c r="A77" s="7"/>
      <c r="B77" s="8" t="s">
        <v>7</v>
      </c>
      <c r="C77" s="4" t="s">
        <v>6</v>
      </c>
      <c r="D77" s="5">
        <f t="shared" si="16"/>
        <v>2985.2400000000007</v>
      </c>
      <c r="E77" s="9">
        <v>114.26</v>
      </c>
      <c r="F77" s="9">
        <v>89.44</v>
      </c>
      <c r="G77" s="9">
        <v>65.489999999999995</v>
      </c>
      <c r="H77" s="9">
        <v>111.85</v>
      </c>
      <c r="I77" s="9">
        <v>104.41</v>
      </c>
      <c r="J77" s="9">
        <v>83.99</v>
      </c>
      <c r="K77" s="9">
        <v>107.93</v>
      </c>
      <c r="L77" s="9">
        <v>115.19</v>
      </c>
      <c r="M77" s="9">
        <v>95.68</v>
      </c>
      <c r="N77" s="9">
        <v>80.14</v>
      </c>
      <c r="O77" s="9">
        <v>100.23</v>
      </c>
      <c r="P77" s="9">
        <v>104.26</v>
      </c>
      <c r="Q77" s="9">
        <v>90.42</v>
      </c>
      <c r="R77" s="9">
        <v>95.38</v>
      </c>
      <c r="S77" s="9">
        <v>79.900000000000006</v>
      </c>
      <c r="T77" s="9">
        <v>97.2</v>
      </c>
      <c r="U77" s="9">
        <v>82.27</v>
      </c>
      <c r="V77" s="9">
        <v>98.61</v>
      </c>
      <c r="W77" s="9">
        <v>98.72</v>
      </c>
      <c r="X77" s="9">
        <v>112.81</v>
      </c>
      <c r="Y77" s="9">
        <v>120.18</v>
      </c>
      <c r="Z77" s="9">
        <v>107.3</v>
      </c>
      <c r="AA77" s="9">
        <v>108.08</v>
      </c>
      <c r="AB77" s="9">
        <v>113.69</v>
      </c>
      <c r="AC77" s="9">
        <v>110.13</v>
      </c>
      <c r="AD77" s="9">
        <v>96.25</v>
      </c>
      <c r="AE77" s="9">
        <v>104.71</v>
      </c>
      <c r="AF77" s="9">
        <v>99.89</v>
      </c>
      <c r="AG77" s="9">
        <f>118.4-0.85</f>
        <v>117.55000000000001</v>
      </c>
      <c r="AH77" s="9">
        <v>79.28</v>
      </c>
      <c r="AI77" s="9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</row>
    <row r="78" spans="1:109" s="1" customFormat="1" x14ac:dyDescent="0.25">
      <c r="A78" s="7"/>
      <c r="B78" s="8" t="s">
        <v>8</v>
      </c>
      <c r="C78" s="4" t="s">
        <v>6</v>
      </c>
      <c r="D78" s="5">
        <f t="shared" si="16"/>
        <v>12381.380000000003</v>
      </c>
      <c r="E78" s="9">
        <v>384.06</v>
      </c>
      <c r="F78" s="9">
        <v>404.6</v>
      </c>
      <c r="G78" s="9">
        <v>408.44</v>
      </c>
      <c r="H78" s="9">
        <v>462.61</v>
      </c>
      <c r="I78" s="9">
        <v>374.03</v>
      </c>
      <c r="J78" s="9">
        <v>392.81</v>
      </c>
      <c r="K78" s="9">
        <v>412.74</v>
      </c>
      <c r="L78" s="9">
        <v>444.03</v>
      </c>
      <c r="M78" s="9">
        <v>459.92</v>
      </c>
      <c r="N78" s="9">
        <v>411.2</v>
      </c>
      <c r="O78" s="9">
        <f>421.54+0.34</f>
        <v>421.88</v>
      </c>
      <c r="P78" s="9">
        <v>437.36</v>
      </c>
      <c r="Q78" s="9">
        <v>445.85</v>
      </c>
      <c r="R78" s="9">
        <v>417.87</v>
      </c>
      <c r="S78" s="9">
        <v>387.31</v>
      </c>
      <c r="T78" s="9">
        <v>432.25</v>
      </c>
      <c r="U78" s="9">
        <v>352.39</v>
      </c>
      <c r="V78" s="9">
        <v>376.61</v>
      </c>
      <c r="W78" s="9">
        <v>425.22</v>
      </c>
      <c r="X78" s="9">
        <v>454.71</v>
      </c>
      <c r="Y78" s="9">
        <v>419.52</v>
      </c>
      <c r="Z78" s="9">
        <v>369.18</v>
      </c>
      <c r="AA78" s="9">
        <v>382.44</v>
      </c>
      <c r="AB78" s="9">
        <v>398.17</v>
      </c>
      <c r="AC78" s="9">
        <v>424.95</v>
      </c>
      <c r="AD78" s="9">
        <v>404.01</v>
      </c>
      <c r="AE78" s="9">
        <f>447-0.38</f>
        <v>446.62</v>
      </c>
      <c r="AF78" s="9">
        <v>400.45</v>
      </c>
      <c r="AG78" s="9">
        <v>430.42</v>
      </c>
      <c r="AH78" s="9">
        <v>399.73</v>
      </c>
      <c r="AI78" s="9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</row>
    <row r="79" spans="1:109" s="1" customFormat="1" x14ac:dyDescent="0.25">
      <c r="A79" s="7"/>
      <c r="B79" s="8" t="s">
        <v>9</v>
      </c>
      <c r="C79" s="4" t="s">
        <v>6</v>
      </c>
      <c r="D79" s="5">
        <f>SUM(E79:AI79)</f>
        <v>8200.7300000000014</v>
      </c>
      <c r="E79" s="9">
        <v>286.45999999999998</v>
      </c>
      <c r="F79" s="9">
        <v>249.84</v>
      </c>
      <c r="G79" s="9">
        <v>287.18</v>
      </c>
      <c r="H79" s="9">
        <f>281.44-0.12</f>
        <v>281.32</v>
      </c>
      <c r="I79" s="9">
        <f>270.88-0.18</f>
        <v>270.7</v>
      </c>
      <c r="J79" s="9">
        <v>257.08999999999997</v>
      </c>
      <c r="K79" s="9">
        <v>281.52999999999997</v>
      </c>
      <c r="L79" s="9">
        <v>282.22000000000003</v>
      </c>
      <c r="M79" s="9">
        <v>306.60000000000002</v>
      </c>
      <c r="N79" s="9">
        <v>269.19</v>
      </c>
      <c r="O79" s="9">
        <f>295.56+0.09</f>
        <v>295.64999999999998</v>
      </c>
      <c r="P79" s="9">
        <v>288.89999999999998</v>
      </c>
      <c r="Q79" s="9">
        <v>262.58999999999997</v>
      </c>
      <c r="R79" s="9">
        <v>282.37</v>
      </c>
      <c r="S79" s="9">
        <v>284.22000000000003</v>
      </c>
      <c r="T79" s="9">
        <v>259.02999999999997</v>
      </c>
      <c r="U79" s="9">
        <f>263.81-1.96</f>
        <v>261.85000000000002</v>
      </c>
      <c r="V79" s="9">
        <f>248.86+2.49</f>
        <v>251.35000000000002</v>
      </c>
      <c r="W79" s="9">
        <f>290.11-7.2</f>
        <v>282.91000000000003</v>
      </c>
      <c r="X79" s="9">
        <v>268.76</v>
      </c>
      <c r="Y79" s="9">
        <v>258.97000000000003</v>
      </c>
      <c r="Z79" s="9">
        <v>292.89999999999998</v>
      </c>
      <c r="AA79" s="9">
        <v>242.27</v>
      </c>
      <c r="AB79" s="9">
        <v>291.76</v>
      </c>
      <c r="AC79" s="9">
        <v>263.02</v>
      </c>
      <c r="AD79" s="9">
        <v>224.55</v>
      </c>
      <c r="AE79" s="9">
        <v>261.69</v>
      </c>
      <c r="AF79" s="9">
        <v>282.08999999999997</v>
      </c>
      <c r="AG79" s="9">
        <v>281</v>
      </c>
      <c r="AH79" s="9">
        <v>292.72000000000003</v>
      </c>
      <c r="AI79" s="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</row>
    <row r="80" spans="1:109" s="1" customFormat="1" ht="16.5" customHeight="1" x14ac:dyDescent="0.25">
      <c r="A80" s="7"/>
      <c r="B80" s="8" t="s">
        <v>10</v>
      </c>
      <c r="C80" s="4" t="s">
        <v>6</v>
      </c>
      <c r="D80" s="5">
        <f t="shared" si="16"/>
        <v>3114.03</v>
      </c>
      <c r="E80" s="9">
        <v>102.19</v>
      </c>
      <c r="F80" s="9">
        <v>102.81</v>
      </c>
      <c r="G80" s="9">
        <v>98.66</v>
      </c>
      <c r="H80" s="9">
        <v>111.13</v>
      </c>
      <c r="I80" s="9">
        <v>109.57</v>
      </c>
      <c r="J80" s="9">
        <v>97.75</v>
      </c>
      <c r="K80" s="9">
        <v>105.13</v>
      </c>
      <c r="L80" s="9">
        <f>119.41+1.56</f>
        <v>120.97</v>
      </c>
      <c r="M80" s="9">
        <v>117.7</v>
      </c>
      <c r="N80" s="9">
        <v>107.85</v>
      </c>
      <c r="O80" s="9">
        <f>114.66+0.77+0.23</f>
        <v>115.66</v>
      </c>
      <c r="P80" s="9">
        <v>118.28</v>
      </c>
      <c r="Q80" s="9">
        <f>114.67-1.4</f>
        <v>113.27</v>
      </c>
      <c r="R80" s="9">
        <v>106.43</v>
      </c>
      <c r="S80" s="9">
        <v>110.14</v>
      </c>
      <c r="T80" s="9">
        <v>101.13</v>
      </c>
      <c r="U80" s="9">
        <v>89.77</v>
      </c>
      <c r="V80" s="9">
        <v>86.55</v>
      </c>
      <c r="W80" s="9">
        <v>93.09</v>
      </c>
      <c r="X80" s="9">
        <v>86.32</v>
      </c>
      <c r="Y80" s="9">
        <v>96.06</v>
      </c>
      <c r="Z80" s="9">
        <v>100.43</v>
      </c>
      <c r="AA80" s="9">
        <v>100.54</v>
      </c>
      <c r="AB80" s="9">
        <v>107.51</v>
      </c>
      <c r="AC80" s="9">
        <v>106.92</v>
      </c>
      <c r="AD80" s="9">
        <v>94.28</v>
      </c>
      <c r="AE80" s="9">
        <v>99.89</v>
      </c>
      <c r="AF80" s="9">
        <v>91.93</v>
      </c>
      <c r="AG80" s="9">
        <v>112.71</v>
      </c>
      <c r="AH80" s="9">
        <v>109.36</v>
      </c>
      <c r="AI80" s="9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</row>
    <row r="81" spans="1:109" s="1" customFormat="1" x14ac:dyDescent="0.25">
      <c r="A81" s="7"/>
      <c r="B81" s="8" t="s">
        <v>11</v>
      </c>
      <c r="C81" s="4" t="s">
        <v>6</v>
      </c>
      <c r="D81" s="5">
        <f t="shared" si="16"/>
        <v>3449.4699999999993</v>
      </c>
      <c r="E81" s="9">
        <v>110.83</v>
      </c>
      <c r="F81" s="9">
        <v>104.62</v>
      </c>
      <c r="G81" s="9">
        <v>100.95</v>
      </c>
      <c r="H81" s="9">
        <v>110.36</v>
      </c>
      <c r="I81" s="9">
        <v>102.28</v>
      </c>
      <c r="J81" s="9">
        <v>97.69</v>
      </c>
      <c r="K81" s="9">
        <v>119.68</v>
      </c>
      <c r="L81" s="9">
        <v>101.39</v>
      </c>
      <c r="M81" s="9">
        <v>109.59</v>
      </c>
      <c r="N81" s="9">
        <v>105.02</v>
      </c>
      <c r="O81" s="9">
        <f>115.15+0.06</f>
        <v>115.21000000000001</v>
      </c>
      <c r="P81" s="9">
        <v>126.54</v>
      </c>
      <c r="Q81" s="9">
        <v>117.54</v>
      </c>
      <c r="R81" s="9">
        <v>120.79</v>
      </c>
      <c r="S81" s="9">
        <v>117.38</v>
      </c>
      <c r="T81" s="9">
        <v>113.91</v>
      </c>
      <c r="U81" s="9">
        <f>113.41+1.89</f>
        <v>115.3</v>
      </c>
      <c r="V81" s="9">
        <v>113.11</v>
      </c>
      <c r="W81" s="9">
        <v>117.16</v>
      </c>
      <c r="X81" s="9">
        <v>132.61000000000001</v>
      </c>
      <c r="Y81" s="9">
        <v>121.27</v>
      </c>
      <c r="Z81" s="9">
        <v>116.15</v>
      </c>
      <c r="AA81" s="9">
        <v>111.84</v>
      </c>
      <c r="AB81" s="9">
        <v>119.24</v>
      </c>
      <c r="AC81" s="9">
        <f>114.44-0.24</f>
        <v>114.2</v>
      </c>
      <c r="AD81" s="9">
        <v>122.31</v>
      </c>
      <c r="AE81" s="9">
        <v>124.7</v>
      </c>
      <c r="AF81" s="9">
        <f>123.93-0.06</f>
        <v>123.87</v>
      </c>
      <c r="AG81" s="9">
        <v>121.35</v>
      </c>
      <c r="AH81" s="9">
        <v>122.58</v>
      </c>
      <c r="AI81" s="9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</row>
    <row r="82" spans="1:109" s="1" customFormat="1" ht="15.75" thickBot="1" x14ac:dyDescent="0.3">
      <c r="A82" s="7"/>
      <c r="B82" s="8" t="s">
        <v>12</v>
      </c>
      <c r="C82" s="4" t="s">
        <v>6</v>
      </c>
      <c r="D82" s="29">
        <f>SUM(E82:AI82)</f>
        <v>2031.7499999999995</v>
      </c>
      <c r="E82" s="9">
        <v>70.11</v>
      </c>
      <c r="F82" s="9">
        <v>70</v>
      </c>
      <c r="G82" s="9">
        <v>69.02</v>
      </c>
      <c r="H82" s="9">
        <v>69.3</v>
      </c>
      <c r="I82" s="9">
        <v>67.680000000000007</v>
      </c>
      <c r="J82" s="9">
        <f>64.68-0.55</f>
        <v>64.13000000000001</v>
      </c>
      <c r="K82" s="9">
        <v>63.05</v>
      </c>
      <c r="L82" s="9">
        <v>68.27</v>
      </c>
      <c r="M82" s="9">
        <v>66.430000000000007</v>
      </c>
      <c r="N82" s="9">
        <v>66.88</v>
      </c>
      <c r="O82" s="9">
        <v>71.58</v>
      </c>
      <c r="P82" s="9">
        <v>70.62</v>
      </c>
      <c r="Q82" s="9">
        <f>72.47-0.06</f>
        <v>72.41</v>
      </c>
      <c r="R82" s="9">
        <v>72.16</v>
      </c>
      <c r="S82" s="9">
        <v>68.59</v>
      </c>
      <c r="T82" s="9">
        <v>69.33</v>
      </c>
      <c r="U82" s="9">
        <v>68.69</v>
      </c>
      <c r="V82" s="9">
        <f>69.42-2.1</f>
        <v>67.320000000000007</v>
      </c>
      <c r="W82" s="9">
        <f>65.51+1.05</f>
        <v>66.56</v>
      </c>
      <c r="X82" s="9">
        <v>63.3</v>
      </c>
      <c r="Y82" s="9">
        <v>64.790000000000006</v>
      </c>
      <c r="Z82" s="9">
        <v>67.680000000000007</v>
      </c>
      <c r="AA82" s="9">
        <v>63.82</v>
      </c>
      <c r="AB82" s="9">
        <v>65.34</v>
      </c>
      <c r="AC82" s="9">
        <v>67.569999999999993</v>
      </c>
      <c r="AD82" s="9">
        <v>64.81</v>
      </c>
      <c r="AE82" s="9">
        <v>65.77</v>
      </c>
      <c r="AF82" s="9">
        <v>67.63</v>
      </c>
      <c r="AG82" s="9">
        <v>69.56</v>
      </c>
      <c r="AH82" s="9">
        <v>69.349999999999994</v>
      </c>
      <c r="AI82" s="9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</row>
    <row r="84" spans="1:109" ht="21" x14ac:dyDescent="0.35">
      <c r="A84" s="27" t="s">
        <v>21</v>
      </c>
    </row>
    <row r="85" spans="1:109" s="1" customFormat="1" ht="20.25" x14ac:dyDescent="0.25">
      <c r="A85" s="2" t="s">
        <v>4</v>
      </c>
      <c r="B85" s="3" t="s">
        <v>5</v>
      </c>
      <c r="C85" s="4" t="s">
        <v>6</v>
      </c>
      <c r="D85" s="5">
        <f t="shared" ref="D85:D90" si="18">SUM(E85:AI85)</f>
        <v>32103.599999999999</v>
      </c>
      <c r="E85" s="6">
        <f>SUM(E86:E91)</f>
        <v>1028.8600000000001</v>
      </c>
      <c r="F85" s="6">
        <f t="shared" ref="F85:AI85" si="19">SUM(F86:F91)</f>
        <v>1111.6400000000001</v>
      </c>
      <c r="G85" s="6">
        <f t="shared" si="19"/>
        <v>1069.6200000000001</v>
      </c>
      <c r="H85" s="6">
        <f t="shared" si="19"/>
        <v>1125.71</v>
      </c>
      <c r="I85" s="6">
        <f t="shared" si="19"/>
        <v>1084.01</v>
      </c>
      <c r="J85" s="6">
        <f t="shared" si="19"/>
        <v>1110.9599999999998</v>
      </c>
      <c r="K85" s="6">
        <f t="shared" si="19"/>
        <v>1039.6799999999998</v>
      </c>
      <c r="L85" s="6">
        <f t="shared" si="19"/>
        <v>928.18999999999994</v>
      </c>
      <c r="M85" s="6">
        <f t="shared" si="19"/>
        <v>989.17</v>
      </c>
      <c r="N85" s="6">
        <f t="shared" si="19"/>
        <v>1119.6100000000001</v>
      </c>
      <c r="O85" s="6">
        <f t="shared" si="19"/>
        <v>1042.5900000000001</v>
      </c>
      <c r="P85" s="6">
        <f t="shared" si="19"/>
        <v>961.86999999999989</v>
      </c>
      <c r="Q85" s="6">
        <f t="shared" si="19"/>
        <v>987.1</v>
      </c>
      <c r="R85" s="6">
        <f t="shared" si="19"/>
        <v>1058.23</v>
      </c>
      <c r="S85" s="6">
        <f t="shared" si="19"/>
        <v>1021.01</v>
      </c>
      <c r="T85" s="6">
        <f t="shared" si="19"/>
        <v>999.91000000000008</v>
      </c>
      <c r="U85" s="6">
        <f t="shared" si="19"/>
        <v>1043.1599999999999</v>
      </c>
      <c r="V85" s="6">
        <f t="shared" si="19"/>
        <v>1017.5300000000001</v>
      </c>
      <c r="W85" s="6">
        <f t="shared" si="19"/>
        <v>878.55</v>
      </c>
      <c r="X85" s="6">
        <f t="shared" si="19"/>
        <v>1009.7299999999999</v>
      </c>
      <c r="Y85" s="6">
        <f t="shared" si="19"/>
        <v>987</v>
      </c>
      <c r="Z85" s="6">
        <f t="shared" si="19"/>
        <v>1032.04</v>
      </c>
      <c r="AA85" s="6">
        <f t="shared" si="19"/>
        <v>1037.07</v>
      </c>
      <c r="AB85" s="6">
        <f t="shared" si="19"/>
        <v>1025.56</v>
      </c>
      <c r="AC85" s="6">
        <f t="shared" si="19"/>
        <v>1077.76</v>
      </c>
      <c r="AD85" s="6">
        <f t="shared" si="19"/>
        <v>1011.04</v>
      </c>
      <c r="AE85" s="6">
        <f t="shared" si="19"/>
        <v>974.54000000000008</v>
      </c>
      <c r="AF85" s="6">
        <f t="shared" si="19"/>
        <v>1055.9000000000001</v>
      </c>
      <c r="AG85" s="6">
        <f t="shared" si="19"/>
        <v>1038.05</v>
      </c>
      <c r="AH85" s="6">
        <f t="shared" si="19"/>
        <v>1125.76</v>
      </c>
      <c r="AI85" s="6">
        <f t="shared" si="19"/>
        <v>1111.7500000000002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</row>
    <row r="86" spans="1:109" s="1" customFormat="1" x14ac:dyDescent="0.25">
      <c r="A86" s="7"/>
      <c r="B86" s="8" t="s">
        <v>7</v>
      </c>
      <c r="C86" s="4" t="s">
        <v>6</v>
      </c>
      <c r="D86" s="5">
        <f t="shared" si="18"/>
        <v>2936.62</v>
      </c>
      <c r="E86" s="9">
        <v>95.05</v>
      </c>
      <c r="F86" s="9">
        <v>113.66</v>
      </c>
      <c r="G86" s="9">
        <v>102.11</v>
      </c>
      <c r="H86" s="9">
        <v>88.26</v>
      </c>
      <c r="I86" s="9">
        <v>92.1</v>
      </c>
      <c r="J86" s="9">
        <v>106.87</v>
      </c>
      <c r="K86" s="9">
        <v>94.83</v>
      </c>
      <c r="L86" s="9">
        <v>80.52</v>
      </c>
      <c r="M86" s="9">
        <f>92.64+0.54</f>
        <v>93.18</v>
      </c>
      <c r="N86" s="9">
        <v>110.11</v>
      </c>
      <c r="O86" s="9">
        <v>91.68</v>
      </c>
      <c r="P86" s="9">
        <v>82.44</v>
      </c>
      <c r="Q86" s="9">
        <v>80.59</v>
      </c>
      <c r="R86" s="9">
        <v>99.75</v>
      </c>
      <c r="S86" s="9">
        <v>88.92</v>
      </c>
      <c r="T86" s="9">
        <v>90.44</v>
      </c>
      <c r="U86" s="9">
        <v>75.069999999999993</v>
      </c>
      <c r="V86" s="9">
        <v>94.18</v>
      </c>
      <c r="W86" s="9">
        <v>96.52</v>
      </c>
      <c r="X86" s="9">
        <v>76.69</v>
      </c>
      <c r="Y86" s="9">
        <v>86.25</v>
      </c>
      <c r="Z86" s="9">
        <v>99.75</v>
      </c>
      <c r="AA86" s="9">
        <v>97.35</v>
      </c>
      <c r="AB86" s="9">
        <v>90.72</v>
      </c>
      <c r="AC86" s="9">
        <v>90.29</v>
      </c>
      <c r="AD86" s="9">
        <v>88.71</v>
      </c>
      <c r="AE86" s="9">
        <v>113.57</v>
      </c>
      <c r="AF86" s="9">
        <v>92.08</v>
      </c>
      <c r="AG86" s="9">
        <v>103.58</v>
      </c>
      <c r="AH86" s="9">
        <v>103.14</v>
      </c>
      <c r="AI86" s="9">
        <v>118.21</v>
      </c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</row>
    <row r="87" spans="1:109" s="1" customFormat="1" x14ac:dyDescent="0.25">
      <c r="A87" s="7"/>
      <c r="B87" s="8" t="s">
        <v>8</v>
      </c>
      <c r="C87" s="4" t="s">
        <v>6</v>
      </c>
      <c r="D87" s="5">
        <f t="shared" si="18"/>
        <v>12707.329999999998</v>
      </c>
      <c r="E87" s="9">
        <v>397.79</v>
      </c>
      <c r="F87" s="9">
        <v>435.45</v>
      </c>
      <c r="G87" s="9">
        <v>399.62</v>
      </c>
      <c r="H87" s="9">
        <v>464.26</v>
      </c>
      <c r="I87" s="9">
        <v>434.27</v>
      </c>
      <c r="J87" s="9">
        <v>430.89</v>
      </c>
      <c r="K87" s="9">
        <v>402.04</v>
      </c>
      <c r="L87" s="9">
        <v>373.84</v>
      </c>
      <c r="M87" s="9">
        <v>378.3</v>
      </c>
      <c r="N87" s="9">
        <v>456.69</v>
      </c>
      <c r="O87" s="9">
        <v>434.93</v>
      </c>
      <c r="P87" s="9">
        <v>372.68</v>
      </c>
      <c r="Q87" s="9">
        <v>424.89</v>
      </c>
      <c r="R87" s="9">
        <v>439.15</v>
      </c>
      <c r="S87" s="9">
        <v>419.41</v>
      </c>
      <c r="T87" s="9">
        <v>372.2</v>
      </c>
      <c r="U87" s="9">
        <v>436.73</v>
      </c>
      <c r="V87" s="9">
        <v>419.17</v>
      </c>
      <c r="W87" s="9">
        <v>319.77999999999997</v>
      </c>
      <c r="X87" s="9">
        <v>414.62</v>
      </c>
      <c r="Y87" s="9">
        <v>376.92</v>
      </c>
      <c r="Z87" s="9">
        <v>417.15</v>
      </c>
      <c r="AA87" s="9">
        <v>402.72</v>
      </c>
      <c r="AB87" s="9">
        <v>397.17</v>
      </c>
      <c r="AC87" s="9">
        <v>440.01</v>
      </c>
      <c r="AD87" s="9">
        <v>388.21</v>
      </c>
      <c r="AE87" s="9">
        <v>395.8</v>
      </c>
      <c r="AF87" s="9">
        <v>411.33</v>
      </c>
      <c r="AG87" s="9">
        <v>368.92</v>
      </c>
      <c r="AH87" s="9">
        <v>442.01</v>
      </c>
      <c r="AI87" s="9">
        <v>440.38</v>
      </c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</row>
    <row r="88" spans="1:109" s="1" customFormat="1" x14ac:dyDescent="0.25">
      <c r="A88" s="7"/>
      <c r="B88" s="8" t="s">
        <v>9</v>
      </c>
      <c r="C88" s="4" t="s">
        <v>6</v>
      </c>
      <c r="D88" s="5">
        <f>SUM(E88:AI88)</f>
        <v>7837.1600000000017</v>
      </c>
      <c r="E88" s="9">
        <v>264.60000000000002</v>
      </c>
      <c r="F88" s="9">
        <f>268.02+4.04</f>
        <v>272.06</v>
      </c>
      <c r="G88" s="9">
        <v>290.60000000000002</v>
      </c>
      <c r="H88" s="9">
        <v>282.20999999999998</v>
      </c>
      <c r="I88" s="9">
        <v>273.63</v>
      </c>
      <c r="J88" s="9">
        <v>267.47000000000003</v>
      </c>
      <c r="K88" s="9">
        <v>264.95999999999998</v>
      </c>
      <c r="L88" s="9">
        <v>210.07</v>
      </c>
      <c r="M88" s="9">
        <f>249.13-2.08</f>
        <v>247.04999999999998</v>
      </c>
      <c r="N88" s="9">
        <v>259.73</v>
      </c>
      <c r="O88" s="9">
        <v>243.07</v>
      </c>
      <c r="P88" s="9">
        <v>226.26</v>
      </c>
      <c r="Q88" s="9">
        <v>201.49</v>
      </c>
      <c r="R88" s="9">
        <v>252.4</v>
      </c>
      <c r="S88" s="9">
        <v>244.26</v>
      </c>
      <c r="T88" s="9">
        <v>257.3</v>
      </c>
      <c r="U88" s="9">
        <v>258.75</v>
      </c>
      <c r="V88" s="9">
        <v>231.84</v>
      </c>
      <c r="W88" s="9">
        <v>233.05</v>
      </c>
      <c r="X88" s="9">
        <v>242.68</v>
      </c>
      <c r="Y88" s="9">
        <v>243.6</v>
      </c>
      <c r="Z88" s="9">
        <v>230.05</v>
      </c>
      <c r="AA88" s="9">
        <v>249.22</v>
      </c>
      <c r="AB88" s="9">
        <v>255.63</v>
      </c>
      <c r="AC88" s="9">
        <v>253.58</v>
      </c>
      <c r="AD88" s="9">
        <v>244.38</v>
      </c>
      <c r="AE88" s="9">
        <v>218.25</v>
      </c>
      <c r="AF88" s="9">
        <v>273.33999999999997</v>
      </c>
      <c r="AG88" s="9">
        <v>278.08999999999997</v>
      </c>
      <c r="AH88" s="9">
        <f>285.63+1.57</f>
        <v>287.2</v>
      </c>
      <c r="AI88" s="9">
        <v>280.33999999999997</v>
      </c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</row>
    <row r="89" spans="1:109" s="1" customFormat="1" ht="16.5" customHeight="1" x14ac:dyDescent="0.25">
      <c r="A89" s="7"/>
      <c r="B89" s="8" t="s">
        <v>10</v>
      </c>
      <c r="C89" s="4" t="s">
        <v>6</v>
      </c>
      <c r="D89" s="5">
        <f t="shared" si="18"/>
        <v>3190.57</v>
      </c>
      <c r="E89" s="9">
        <v>104.29</v>
      </c>
      <c r="F89" s="9">
        <v>112.58</v>
      </c>
      <c r="G89" s="9">
        <v>97.96</v>
      </c>
      <c r="H89" s="9">
        <v>106.63</v>
      </c>
      <c r="I89" s="9">
        <v>99.39</v>
      </c>
      <c r="J89" s="9">
        <f>113.15+1.4</f>
        <v>114.55000000000001</v>
      </c>
      <c r="K89" s="9">
        <v>115.52</v>
      </c>
      <c r="L89" s="9">
        <v>96.37</v>
      </c>
      <c r="M89" s="9">
        <v>95.61</v>
      </c>
      <c r="N89" s="9">
        <v>104.44</v>
      </c>
      <c r="O89" s="9">
        <v>106.23</v>
      </c>
      <c r="P89" s="9">
        <f>109.26+0.01</f>
        <v>109.27000000000001</v>
      </c>
      <c r="Q89" s="9">
        <v>120.99</v>
      </c>
      <c r="R89" s="9">
        <v>95.11</v>
      </c>
      <c r="S89" s="9">
        <v>104.87</v>
      </c>
      <c r="T89" s="9">
        <f>109.67-1.4</f>
        <v>108.27</v>
      </c>
      <c r="U89" s="9">
        <v>87.52</v>
      </c>
      <c r="V89" s="9">
        <v>88.35</v>
      </c>
      <c r="W89" s="9">
        <v>67.97</v>
      </c>
      <c r="X89" s="9">
        <v>99.9</v>
      </c>
      <c r="Y89" s="9">
        <v>105.87</v>
      </c>
      <c r="Z89" s="9">
        <v>108.38</v>
      </c>
      <c r="AA89" s="9">
        <v>111.17</v>
      </c>
      <c r="AB89" s="9">
        <v>98.65</v>
      </c>
      <c r="AC89" s="9">
        <v>112.9</v>
      </c>
      <c r="AD89" s="9">
        <v>109.24</v>
      </c>
      <c r="AE89" s="9">
        <v>87.64</v>
      </c>
      <c r="AF89" s="9">
        <v>103.09</v>
      </c>
      <c r="AG89" s="9">
        <v>110</v>
      </c>
      <c r="AH89" s="9">
        <f>111.05-0.07</f>
        <v>110.98</v>
      </c>
      <c r="AI89" s="9">
        <f>96.68+0.15</f>
        <v>96.830000000000013</v>
      </c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</row>
    <row r="90" spans="1:109" s="1" customFormat="1" x14ac:dyDescent="0.25">
      <c r="A90" s="7"/>
      <c r="B90" s="8" t="s">
        <v>11</v>
      </c>
      <c r="C90" s="4" t="s">
        <v>6</v>
      </c>
      <c r="D90" s="5">
        <f t="shared" si="18"/>
        <v>3328.3100000000004</v>
      </c>
      <c r="E90" s="9">
        <v>99.47</v>
      </c>
      <c r="F90" s="9">
        <v>107.98</v>
      </c>
      <c r="G90" s="9">
        <v>110.01</v>
      </c>
      <c r="H90" s="9">
        <v>114.83</v>
      </c>
      <c r="I90" s="9">
        <v>119.4</v>
      </c>
      <c r="J90" s="9">
        <v>118.86</v>
      </c>
      <c r="K90" s="9">
        <v>98.32</v>
      </c>
      <c r="L90" s="9">
        <v>100.02</v>
      </c>
      <c r="M90" s="9">
        <f>117.68+0.3</f>
        <v>117.98</v>
      </c>
      <c r="N90" s="9">
        <v>115.75</v>
      </c>
      <c r="O90" s="9">
        <f>104.45-0.06</f>
        <v>104.39</v>
      </c>
      <c r="P90" s="9">
        <v>98.04</v>
      </c>
      <c r="Q90" s="9">
        <v>99.02</v>
      </c>
      <c r="R90" s="9">
        <v>103.24</v>
      </c>
      <c r="S90" s="9">
        <v>92.88</v>
      </c>
      <c r="T90" s="9">
        <v>100.93</v>
      </c>
      <c r="U90" s="9">
        <v>112.96</v>
      </c>
      <c r="V90" s="9">
        <v>114.76</v>
      </c>
      <c r="W90" s="9">
        <v>103.11</v>
      </c>
      <c r="X90" s="9">
        <v>103.79</v>
      </c>
      <c r="Y90" s="9">
        <v>102.34</v>
      </c>
      <c r="Z90" s="9">
        <v>105.54</v>
      </c>
      <c r="AA90" s="9">
        <f>109.26-5.85</f>
        <v>103.41000000000001</v>
      </c>
      <c r="AB90" s="9">
        <f>112.36</f>
        <v>112.36</v>
      </c>
      <c r="AC90" s="9">
        <v>114.33</v>
      </c>
      <c r="AD90" s="9">
        <v>108.34</v>
      </c>
      <c r="AE90" s="9">
        <v>108.69</v>
      </c>
      <c r="AF90" s="9">
        <v>107.72</v>
      </c>
      <c r="AG90" s="9">
        <v>107.59</v>
      </c>
      <c r="AH90" s="9">
        <f>111.65-0.21</f>
        <v>111.44000000000001</v>
      </c>
      <c r="AI90" s="9">
        <v>110.81</v>
      </c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</row>
    <row r="91" spans="1:109" s="1" customFormat="1" ht="15.75" thickBot="1" x14ac:dyDescent="0.3">
      <c r="A91" s="7"/>
      <c r="B91" s="8" t="s">
        <v>12</v>
      </c>
      <c r="C91" s="4" t="s">
        <v>6</v>
      </c>
      <c r="D91" s="29">
        <f>SUM(E91:AI91)</f>
        <v>2103.6099999999997</v>
      </c>
      <c r="E91" s="9">
        <v>67.66</v>
      </c>
      <c r="F91" s="9">
        <v>69.91</v>
      </c>
      <c r="G91" s="9">
        <v>69.319999999999993</v>
      </c>
      <c r="H91" s="9">
        <v>69.52</v>
      </c>
      <c r="I91" s="9">
        <v>65.22</v>
      </c>
      <c r="J91" s="9">
        <f>69.07+3.25</f>
        <v>72.319999999999993</v>
      </c>
      <c r="K91" s="9">
        <v>64.010000000000005</v>
      </c>
      <c r="L91" s="9">
        <v>67.37</v>
      </c>
      <c r="M91" s="9">
        <f>67.65-10.6</f>
        <v>57.050000000000004</v>
      </c>
      <c r="N91" s="9">
        <v>72.89</v>
      </c>
      <c r="O91" s="9">
        <v>62.29</v>
      </c>
      <c r="P91" s="9">
        <v>73.180000000000007</v>
      </c>
      <c r="Q91" s="9">
        <v>60.12</v>
      </c>
      <c r="R91" s="9">
        <v>68.58</v>
      </c>
      <c r="S91" s="9">
        <v>70.67</v>
      </c>
      <c r="T91" s="9">
        <v>70.77</v>
      </c>
      <c r="U91" s="9">
        <v>72.13</v>
      </c>
      <c r="V91" s="9">
        <v>69.23</v>
      </c>
      <c r="W91" s="9">
        <v>58.12</v>
      </c>
      <c r="X91" s="9">
        <v>72.05</v>
      </c>
      <c r="Y91" s="9">
        <v>72.02</v>
      </c>
      <c r="Z91" s="9">
        <v>71.17</v>
      </c>
      <c r="AA91" s="9">
        <v>73.2</v>
      </c>
      <c r="AB91" s="9">
        <v>71.03</v>
      </c>
      <c r="AC91" s="9">
        <v>66.650000000000006</v>
      </c>
      <c r="AD91" s="9">
        <v>72.16</v>
      </c>
      <c r="AE91" s="9">
        <v>50.59</v>
      </c>
      <c r="AF91" s="9">
        <v>68.34</v>
      </c>
      <c r="AG91" s="9">
        <v>69.87</v>
      </c>
      <c r="AH91" s="9">
        <v>70.989999999999995</v>
      </c>
      <c r="AI91" s="9">
        <v>65.180000000000007</v>
      </c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</row>
    <row r="93" spans="1:109" ht="21" x14ac:dyDescent="0.35">
      <c r="A93" s="27" t="s">
        <v>22</v>
      </c>
    </row>
    <row r="94" spans="1:109" s="1" customFormat="1" ht="20.25" x14ac:dyDescent="0.25">
      <c r="A94" s="2" t="s">
        <v>4</v>
      </c>
      <c r="B94" s="3" t="s">
        <v>5</v>
      </c>
      <c r="C94" s="4" t="s">
        <v>6</v>
      </c>
      <c r="D94" s="5">
        <f t="shared" ref="D94:D99" si="20">SUM(E94:AI94)</f>
        <v>30055.949999999997</v>
      </c>
      <c r="E94" s="6">
        <f>SUM(E95:E100)</f>
        <v>1041.24</v>
      </c>
      <c r="F94" s="6">
        <f t="shared" ref="F94:AI94" si="21">SUM(F95:F100)</f>
        <v>1010.3700000000001</v>
      </c>
      <c r="G94" s="6">
        <f t="shared" si="21"/>
        <v>928.8599999999999</v>
      </c>
      <c r="H94" s="6">
        <f t="shared" si="21"/>
        <v>863.13</v>
      </c>
      <c r="I94" s="6">
        <f t="shared" si="21"/>
        <v>746.84</v>
      </c>
      <c r="J94" s="6">
        <f t="shared" si="21"/>
        <v>837.16000000000008</v>
      </c>
      <c r="K94" s="6">
        <f t="shared" si="21"/>
        <v>1152.8700000000001</v>
      </c>
      <c r="L94" s="6">
        <f t="shared" si="21"/>
        <v>997.02</v>
      </c>
      <c r="M94" s="6">
        <f t="shared" si="21"/>
        <v>1068.8699999999999</v>
      </c>
      <c r="N94" s="6">
        <f t="shared" si="21"/>
        <v>1022.1</v>
      </c>
      <c r="O94" s="6">
        <f t="shared" si="21"/>
        <v>1076.93</v>
      </c>
      <c r="P94" s="6">
        <f t="shared" si="21"/>
        <v>996.83</v>
      </c>
      <c r="Q94" s="6">
        <f t="shared" si="21"/>
        <v>1023.4399999999999</v>
      </c>
      <c r="R94" s="6">
        <f t="shared" si="21"/>
        <v>1045.43</v>
      </c>
      <c r="S94" s="6">
        <f t="shared" si="21"/>
        <v>998.82999999999993</v>
      </c>
      <c r="T94" s="6">
        <f t="shared" si="21"/>
        <v>942.01</v>
      </c>
      <c r="U94" s="6">
        <f t="shared" si="21"/>
        <v>966.50999999999988</v>
      </c>
      <c r="V94" s="6">
        <f t="shared" si="21"/>
        <v>992.91000000000008</v>
      </c>
      <c r="W94" s="6">
        <f t="shared" si="21"/>
        <v>814.6</v>
      </c>
      <c r="X94" s="6">
        <f t="shared" si="21"/>
        <v>962.30000000000007</v>
      </c>
      <c r="Y94" s="6">
        <f t="shared" si="21"/>
        <v>1033.17</v>
      </c>
      <c r="Z94" s="6">
        <f t="shared" si="21"/>
        <v>1118.04</v>
      </c>
      <c r="AA94" s="6">
        <f t="shared" si="21"/>
        <v>1064.0999999999999</v>
      </c>
      <c r="AB94" s="6">
        <f t="shared" si="21"/>
        <v>1021.0899999999999</v>
      </c>
      <c r="AC94" s="6">
        <f t="shared" si="21"/>
        <v>989.05000000000007</v>
      </c>
      <c r="AD94" s="6">
        <f t="shared" si="21"/>
        <v>988.97000000000014</v>
      </c>
      <c r="AE94" s="6">
        <f t="shared" si="21"/>
        <v>1082.4299999999998</v>
      </c>
      <c r="AF94" s="6">
        <f t="shared" si="21"/>
        <v>1049.52</v>
      </c>
      <c r="AG94" s="6">
        <f t="shared" si="21"/>
        <v>1126.07</v>
      </c>
      <c r="AH94" s="6">
        <f t="shared" si="21"/>
        <v>1095.26</v>
      </c>
      <c r="AI94" s="6">
        <f t="shared" si="21"/>
        <v>0</v>
      </c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</row>
    <row r="95" spans="1:109" s="1" customFormat="1" x14ac:dyDescent="0.25">
      <c r="A95" s="7"/>
      <c r="B95" s="8" t="s">
        <v>7</v>
      </c>
      <c r="C95" s="4" t="s">
        <v>6</v>
      </c>
      <c r="D95" s="5">
        <f t="shared" si="20"/>
        <v>2702.1699999999996</v>
      </c>
      <c r="E95" s="9">
        <v>99.44</v>
      </c>
      <c r="F95" s="9">
        <v>79.89</v>
      </c>
      <c r="G95" s="9">
        <v>63.55</v>
      </c>
      <c r="H95" s="9">
        <v>58.66</v>
      </c>
      <c r="I95" s="9">
        <v>38.17</v>
      </c>
      <c r="J95" s="9">
        <v>50.93</v>
      </c>
      <c r="K95" s="9">
        <v>86.71</v>
      </c>
      <c r="L95" s="9">
        <v>88.93</v>
      </c>
      <c r="M95" s="9">
        <v>76.489999999999995</v>
      </c>
      <c r="N95" s="9">
        <f>104.86+0.81</f>
        <v>105.67</v>
      </c>
      <c r="O95" s="9">
        <v>120.9</v>
      </c>
      <c r="P95" s="9">
        <v>104.24</v>
      </c>
      <c r="Q95" s="9">
        <f>109.69+0.04</f>
        <v>109.73</v>
      </c>
      <c r="R95" s="9">
        <v>93.99</v>
      </c>
      <c r="S95" s="9">
        <v>101.88</v>
      </c>
      <c r="T95" s="9">
        <v>89.32</v>
      </c>
      <c r="U95" s="9">
        <v>97.49</v>
      </c>
      <c r="V95" s="9">
        <v>88.81</v>
      </c>
      <c r="W95" s="9">
        <v>93.06</v>
      </c>
      <c r="X95" s="9">
        <v>90.54</v>
      </c>
      <c r="Y95" s="9">
        <v>79.510000000000005</v>
      </c>
      <c r="Z95" s="9">
        <v>94.84</v>
      </c>
      <c r="AA95" s="9">
        <v>105.56</v>
      </c>
      <c r="AB95" s="9">
        <v>81.650000000000006</v>
      </c>
      <c r="AC95" s="9">
        <v>93.36</v>
      </c>
      <c r="AD95" s="9">
        <v>99.6</v>
      </c>
      <c r="AE95" s="9">
        <v>100.92</v>
      </c>
      <c r="AF95" s="9">
        <v>96.76</v>
      </c>
      <c r="AG95" s="9">
        <v>109.24</v>
      </c>
      <c r="AH95" s="9">
        <v>102.33</v>
      </c>
      <c r="AI95" s="9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</row>
    <row r="96" spans="1:109" s="1" customFormat="1" x14ac:dyDescent="0.25">
      <c r="A96" s="7"/>
      <c r="B96" s="8" t="s">
        <v>8</v>
      </c>
      <c r="C96" s="4" t="s">
        <v>6</v>
      </c>
      <c r="D96" s="5">
        <f t="shared" si="20"/>
        <v>11514.869999999999</v>
      </c>
      <c r="E96" s="9">
        <v>412.79</v>
      </c>
      <c r="F96" s="9">
        <v>421.35</v>
      </c>
      <c r="G96" s="9">
        <v>404.86</v>
      </c>
      <c r="H96" s="9">
        <v>336.46</v>
      </c>
      <c r="I96" s="9">
        <v>273.39999999999998</v>
      </c>
      <c r="J96" s="9">
        <v>315.32</v>
      </c>
      <c r="K96" s="9">
        <v>451.49</v>
      </c>
      <c r="L96" s="9">
        <v>371.36</v>
      </c>
      <c r="M96" s="9">
        <v>430.21</v>
      </c>
      <c r="N96" s="9">
        <v>347.13</v>
      </c>
      <c r="O96" s="9">
        <v>402.77</v>
      </c>
      <c r="P96" s="9">
        <v>386.21</v>
      </c>
      <c r="Q96" s="9">
        <v>384.33</v>
      </c>
      <c r="R96" s="9">
        <v>429.85</v>
      </c>
      <c r="S96" s="9">
        <v>388.34</v>
      </c>
      <c r="T96" s="9">
        <v>402.05</v>
      </c>
      <c r="U96" s="9">
        <v>421.15</v>
      </c>
      <c r="V96" s="9">
        <v>388.14</v>
      </c>
      <c r="W96" s="9">
        <v>250.3</v>
      </c>
      <c r="X96" s="9">
        <v>335.72</v>
      </c>
      <c r="Y96" s="9">
        <v>417.74</v>
      </c>
      <c r="Z96" s="9">
        <v>449.47</v>
      </c>
      <c r="AA96" s="9">
        <v>392.34</v>
      </c>
      <c r="AB96" s="9">
        <v>378.03</v>
      </c>
      <c r="AC96" s="9">
        <v>348.63</v>
      </c>
      <c r="AD96" s="9">
        <v>364.74</v>
      </c>
      <c r="AE96" s="9">
        <v>400.39</v>
      </c>
      <c r="AF96" s="9">
        <v>383.59</v>
      </c>
      <c r="AG96" s="9">
        <v>429.41</v>
      </c>
      <c r="AH96" s="9">
        <v>397.3</v>
      </c>
      <c r="AI96" s="9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</row>
    <row r="97" spans="1:109" s="1" customFormat="1" x14ac:dyDescent="0.25">
      <c r="A97" s="7"/>
      <c r="B97" s="8" t="s">
        <v>9</v>
      </c>
      <c r="C97" s="4" t="s">
        <v>6</v>
      </c>
      <c r="D97" s="5">
        <f>SUM(E97:AI97)</f>
        <v>7609.7200000000012</v>
      </c>
      <c r="E97" s="9">
        <v>256.5</v>
      </c>
      <c r="F97" s="9">
        <v>253.71</v>
      </c>
      <c r="G97" s="9">
        <v>204.22</v>
      </c>
      <c r="H97" s="9">
        <v>200.69</v>
      </c>
      <c r="I97" s="9">
        <v>182.91</v>
      </c>
      <c r="J97" s="9">
        <v>210.44</v>
      </c>
      <c r="K97" s="9">
        <v>299.10000000000002</v>
      </c>
      <c r="L97" s="9">
        <f>257.14+2.08</f>
        <v>259.21999999999997</v>
      </c>
      <c r="M97" s="9">
        <v>282.92</v>
      </c>
      <c r="N97" s="9">
        <v>279.70999999999998</v>
      </c>
      <c r="O97" s="9">
        <v>276.49</v>
      </c>
      <c r="P97" s="9">
        <v>228.01</v>
      </c>
      <c r="Q97" s="9">
        <v>286</v>
      </c>
      <c r="R97" s="9">
        <v>253.5</v>
      </c>
      <c r="S97" s="9">
        <v>244.34</v>
      </c>
      <c r="T97" s="9">
        <v>227</v>
      </c>
      <c r="U97" s="9">
        <v>181.63</v>
      </c>
      <c r="V97" s="9">
        <v>264.67</v>
      </c>
      <c r="W97" s="9">
        <v>197.18</v>
      </c>
      <c r="X97" s="9">
        <v>249.66</v>
      </c>
      <c r="Y97" s="9">
        <v>255.85</v>
      </c>
      <c r="Z97" s="9">
        <v>281.85000000000002</v>
      </c>
      <c r="AA97" s="9">
        <v>277.86</v>
      </c>
      <c r="AB97" s="9">
        <v>271.91000000000003</v>
      </c>
      <c r="AC97" s="9">
        <v>261.20999999999998</v>
      </c>
      <c r="AD97" s="9">
        <v>267.97000000000003</v>
      </c>
      <c r="AE97" s="9">
        <v>292.52</v>
      </c>
      <c r="AF97" s="9">
        <v>280.83999999999997</v>
      </c>
      <c r="AG97" s="9">
        <v>292.69</v>
      </c>
      <c r="AH97" s="9">
        <v>289.12</v>
      </c>
      <c r="AI97" s="9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</row>
    <row r="98" spans="1:109" s="1" customFormat="1" ht="16.5" customHeight="1" x14ac:dyDescent="0.25">
      <c r="A98" s="7"/>
      <c r="B98" s="8" t="s">
        <v>10</v>
      </c>
      <c r="C98" s="4" t="s">
        <v>6</v>
      </c>
      <c r="D98" s="5">
        <f t="shared" si="20"/>
        <v>3031.0699999999993</v>
      </c>
      <c r="E98" s="9">
        <v>95.69</v>
      </c>
      <c r="F98" s="9">
        <f>93.96+0.15</f>
        <v>94.11</v>
      </c>
      <c r="G98" s="9">
        <v>88.87</v>
      </c>
      <c r="H98" s="9">
        <v>111.84</v>
      </c>
      <c r="I98" s="9">
        <v>108.38</v>
      </c>
      <c r="J98" s="9">
        <v>108.31</v>
      </c>
      <c r="K98" s="9">
        <f>110.27+0.58</f>
        <v>110.85</v>
      </c>
      <c r="L98" s="9">
        <v>83.65</v>
      </c>
      <c r="M98" s="9">
        <v>98.16</v>
      </c>
      <c r="N98" s="9">
        <f>109.54-0.01</f>
        <v>109.53</v>
      </c>
      <c r="O98" s="9">
        <v>104.63</v>
      </c>
      <c r="P98" s="9">
        <v>102.71</v>
      </c>
      <c r="Q98" s="9">
        <v>65.05</v>
      </c>
      <c r="R98" s="9">
        <v>89.28</v>
      </c>
      <c r="S98" s="9">
        <v>95.02</v>
      </c>
      <c r="T98" s="9">
        <v>79.790000000000006</v>
      </c>
      <c r="U98" s="9">
        <v>92.54</v>
      </c>
      <c r="V98" s="9">
        <v>104.59</v>
      </c>
      <c r="W98" s="9">
        <v>111.98</v>
      </c>
      <c r="X98" s="9">
        <v>114.4</v>
      </c>
      <c r="Y98" s="9">
        <v>102.65</v>
      </c>
      <c r="Z98" s="9">
        <v>108.37</v>
      </c>
      <c r="AA98" s="9">
        <v>107.27</v>
      </c>
      <c r="AB98" s="9">
        <v>110.3</v>
      </c>
      <c r="AC98" s="9">
        <v>108.73</v>
      </c>
      <c r="AD98" s="9">
        <v>89.83</v>
      </c>
      <c r="AE98" s="9">
        <v>106.99</v>
      </c>
      <c r="AF98" s="9">
        <v>104.99</v>
      </c>
      <c r="AG98" s="9">
        <v>104.9</v>
      </c>
      <c r="AH98" s="9">
        <f>120.58-2.92</f>
        <v>117.66</v>
      </c>
      <c r="AI98" s="9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</row>
    <row r="99" spans="1:109" s="1" customFormat="1" x14ac:dyDescent="0.25">
      <c r="A99" s="7"/>
      <c r="B99" s="8" t="s">
        <v>11</v>
      </c>
      <c r="C99" s="4" t="s">
        <v>6</v>
      </c>
      <c r="D99" s="5">
        <f t="shared" si="20"/>
        <v>3126.44</v>
      </c>
      <c r="E99" s="9">
        <v>110.42</v>
      </c>
      <c r="F99" s="9">
        <f>91.23-0.03</f>
        <v>91.2</v>
      </c>
      <c r="G99" s="9">
        <f>97.24+0.3</f>
        <v>97.539999999999992</v>
      </c>
      <c r="H99" s="9">
        <v>88.72</v>
      </c>
      <c r="I99" s="9">
        <v>72.760000000000005</v>
      </c>
      <c r="J99" s="9">
        <v>82.33</v>
      </c>
      <c r="K99" s="9">
        <v>132.66</v>
      </c>
      <c r="L99" s="9">
        <f>120.07+0.03</f>
        <v>120.1</v>
      </c>
      <c r="M99" s="9">
        <v>109.13</v>
      </c>
      <c r="N99" s="9">
        <v>114.93</v>
      </c>
      <c r="O99" s="9">
        <v>100.46</v>
      </c>
      <c r="P99" s="9">
        <v>106</v>
      </c>
      <c r="Q99" s="9">
        <v>106.33</v>
      </c>
      <c r="R99" s="9">
        <f>120.97+0.12</f>
        <v>121.09</v>
      </c>
      <c r="S99" s="9">
        <v>102.35</v>
      </c>
      <c r="T99" s="9">
        <v>93.33</v>
      </c>
      <c r="U99" s="9">
        <v>101.29</v>
      </c>
      <c r="V99" s="9">
        <v>79.349999999999994</v>
      </c>
      <c r="W99" s="9">
        <v>93.69</v>
      </c>
      <c r="X99" s="9">
        <v>108.77</v>
      </c>
      <c r="Y99" s="9">
        <v>106.17</v>
      </c>
      <c r="Z99" s="9">
        <f>110.18+1.53</f>
        <v>111.71000000000001</v>
      </c>
      <c r="AA99" s="9">
        <v>105.76</v>
      </c>
      <c r="AB99" s="9">
        <v>106.76</v>
      </c>
      <c r="AC99" s="9">
        <v>105.75</v>
      </c>
      <c r="AD99" s="9">
        <v>97.87</v>
      </c>
      <c r="AE99" s="9">
        <v>109.5</v>
      </c>
      <c r="AF99" s="9">
        <f>117.85-0.23</f>
        <v>117.61999999999999</v>
      </c>
      <c r="AG99" s="9">
        <v>119.07</v>
      </c>
      <c r="AH99" s="9">
        <v>113.78</v>
      </c>
      <c r="AI99" s="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</row>
    <row r="100" spans="1:109" s="1" customFormat="1" ht="15.75" thickBot="1" x14ac:dyDescent="0.3">
      <c r="A100" s="7"/>
      <c r="B100" s="8" t="s">
        <v>12</v>
      </c>
      <c r="C100" s="4" t="s">
        <v>6</v>
      </c>
      <c r="D100" s="29">
        <f>SUM(E100:AI100)</f>
        <v>2071.6799999999998</v>
      </c>
      <c r="E100" s="9">
        <v>66.400000000000006</v>
      </c>
      <c r="F100" s="9">
        <f>72.36-2.25</f>
        <v>70.11</v>
      </c>
      <c r="G100" s="9">
        <v>69.819999999999993</v>
      </c>
      <c r="H100" s="9">
        <v>66.760000000000005</v>
      </c>
      <c r="I100" s="9">
        <v>71.22</v>
      </c>
      <c r="J100" s="9">
        <v>69.83</v>
      </c>
      <c r="K100" s="9">
        <v>72.06</v>
      </c>
      <c r="L100" s="9">
        <v>73.760000000000005</v>
      </c>
      <c r="M100" s="9">
        <v>71.959999999999994</v>
      </c>
      <c r="N100" s="9">
        <v>65.13</v>
      </c>
      <c r="O100" s="9">
        <v>71.680000000000007</v>
      </c>
      <c r="P100" s="9">
        <v>69.66</v>
      </c>
      <c r="Q100" s="9">
        <v>72</v>
      </c>
      <c r="R100" s="9">
        <v>57.72</v>
      </c>
      <c r="S100" s="9">
        <f>67.93-1.03</f>
        <v>66.900000000000006</v>
      </c>
      <c r="T100" s="9">
        <v>50.52</v>
      </c>
      <c r="U100" s="9">
        <f>71.32+1.09</f>
        <v>72.41</v>
      </c>
      <c r="V100" s="9">
        <v>67.349999999999994</v>
      </c>
      <c r="W100" s="9">
        <v>68.39</v>
      </c>
      <c r="X100" s="9">
        <v>63.21</v>
      </c>
      <c r="Y100" s="9">
        <v>71.25</v>
      </c>
      <c r="Z100" s="9">
        <v>71.8</v>
      </c>
      <c r="AA100" s="9">
        <f>74.84+0.47</f>
        <v>75.31</v>
      </c>
      <c r="AB100" s="9">
        <v>72.44</v>
      </c>
      <c r="AC100" s="9">
        <v>71.37</v>
      </c>
      <c r="AD100" s="9">
        <v>68.959999999999994</v>
      </c>
      <c r="AE100" s="9">
        <v>72.11</v>
      </c>
      <c r="AF100" s="9">
        <v>65.72</v>
      </c>
      <c r="AG100" s="9">
        <v>70.760000000000005</v>
      </c>
      <c r="AH100" s="9">
        <v>75.069999999999993</v>
      </c>
      <c r="AI100" s="9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</row>
    <row r="102" spans="1:109" ht="21" x14ac:dyDescent="0.35">
      <c r="A102" s="27" t="s">
        <v>23</v>
      </c>
    </row>
    <row r="103" spans="1:109" s="1" customFormat="1" ht="20.25" x14ac:dyDescent="0.25">
      <c r="A103" s="2" t="s">
        <v>4</v>
      </c>
      <c r="B103" s="3" t="s">
        <v>5</v>
      </c>
      <c r="C103" s="4" t="s">
        <v>6</v>
      </c>
      <c r="D103" s="5">
        <f t="shared" ref="D103:D108" si="22">SUM(E103:AI103)</f>
        <v>22636.999999999996</v>
      </c>
      <c r="E103" s="6">
        <f>SUM(E104:E109)</f>
        <v>919.9699999999998</v>
      </c>
      <c r="F103" s="6">
        <f t="shared" ref="F103:AI103" si="23">SUM(F104:F109)</f>
        <v>612.39</v>
      </c>
      <c r="G103" s="6">
        <f t="shared" si="23"/>
        <v>718.25999999999988</v>
      </c>
      <c r="H103" s="6">
        <f t="shared" si="23"/>
        <v>993.37</v>
      </c>
      <c r="I103" s="6">
        <f t="shared" si="23"/>
        <v>950.89</v>
      </c>
      <c r="J103" s="6">
        <f t="shared" si="23"/>
        <v>992.46999999999991</v>
      </c>
      <c r="K103" s="6">
        <f t="shared" si="23"/>
        <v>303.36999999999995</v>
      </c>
      <c r="L103" s="6">
        <f t="shared" si="23"/>
        <v>165.25</v>
      </c>
      <c r="M103" s="6">
        <f t="shared" si="23"/>
        <v>0</v>
      </c>
      <c r="N103" s="6">
        <f t="shared" si="23"/>
        <v>0</v>
      </c>
      <c r="O103" s="6">
        <f t="shared" si="23"/>
        <v>0</v>
      </c>
      <c r="P103" s="6">
        <f t="shared" si="23"/>
        <v>646.66</v>
      </c>
      <c r="Q103" s="6">
        <f t="shared" si="23"/>
        <v>865.80000000000018</v>
      </c>
      <c r="R103" s="6">
        <f t="shared" si="23"/>
        <v>863.54</v>
      </c>
      <c r="S103" s="6">
        <f t="shared" si="23"/>
        <v>991.93999999999994</v>
      </c>
      <c r="T103" s="6">
        <f t="shared" si="23"/>
        <v>1038.43</v>
      </c>
      <c r="U103" s="6">
        <f t="shared" si="23"/>
        <v>920.49000000000012</v>
      </c>
      <c r="V103" s="6">
        <f t="shared" si="23"/>
        <v>983.58</v>
      </c>
      <c r="W103" s="6">
        <f t="shared" si="23"/>
        <v>1101.55</v>
      </c>
      <c r="X103" s="6">
        <f t="shared" si="23"/>
        <v>1080.07</v>
      </c>
      <c r="Y103" s="6">
        <f t="shared" si="23"/>
        <v>1076.1600000000001</v>
      </c>
      <c r="Z103" s="6">
        <f t="shared" si="23"/>
        <v>1123.22</v>
      </c>
      <c r="AA103" s="6">
        <f t="shared" si="23"/>
        <v>1149.9400000000003</v>
      </c>
      <c r="AB103" s="6">
        <f t="shared" si="23"/>
        <v>1092.52</v>
      </c>
      <c r="AC103" s="6">
        <f t="shared" si="23"/>
        <v>1038.46</v>
      </c>
      <c r="AD103" s="6">
        <f t="shared" si="23"/>
        <v>923.6</v>
      </c>
      <c r="AE103" s="6">
        <f t="shared" si="23"/>
        <v>894.57</v>
      </c>
      <c r="AF103" s="6">
        <f t="shared" si="23"/>
        <v>960.01</v>
      </c>
      <c r="AG103" s="6">
        <f t="shared" si="23"/>
        <v>230.49</v>
      </c>
      <c r="AH103" s="6">
        <f t="shared" si="23"/>
        <v>0</v>
      </c>
      <c r="AI103" s="6">
        <f t="shared" si="23"/>
        <v>0</v>
      </c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</row>
    <row r="104" spans="1:109" s="1" customFormat="1" x14ac:dyDescent="0.25">
      <c r="A104" s="7"/>
      <c r="B104" s="8" t="s">
        <v>7</v>
      </c>
      <c r="C104" s="4" t="s">
        <v>6</v>
      </c>
      <c r="D104" s="5">
        <f t="shared" si="22"/>
        <v>1853.9599999999998</v>
      </c>
      <c r="E104" s="9">
        <v>100.45</v>
      </c>
      <c r="F104" s="9">
        <v>36.03</v>
      </c>
      <c r="G104" s="9">
        <v>29.83</v>
      </c>
      <c r="H104" s="9">
        <v>58.74</v>
      </c>
      <c r="I104" s="9">
        <v>62.63</v>
      </c>
      <c r="J104" s="9">
        <v>91.59</v>
      </c>
      <c r="K104" s="9">
        <v>50.59</v>
      </c>
      <c r="L104" s="9">
        <v>48.2</v>
      </c>
      <c r="M104" s="9"/>
      <c r="N104" s="9"/>
      <c r="O104" s="9"/>
      <c r="P104" s="9">
        <v>44.25</v>
      </c>
      <c r="Q104" s="9">
        <v>60.57</v>
      </c>
      <c r="R104" s="9">
        <v>59.46</v>
      </c>
      <c r="S104" s="9">
        <v>68.94</v>
      </c>
      <c r="T104" s="9">
        <v>117.29</v>
      </c>
      <c r="U104" s="9">
        <v>95</v>
      </c>
      <c r="V104" s="9">
        <v>99.09</v>
      </c>
      <c r="W104" s="9">
        <v>114.89</v>
      </c>
      <c r="X104" s="9">
        <v>97.98</v>
      </c>
      <c r="Y104" s="9">
        <v>112.12</v>
      </c>
      <c r="Z104" s="9">
        <v>96.97</v>
      </c>
      <c r="AA104" s="9">
        <v>106.57</v>
      </c>
      <c r="AB104" s="9">
        <v>104.94</v>
      </c>
      <c r="AC104" s="9">
        <v>63.85</v>
      </c>
      <c r="AD104" s="9">
        <v>53.57</v>
      </c>
      <c r="AE104" s="9">
        <v>50.08</v>
      </c>
      <c r="AF104" s="9">
        <v>30.33</v>
      </c>
      <c r="AG104" s="9"/>
      <c r="AH104" s="9"/>
      <c r="AI104" s="9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</row>
    <row r="105" spans="1:109" s="1" customFormat="1" x14ac:dyDescent="0.25">
      <c r="A105" s="7"/>
      <c r="B105" s="8" t="s">
        <v>8</v>
      </c>
      <c r="C105" s="4" t="s">
        <v>6</v>
      </c>
      <c r="D105" s="5">
        <f t="shared" si="22"/>
        <v>8594.8200000000033</v>
      </c>
      <c r="E105" s="9">
        <v>283.2</v>
      </c>
      <c r="F105" s="9">
        <v>166.94</v>
      </c>
      <c r="G105" s="9">
        <v>264.95999999999998</v>
      </c>
      <c r="H105" s="9">
        <v>385.21</v>
      </c>
      <c r="I105" s="9">
        <v>356.55</v>
      </c>
      <c r="J105" s="9">
        <v>400.18</v>
      </c>
      <c r="K105" s="9">
        <v>50.04</v>
      </c>
      <c r="L105" s="9"/>
      <c r="M105" s="9"/>
      <c r="N105" s="9"/>
      <c r="O105" s="9"/>
      <c r="P105" s="9">
        <v>293.88</v>
      </c>
      <c r="Q105" s="9">
        <v>323.55</v>
      </c>
      <c r="R105" s="9">
        <v>336.06</v>
      </c>
      <c r="S105" s="9">
        <v>401.49</v>
      </c>
      <c r="T105" s="9">
        <v>379.44</v>
      </c>
      <c r="U105" s="9">
        <v>311.91000000000003</v>
      </c>
      <c r="V105" s="9">
        <v>349.37</v>
      </c>
      <c r="W105" s="9">
        <v>420.59</v>
      </c>
      <c r="X105" s="9">
        <v>421.63</v>
      </c>
      <c r="Y105" s="9">
        <v>414.67</v>
      </c>
      <c r="Z105" s="9">
        <v>441.04</v>
      </c>
      <c r="AA105" s="9">
        <v>447.18</v>
      </c>
      <c r="AB105" s="9">
        <v>420.81</v>
      </c>
      <c r="AC105" s="9">
        <v>425</v>
      </c>
      <c r="AD105" s="9">
        <v>448.63</v>
      </c>
      <c r="AE105" s="9">
        <v>377.84</v>
      </c>
      <c r="AF105" s="9">
        <v>362.95</v>
      </c>
      <c r="AG105" s="9">
        <f>111.56+0.14</f>
        <v>111.7</v>
      </c>
      <c r="AH105" s="9"/>
      <c r="AI105" s="9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</row>
    <row r="106" spans="1:109" s="1" customFormat="1" x14ac:dyDescent="0.25">
      <c r="A106" s="7"/>
      <c r="B106" s="8" t="s">
        <v>9</v>
      </c>
      <c r="C106" s="4" t="s">
        <v>6</v>
      </c>
      <c r="D106" s="5">
        <f>SUM(E106:AI106)</f>
        <v>5693.7599999999993</v>
      </c>
      <c r="E106" s="9">
        <v>233.9</v>
      </c>
      <c r="F106" s="9">
        <v>141.96</v>
      </c>
      <c r="G106" s="9">
        <v>186.49</v>
      </c>
      <c r="H106" s="9">
        <v>262.42</v>
      </c>
      <c r="I106" s="9">
        <f>264.54+0.74</f>
        <v>265.28000000000003</v>
      </c>
      <c r="J106" s="9">
        <v>237.6</v>
      </c>
      <c r="K106" s="9">
        <v>81.02</v>
      </c>
      <c r="L106" s="9"/>
      <c r="M106" s="9"/>
      <c r="N106" s="9"/>
      <c r="O106" s="9"/>
      <c r="P106" s="9">
        <v>116.02</v>
      </c>
      <c r="Q106" s="9">
        <v>225.06</v>
      </c>
      <c r="R106" s="9">
        <v>238.08</v>
      </c>
      <c r="S106" s="9">
        <v>263.19</v>
      </c>
      <c r="T106" s="9">
        <v>260.82</v>
      </c>
      <c r="U106" s="9">
        <v>252.8</v>
      </c>
      <c r="V106" s="9">
        <v>248.9</v>
      </c>
      <c r="W106" s="9">
        <v>300.02</v>
      </c>
      <c r="X106" s="9">
        <v>295.88</v>
      </c>
      <c r="Y106" s="9">
        <v>292.01</v>
      </c>
      <c r="Z106" s="9">
        <v>299.91000000000003</v>
      </c>
      <c r="AA106" s="9">
        <v>304.92</v>
      </c>
      <c r="AB106" s="9">
        <v>292.06</v>
      </c>
      <c r="AC106" s="9">
        <v>282.73</v>
      </c>
      <c r="AD106" s="9">
        <v>131.6</v>
      </c>
      <c r="AE106" s="9">
        <v>196.23</v>
      </c>
      <c r="AF106" s="9">
        <v>284.86</v>
      </c>
      <c r="AG106" s="9"/>
      <c r="AH106" s="9"/>
      <c r="AI106" s="9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</row>
    <row r="107" spans="1:109" s="1" customFormat="1" ht="16.5" customHeight="1" x14ac:dyDescent="0.25">
      <c r="A107" s="7"/>
      <c r="B107" s="8" t="s">
        <v>10</v>
      </c>
      <c r="C107" s="4" t="s">
        <v>6</v>
      </c>
      <c r="D107" s="5">
        <f t="shared" si="22"/>
        <v>2505.7599999999993</v>
      </c>
      <c r="E107" s="9">
        <v>116.42</v>
      </c>
      <c r="F107" s="9">
        <v>111.31</v>
      </c>
      <c r="G107" s="9">
        <v>94.14</v>
      </c>
      <c r="H107" s="9">
        <v>108.38</v>
      </c>
      <c r="I107" s="9">
        <v>103.31</v>
      </c>
      <c r="J107" s="9">
        <v>110.43</v>
      </c>
      <c r="K107" s="9">
        <v>34.200000000000003</v>
      </c>
      <c r="L107" s="9">
        <v>36.25</v>
      </c>
      <c r="M107" s="9"/>
      <c r="N107" s="9"/>
      <c r="O107" s="9"/>
      <c r="P107" s="9">
        <v>100.16</v>
      </c>
      <c r="Q107" s="9">
        <v>99.93</v>
      </c>
      <c r="R107" s="9">
        <v>88.4</v>
      </c>
      <c r="S107" s="9">
        <v>104.73</v>
      </c>
      <c r="T107" s="9">
        <v>117</v>
      </c>
      <c r="U107" s="9">
        <v>106.33</v>
      </c>
      <c r="V107" s="9">
        <v>106.26</v>
      </c>
      <c r="W107" s="9">
        <v>101.25</v>
      </c>
      <c r="X107" s="9">
        <v>93.16</v>
      </c>
      <c r="Y107" s="9">
        <v>100</v>
      </c>
      <c r="Z107" s="9">
        <v>101.8</v>
      </c>
      <c r="AA107" s="9">
        <v>112.08</v>
      </c>
      <c r="AB107" s="9">
        <v>106.34</v>
      </c>
      <c r="AC107" s="9">
        <v>100.47</v>
      </c>
      <c r="AD107" s="9">
        <v>106.69</v>
      </c>
      <c r="AE107" s="9">
        <v>93.61</v>
      </c>
      <c r="AF107" s="9">
        <v>97.49</v>
      </c>
      <c r="AG107" s="9">
        <v>55.62</v>
      </c>
      <c r="AH107" s="9"/>
      <c r="AI107" s="9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</row>
    <row r="108" spans="1:109" s="1" customFormat="1" x14ac:dyDescent="0.25">
      <c r="A108" s="7"/>
      <c r="B108" s="8" t="s">
        <v>11</v>
      </c>
      <c r="C108" s="4" t="s">
        <v>6</v>
      </c>
      <c r="D108" s="5">
        <f t="shared" si="22"/>
        <v>2329.62</v>
      </c>
      <c r="E108" s="9">
        <v>114.44</v>
      </c>
      <c r="F108" s="9">
        <v>84.6</v>
      </c>
      <c r="G108" s="9">
        <v>71.680000000000007</v>
      </c>
      <c r="H108" s="9">
        <v>109.12</v>
      </c>
      <c r="I108" s="9">
        <v>103.63</v>
      </c>
      <c r="J108" s="9">
        <v>91.25</v>
      </c>
      <c r="K108" s="9">
        <v>39.159999999999997</v>
      </c>
      <c r="L108" s="9">
        <v>25.94</v>
      </c>
      <c r="M108" s="9"/>
      <c r="N108" s="9"/>
      <c r="O108" s="9"/>
      <c r="P108" s="9">
        <v>34.39</v>
      </c>
      <c r="Q108" s="9">
        <v>88.88</v>
      </c>
      <c r="R108" s="9">
        <v>77.62</v>
      </c>
      <c r="S108" s="9">
        <v>90.44</v>
      </c>
      <c r="T108" s="9">
        <v>100.09</v>
      </c>
      <c r="U108" s="9">
        <v>91.25</v>
      </c>
      <c r="V108" s="9">
        <v>115.22</v>
      </c>
      <c r="W108" s="9">
        <v>102.5</v>
      </c>
      <c r="X108" s="9">
        <v>107.55</v>
      </c>
      <c r="Y108" s="9">
        <v>91.47</v>
      </c>
      <c r="Z108" s="9">
        <v>114.14</v>
      </c>
      <c r="AA108" s="9">
        <v>110.28</v>
      </c>
      <c r="AB108" s="9">
        <v>105.37</v>
      </c>
      <c r="AC108" s="9">
        <v>104.58</v>
      </c>
      <c r="AD108" s="9">
        <v>114.97</v>
      </c>
      <c r="AE108" s="9">
        <v>113.11</v>
      </c>
      <c r="AF108" s="9">
        <f>115.27+0.12</f>
        <v>115.39</v>
      </c>
      <c r="AG108" s="9">
        <f>12.67-0.12</f>
        <v>12.55</v>
      </c>
      <c r="AH108" s="9"/>
      <c r="AI108" s="9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</row>
    <row r="109" spans="1:109" s="1" customFormat="1" ht="15.75" thickBot="1" x14ac:dyDescent="0.3">
      <c r="A109" s="7"/>
      <c r="B109" s="8" t="s">
        <v>12</v>
      </c>
      <c r="C109" s="4" t="s">
        <v>6</v>
      </c>
      <c r="D109" s="29">
        <f>SUM(E109:AI109)</f>
        <v>1659.08</v>
      </c>
      <c r="E109" s="9">
        <v>71.56</v>
      </c>
      <c r="F109" s="9">
        <v>71.55</v>
      </c>
      <c r="G109" s="9">
        <v>71.16</v>
      </c>
      <c r="H109" s="9">
        <v>69.5</v>
      </c>
      <c r="I109" s="9">
        <f>64.76-5.27</f>
        <v>59.490000000000009</v>
      </c>
      <c r="J109" s="9">
        <v>61.42</v>
      </c>
      <c r="K109" s="9">
        <v>48.36</v>
      </c>
      <c r="L109" s="9">
        <v>54.86</v>
      </c>
      <c r="M109" s="9"/>
      <c r="N109" s="9"/>
      <c r="O109" s="9"/>
      <c r="P109" s="9">
        <v>57.96</v>
      </c>
      <c r="Q109" s="9">
        <v>67.81</v>
      </c>
      <c r="R109" s="9">
        <v>63.92</v>
      </c>
      <c r="S109" s="9">
        <v>63.15</v>
      </c>
      <c r="T109" s="9">
        <v>63.79</v>
      </c>
      <c r="U109" s="9">
        <v>63.2</v>
      </c>
      <c r="V109" s="9">
        <v>64.739999999999995</v>
      </c>
      <c r="W109" s="9">
        <v>62.3</v>
      </c>
      <c r="X109" s="9">
        <v>63.87</v>
      </c>
      <c r="Y109" s="9">
        <v>65.89</v>
      </c>
      <c r="Z109" s="9">
        <v>69.36</v>
      </c>
      <c r="AA109" s="9">
        <v>68.91</v>
      </c>
      <c r="AB109" s="9">
        <v>63</v>
      </c>
      <c r="AC109" s="9">
        <v>61.83</v>
      </c>
      <c r="AD109" s="9">
        <v>68.14</v>
      </c>
      <c r="AE109" s="9">
        <f>63.6+0.1</f>
        <v>63.7</v>
      </c>
      <c r="AF109" s="9">
        <f>67.77+1.22</f>
        <v>68.989999999999995</v>
      </c>
      <c r="AG109" s="9">
        <v>50.62</v>
      </c>
      <c r="AH109" s="9"/>
      <c r="AI109" s="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109"/>
  <sheetViews>
    <sheetView topLeftCell="D85" zoomScale="75" zoomScaleNormal="75" workbookViewId="0">
      <selection activeCell="E103" sqref="E103:AI109"/>
    </sheetView>
  </sheetViews>
  <sheetFormatPr defaultRowHeight="15" x14ac:dyDescent="0.25"/>
  <cols>
    <col min="1" max="1" width="19" customWidth="1"/>
    <col min="2" max="2" width="14.85546875" customWidth="1"/>
    <col min="4" max="4" width="12.7109375" customWidth="1"/>
    <col min="5" max="35" width="10.7109375" customWidth="1"/>
  </cols>
  <sheetData>
    <row r="1" spans="1:109" ht="28.5" x14ac:dyDescent="0.45">
      <c r="A1" s="28" t="s">
        <v>26</v>
      </c>
    </row>
    <row r="2" spans="1:109" s="1" customFormat="1" ht="53.25" customHeight="1" x14ac:dyDescent="0.25">
      <c r="A2" s="32" t="s">
        <v>1</v>
      </c>
      <c r="B2" s="33"/>
      <c r="C2" s="34" t="s">
        <v>2</v>
      </c>
      <c r="D2" s="35" t="s">
        <v>3</v>
      </c>
      <c r="E2" s="32">
        <v>1</v>
      </c>
      <c r="F2" s="32">
        <v>2</v>
      </c>
      <c r="G2" s="32">
        <v>3</v>
      </c>
      <c r="H2" s="32">
        <v>4</v>
      </c>
      <c r="I2" s="32">
        <v>5</v>
      </c>
      <c r="J2" s="36">
        <v>6</v>
      </c>
      <c r="K2" s="36">
        <v>7</v>
      </c>
      <c r="L2" s="32">
        <v>8</v>
      </c>
      <c r="M2" s="32">
        <v>9</v>
      </c>
      <c r="N2" s="32">
        <v>10</v>
      </c>
      <c r="O2" s="32">
        <v>11</v>
      </c>
      <c r="P2" s="32">
        <v>12</v>
      </c>
      <c r="Q2" s="36">
        <v>13</v>
      </c>
      <c r="R2" s="36">
        <v>14</v>
      </c>
      <c r="S2" s="32">
        <v>15</v>
      </c>
      <c r="T2" s="32">
        <v>16</v>
      </c>
      <c r="U2" s="32">
        <v>17</v>
      </c>
      <c r="V2" s="32">
        <v>18</v>
      </c>
      <c r="W2" s="32">
        <v>19</v>
      </c>
      <c r="X2" s="36">
        <v>20</v>
      </c>
      <c r="Y2" s="36">
        <v>21</v>
      </c>
      <c r="Z2" s="32">
        <v>22</v>
      </c>
      <c r="AA2" s="32">
        <v>23</v>
      </c>
      <c r="AB2" s="32">
        <v>24</v>
      </c>
      <c r="AC2" s="32">
        <v>25</v>
      </c>
      <c r="AD2" s="32">
        <v>26</v>
      </c>
      <c r="AE2" s="36">
        <v>27</v>
      </c>
      <c r="AF2" s="37">
        <v>28</v>
      </c>
      <c r="AG2" s="32">
        <v>29</v>
      </c>
      <c r="AH2" s="32">
        <v>30</v>
      </c>
      <c r="AI2" s="38">
        <v>31</v>
      </c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</row>
    <row r="3" spans="1:109" ht="21" x14ac:dyDescent="0.35">
      <c r="A3" s="27" t="s">
        <v>13</v>
      </c>
    </row>
    <row r="4" spans="1:109" s="1" customFormat="1" ht="20.25" x14ac:dyDescent="0.25">
      <c r="A4" s="2" t="s">
        <v>4</v>
      </c>
      <c r="B4" s="3" t="s">
        <v>5</v>
      </c>
      <c r="C4" s="4" t="s">
        <v>6</v>
      </c>
      <c r="D4" s="5">
        <f t="shared" ref="D4:D9" si="0">SUM(E4:AI4)</f>
        <v>24530.59</v>
      </c>
      <c r="E4" s="6">
        <f>SUM(E5:E10)</f>
        <v>0</v>
      </c>
      <c r="F4" s="6">
        <f t="shared" ref="F4:AI4" si="1">SUM(F5:F10)</f>
        <v>0</v>
      </c>
      <c r="G4" s="6">
        <f t="shared" si="1"/>
        <v>0</v>
      </c>
      <c r="H4" s="6">
        <f t="shared" si="1"/>
        <v>0</v>
      </c>
      <c r="I4" s="6">
        <f t="shared" si="1"/>
        <v>0</v>
      </c>
      <c r="J4" s="6">
        <f t="shared" si="1"/>
        <v>0</v>
      </c>
      <c r="K4" s="6">
        <f t="shared" si="1"/>
        <v>0</v>
      </c>
      <c r="L4" s="6">
        <f t="shared" si="1"/>
        <v>676.27</v>
      </c>
      <c r="M4" s="6">
        <f t="shared" si="1"/>
        <v>983.18999999999994</v>
      </c>
      <c r="N4" s="6">
        <f t="shared" si="1"/>
        <v>1069.1200000000001</v>
      </c>
      <c r="O4" s="6">
        <f t="shared" si="1"/>
        <v>982.57</v>
      </c>
      <c r="P4" s="6">
        <f t="shared" si="1"/>
        <v>1023.5</v>
      </c>
      <c r="Q4" s="6">
        <f t="shared" si="1"/>
        <v>941.10000000000014</v>
      </c>
      <c r="R4" s="6">
        <f t="shared" si="1"/>
        <v>1033.6299999999999</v>
      </c>
      <c r="S4" s="6">
        <f t="shared" si="1"/>
        <v>945.49</v>
      </c>
      <c r="T4" s="6">
        <f t="shared" si="1"/>
        <v>1013.7800000000001</v>
      </c>
      <c r="U4" s="6">
        <f t="shared" si="1"/>
        <v>965.36999999999989</v>
      </c>
      <c r="V4" s="6">
        <f t="shared" si="1"/>
        <v>1047.1300000000001</v>
      </c>
      <c r="W4" s="6">
        <f t="shared" si="1"/>
        <v>1079.53</v>
      </c>
      <c r="X4" s="6">
        <f t="shared" si="1"/>
        <v>1066.48</v>
      </c>
      <c r="Y4" s="6">
        <f t="shared" si="1"/>
        <v>1123.0899999999999</v>
      </c>
      <c r="Z4" s="6">
        <f t="shared" si="1"/>
        <v>1104.0999999999999</v>
      </c>
      <c r="AA4" s="6">
        <f t="shared" si="1"/>
        <v>1045.77</v>
      </c>
      <c r="AB4" s="6">
        <f t="shared" si="1"/>
        <v>747.58</v>
      </c>
      <c r="AC4" s="6">
        <f t="shared" si="1"/>
        <v>1003.1600000000001</v>
      </c>
      <c r="AD4" s="6">
        <f t="shared" si="1"/>
        <v>1104.0999999999999</v>
      </c>
      <c r="AE4" s="6">
        <f t="shared" si="1"/>
        <v>1086.3599999999999</v>
      </c>
      <c r="AF4" s="6">
        <f t="shared" si="1"/>
        <v>1096.0099999999998</v>
      </c>
      <c r="AG4" s="6">
        <f t="shared" si="1"/>
        <v>1101.29</v>
      </c>
      <c r="AH4" s="6">
        <f t="shared" si="1"/>
        <v>1147.55</v>
      </c>
      <c r="AI4" s="6">
        <f t="shared" si="1"/>
        <v>1144.4199999999998</v>
      </c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</row>
    <row r="5" spans="1:109" s="1" customFormat="1" x14ac:dyDescent="0.25">
      <c r="A5" s="7"/>
      <c r="B5" s="8" t="s">
        <v>7</v>
      </c>
      <c r="C5" s="4" t="s">
        <v>6</v>
      </c>
      <c r="D5" s="5">
        <f t="shared" si="0"/>
        <v>2248.25</v>
      </c>
      <c r="E5" s="9"/>
      <c r="F5" s="9"/>
      <c r="G5" s="9"/>
      <c r="H5" s="9"/>
      <c r="I5" s="9"/>
      <c r="J5" s="9"/>
      <c r="K5" s="9"/>
      <c r="L5" s="9">
        <v>47.14</v>
      </c>
      <c r="M5" s="9">
        <v>86.99</v>
      </c>
      <c r="N5" s="9">
        <v>87.83</v>
      </c>
      <c r="O5" s="9">
        <v>94.38</v>
      </c>
      <c r="P5" s="9">
        <f>96.11-0.28</f>
        <v>95.83</v>
      </c>
      <c r="Q5" s="9">
        <v>66.87</v>
      </c>
      <c r="R5" s="9">
        <v>100.05</v>
      </c>
      <c r="S5" s="9">
        <v>97.72</v>
      </c>
      <c r="T5" s="9">
        <v>78.709999999999994</v>
      </c>
      <c r="U5" s="9">
        <v>84.65</v>
      </c>
      <c r="V5" s="9">
        <v>96.34</v>
      </c>
      <c r="W5" s="9">
        <v>108.06</v>
      </c>
      <c r="X5" s="9">
        <v>105.99</v>
      </c>
      <c r="Y5" s="9">
        <v>107.14</v>
      </c>
      <c r="Z5" s="9">
        <v>102.89</v>
      </c>
      <c r="AA5" s="9">
        <f>93.13+0.27</f>
        <v>93.399999999999991</v>
      </c>
      <c r="AB5" s="9">
        <v>72.45</v>
      </c>
      <c r="AC5" s="9">
        <v>87.91</v>
      </c>
      <c r="AD5" s="9">
        <v>114.1</v>
      </c>
      <c r="AE5" s="9">
        <v>81.3</v>
      </c>
      <c r="AF5" s="9">
        <v>106.07</v>
      </c>
      <c r="AG5" s="9">
        <v>96.69</v>
      </c>
      <c r="AH5" s="9">
        <v>120.79</v>
      </c>
      <c r="AI5" s="9">
        <v>114.95</v>
      </c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</row>
    <row r="6" spans="1:109" s="1" customFormat="1" x14ac:dyDescent="0.25">
      <c r="A6" s="7"/>
      <c r="B6" s="8" t="s">
        <v>8</v>
      </c>
      <c r="C6" s="4" t="s">
        <v>6</v>
      </c>
      <c r="D6" s="5">
        <f t="shared" si="0"/>
        <v>9505.260000000002</v>
      </c>
      <c r="E6" s="9"/>
      <c r="F6" s="9"/>
      <c r="G6" s="9"/>
      <c r="H6" s="9"/>
      <c r="I6" s="9"/>
      <c r="J6" s="9"/>
      <c r="K6" s="9"/>
      <c r="L6" s="9">
        <v>303.91000000000003</v>
      </c>
      <c r="M6" s="9">
        <v>396.51</v>
      </c>
      <c r="N6" s="9">
        <v>454.49</v>
      </c>
      <c r="O6" s="9">
        <v>372.1</v>
      </c>
      <c r="P6" s="9">
        <v>398.06</v>
      </c>
      <c r="Q6" s="9">
        <v>329.42</v>
      </c>
      <c r="R6" s="9">
        <v>397.99</v>
      </c>
      <c r="S6" s="9">
        <v>318.07</v>
      </c>
      <c r="T6" s="9">
        <f>419.59+0.03</f>
        <v>419.61999999999995</v>
      </c>
      <c r="U6" s="9">
        <v>350.52</v>
      </c>
      <c r="V6" s="9">
        <f>380.14+32.38</f>
        <v>412.52</v>
      </c>
      <c r="W6" s="9">
        <v>403.8</v>
      </c>
      <c r="X6" s="9">
        <v>393.77</v>
      </c>
      <c r="Y6" s="9">
        <v>429.34</v>
      </c>
      <c r="Z6" s="9">
        <v>438.76</v>
      </c>
      <c r="AA6" s="9">
        <v>410.84</v>
      </c>
      <c r="AB6" s="9">
        <v>294.2</v>
      </c>
      <c r="AC6" s="9">
        <f>382.61-0.68</f>
        <v>381.93</v>
      </c>
      <c r="AD6" s="9">
        <v>434.25</v>
      </c>
      <c r="AE6" s="9">
        <v>412.74</v>
      </c>
      <c r="AF6" s="9">
        <v>425.58</v>
      </c>
      <c r="AG6" s="9">
        <v>424.81</v>
      </c>
      <c r="AH6" s="9">
        <v>458.54</v>
      </c>
      <c r="AI6" s="9">
        <v>443.49</v>
      </c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</row>
    <row r="7" spans="1:109" s="1" customFormat="1" x14ac:dyDescent="0.25">
      <c r="A7" s="7"/>
      <c r="B7" s="8" t="s">
        <v>9</v>
      </c>
      <c r="C7" s="4" t="s">
        <v>6</v>
      </c>
      <c r="D7" s="5">
        <f>SUM(E7:AI7)</f>
        <v>6287.5</v>
      </c>
      <c r="E7" s="9"/>
      <c r="F7" s="9"/>
      <c r="G7" s="9"/>
      <c r="H7" s="9"/>
      <c r="I7" s="9"/>
      <c r="J7" s="9"/>
      <c r="K7" s="9"/>
      <c r="L7" s="9">
        <v>133</v>
      </c>
      <c r="M7" s="9">
        <f>268.58-0.12</f>
        <v>268.45999999999998</v>
      </c>
      <c r="N7" s="9">
        <v>268.97000000000003</v>
      </c>
      <c r="O7" s="9">
        <v>278.23</v>
      </c>
      <c r="P7" s="9">
        <v>275.75</v>
      </c>
      <c r="Q7" s="9">
        <v>257.64999999999998</v>
      </c>
      <c r="R7" s="9">
        <v>289.49</v>
      </c>
      <c r="S7" s="9">
        <v>269.68</v>
      </c>
      <c r="T7" s="9">
        <f>255.15+0.29</f>
        <v>255.44</v>
      </c>
      <c r="U7" s="9">
        <v>250.66</v>
      </c>
      <c r="V7" s="9">
        <v>275.33</v>
      </c>
      <c r="W7" s="9">
        <v>264.75</v>
      </c>
      <c r="X7" s="9">
        <v>272.79000000000002</v>
      </c>
      <c r="Y7" s="9">
        <v>284.89</v>
      </c>
      <c r="Z7" s="9">
        <v>276.57</v>
      </c>
      <c r="AA7" s="9">
        <f>252.86+0.14</f>
        <v>253</v>
      </c>
      <c r="AB7" s="9">
        <v>183.91</v>
      </c>
      <c r="AC7" s="9">
        <v>243.21</v>
      </c>
      <c r="AD7" s="9">
        <v>264.27999999999997</v>
      </c>
      <c r="AE7" s="9">
        <v>286.05</v>
      </c>
      <c r="AF7" s="9">
        <v>280.95999999999998</v>
      </c>
      <c r="AG7" s="9">
        <f>286.58-0.28</f>
        <v>286.3</v>
      </c>
      <c r="AH7" s="9">
        <f>287.86-0.29</f>
        <v>287.57</v>
      </c>
      <c r="AI7" s="9">
        <v>280.56</v>
      </c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</row>
    <row r="8" spans="1:109" s="1" customFormat="1" ht="16.5" customHeight="1" x14ac:dyDescent="0.25">
      <c r="A8" s="7"/>
      <c r="B8" s="8" t="s">
        <v>10</v>
      </c>
      <c r="C8" s="4" t="s">
        <v>6</v>
      </c>
      <c r="D8" s="5">
        <f t="shared" si="0"/>
        <v>2425.9300000000003</v>
      </c>
      <c r="E8" s="9"/>
      <c r="F8" s="9"/>
      <c r="G8" s="9"/>
      <c r="H8" s="9"/>
      <c r="I8" s="9"/>
      <c r="J8" s="9"/>
      <c r="K8" s="9"/>
      <c r="L8" s="9">
        <v>91.16</v>
      </c>
      <c r="M8" s="9">
        <v>78.92</v>
      </c>
      <c r="N8" s="9">
        <v>88.41</v>
      </c>
      <c r="O8" s="9">
        <v>83.55</v>
      </c>
      <c r="P8" s="9">
        <v>98.14</v>
      </c>
      <c r="Q8" s="9">
        <v>116.44</v>
      </c>
      <c r="R8" s="9">
        <v>95.23</v>
      </c>
      <c r="S8" s="9">
        <v>106.27</v>
      </c>
      <c r="T8" s="9">
        <v>97.21</v>
      </c>
      <c r="U8" s="9">
        <v>103.15</v>
      </c>
      <c r="V8" s="9">
        <v>88.87</v>
      </c>
      <c r="W8" s="9">
        <v>113.96</v>
      </c>
      <c r="X8" s="9">
        <v>104.66</v>
      </c>
      <c r="Y8" s="9">
        <v>111.03</v>
      </c>
      <c r="Z8" s="9">
        <v>109.09</v>
      </c>
      <c r="AA8" s="9">
        <f>114.13-8.7</f>
        <v>105.42999999999999</v>
      </c>
      <c r="AB8" s="9">
        <v>72.33</v>
      </c>
      <c r="AC8" s="9">
        <v>106.4</v>
      </c>
      <c r="AD8" s="9">
        <f>108.14+0.2</f>
        <v>108.34</v>
      </c>
      <c r="AE8" s="9">
        <v>119.87</v>
      </c>
      <c r="AF8" s="9">
        <v>99.4</v>
      </c>
      <c r="AG8" s="9">
        <v>103.33</v>
      </c>
      <c r="AH8" s="9">
        <v>113.21</v>
      </c>
      <c r="AI8" s="9">
        <f>111.33+0.2</f>
        <v>111.53</v>
      </c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</row>
    <row r="9" spans="1:109" s="1" customFormat="1" x14ac:dyDescent="0.25">
      <c r="A9" s="7"/>
      <c r="B9" s="8" t="s">
        <v>11</v>
      </c>
      <c r="C9" s="4" t="s">
        <v>6</v>
      </c>
      <c r="D9" s="5">
        <f t="shared" si="0"/>
        <v>2449.4399999999996</v>
      </c>
      <c r="E9" s="9"/>
      <c r="F9" s="9"/>
      <c r="G9" s="9"/>
      <c r="H9" s="9"/>
      <c r="I9" s="9"/>
      <c r="J9" s="9"/>
      <c r="K9" s="9"/>
      <c r="L9" s="9">
        <v>44.41</v>
      </c>
      <c r="M9" s="9">
        <v>88.66</v>
      </c>
      <c r="N9" s="9">
        <f>99.1-0.6</f>
        <v>98.5</v>
      </c>
      <c r="O9" s="9">
        <v>86.08</v>
      </c>
      <c r="P9" s="9">
        <f>90.18+0.23</f>
        <v>90.410000000000011</v>
      </c>
      <c r="Q9" s="9">
        <v>102.16</v>
      </c>
      <c r="R9" s="9">
        <v>82.52</v>
      </c>
      <c r="S9" s="9">
        <v>81.650000000000006</v>
      </c>
      <c r="T9" s="9">
        <f>103.49+0.21</f>
        <v>103.69999999999999</v>
      </c>
      <c r="U9" s="9">
        <f>109.03-0.09</f>
        <v>108.94</v>
      </c>
      <c r="V9" s="9">
        <v>104.47</v>
      </c>
      <c r="W9" s="9">
        <v>119.02</v>
      </c>
      <c r="X9" s="9">
        <v>119.83</v>
      </c>
      <c r="Y9" s="9">
        <v>121.12</v>
      </c>
      <c r="Z9" s="9">
        <v>106.71</v>
      </c>
      <c r="AA9" s="9">
        <v>111.28</v>
      </c>
      <c r="AB9" s="9">
        <v>87.73</v>
      </c>
      <c r="AC9" s="9">
        <v>111.48</v>
      </c>
      <c r="AD9" s="9">
        <v>110.26</v>
      </c>
      <c r="AE9" s="9">
        <v>116.06</v>
      </c>
      <c r="AF9" s="9">
        <v>111.62</v>
      </c>
      <c r="AG9" s="9">
        <v>120.39</v>
      </c>
      <c r="AH9" s="9">
        <f>97.64+0.98</f>
        <v>98.62</v>
      </c>
      <c r="AI9" s="9">
        <f>123.7+0.12</f>
        <v>123.82000000000001</v>
      </c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</row>
    <row r="10" spans="1:109" s="1" customFormat="1" ht="15.75" thickBot="1" x14ac:dyDescent="0.3">
      <c r="A10" s="7"/>
      <c r="B10" s="8" t="s">
        <v>12</v>
      </c>
      <c r="C10" s="4" t="s">
        <v>6</v>
      </c>
      <c r="D10" s="29">
        <f>SUM(E10:AI10)</f>
        <v>1614.21</v>
      </c>
      <c r="E10" s="9"/>
      <c r="F10" s="9"/>
      <c r="G10" s="9"/>
      <c r="H10" s="9"/>
      <c r="I10" s="9"/>
      <c r="J10" s="9"/>
      <c r="K10" s="9"/>
      <c r="L10" s="9">
        <v>56.65</v>
      </c>
      <c r="M10" s="9">
        <f>65.81-2.16</f>
        <v>63.650000000000006</v>
      </c>
      <c r="N10" s="9">
        <v>70.92</v>
      </c>
      <c r="O10" s="9">
        <v>68.23</v>
      </c>
      <c r="P10" s="9">
        <v>65.31</v>
      </c>
      <c r="Q10" s="9">
        <v>68.56</v>
      </c>
      <c r="R10" s="9">
        <v>68.349999999999994</v>
      </c>
      <c r="S10" s="9">
        <v>72.099999999999994</v>
      </c>
      <c r="T10" s="9">
        <f>62.25-3.15</f>
        <v>59.1</v>
      </c>
      <c r="U10" s="9">
        <v>67.45</v>
      </c>
      <c r="V10" s="9">
        <v>69.599999999999994</v>
      </c>
      <c r="W10" s="9">
        <v>69.94</v>
      </c>
      <c r="X10" s="9">
        <v>69.44</v>
      </c>
      <c r="Y10" s="9">
        <v>69.569999999999993</v>
      </c>
      <c r="Z10" s="9">
        <v>70.08</v>
      </c>
      <c r="AA10" s="9">
        <v>71.819999999999993</v>
      </c>
      <c r="AB10" s="9">
        <v>36.96</v>
      </c>
      <c r="AC10" s="9">
        <f>74.76-2.53</f>
        <v>72.23</v>
      </c>
      <c r="AD10" s="9">
        <f>72.77+0.1</f>
        <v>72.86999999999999</v>
      </c>
      <c r="AE10" s="9">
        <v>70.34</v>
      </c>
      <c r="AF10" s="9">
        <v>72.38</v>
      </c>
      <c r="AG10" s="9">
        <v>69.77</v>
      </c>
      <c r="AH10" s="9">
        <f>70.91-2.09</f>
        <v>68.819999999999993</v>
      </c>
      <c r="AI10" s="9">
        <v>70.069999999999993</v>
      </c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</row>
    <row r="12" spans="1:109" ht="21" x14ac:dyDescent="0.35">
      <c r="A12" s="27" t="s">
        <v>14</v>
      </c>
    </row>
    <row r="13" spans="1:109" s="1" customFormat="1" ht="20.25" x14ac:dyDescent="0.25">
      <c r="A13" s="2" t="s">
        <v>4</v>
      </c>
      <c r="B13" s="3" t="s">
        <v>5</v>
      </c>
      <c r="C13" s="4" t="s">
        <v>6</v>
      </c>
      <c r="D13" s="5">
        <f t="shared" ref="D13:D18" si="2">SUM(E13:AI13)</f>
        <v>25465.759999999998</v>
      </c>
      <c r="E13" s="6">
        <f>SUM(E14:E19)</f>
        <v>1064.92</v>
      </c>
      <c r="F13" s="6">
        <f t="shared" ref="F13:AI13" si="3">SUM(F14:F19)</f>
        <v>1054.98</v>
      </c>
      <c r="G13" s="6">
        <f t="shared" si="3"/>
        <v>1144.48</v>
      </c>
      <c r="H13" s="6">
        <f t="shared" si="3"/>
        <v>1074.92</v>
      </c>
      <c r="I13" s="6">
        <f t="shared" si="3"/>
        <v>1067.1300000000001</v>
      </c>
      <c r="J13" s="6">
        <f t="shared" si="3"/>
        <v>1121.68</v>
      </c>
      <c r="K13" s="6">
        <f t="shared" si="3"/>
        <v>1052.04</v>
      </c>
      <c r="L13" s="6">
        <f t="shared" si="3"/>
        <v>933.69999999999993</v>
      </c>
      <c r="M13" s="6">
        <f t="shared" si="3"/>
        <v>862.59000000000015</v>
      </c>
      <c r="N13" s="6">
        <f t="shared" si="3"/>
        <v>704.81</v>
      </c>
      <c r="O13" s="6">
        <f t="shared" si="3"/>
        <v>847.71</v>
      </c>
      <c r="P13" s="6">
        <f t="shared" si="3"/>
        <v>959.3599999999999</v>
      </c>
      <c r="Q13" s="6">
        <f t="shared" si="3"/>
        <v>967.87</v>
      </c>
      <c r="R13" s="6">
        <f t="shared" si="3"/>
        <v>964.32000000000016</v>
      </c>
      <c r="S13" s="6">
        <f t="shared" si="3"/>
        <v>955.81</v>
      </c>
      <c r="T13" s="6">
        <f t="shared" si="3"/>
        <v>893.68999999999994</v>
      </c>
      <c r="U13" s="6">
        <f t="shared" si="3"/>
        <v>784.7</v>
      </c>
      <c r="V13" s="6">
        <f t="shared" si="3"/>
        <v>818.36</v>
      </c>
      <c r="W13" s="6">
        <f t="shared" si="3"/>
        <v>964.69999999999993</v>
      </c>
      <c r="X13" s="6">
        <f t="shared" si="3"/>
        <v>990.26</v>
      </c>
      <c r="Y13" s="6">
        <f t="shared" si="3"/>
        <v>921.06999999999994</v>
      </c>
      <c r="Z13" s="6">
        <f t="shared" si="3"/>
        <v>483.84999999999997</v>
      </c>
      <c r="AA13" s="6">
        <f t="shared" si="3"/>
        <v>0</v>
      </c>
      <c r="AB13" s="6">
        <f t="shared" si="3"/>
        <v>479.94999999999993</v>
      </c>
      <c r="AC13" s="6">
        <f t="shared" si="3"/>
        <v>716.7700000000001</v>
      </c>
      <c r="AD13" s="6">
        <f t="shared" si="3"/>
        <v>913</v>
      </c>
      <c r="AE13" s="6">
        <f t="shared" si="3"/>
        <v>926.3599999999999</v>
      </c>
      <c r="AF13" s="6">
        <f t="shared" si="3"/>
        <v>902.38</v>
      </c>
      <c r="AG13" s="6">
        <f t="shared" si="3"/>
        <v>894.34999999999991</v>
      </c>
      <c r="AH13" s="6">
        <f t="shared" si="3"/>
        <v>0</v>
      </c>
      <c r="AI13" s="6">
        <f t="shared" si="3"/>
        <v>0</v>
      </c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</row>
    <row r="14" spans="1:109" s="1" customFormat="1" x14ac:dyDescent="0.25">
      <c r="A14" s="7"/>
      <c r="B14" s="8" t="s">
        <v>7</v>
      </c>
      <c r="C14" s="4" t="s">
        <v>6</v>
      </c>
      <c r="D14" s="5">
        <f t="shared" si="2"/>
        <v>2038.59</v>
      </c>
      <c r="E14" s="9">
        <v>100.26</v>
      </c>
      <c r="F14" s="9">
        <v>89.76</v>
      </c>
      <c r="G14" s="9">
        <v>111.45</v>
      </c>
      <c r="H14" s="9">
        <v>100.73</v>
      </c>
      <c r="I14" s="9">
        <v>95.04</v>
      </c>
      <c r="J14" s="9">
        <v>101.61</v>
      </c>
      <c r="K14" s="9">
        <v>100.34</v>
      </c>
      <c r="L14" s="9">
        <v>72.91</v>
      </c>
      <c r="M14" s="9">
        <v>60.94</v>
      </c>
      <c r="N14" s="9">
        <v>30.7</v>
      </c>
      <c r="O14" s="9">
        <v>53.41</v>
      </c>
      <c r="P14" s="9">
        <v>63.42</v>
      </c>
      <c r="Q14" s="9">
        <v>48.18</v>
      </c>
      <c r="R14" s="9">
        <v>56</v>
      </c>
      <c r="S14" s="9">
        <v>73.66</v>
      </c>
      <c r="T14" s="9">
        <v>57.28</v>
      </c>
      <c r="U14" s="9">
        <v>63.59</v>
      </c>
      <c r="V14" s="9">
        <v>72.010000000000005</v>
      </c>
      <c r="W14" s="9">
        <v>76.510000000000005</v>
      </c>
      <c r="X14" s="9">
        <v>65.39</v>
      </c>
      <c r="Y14" s="9">
        <v>76.680000000000007</v>
      </c>
      <c r="Z14" s="9">
        <v>34.97</v>
      </c>
      <c r="AA14" s="9"/>
      <c r="AB14" s="9">
        <v>31.51</v>
      </c>
      <c r="AC14" s="9">
        <v>77.03</v>
      </c>
      <c r="AD14" s="9">
        <v>102.55</v>
      </c>
      <c r="AE14" s="9">
        <v>82.81</v>
      </c>
      <c r="AF14" s="9">
        <v>77.010000000000005</v>
      </c>
      <c r="AG14" s="9">
        <v>62.84</v>
      </c>
      <c r="AH14" s="9"/>
      <c r="AI14" s="9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</row>
    <row r="15" spans="1:109" s="1" customFormat="1" x14ac:dyDescent="0.25">
      <c r="A15" s="7"/>
      <c r="B15" s="8" t="s">
        <v>8</v>
      </c>
      <c r="C15" s="4" t="s">
        <v>6</v>
      </c>
      <c r="D15" s="5">
        <f t="shared" si="2"/>
        <v>9734.0199999999968</v>
      </c>
      <c r="E15" s="9">
        <v>398.54</v>
      </c>
      <c r="F15" s="9">
        <v>385.71</v>
      </c>
      <c r="G15" s="9">
        <v>438.32</v>
      </c>
      <c r="H15" s="9">
        <v>408.99</v>
      </c>
      <c r="I15" s="9">
        <v>418.48</v>
      </c>
      <c r="J15" s="9">
        <v>431.1</v>
      </c>
      <c r="K15" s="9">
        <v>401.21</v>
      </c>
      <c r="L15" s="9">
        <v>370.33</v>
      </c>
      <c r="M15" s="9">
        <v>330.25</v>
      </c>
      <c r="N15" s="9">
        <v>260.39999999999998</v>
      </c>
      <c r="O15" s="9">
        <v>323.41000000000003</v>
      </c>
      <c r="P15" s="9">
        <v>367.9</v>
      </c>
      <c r="Q15" s="9">
        <v>389.83</v>
      </c>
      <c r="R15" s="9">
        <v>388.13</v>
      </c>
      <c r="S15" s="9">
        <v>362.27</v>
      </c>
      <c r="T15" s="9">
        <v>330.64</v>
      </c>
      <c r="U15" s="9">
        <v>266.02999999999997</v>
      </c>
      <c r="V15" s="9">
        <v>291.58999999999997</v>
      </c>
      <c r="W15" s="9">
        <v>362.28</v>
      </c>
      <c r="X15" s="9">
        <v>421.92</v>
      </c>
      <c r="Y15" s="9">
        <v>360.24</v>
      </c>
      <c r="Z15" s="9">
        <v>207.21</v>
      </c>
      <c r="AA15" s="9"/>
      <c r="AB15" s="9">
        <v>240.87</v>
      </c>
      <c r="AC15" s="9">
        <v>259.01</v>
      </c>
      <c r="AD15" s="9">
        <v>318.39</v>
      </c>
      <c r="AE15" s="9">
        <v>333.05</v>
      </c>
      <c r="AF15" s="9">
        <v>320.99</v>
      </c>
      <c r="AG15" s="9">
        <v>346.93</v>
      </c>
      <c r="AH15" s="9"/>
      <c r="AI15" s="9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</row>
    <row r="16" spans="1:109" s="1" customFormat="1" x14ac:dyDescent="0.25">
      <c r="A16" s="7"/>
      <c r="B16" s="8" t="s">
        <v>9</v>
      </c>
      <c r="C16" s="4" t="s">
        <v>6</v>
      </c>
      <c r="D16" s="5">
        <f>SUM(E16:AI16)</f>
        <v>6240.95</v>
      </c>
      <c r="E16" s="9">
        <v>261.06</v>
      </c>
      <c r="F16" s="9">
        <v>280.25</v>
      </c>
      <c r="G16" s="9">
        <v>285.49</v>
      </c>
      <c r="H16" s="9">
        <v>270.51</v>
      </c>
      <c r="I16" s="9">
        <v>269.95999999999998</v>
      </c>
      <c r="J16" s="9">
        <v>269.73</v>
      </c>
      <c r="K16" s="9">
        <v>238.76</v>
      </c>
      <c r="L16" s="9">
        <v>214.15</v>
      </c>
      <c r="M16" s="9">
        <v>210.49</v>
      </c>
      <c r="N16" s="9">
        <v>145.53</v>
      </c>
      <c r="O16" s="9">
        <v>202.64</v>
      </c>
      <c r="P16" s="9">
        <v>245.84</v>
      </c>
      <c r="Q16" s="9">
        <v>261.87</v>
      </c>
      <c r="R16" s="9">
        <v>238.73</v>
      </c>
      <c r="S16" s="9">
        <v>238.85</v>
      </c>
      <c r="T16" s="9">
        <v>243.58</v>
      </c>
      <c r="U16" s="9">
        <v>197.64</v>
      </c>
      <c r="V16" s="9">
        <v>194.79</v>
      </c>
      <c r="W16" s="9">
        <f>250.04-1.22</f>
        <v>248.82</v>
      </c>
      <c r="X16" s="9">
        <v>218.78</v>
      </c>
      <c r="Y16" s="9">
        <v>202.12</v>
      </c>
      <c r="Z16" s="9">
        <f>99.58+1.62</f>
        <v>101.2</v>
      </c>
      <c r="AA16" s="9"/>
      <c r="AB16" s="9">
        <v>115.64</v>
      </c>
      <c r="AC16" s="9">
        <v>139.11000000000001</v>
      </c>
      <c r="AD16" s="9">
        <f>234.24+3.07</f>
        <v>237.31</v>
      </c>
      <c r="AE16" s="9">
        <v>247.92</v>
      </c>
      <c r="AF16" s="9">
        <v>239.18</v>
      </c>
      <c r="AG16" s="9">
        <v>221</v>
      </c>
      <c r="AH16" s="9"/>
      <c r="AI16" s="9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</row>
    <row r="17" spans="1:109" s="1" customFormat="1" ht="16.5" customHeight="1" x14ac:dyDescent="0.25">
      <c r="A17" s="7"/>
      <c r="B17" s="8" t="s">
        <v>10</v>
      </c>
      <c r="C17" s="4" t="s">
        <v>6</v>
      </c>
      <c r="D17" s="5">
        <f t="shared" si="2"/>
        <v>2847.7599999999998</v>
      </c>
      <c r="E17" s="9">
        <v>117.99</v>
      </c>
      <c r="F17" s="9">
        <v>115.77</v>
      </c>
      <c r="G17" s="9">
        <v>129.08000000000001</v>
      </c>
      <c r="H17" s="9">
        <v>123.38</v>
      </c>
      <c r="I17" s="9">
        <f>117.35+0.4</f>
        <v>117.75</v>
      </c>
      <c r="J17" s="9">
        <f>122.34+0.15</f>
        <v>122.49000000000001</v>
      </c>
      <c r="K17" s="9">
        <v>111.29</v>
      </c>
      <c r="L17" s="9">
        <v>103.43</v>
      </c>
      <c r="M17" s="9">
        <v>97.37</v>
      </c>
      <c r="N17" s="9">
        <v>109.24</v>
      </c>
      <c r="O17" s="9">
        <v>109.38</v>
      </c>
      <c r="P17" s="9">
        <v>102.45</v>
      </c>
      <c r="Q17" s="9">
        <v>100.94</v>
      </c>
      <c r="R17" s="9">
        <v>110.32</v>
      </c>
      <c r="S17" s="9">
        <v>109.98</v>
      </c>
      <c r="T17" s="9">
        <v>107.56</v>
      </c>
      <c r="U17" s="9">
        <v>112.73</v>
      </c>
      <c r="V17" s="9">
        <v>108.26</v>
      </c>
      <c r="W17" s="9">
        <v>105.63</v>
      </c>
      <c r="X17" s="9">
        <v>103.19</v>
      </c>
      <c r="Y17" s="9">
        <v>110.96</v>
      </c>
      <c r="Z17" s="9">
        <v>37.71</v>
      </c>
      <c r="AA17" s="9"/>
      <c r="AB17" s="9">
        <v>46.9</v>
      </c>
      <c r="AC17" s="9">
        <v>85.81</v>
      </c>
      <c r="AD17" s="9">
        <v>85.48</v>
      </c>
      <c r="AE17" s="9">
        <f>81.13+0.03</f>
        <v>81.16</v>
      </c>
      <c r="AF17" s="9">
        <f>92.38-0.14</f>
        <v>92.24</v>
      </c>
      <c r="AG17" s="9">
        <f>88.59+0.68</f>
        <v>89.27000000000001</v>
      </c>
      <c r="AH17" s="9"/>
      <c r="AI17" s="9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</row>
    <row r="18" spans="1:109" s="1" customFormat="1" x14ac:dyDescent="0.25">
      <c r="A18" s="7"/>
      <c r="B18" s="8" t="s">
        <v>11</v>
      </c>
      <c r="C18" s="4" t="s">
        <v>6</v>
      </c>
      <c r="D18" s="5">
        <f t="shared" si="2"/>
        <v>2726.5800000000008</v>
      </c>
      <c r="E18" s="9">
        <v>116.19</v>
      </c>
      <c r="F18" s="9">
        <v>112.62</v>
      </c>
      <c r="G18" s="9">
        <v>109.39</v>
      </c>
      <c r="H18" s="9">
        <v>101.23</v>
      </c>
      <c r="I18" s="9">
        <v>95.51</v>
      </c>
      <c r="J18" s="9">
        <v>127.57</v>
      </c>
      <c r="K18" s="9">
        <v>125.66</v>
      </c>
      <c r="L18" s="9">
        <v>101.1</v>
      </c>
      <c r="M18" s="9">
        <v>93.46</v>
      </c>
      <c r="N18" s="9">
        <v>89.42</v>
      </c>
      <c r="O18" s="9">
        <v>88.89</v>
      </c>
      <c r="P18" s="9">
        <v>111.43</v>
      </c>
      <c r="Q18" s="9">
        <v>96.58</v>
      </c>
      <c r="R18" s="9">
        <v>101.94</v>
      </c>
      <c r="S18" s="9">
        <f>104.15-0.23</f>
        <v>103.92</v>
      </c>
      <c r="T18" s="9">
        <v>83.41</v>
      </c>
      <c r="U18" s="9">
        <v>73.77</v>
      </c>
      <c r="V18" s="9">
        <v>81.739999999999995</v>
      </c>
      <c r="W18" s="9">
        <v>101.34</v>
      </c>
      <c r="X18" s="9">
        <v>110.14</v>
      </c>
      <c r="Y18" s="9">
        <v>98.63</v>
      </c>
      <c r="Z18" s="9">
        <f>39.95+1.1</f>
        <v>41.050000000000004</v>
      </c>
      <c r="AA18" s="9"/>
      <c r="AB18" s="9">
        <v>45.03</v>
      </c>
      <c r="AC18" s="9">
        <v>94.58</v>
      </c>
      <c r="AD18" s="9">
        <v>101.14</v>
      </c>
      <c r="AE18" s="9">
        <v>111.55</v>
      </c>
      <c r="AF18" s="9">
        <f>104.26-0.09</f>
        <v>104.17</v>
      </c>
      <c r="AG18" s="9">
        <f>104.58+0.54</f>
        <v>105.12</v>
      </c>
      <c r="AH18" s="9"/>
      <c r="AI18" s="9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</row>
    <row r="19" spans="1:109" s="1" customFormat="1" ht="15.75" thickBot="1" x14ac:dyDescent="0.3">
      <c r="A19" s="7"/>
      <c r="B19" s="8" t="s">
        <v>12</v>
      </c>
      <c r="C19" s="4" t="s">
        <v>6</v>
      </c>
      <c r="D19" s="29">
        <f>SUM(E19:AI19)</f>
        <v>1877.8600000000001</v>
      </c>
      <c r="E19" s="9">
        <v>70.88</v>
      </c>
      <c r="F19" s="9">
        <f>72.89-2.02</f>
        <v>70.87</v>
      </c>
      <c r="G19" s="9">
        <v>70.75</v>
      </c>
      <c r="H19" s="9">
        <v>70.08</v>
      </c>
      <c r="I19" s="9">
        <v>70.39</v>
      </c>
      <c r="J19" s="9">
        <v>69.180000000000007</v>
      </c>
      <c r="K19" s="9">
        <v>74.78</v>
      </c>
      <c r="L19" s="9">
        <v>71.78</v>
      </c>
      <c r="M19" s="9">
        <v>70.08</v>
      </c>
      <c r="N19" s="9">
        <v>69.52</v>
      </c>
      <c r="O19" s="9">
        <v>69.98</v>
      </c>
      <c r="P19" s="9">
        <v>68.319999999999993</v>
      </c>
      <c r="Q19" s="9">
        <v>70.47</v>
      </c>
      <c r="R19" s="9">
        <v>69.2</v>
      </c>
      <c r="S19" s="9">
        <f>70.68-3.55</f>
        <v>67.13000000000001</v>
      </c>
      <c r="T19" s="9">
        <v>71.22</v>
      </c>
      <c r="U19" s="9">
        <v>70.94</v>
      </c>
      <c r="V19" s="9">
        <v>69.97</v>
      </c>
      <c r="W19" s="9">
        <v>70.12</v>
      </c>
      <c r="X19" s="9">
        <v>70.84</v>
      </c>
      <c r="Y19" s="9">
        <v>72.44</v>
      </c>
      <c r="Z19" s="9">
        <f>65.91-4.2</f>
        <v>61.709999999999994</v>
      </c>
      <c r="AA19" s="9"/>
      <c r="AB19" s="9"/>
      <c r="AC19" s="9">
        <v>61.23</v>
      </c>
      <c r="AD19" s="9">
        <v>68.13</v>
      </c>
      <c r="AE19" s="9">
        <v>69.87</v>
      </c>
      <c r="AF19" s="9">
        <v>68.790000000000006</v>
      </c>
      <c r="AG19" s="9">
        <v>69.19</v>
      </c>
      <c r="AH19" s="9"/>
      <c r="AI19" s="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</row>
    <row r="21" spans="1:109" ht="21" x14ac:dyDescent="0.35">
      <c r="A21" s="27" t="s">
        <v>15</v>
      </c>
    </row>
    <row r="22" spans="1:109" s="1" customFormat="1" ht="20.25" x14ac:dyDescent="0.25">
      <c r="A22" s="2" t="s">
        <v>4</v>
      </c>
      <c r="B22" s="3" t="s">
        <v>5</v>
      </c>
      <c r="C22" s="4" t="s">
        <v>6</v>
      </c>
      <c r="D22" s="5">
        <f t="shared" ref="D22:D27" si="4">SUM(E22:AI22)</f>
        <v>32377.86</v>
      </c>
      <c r="E22" s="6">
        <f>SUM(E23:E28)</f>
        <v>788.68</v>
      </c>
      <c r="F22" s="6">
        <f t="shared" ref="F22:AI22" si="5">SUM(F23:F28)</f>
        <v>774.61999999999989</v>
      </c>
      <c r="G22" s="6">
        <f t="shared" si="5"/>
        <v>870.04</v>
      </c>
      <c r="H22" s="6">
        <f t="shared" si="5"/>
        <v>998.94</v>
      </c>
      <c r="I22" s="6">
        <f t="shared" si="5"/>
        <v>1057.5700000000002</v>
      </c>
      <c r="J22" s="6">
        <f t="shared" si="5"/>
        <v>1117.96</v>
      </c>
      <c r="K22" s="6">
        <f t="shared" si="5"/>
        <v>1013.21</v>
      </c>
      <c r="L22" s="6">
        <f t="shared" si="5"/>
        <v>1002.85</v>
      </c>
      <c r="M22" s="6">
        <f t="shared" si="5"/>
        <v>1016.45</v>
      </c>
      <c r="N22" s="6">
        <f t="shared" si="5"/>
        <v>972.32</v>
      </c>
      <c r="O22" s="6">
        <f t="shared" si="5"/>
        <v>989.82999999999993</v>
      </c>
      <c r="P22" s="6">
        <f t="shared" si="5"/>
        <v>1033.68</v>
      </c>
      <c r="Q22" s="6">
        <f t="shared" si="5"/>
        <v>1083.45</v>
      </c>
      <c r="R22" s="6">
        <f t="shared" si="5"/>
        <v>1089.71</v>
      </c>
      <c r="S22" s="6">
        <f t="shared" si="5"/>
        <v>1088.3700000000001</v>
      </c>
      <c r="T22" s="6">
        <f t="shared" si="5"/>
        <v>1096.6600000000001</v>
      </c>
      <c r="U22" s="6">
        <f t="shared" si="5"/>
        <v>1101.4099999999999</v>
      </c>
      <c r="V22" s="6">
        <f t="shared" si="5"/>
        <v>1065.1299999999999</v>
      </c>
      <c r="W22" s="6">
        <f t="shared" si="5"/>
        <v>1102.5</v>
      </c>
      <c r="X22" s="6">
        <f t="shared" si="5"/>
        <v>1055.3500000000001</v>
      </c>
      <c r="Y22" s="6">
        <f t="shared" si="5"/>
        <v>1069.56</v>
      </c>
      <c r="Z22" s="6">
        <f t="shared" si="5"/>
        <v>1142.2699999999998</v>
      </c>
      <c r="AA22" s="6">
        <f t="shared" si="5"/>
        <v>1082.6999999999998</v>
      </c>
      <c r="AB22" s="6">
        <f t="shared" si="5"/>
        <v>1036.8700000000001</v>
      </c>
      <c r="AC22" s="6">
        <f t="shared" si="5"/>
        <v>1034.1000000000001</v>
      </c>
      <c r="AD22" s="6">
        <f t="shared" si="5"/>
        <v>1193.05</v>
      </c>
      <c r="AE22" s="6">
        <f t="shared" si="5"/>
        <v>1122.17</v>
      </c>
      <c r="AF22" s="6">
        <f t="shared" si="5"/>
        <v>1090.03</v>
      </c>
      <c r="AG22" s="6">
        <f t="shared" si="5"/>
        <v>1109.81</v>
      </c>
      <c r="AH22" s="6">
        <f t="shared" si="5"/>
        <v>1131.49</v>
      </c>
      <c r="AI22" s="6">
        <f t="shared" si="5"/>
        <v>1047.08</v>
      </c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</row>
    <row r="23" spans="1:109" s="1" customFormat="1" x14ac:dyDescent="0.25">
      <c r="A23" s="7"/>
      <c r="B23" s="8" t="s">
        <v>7</v>
      </c>
      <c r="C23" s="4" t="s">
        <v>6</v>
      </c>
      <c r="D23" s="5">
        <f t="shared" si="4"/>
        <v>3084.75</v>
      </c>
      <c r="E23" s="9">
        <v>75.22</v>
      </c>
      <c r="F23" s="9">
        <v>74.66</v>
      </c>
      <c r="G23" s="9">
        <v>75.38</v>
      </c>
      <c r="H23" s="9">
        <v>77.180000000000007</v>
      </c>
      <c r="I23" s="9">
        <v>81.760000000000005</v>
      </c>
      <c r="J23" s="9">
        <v>96.93</v>
      </c>
      <c r="K23" s="9">
        <v>90.53</v>
      </c>
      <c r="L23" s="9">
        <v>86.76</v>
      </c>
      <c r="M23" s="9">
        <v>90.17</v>
      </c>
      <c r="N23" s="9">
        <v>105.33</v>
      </c>
      <c r="O23" s="9">
        <v>108.23</v>
      </c>
      <c r="P23" s="9">
        <v>90.83</v>
      </c>
      <c r="Q23" s="9">
        <v>97.46</v>
      </c>
      <c r="R23" s="9">
        <v>119.61</v>
      </c>
      <c r="S23" s="9">
        <v>103.02</v>
      </c>
      <c r="T23" s="9">
        <v>103.72</v>
      </c>
      <c r="U23" s="9">
        <v>105.37</v>
      </c>
      <c r="V23" s="9">
        <v>114.9</v>
      </c>
      <c r="W23" s="9">
        <v>102.65</v>
      </c>
      <c r="X23" s="9">
        <v>87.37</v>
      </c>
      <c r="Y23" s="9">
        <v>97.22</v>
      </c>
      <c r="Z23" s="9">
        <v>108.25</v>
      </c>
      <c r="AA23" s="9">
        <v>86.14</v>
      </c>
      <c r="AB23" s="9">
        <v>108.18</v>
      </c>
      <c r="AC23" s="9">
        <v>90.62</v>
      </c>
      <c r="AD23" s="9">
        <v>143.18</v>
      </c>
      <c r="AE23" s="9">
        <v>112.79</v>
      </c>
      <c r="AF23" s="9">
        <f>113.6-1.4</f>
        <v>112.19999999999999</v>
      </c>
      <c r="AG23" s="9">
        <v>102.53</v>
      </c>
      <c r="AH23" s="9">
        <v>108.78</v>
      </c>
      <c r="AI23" s="9">
        <v>127.78</v>
      </c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</row>
    <row r="24" spans="1:109" s="1" customFormat="1" x14ac:dyDescent="0.25">
      <c r="A24" s="7"/>
      <c r="B24" s="8" t="s">
        <v>8</v>
      </c>
      <c r="C24" s="4" t="s">
        <v>6</v>
      </c>
      <c r="D24" s="5">
        <f t="shared" si="4"/>
        <v>12754.39</v>
      </c>
      <c r="E24" s="9">
        <v>237.59</v>
      </c>
      <c r="F24" s="9">
        <v>216.6</v>
      </c>
      <c r="G24" s="9">
        <v>333.55</v>
      </c>
      <c r="H24" s="9">
        <v>396.73</v>
      </c>
      <c r="I24" s="9">
        <v>411.22</v>
      </c>
      <c r="J24" s="9">
        <v>460.12</v>
      </c>
      <c r="K24" s="9">
        <v>392.53</v>
      </c>
      <c r="L24" s="9">
        <v>388.67</v>
      </c>
      <c r="M24" s="9">
        <v>407.46</v>
      </c>
      <c r="N24" s="9">
        <v>387.63</v>
      </c>
      <c r="O24" s="9">
        <v>364.93</v>
      </c>
      <c r="P24" s="9">
        <v>421.78</v>
      </c>
      <c r="Q24" s="9">
        <v>450.4</v>
      </c>
      <c r="R24" s="9">
        <v>424.08</v>
      </c>
      <c r="S24" s="9">
        <v>442.05</v>
      </c>
      <c r="T24" s="9">
        <v>445.55</v>
      </c>
      <c r="U24" s="9">
        <v>457.27</v>
      </c>
      <c r="V24" s="9">
        <v>450.28</v>
      </c>
      <c r="W24" s="9">
        <v>427.3</v>
      </c>
      <c r="X24" s="9">
        <v>440.9</v>
      </c>
      <c r="Y24" s="9">
        <v>418.76</v>
      </c>
      <c r="Z24" s="9">
        <v>470.09</v>
      </c>
      <c r="AA24" s="9">
        <v>460.14</v>
      </c>
      <c r="AB24" s="9">
        <v>449.09</v>
      </c>
      <c r="AC24" s="9">
        <v>385.71</v>
      </c>
      <c r="AD24" s="9">
        <v>456.65</v>
      </c>
      <c r="AE24" s="9">
        <v>451.19</v>
      </c>
      <c r="AF24" s="9">
        <v>431.93</v>
      </c>
      <c r="AG24" s="9">
        <v>426.11</v>
      </c>
      <c r="AH24" s="9">
        <v>438.45</v>
      </c>
      <c r="AI24" s="9">
        <v>409.63</v>
      </c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</row>
    <row r="25" spans="1:109" s="1" customFormat="1" x14ac:dyDescent="0.25">
      <c r="A25" s="7"/>
      <c r="B25" s="8" t="s">
        <v>9</v>
      </c>
      <c r="C25" s="4" t="s">
        <v>6</v>
      </c>
      <c r="D25" s="5">
        <f>SUM(E25:AI25)</f>
        <v>8258.6</v>
      </c>
      <c r="E25" s="9">
        <v>223.72</v>
      </c>
      <c r="F25" s="9">
        <v>226.06</v>
      </c>
      <c r="G25" s="9">
        <v>194.18</v>
      </c>
      <c r="H25" s="9">
        <v>260.75</v>
      </c>
      <c r="I25" s="9">
        <v>285.95</v>
      </c>
      <c r="J25" s="9">
        <v>287.39999999999998</v>
      </c>
      <c r="K25" s="9">
        <v>283.75</v>
      </c>
      <c r="L25" s="9">
        <v>281.27</v>
      </c>
      <c r="M25" s="9">
        <v>267.89999999999998</v>
      </c>
      <c r="N25" s="9">
        <v>239.75</v>
      </c>
      <c r="O25" s="9">
        <v>270.18</v>
      </c>
      <c r="P25" s="9">
        <v>292.35000000000002</v>
      </c>
      <c r="Q25" s="9">
        <v>292.45</v>
      </c>
      <c r="R25" s="9">
        <v>290.06</v>
      </c>
      <c r="S25" s="9">
        <v>293.35000000000002</v>
      </c>
      <c r="T25" s="9">
        <v>284.24</v>
      </c>
      <c r="U25" s="9">
        <v>272.11</v>
      </c>
      <c r="V25" s="9">
        <v>222.54</v>
      </c>
      <c r="W25" s="9">
        <v>281.24</v>
      </c>
      <c r="X25" s="9">
        <v>249.18</v>
      </c>
      <c r="Y25" s="9">
        <v>274.64999999999998</v>
      </c>
      <c r="Z25" s="9">
        <v>281.33999999999997</v>
      </c>
      <c r="AA25" s="9">
        <v>280.82</v>
      </c>
      <c r="AB25" s="9">
        <v>218.97</v>
      </c>
      <c r="AC25" s="9">
        <v>284.06</v>
      </c>
      <c r="AD25" s="9">
        <v>290.48</v>
      </c>
      <c r="AE25" s="9">
        <v>270.92</v>
      </c>
      <c r="AF25" s="9">
        <v>269.02</v>
      </c>
      <c r="AG25" s="9">
        <f>283.35-1.93</f>
        <v>281.42</v>
      </c>
      <c r="AH25" s="9">
        <v>285.77999999999997</v>
      </c>
      <c r="AI25" s="9">
        <v>222.71</v>
      </c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</row>
    <row r="26" spans="1:109" s="1" customFormat="1" ht="16.5" customHeight="1" x14ac:dyDescent="0.25">
      <c r="A26" s="7"/>
      <c r="B26" s="8" t="s">
        <v>10</v>
      </c>
      <c r="C26" s="4" t="s">
        <v>6</v>
      </c>
      <c r="D26" s="5">
        <f t="shared" si="4"/>
        <v>3009.4700000000003</v>
      </c>
      <c r="E26" s="9">
        <v>83.75</v>
      </c>
      <c r="F26" s="9">
        <v>86.92</v>
      </c>
      <c r="G26" s="9">
        <v>102.82</v>
      </c>
      <c r="H26" s="9">
        <v>90.78</v>
      </c>
      <c r="I26" s="9">
        <v>97.59</v>
      </c>
      <c r="J26" s="9">
        <v>93.56</v>
      </c>
      <c r="K26" s="9">
        <v>82.69</v>
      </c>
      <c r="L26" s="9">
        <v>91.88</v>
      </c>
      <c r="M26" s="9">
        <v>103.49</v>
      </c>
      <c r="N26" s="9">
        <v>97.14</v>
      </c>
      <c r="O26" s="9">
        <f>92.33+2.86</f>
        <v>95.19</v>
      </c>
      <c r="P26" s="9">
        <v>84.59</v>
      </c>
      <c r="Q26" s="9">
        <v>85.33</v>
      </c>
      <c r="R26" s="9">
        <v>90.22</v>
      </c>
      <c r="S26" s="9">
        <v>93.65</v>
      </c>
      <c r="T26" s="9">
        <v>99.17</v>
      </c>
      <c r="U26" s="9">
        <v>102.55</v>
      </c>
      <c r="V26" s="9">
        <v>105.41</v>
      </c>
      <c r="W26" s="9">
        <v>104.18</v>
      </c>
      <c r="X26" s="9">
        <v>106.6</v>
      </c>
      <c r="Y26" s="9">
        <v>100.94</v>
      </c>
      <c r="Z26" s="9">
        <v>109.41</v>
      </c>
      <c r="AA26" s="9">
        <v>86.79</v>
      </c>
      <c r="AB26" s="9">
        <v>87.02</v>
      </c>
      <c r="AC26" s="9">
        <f>92.4+0.68</f>
        <v>93.080000000000013</v>
      </c>
      <c r="AD26" s="9">
        <v>114.53</v>
      </c>
      <c r="AE26" s="9">
        <v>97</v>
      </c>
      <c r="AF26" s="9">
        <f>98.89+0.68</f>
        <v>99.570000000000007</v>
      </c>
      <c r="AG26" s="9">
        <v>108.75</v>
      </c>
      <c r="AH26" s="9">
        <v>107.39</v>
      </c>
      <c r="AI26" s="9">
        <v>107.48</v>
      </c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</row>
    <row r="27" spans="1:109" s="1" customFormat="1" x14ac:dyDescent="0.25">
      <c r="A27" s="7"/>
      <c r="B27" s="8" t="s">
        <v>11</v>
      </c>
      <c r="C27" s="4" t="s">
        <v>6</v>
      </c>
      <c r="D27" s="5">
        <f t="shared" si="4"/>
        <v>3325.91</v>
      </c>
      <c r="E27" s="9">
        <v>99.36</v>
      </c>
      <c r="F27" s="9">
        <v>102.65</v>
      </c>
      <c r="G27" s="9">
        <v>96.57</v>
      </c>
      <c r="H27" s="9">
        <v>105.12</v>
      </c>
      <c r="I27" s="9">
        <v>111.17</v>
      </c>
      <c r="J27" s="9">
        <v>109.78</v>
      </c>
      <c r="K27" s="9">
        <v>96.78</v>
      </c>
      <c r="L27" s="9">
        <v>94.88</v>
      </c>
      <c r="M27" s="9">
        <v>82.95</v>
      </c>
      <c r="N27" s="9">
        <v>81.48</v>
      </c>
      <c r="O27" s="9">
        <v>83.87</v>
      </c>
      <c r="P27" s="9">
        <f>97.75+0.39</f>
        <v>98.14</v>
      </c>
      <c r="Q27" s="9">
        <v>114.3</v>
      </c>
      <c r="R27" s="9">
        <v>120.78</v>
      </c>
      <c r="S27" s="9">
        <v>99.37</v>
      </c>
      <c r="T27" s="9">
        <v>104.83</v>
      </c>
      <c r="U27" s="9">
        <v>107.05</v>
      </c>
      <c r="V27" s="9">
        <v>112.94</v>
      </c>
      <c r="W27" s="9">
        <f>122+1.08</f>
        <v>123.08</v>
      </c>
      <c r="X27" s="9">
        <v>107.35</v>
      </c>
      <c r="Y27" s="9">
        <v>110.76</v>
      </c>
      <c r="Z27" s="9">
        <v>109.31</v>
      </c>
      <c r="AA27" s="9">
        <v>104.96</v>
      </c>
      <c r="AB27" s="9">
        <v>109.47</v>
      </c>
      <c r="AC27" s="9">
        <v>113.74</v>
      </c>
      <c r="AD27" s="9">
        <v>121.12</v>
      </c>
      <c r="AE27" s="9">
        <v>125.6</v>
      </c>
      <c r="AF27" s="9">
        <f>112.22+0.03</f>
        <v>112.25</v>
      </c>
      <c r="AG27" s="9">
        <v>125.18</v>
      </c>
      <c r="AH27" s="9">
        <v>126.4</v>
      </c>
      <c r="AI27" s="9">
        <v>114.67</v>
      </c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</row>
    <row r="28" spans="1:109" s="1" customFormat="1" ht="15.75" thickBot="1" x14ac:dyDescent="0.3">
      <c r="A28" s="7"/>
      <c r="B28" s="8" t="s">
        <v>12</v>
      </c>
      <c r="C28" s="4" t="s">
        <v>6</v>
      </c>
      <c r="D28" s="29">
        <f>SUM(E28:AI28)</f>
        <v>1944.7399999999998</v>
      </c>
      <c r="E28" s="9">
        <v>69.040000000000006</v>
      </c>
      <c r="F28" s="9">
        <v>67.73</v>
      </c>
      <c r="G28" s="9">
        <v>67.540000000000006</v>
      </c>
      <c r="H28" s="9">
        <v>68.38</v>
      </c>
      <c r="I28" s="9">
        <v>69.88</v>
      </c>
      <c r="J28" s="9">
        <v>70.17</v>
      </c>
      <c r="K28" s="9">
        <v>66.930000000000007</v>
      </c>
      <c r="L28" s="9">
        <v>59.39</v>
      </c>
      <c r="M28" s="9">
        <v>64.48</v>
      </c>
      <c r="N28" s="9">
        <f>64.49-3.5</f>
        <v>60.989999999999995</v>
      </c>
      <c r="O28" s="9">
        <v>67.430000000000007</v>
      </c>
      <c r="P28" s="9">
        <v>45.99</v>
      </c>
      <c r="Q28" s="9">
        <v>43.51</v>
      </c>
      <c r="R28" s="9">
        <v>44.96</v>
      </c>
      <c r="S28" s="9">
        <v>56.93</v>
      </c>
      <c r="T28" s="9">
        <v>59.15</v>
      </c>
      <c r="U28" s="9">
        <v>57.06</v>
      </c>
      <c r="V28" s="9">
        <v>59.06</v>
      </c>
      <c r="W28" s="9">
        <v>64.05</v>
      </c>
      <c r="X28" s="9">
        <v>63.95</v>
      </c>
      <c r="Y28" s="9">
        <v>67.23</v>
      </c>
      <c r="Z28" s="9">
        <v>63.87</v>
      </c>
      <c r="AA28" s="9">
        <v>63.85</v>
      </c>
      <c r="AB28" s="9">
        <v>64.14</v>
      </c>
      <c r="AC28" s="9">
        <v>66.89</v>
      </c>
      <c r="AD28" s="9">
        <v>67.09</v>
      </c>
      <c r="AE28" s="9">
        <v>64.67</v>
      </c>
      <c r="AF28" s="9">
        <v>65.06</v>
      </c>
      <c r="AG28" s="9">
        <v>65.819999999999993</v>
      </c>
      <c r="AH28" s="9">
        <v>64.69</v>
      </c>
      <c r="AI28" s="9">
        <v>64.81</v>
      </c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</row>
    <row r="30" spans="1:109" ht="17.25" customHeight="1" x14ac:dyDescent="0.35">
      <c r="A30" s="27" t="s">
        <v>16</v>
      </c>
    </row>
    <row r="31" spans="1:109" s="1" customFormat="1" ht="20.25" x14ac:dyDescent="0.25">
      <c r="A31" s="2" t="s">
        <v>4</v>
      </c>
      <c r="B31" s="3" t="s">
        <v>5</v>
      </c>
      <c r="C31" s="4" t="s">
        <v>6</v>
      </c>
      <c r="D31" s="5">
        <f t="shared" ref="D31:D36" si="6">SUM(E31:AI31)</f>
        <v>30162.729999999996</v>
      </c>
      <c r="E31" s="6">
        <f>SUM(E32:E37)</f>
        <v>961.26</v>
      </c>
      <c r="F31" s="6">
        <f t="shared" ref="F31:AI31" si="7">SUM(F32:F37)</f>
        <v>1065.98</v>
      </c>
      <c r="G31" s="6">
        <f t="shared" si="7"/>
        <v>1105.4199999999998</v>
      </c>
      <c r="H31" s="6">
        <f t="shared" si="7"/>
        <v>1041.3599999999999</v>
      </c>
      <c r="I31" s="6">
        <f t="shared" si="7"/>
        <v>1006.8199999999999</v>
      </c>
      <c r="J31" s="6">
        <f t="shared" si="7"/>
        <v>831.05</v>
      </c>
      <c r="K31" s="6">
        <f t="shared" si="7"/>
        <v>877.64</v>
      </c>
      <c r="L31" s="6">
        <f t="shared" si="7"/>
        <v>973.89</v>
      </c>
      <c r="M31" s="6">
        <f t="shared" si="7"/>
        <v>1050.8399999999999</v>
      </c>
      <c r="N31" s="6">
        <f t="shared" si="7"/>
        <v>1050.0400000000002</v>
      </c>
      <c r="O31" s="6">
        <f t="shared" si="7"/>
        <v>1049.6400000000001</v>
      </c>
      <c r="P31" s="6">
        <f t="shared" si="7"/>
        <v>1063.57</v>
      </c>
      <c r="Q31" s="6">
        <f t="shared" si="7"/>
        <v>1055.01</v>
      </c>
      <c r="R31" s="6">
        <f t="shared" si="7"/>
        <v>995.67</v>
      </c>
      <c r="S31" s="6">
        <f t="shared" si="7"/>
        <v>1104.77</v>
      </c>
      <c r="T31" s="6">
        <f t="shared" si="7"/>
        <v>1105.2099999999998</v>
      </c>
      <c r="U31" s="6">
        <f t="shared" si="7"/>
        <v>1008.82</v>
      </c>
      <c r="V31" s="6">
        <f t="shared" si="7"/>
        <v>995.83</v>
      </c>
      <c r="W31" s="6">
        <f t="shared" si="7"/>
        <v>1057.3300000000002</v>
      </c>
      <c r="X31" s="6">
        <f t="shared" si="7"/>
        <v>943.67</v>
      </c>
      <c r="Y31" s="6">
        <f t="shared" si="7"/>
        <v>1040.56</v>
      </c>
      <c r="Z31" s="6">
        <f t="shared" si="7"/>
        <v>1009.03</v>
      </c>
      <c r="AA31" s="6">
        <f t="shared" si="7"/>
        <v>1010.94</v>
      </c>
      <c r="AB31" s="6">
        <f t="shared" si="7"/>
        <v>993.55000000000007</v>
      </c>
      <c r="AC31" s="6">
        <f t="shared" si="7"/>
        <v>943.92</v>
      </c>
      <c r="AD31" s="6">
        <f t="shared" si="7"/>
        <v>975.44</v>
      </c>
      <c r="AE31" s="6">
        <f t="shared" si="7"/>
        <v>999.04</v>
      </c>
      <c r="AF31" s="6">
        <f t="shared" si="7"/>
        <v>824.55</v>
      </c>
      <c r="AG31" s="6">
        <f t="shared" si="7"/>
        <v>1003.26</v>
      </c>
      <c r="AH31" s="6">
        <f t="shared" si="7"/>
        <v>1018.6200000000001</v>
      </c>
      <c r="AI31" s="6">
        <f t="shared" si="7"/>
        <v>0</v>
      </c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</row>
    <row r="32" spans="1:109" s="1" customFormat="1" x14ac:dyDescent="0.25">
      <c r="A32" s="7"/>
      <c r="B32" s="8" t="s">
        <v>7</v>
      </c>
      <c r="C32" s="4" t="s">
        <v>6</v>
      </c>
      <c r="D32" s="5">
        <f t="shared" si="6"/>
        <v>2771.08</v>
      </c>
      <c r="E32" s="9">
        <v>80.959999999999994</v>
      </c>
      <c r="F32" s="9">
        <v>93.78</v>
      </c>
      <c r="G32" s="9">
        <v>77.72</v>
      </c>
      <c r="H32" s="9">
        <v>75.430000000000007</v>
      </c>
      <c r="I32" s="9">
        <v>71.94</v>
      </c>
      <c r="J32" s="9">
        <v>81.37</v>
      </c>
      <c r="K32" s="9">
        <v>78.44</v>
      </c>
      <c r="L32" s="9">
        <v>82.14</v>
      </c>
      <c r="M32" s="9">
        <v>91.96</v>
      </c>
      <c r="N32" s="9">
        <v>100.3</v>
      </c>
      <c r="O32" s="9">
        <v>93.41</v>
      </c>
      <c r="P32" s="9">
        <v>95.19</v>
      </c>
      <c r="Q32" s="9">
        <v>113.34</v>
      </c>
      <c r="R32" s="9">
        <v>95.06</v>
      </c>
      <c r="S32" s="9">
        <v>106.31</v>
      </c>
      <c r="T32" s="9">
        <v>110.49</v>
      </c>
      <c r="U32" s="9">
        <v>97.41</v>
      </c>
      <c r="V32" s="9">
        <v>95.69</v>
      </c>
      <c r="W32" s="9">
        <v>109.03</v>
      </c>
      <c r="X32" s="9">
        <v>84.99</v>
      </c>
      <c r="Y32" s="9">
        <v>94.38</v>
      </c>
      <c r="Z32" s="9">
        <v>101.32</v>
      </c>
      <c r="AA32" s="9">
        <v>88.62</v>
      </c>
      <c r="AB32" s="9">
        <v>89.83</v>
      </c>
      <c r="AC32" s="9">
        <v>91.71</v>
      </c>
      <c r="AD32" s="9">
        <v>93.18</v>
      </c>
      <c r="AE32" s="9">
        <v>98.12</v>
      </c>
      <c r="AF32" s="9">
        <v>101.26</v>
      </c>
      <c r="AG32" s="9">
        <v>85.07</v>
      </c>
      <c r="AH32" s="9">
        <v>92.63</v>
      </c>
      <c r="AI32" s="9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</row>
    <row r="33" spans="1:109" s="1" customFormat="1" x14ac:dyDescent="0.25">
      <c r="A33" s="7"/>
      <c r="B33" s="8" t="s">
        <v>8</v>
      </c>
      <c r="C33" s="4" t="s">
        <v>6</v>
      </c>
      <c r="D33" s="5">
        <f t="shared" si="6"/>
        <v>11882.619999999999</v>
      </c>
      <c r="E33" s="9">
        <v>368.69</v>
      </c>
      <c r="F33" s="9">
        <v>433.48</v>
      </c>
      <c r="G33" s="9">
        <v>495.54</v>
      </c>
      <c r="H33" s="9">
        <v>442.42</v>
      </c>
      <c r="I33" s="9">
        <v>398.43</v>
      </c>
      <c r="J33" s="9">
        <v>269.39</v>
      </c>
      <c r="K33" s="9">
        <v>346.42</v>
      </c>
      <c r="L33" s="9">
        <v>398.53</v>
      </c>
      <c r="M33" s="9">
        <v>428.71</v>
      </c>
      <c r="N33" s="9">
        <v>428.2</v>
      </c>
      <c r="O33" s="9">
        <v>411.42</v>
      </c>
      <c r="P33" s="9">
        <v>414.93</v>
      </c>
      <c r="Q33" s="9">
        <v>394.3</v>
      </c>
      <c r="R33" s="9">
        <v>382.84</v>
      </c>
      <c r="S33" s="9">
        <v>451.79</v>
      </c>
      <c r="T33" s="9">
        <v>435.39</v>
      </c>
      <c r="U33" s="9">
        <v>387.05</v>
      </c>
      <c r="V33" s="9">
        <v>373.4</v>
      </c>
      <c r="W33" s="9">
        <v>435.42</v>
      </c>
      <c r="X33" s="9">
        <v>382.23</v>
      </c>
      <c r="Y33" s="9">
        <v>431.7</v>
      </c>
      <c r="Z33" s="9">
        <v>412.47</v>
      </c>
      <c r="AA33" s="9">
        <v>394.56</v>
      </c>
      <c r="AB33" s="9">
        <v>397.46</v>
      </c>
      <c r="AC33" s="9">
        <v>340.7</v>
      </c>
      <c r="AD33" s="9">
        <v>364.49</v>
      </c>
      <c r="AE33" s="9">
        <v>371.14</v>
      </c>
      <c r="AF33" s="9">
        <v>244.69</v>
      </c>
      <c r="AG33" s="9">
        <v>409.74</v>
      </c>
      <c r="AH33" s="9">
        <v>437.09</v>
      </c>
      <c r="AI33" s="9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</row>
    <row r="34" spans="1:109" s="1" customFormat="1" x14ac:dyDescent="0.25">
      <c r="A34" s="7"/>
      <c r="B34" s="8" t="s">
        <v>9</v>
      </c>
      <c r="C34" s="4" t="s">
        <v>6</v>
      </c>
      <c r="D34" s="5">
        <f>SUM(E34:AI34)</f>
        <v>7210.1700000000019</v>
      </c>
      <c r="E34" s="9">
        <v>259.77</v>
      </c>
      <c r="F34" s="9">
        <f>259.06-1.66</f>
        <v>257.39999999999998</v>
      </c>
      <c r="G34" s="9">
        <f>253.49-0.18</f>
        <v>253.31</v>
      </c>
      <c r="H34" s="9">
        <v>244.02</v>
      </c>
      <c r="I34" s="9">
        <f>253.64+0.07</f>
        <v>253.70999999999998</v>
      </c>
      <c r="J34" s="9">
        <v>228.58</v>
      </c>
      <c r="K34" s="9">
        <v>204.71</v>
      </c>
      <c r="L34" s="9">
        <v>254.77</v>
      </c>
      <c r="M34" s="9">
        <v>253.99</v>
      </c>
      <c r="N34" s="9">
        <v>250.7</v>
      </c>
      <c r="O34" s="9">
        <v>255.04</v>
      </c>
      <c r="P34" s="9">
        <v>249.65</v>
      </c>
      <c r="Q34" s="9">
        <v>254.54</v>
      </c>
      <c r="R34" s="9">
        <v>233.52</v>
      </c>
      <c r="S34" s="9">
        <v>258.81</v>
      </c>
      <c r="T34" s="9">
        <v>273.98</v>
      </c>
      <c r="U34" s="9">
        <v>226.97</v>
      </c>
      <c r="V34" s="9">
        <v>219.93</v>
      </c>
      <c r="W34" s="9">
        <v>224.97</v>
      </c>
      <c r="X34" s="9">
        <v>229.52</v>
      </c>
      <c r="Y34" s="9">
        <v>230.97</v>
      </c>
      <c r="Z34" s="9">
        <v>225.66</v>
      </c>
      <c r="AA34" s="9">
        <v>242.01</v>
      </c>
      <c r="AB34" s="9">
        <v>237.08</v>
      </c>
      <c r="AC34" s="9">
        <f>238.97+2.42</f>
        <v>241.39</v>
      </c>
      <c r="AD34" s="9">
        <v>237.03</v>
      </c>
      <c r="AE34" s="9">
        <f>236.16-2.89</f>
        <v>233.27</v>
      </c>
      <c r="AF34" s="9">
        <v>230.59</v>
      </c>
      <c r="AG34" s="9">
        <v>227.58</v>
      </c>
      <c r="AH34" s="9">
        <f>219.12-2.42</f>
        <v>216.70000000000002</v>
      </c>
      <c r="AI34" s="9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</row>
    <row r="35" spans="1:109" s="1" customFormat="1" ht="16.5" customHeight="1" x14ac:dyDescent="0.25">
      <c r="A35" s="7"/>
      <c r="B35" s="8" t="s">
        <v>10</v>
      </c>
      <c r="C35" s="4" t="s">
        <v>6</v>
      </c>
      <c r="D35" s="5">
        <f t="shared" si="6"/>
        <v>3054.2599999999998</v>
      </c>
      <c r="E35" s="9">
        <v>90.82</v>
      </c>
      <c r="F35" s="9">
        <v>99.81</v>
      </c>
      <c r="G35" s="9">
        <v>89.65</v>
      </c>
      <c r="H35" s="9">
        <v>86.79</v>
      </c>
      <c r="I35" s="9">
        <v>104.39</v>
      </c>
      <c r="J35" s="9">
        <v>96.3</v>
      </c>
      <c r="K35" s="9">
        <v>90.62</v>
      </c>
      <c r="L35" s="9">
        <v>87.81</v>
      </c>
      <c r="M35" s="9">
        <v>101.92</v>
      </c>
      <c r="N35" s="9">
        <v>96.86</v>
      </c>
      <c r="O35" s="9">
        <v>97.9</v>
      </c>
      <c r="P35" s="9">
        <v>108.14</v>
      </c>
      <c r="Q35" s="9">
        <v>119.08</v>
      </c>
      <c r="R35" s="9">
        <v>109.82</v>
      </c>
      <c r="S35" s="9">
        <v>109.76</v>
      </c>
      <c r="T35" s="9">
        <v>102.88</v>
      </c>
      <c r="U35" s="9">
        <f>104.81-0.01</f>
        <v>104.8</v>
      </c>
      <c r="V35" s="9">
        <f>105.42+2.04</f>
        <v>107.46000000000001</v>
      </c>
      <c r="W35" s="9">
        <f>108.76+0.48</f>
        <v>109.24000000000001</v>
      </c>
      <c r="X35" s="9">
        <v>95.8</v>
      </c>
      <c r="Y35" s="9">
        <v>105.73</v>
      </c>
      <c r="Z35" s="9">
        <v>106.23</v>
      </c>
      <c r="AA35" s="9">
        <v>102.47</v>
      </c>
      <c r="AB35" s="9">
        <v>91.09</v>
      </c>
      <c r="AC35" s="9">
        <f>110.48-0.24</f>
        <v>110.24000000000001</v>
      </c>
      <c r="AD35" s="9">
        <v>101.94</v>
      </c>
      <c r="AE35" s="9">
        <v>119.4</v>
      </c>
      <c r="AF35" s="9">
        <v>99.99</v>
      </c>
      <c r="AG35" s="9">
        <v>102.86</v>
      </c>
      <c r="AH35" s="9">
        <v>104.46</v>
      </c>
      <c r="AI35" s="9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</row>
    <row r="36" spans="1:109" s="1" customFormat="1" x14ac:dyDescent="0.25">
      <c r="A36" s="7"/>
      <c r="B36" s="8" t="s">
        <v>11</v>
      </c>
      <c r="C36" s="4" t="s">
        <v>6</v>
      </c>
      <c r="D36" s="5">
        <f t="shared" si="6"/>
        <v>3237.2299999999996</v>
      </c>
      <c r="E36" s="9">
        <v>92.42</v>
      </c>
      <c r="F36" s="9">
        <v>115.6</v>
      </c>
      <c r="G36" s="9">
        <v>125.72</v>
      </c>
      <c r="H36" s="9">
        <v>126.61</v>
      </c>
      <c r="I36" s="9">
        <v>110.45</v>
      </c>
      <c r="J36" s="9">
        <v>99.17</v>
      </c>
      <c r="K36" s="9">
        <v>101.53</v>
      </c>
      <c r="L36" s="9">
        <v>88.6</v>
      </c>
      <c r="M36" s="9">
        <v>102.88</v>
      </c>
      <c r="N36" s="9">
        <f>111.63+0.72</f>
        <v>112.35</v>
      </c>
      <c r="O36" s="9">
        <v>123.44</v>
      </c>
      <c r="P36" s="9">
        <v>123.93</v>
      </c>
      <c r="Q36" s="9">
        <v>110.75</v>
      </c>
      <c r="R36" s="9">
        <v>107.92</v>
      </c>
      <c r="S36" s="9">
        <v>108.99</v>
      </c>
      <c r="T36" s="9">
        <v>106.11</v>
      </c>
      <c r="U36" s="9">
        <v>115.85</v>
      </c>
      <c r="V36" s="9">
        <v>127.96</v>
      </c>
      <c r="W36" s="9">
        <v>116.27</v>
      </c>
      <c r="X36" s="9">
        <v>108.91</v>
      </c>
      <c r="Y36" s="9">
        <v>102.18</v>
      </c>
      <c r="Z36" s="9">
        <v>89.51</v>
      </c>
      <c r="AA36" s="9">
        <v>114.46</v>
      </c>
      <c r="AB36" s="9">
        <v>106.24</v>
      </c>
      <c r="AC36" s="9">
        <v>89.85</v>
      </c>
      <c r="AD36" s="9">
        <v>109.64</v>
      </c>
      <c r="AE36" s="9">
        <v>104.37</v>
      </c>
      <c r="AF36" s="9">
        <v>85.96</v>
      </c>
      <c r="AG36" s="9">
        <v>105.57</v>
      </c>
      <c r="AH36" s="9">
        <v>103.99</v>
      </c>
      <c r="AI36" s="9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</row>
    <row r="37" spans="1:109" s="1" customFormat="1" ht="15.75" thickBot="1" x14ac:dyDescent="0.3">
      <c r="A37" s="7"/>
      <c r="B37" s="8" t="s">
        <v>12</v>
      </c>
      <c r="C37" s="4" t="s">
        <v>6</v>
      </c>
      <c r="D37" s="29">
        <f>SUM(E37:AI37)</f>
        <v>2007.3700000000001</v>
      </c>
      <c r="E37" s="9">
        <v>68.599999999999994</v>
      </c>
      <c r="F37" s="9">
        <v>65.91</v>
      </c>
      <c r="G37" s="9">
        <v>63.48</v>
      </c>
      <c r="H37" s="9">
        <v>66.09</v>
      </c>
      <c r="I37" s="9">
        <v>67.900000000000006</v>
      </c>
      <c r="J37" s="9">
        <v>56.24</v>
      </c>
      <c r="K37" s="9">
        <v>55.92</v>
      </c>
      <c r="L37" s="9">
        <v>62.04</v>
      </c>
      <c r="M37" s="9">
        <v>71.38</v>
      </c>
      <c r="N37" s="9">
        <v>61.63</v>
      </c>
      <c r="O37" s="9">
        <v>68.430000000000007</v>
      </c>
      <c r="P37" s="9">
        <v>71.73</v>
      </c>
      <c r="Q37" s="9">
        <v>63</v>
      </c>
      <c r="R37" s="9">
        <v>66.510000000000005</v>
      </c>
      <c r="S37" s="9">
        <v>69.11</v>
      </c>
      <c r="T37" s="9">
        <v>76.36</v>
      </c>
      <c r="U37" s="9">
        <v>76.739999999999995</v>
      </c>
      <c r="V37" s="9">
        <v>71.39</v>
      </c>
      <c r="W37" s="9">
        <v>62.4</v>
      </c>
      <c r="X37" s="9">
        <v>42.22</v>
      </c>
      <c r="Y37" s="9">
        <v>75.599999999999994</v>
      </c>
      <c r="Z37" s="9">
        <v>73.84</v>
      </c>
      <c r="AA37" s="9">
        <v>68.819999999999993</v>
      </c>
      <c r="AB37" s="9">
        <v>71.849999999999994</v>
      </c>
      <c r="AC37" s="9">
        <v>70.03</v>
      </c>
      <c r="AD37" s="9">
        <v>69.16</v>
      </c>
      <c r="AE37" s="9">
        <f>72.84-0.1</f>
        <v>72.740000000000009</v>
      </c>
      <c r="AF37" s="9">
        <v>62.06</v>
      </c>
      <c r="AG37" s="9">
        <v>72.44</v>
      </c>
      <c r="AH37" s="9">
        <v>63.75</v>
      </c>
      <c r="AI37" s="9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</row>
    <row r="39" spans="1:109" ht="21" x14ac:dyDescent="0.35">
      <c r="A39" s="27" t="s">
        <v>25</v>
      </c>
    </row>
    <row r="40" spans="1:109" s="1" customFormat="1" ht="20.25" x14ac:dyDescent="0.25">
      <c r="A40" s="2" t="s">
        <v>4</v>
      </c>
      <c r="B40" s="3" t="s">
        <v>5</v>
      </c>
      <c r="C40" s="4" t="s">
        <v>6</v>
      </c>
      <c r="D40" s="5">
        <f t="shared" ref="D40:D45" si="8">SUM(E40:AI40)</f>
        <v>27899.039999999997</v>
      </c>
      <c r="E40" s="6">
        <f>SUM(E41:E46)</f>
        <v>861.41000000000008</v>
      </c>
      <c r="F40" s="6">
        <f t="shared" ref="F40:AI40" si="9">SUM(F41:F46)</f>
        <v>820.29</v>
      </c>
      <c r="G40" s="6">
        <f t="shared" si="9"/>
        <v>748.83999999999992</v>
      </c>
      <c r="H40" s="6">
        <f t="shared" si="9"/>
        <v>813.42000000000007</v>
      </c>
      <c r="I40" s="6">
        <f t="shared" si="9"/>
        <v>792.5</v>
      </c>
      <c r="J40" s="6">
        <f t="shared" si="9"/>
        <v>815.01</v>
      </c>
      <c r="K40" s="6">
        <f t="shared" si="9"/>
        <v>900.42</v>
      </c>
      <c r="L40" s="6">
        <f t="shared" si="9"/>
        <v>545.79000000000008</v>
      </c>
      <c r="M40" s="6">
        <f t="shared" si="9"/>
        <v>0</v>
      </c>
      <c r="N40" s="6">
        <f t="shared" si="9"/>
        <v>555.36</v>
      </c>
      <c r="O40" s="6">
        <f t="shared" si="9"/>
        <v>805.52</v>
      </c>
      <c r="P40" s="6">
        <f t="shared" si="9"/>
        <v>850.43</v>
      </c>
      <c r="Q40" s="6">
        <f t="shared" si="9"/>
        <v>893.23</v>
      </c>
      <c r="R40" s="6">
        <f t="shared" si="9"/>
        <v>1065.97</v>
      </c>
      <c r="S40" s="6">
        <f t="shared" si="9"/>
        <v>1074.23</v>
      </c>
      <c r="T40" s="6">
        <f t="shared" si="9"/>
        <v>1040.29</v>
      </c>
      <c r="U40" s="6">
        <f t="shared" si="9"/>
        <v>1004.9899999999999</v>
      </c>
      <c r="V40" s="6">
        <f t="shared" si="9"/>
        <v>951.5200000000001</v>
      </c>
      <c r="W40" s="6">
        <f t="shared" si="9"/>
        <v>879.33000000000015</v>
      </c>
      <c r="X40" s="6">
        <f t="shared" si="9"/>
        <v>926.77</v>
      </c>
      <c r="Y40" s="6">
        <f t="shared" si="9"/>
        <v>1066.74</v>
      </c>
      <c r="Z40" s="6">
        <f t="shared" si="9"/>
        <v>987.47</v>
      </c>
      <c r="AA40" s="6">
        <f t="shared" si="9"/>
        <v>1041.76</v>
      </c>
      <c r="AB40" s="6">
        <f t="shared" si="9"/>
        <v>1052.8</v>
      </c>
      <c r="AC40" s="6">
        <f t="shared" si="9"/>
        <v>1037.04</v>
      </c>
      <c r="AD40" s="6">
        <f t="shared" si="9"/>
        <v>1016.28</v>
      </c>
      <c r="AE40" s="6">
        <f t="shared" si="9"/>
        <v>1066.21</v>
      </c>
      <c r="AF40" s="6">
        <f t="shared" si="9"/>
        <v>1065.0099999999998</v>
      </c>
      <c r="AG40" s="6">
        <f t="shared" si="9"/>
        <v>1087.95</v>
      </c>
      <c r="AH40" s="6">
        <f t="shared" si="9"/>
        <v>1074.4100000000001</v>
      </c>
      <c r="AI40" s="6">
        <f t="shared" si="9"/>
        <v>1058.05</v>
      </c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</row>
    <row r="41" spans="1:109" s="1" customFormat="1" x14ac:dyDescent="0.25">
      <c r="A41" s="7"/>
      <c r="B41" s="8" t="s">
        <v>7</v>
      </c>
      <c r="C41" s="4" t="s">
        <v>6</v>
      </c>
      <c r="D41" s="5">
        <f t="shared" si="8"/>
        <v>2684.29</v>
      </c>
      <c r="E41" s="9">
        <v>92.55</v>
      </c>
      <c r="F41" s="9">
        <v>76.989999999999995</v>
      </c>
      <c r="G41" s="9">
        <v>73.97</v>
      </c>
      <c r="H41" s="9">
        <v>80.900000000000006</v>
      </c>
      <c r="I41" s="9">
        <v>45.5</v>
      </c>
      <c r="J41" s="9">
        <v>72.91</v>
      </c>
      <c r="K41" s="9">
        <v>69.64</v>
      </c>
      <c r="L41" s="9">
        <v>45.74</v>
      </c>
      <c r="M41" s="9"/>
      <c r="N41" s="9">
        <v>43.66</v>
      </c>
      <c r="O41" s="9">
        <v>72.010000000000005</v>
      </c>
      <c r="P41" s="9">
        <v>76.180000000000007</v>
      </c>
      <c r="Q41" s="9">
        <v>72.900000000000006</v>
      </c>
      <c r="R41" s="9">
        <v>98.18</v>
      </c>
      <c r="S41" s="9">
        <v>109.15</v>
      </c>
      <c r="T41" s="9">
        <v>86.96</v>
      </c>
      <c r="U41" s="9">
        <v>89.76</v>
      </c>
      <c r="V41" s="9">
        <v>118.43</v>
      </c>
      <c r="W41" s="9">
        <v>110.81</v>
      </c>
      <c r="X41" s="9">
        <v>90.71</v>
      </c>
      <c r="Y41" s="9">
        <v>107.96</v>
      </c>
      <c r="Z41" s="9">
        <v>104.06</v>
      </c>
      <c r="AA41" s="9">
        <v>99.54</v>
      </c>
      <c r="AB41" s="9">
        <v>118.42</v>
      </c>
      <c r="AC41" s="9">
        <v>105.3</v>
      </c>
      <c r="AD41" s="9">
        <v>103.1</v>
      </c>
      <c r="AE41" s="9">
        <v>107.8</v>
      </c>
      <c r="AF41" s="9">
        <v>107.38</v>
      </c>
      <c r="AG41" s="9">
        <f>110.42-0.2</f>
        <v>110.22</v>
      </c>
      <c r="AH41" s="9">
        <v>86.65</v>
      </c>
      <c r="AI41" s="9">
        <v>106.91</v>
      </c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</row>
    <row r="42" spans="1:109" s="1" customFormat="1" x14ac:dyDescent="0.25">
      <c r="A42" s="7"/>
      <c r="B42" s="8" t="s">
        <v>8</v>
      </c>
      <c r="C42" s="4" t="s">
        <v>6</v>
      </c>
      <c r="D42" s="5">
        <f t="shared" si="8"/>
        <v>10782.619999999999</v>
      </c>
      <c r="E42" s="9">
        <v>268.35000000000002</v>
      </c>
      <c r="F42" s="9">
        <v>274.52999999999997</v>
      </c>
      <c r="G42" s="9">
        <v>229.71</v>
      </c>
      <c r="H42" s="9">
        <v>309.54000000000002</v>
      </c>
      <c r="I42" s="9">
        <v>316.02999999999997</v>
      </c>
      <c r="J42" s="9">
        <v>327.88</v>
      </c>
      <c r="K42" s="9">
        <v>367.93</v>
      </c>
      <c r="L42" s="9">
        <v>186.75</v>
      </c>
      <c r="M42" s="9"/>
      <c r="N42" s="9">
        <v>208.06</v>
      </c>
      <c r="O42" s="9">
        <v>253.02</v>
      </c>
      <c r="P42" s="9">
        <v>294.06</v>
      </c>
      <c r="Q42" s="9">
        <v>348.47</v>
      </c>
      <c r="R42" s="9">
        <v>442.14</v>
      </c>
      <c r="S42" s="9">
        <v>431.86</v>
      </c>
      <c r="T42" s="9">
        <v>438.86</v>
      </c>
      <c r="U42" s="9">
        <v>414.78</v>
      </c>
      <c r="V42" s="9">
        <v>361.01</v>
      </c>
      <c r="W42" s="9">
        <v>380.05</v>
      </c>
      <c r="X42" s="9">
        <v>374.63</v>
      </c>
      <c r="Y42" s="9">
        <v>419.71</v>
      </c>
      <c r="Z42" s="9">
        <v>370.07</v>
      </c>
      <c r="AA42" s="9">
        <v>424.86</v>
      </c>
      <c r="AB42" s="9">
        <v>441.71</v>
      </c>
      <c r="AC42" s="9">
        <v>396.84</v>
      </c>
      <c r="AD42" s="9">
        <v>410.52</v>
      </c>
      <c r="AE42" s="9">
        <v>415.94</v>
      </c>
      <c r="AF42" s="9">
        <v>423.16</v>
      </c>
      <c r="AG42" s="9">
        <v>423.19</v>
      </c>
      <c r="AH42" s="9">
        <v>414.96</v>
      </c>
      <c r="AI42" s="9">
        <v>414</v>
      </c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</row>
    <row r="43" spans="1:109" s="1" customFormat="1" x14ac:dyDescent="0.25">
      <c r="A43" s="7"/>
      <c r="B43" s="8" t="s">
        <v>9</v>
      </c>
      <c r="C43" s="4" t="s">
        <v>6</v>
      </c>
      <c r="D43" s="5">
        <f>SUM(E43:AI43)</f>
        <v>6662.9400000000014</v>
      </c>
      <c r="E43" s="9">
        <v>229.37</v>
      </c>
      <c r="F43" s="9">
        <v>210.5</v>
      </c>
      <c r="G43" s="9">
        <v>211.14</v>
      </c>
      <c r="H43" s="9">
        <v>191.47</v>
      </c>
      <c r="I43" s="9">
        <v>190.71</v>
      </c>
      <c r="J43" s="9">
        <v>190.74</v>
      </c>
      <c r="K43" s="9">
        <v>222.54</v>
      </c>
      <c r="L43" s="9">
        <v>119.47</v>
      </c>
      <c r="M43" s="9"/>
      <c r="N43" s="9">
        <v>117.41</v>
      </c>
      <c r="O43" s="9">
        <v>240.94</v>
      </c>
      <c r="P43" s="9">
        <v>236.42</v>
      </c>
      <c r="Q43" s="9">
        <v>232.55</v>
      </c>
      <c r="R43" s="9">
        <f>237.37+2.8</f>
        <v>240.17000000000002</v>
      </c>
      <c r="S43" s="9">
        <v>243.92</v>
      </c>
      <c r="T43" s="9">
        <v>237.29</v>
      </c>
      <c r="U43" s="9">
        <v>206</v>
      </c>
      <c r="V43" s="9">
        <v>222.25</v>
      </c>
      <c r="W43" s="9">
        <v>138.6</v>
      </c>
      <c r="X43" s="9">
        <v>214.1</v>
      </c>
      <c r="Y43" s="9">
        <v>256.18</v>
      </c>
      <c r="Z43" s="9">
        <v>241.51</v>
      </c>
      <c r="AA43" s="9">
        <v>252.65</v>
      </c>
      <c r="AB43" s="9">
        <v>198.85</v>
      </c>
      <c r="AC43" s="9">
        <v>264.42</v>
      </c>
      <c r="AD43" s="9">
        <v>242.46</v>
      </c>
      <c r="AE43" s="9">
        <v>261.91000000000003</v>
      </c>
      <c r="AF43" s="9">
        <v>240.05</v>
      </c>
      <c r="AG43" s="9">
        <f>273.67-2.78</f>
        <v>270.89000000000004</v>
      </c>
      <c r="AH43" s="9">
        <v>275.33999999999997</v>
      </c>
      <c r="AI43" s="9">
        <v>263.08999999999997</v>
      </c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</row>
    <row r="44" spans="1:109" s="1" customFormat="1" ht="16.5" customHeight="1" x14ac:dyDescent="0.25">
      <c r="A44" s="7"/>
      <c r="B44" s="8" t="s">
        <v>10</v>
      </c>
      <c r="C44" s="4" t="s">
        <v>6</v>
      </c>
      <c r="D44" s="5">
        <f t="shared" si="8"/>
        <v>2834.9500000000003</v>
      </c>
      <c r="E44" s="9">
        <v>101.38</v>
      </c>
      <c r="F44" s="9">
        <v>97.08</v>
      </c>
      <c r="G44" s="9">
        <v>88</v>
      </c>
      <c r="H44" s="9">
        <v>92.26</v>
      </c>
      <c r="I44" s="9">
        <v>89.62</v>
      </c>
      <c r="J44" s="9">
        <v>88.89</v>
      </c>
      <c r="K44" s="9">
        <f>92.14-0.01</f>
        <v>92.13</v>
      </c>
      <c r="L44" s="9">
        <f>97.93</f>
        <v>97.93</v>
      </c>
      <c r="M44" s="9"/>
      <c r="N44" s="9">
        <v>99.43</v>
      </c>
      <c r="O44" s="9">
        <v>94.04</v>
      </c>
      <c r="P44" s="9">
        <v>101.71</v>
      </c>
      <c r="Q44" s="9">
        <v>86.92</v>
      </c>
      <c r="R44" s="9">
        <v>104.96</v>
      </c>
      <c r="S44" s="9">
        <v>102.74</v>
      </c>
      <c r="T44" s="9">
        <v>89.55</v>
      </c>
      <c r="U44" s="9">
        <f>100.02+0.87</f>
        <v>100.89</v>
      </c>
      <c r="V44" s="9">
        <v>84.84</v>
      </c>
      <c r="W44" s="9">
        <v>93.96</v>
      </c>
      <c r="X44" s="9">
        <v>86.45</v>
      </c>
      <c r="Y44" s="9">
        <f>100.92+1.92</f>
        <v>102.84</v>
      </c>
      <c r="Z44" s="9">
        <v>90.48</v>
      </c>
      <c r="AA44" s="9">
        <v>85.23</v>
      </c>
      <c r="AB44" s="9">
        <f>95.27-0.01</f>
        <v>95.259999999999991</v>
      </c>
      <c r="AC44" s="9">
        <v>97.26</v>
      </c>
      <c r="AD44" s="9">
        <v>91.3</v>
      </c>
      <c r="AE44" s="9">
        <f>89.12+0.15</f>
        <v>89.27000000000001</v>
      </c>
      <c r="AF44" s="9">
        <v>100.27</v>
      </c>
      <c r="AG44" s="9">
        <f>99.69+0.03</f>
        <v>99.72</v>
      </c>
      <c r="AH44" s="9">
        <v>101.77</v>
      </c>
      <c r="AI44" s="9">
        <v>88.77</v>
      </c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</row>
    <row r="45" spans="1:109" s="1" customFormat="1" x14ac:dyDescent="0.25">
      <c r="A45" s="7"/>
      <c r="B45" s="8" t="s">
        <v>11</v>
      </c>
      <c r="C45" s="4" t="s">
        <v>6</v>
      </c>
      <c r="D45" s="5">
        <f t="shared" si="8"/>
        <v>3003.5899999999997</v>
      </c>
      <c r="E45" s="9">
        <v>106.2</v>
      </c>
      <c r="F45" s="9">
        <v>92.92</v>
      </c>
      <c r="G45" s="9">
        <f>81.5+0.51</f>
        <v>82.01</v>
      </c>
      <c r="H45" s="9">
        <v>76.55</v>
      </c>
      <c r="I45" s="9">
        <v>85.39</v>
      </c>
      <c r="J45" s="9">
        <v>69.819999999999993</v>
      </c>
      <c r="K45" s="9">
        <v>86.14</v>
      </c>
      <c r="L45" s="9">
        <f>34.81-0.02</f>
        <v>34.79</v>
      </c>
      <c r="M45" s="9"/>
      <c r="N45" s="9">
        <v>86.8</v>
      </c>
      <c r="O45" s="9">
        <v>86.02</v>
      </c>
      <c r="P45" s="9">
        <v>82.13</v>
      </c>
      <c r="Q45" s="9">
        <v>91.86</v>
      </c>
      <c r="R45" s="9">
        <v>112.97</v>
      </c>
      <c r="S45" s="9">
        <f>115.09+0.84</f>
        <v>115.93</v>
      </c>
      <c r="T45" s="9">
        <v>119.72</v>
      </c>
      <c r="U45" s="9">
        <v>123.02</v>
      </c>
      <c r="V45" s="9">
        <v>97.35</v>
      </c>
      <c r="W45" s="9">
        <v>89.73</v>
      </c>
      <c r="X45" s="9">
        <v>93.16</v>
      </c>
      <c r="Y45" s="9">
        <v>115.4</v>
      </c>
      <c r="Z45" s="9">
        <v>112.53</v>
      </c>
      <c r="AA45" s="9">
        <v>112.57</v>
      </c>
      <c r="AB45" s="9">
        <v>130.57</v>
      </c>
      <c r="AC45" s="9">
        <v>104.33</v>
      </c>
      <c r="AD45" s="9">
        <v>99.86</v>
      </c>
      <c r="AE45" s="9">
        <f>119.41+0.54</f>
        <v>119.95</v>
      </c>
      <c r="AF45" s="9">
        <v>123.16</v>
      </c>
      <c r="AG45" s="9">
        <f>111.45-0.12</f>
        <v>111.33</v>
      </c>
      <c r="AH45" s="9">
        <f>124.54+0.12</f>
        <v>124.66000000000001</v>
      </c>
      <c r="AI45" s="9">
        <f>116.68+0.04</f>
        <v>116.72000000000001</v>
      </c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</row>
    <row r="46" spans="1:109" s="1" customFormat="1" ht="15.75" thickBot="1" x14ac:dyDescent="0.3">
      <c r="A46" s="7"/>
      <c r="B46" s="8" t="s">
        <v>12</v>
      </c>
      <c r="C46" s="4" t="s">
        <v>6</v>
      </c>
      <c r="D46" s="29">
        <f>SUM(E46:AI46)</f>
        <v>1930.6499999999999</v>
      </c>
      <c r="E46" s="9">
        <v>63.56</v>
      </c>
      <c r="F46" s="9">
        <v>68.27</v>
      </c>
      <c r="G46" s="9">
        <v>64.010000000000005</v>
      </c>
      <c r="H46" s="9">
        <v>62.7</v>
      </c>
      <c r="I46" s="9">
        <v>65.25</v>
      </c>
      <c r="J46" s="9">
        <v>64.77</v>
      </c>
      <c r="K46" s="9">
        <v>62.04</v>
      </c>
      <c r="L46" s="9">
        <v>61.11</v>
      </c>
      <c r="M46" s="9"/>
      <c r="N46" s="9"/>
      <c r="O46" s="9">
        <v>59.49</v>
      </c>
      <c r="P46" s="9">
        <v>59.93</v>
      </c>
      <c r="Q46" s="9">
        <v>60.53</v>
      </c>
      <c r="R46" s="9">
        <v>67.55</v>
      </c>
      <c r="S46" s="9">
        <v>70.63</v>
      </c>
      <c r="T46" s="9">
        <v>67.91</v>
      </c>
      <c r="U46" s="9">
        <v>70.540000000000006</v>
      </c>
      <c r="V46" s="9">
        <v>67.64</v>
      </c>
      <c r="W46" s="9">
        <v>66.180000000000007</v>
      </c>
      <c r="X46" s="9">
        <v>67.72</v>
      </c>
      <c r="Y46" s="9">
        <v>64.650000000000006</v>
      </c>
      <c r="Z46" s="9">
        <f>70.1-1.28</f>
        <v>68.819999999999993</v>
      </c>
      <c r="AA46" s="9">
        <v>66.91</v>
      </c>
      <c r="AB46" s="9">
        <v>67.989999999999995</v>
      </c>
      <c r="AC46" s="9">
        <v>68.89</v>
      </c>
      <c r="AD46" s="9">
        <v>69.040000000000006</v>
      </c>
      <c r="AE46" s="9">
        <v>71.34</v>
      </c>
      <c r="AF46" s="9">
        <v>70.989999999999995</v>
      </c>
      <c r="AG46" s="9">
        <v>72.599999999999994</v>
      </c>
      <c r="AH46" s="9">
        <v>71.03</v>
      </c>
      <c r="AI46" s="9">
        <v>68.56</v>
      </c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</row>
    <row r="48" spans="1:109" ht="21" x14ac:dyDescent="0.35">
      <c r="A48" s="27" t="s">
        <v>17</v>
      </c>
    </row>
    <row r="49" spans="1:109" s="1" customFormat="1" ht="20.25" x14ac:dyDescent="0.25">
      <c r="A49" s="2" t="s">
        <v>4</v>
      </c>
      <c r="B49" s="3" t="s">
        <v>5</v>
      </c>
      <c r="C49" s="4" t="s">
        <v>6</v>
      </c>
      <c r="D49" s="5">
        <f t="shared" ref="D49:D54" si="10">SUM(E49:AI49)</f>
        <v>30239.140000000003</v>
      </c>
      <c r="E49" s="6">
        <f>SUM(E50:E55)</f>
        <v>962.09000000000015</v>
      </c>
      <c r="F49" s="6">
        <f t="shared" ref="F49:AI49" si="11">SUM(F50:F55)</f>
        <v>948.52</v>
      </c>
      <c r="G49" s="6">
        <f t="shared" si="11"/>
        <v>944.05000000000007</v>
      </c>
      <c r="H49" s="6">
        <f t="shared" si="11"/>
        <v>939.44</v>
      </c>
      <c r="I49" s="6">
        <f t="shared" si="11"/>
        <v>997.02</v>
      </c>
      <c r="J49" s="6">
        <f t="shared" si="11"/>
        <v>998.78</v>
      </c>
      <c r="K49" s="6">
        <f t="shared" si="11"/>
        <v>985.35</v>
      </c>
      <c r="L49" s="6">
        <f t="shared" si="11"/>
        <v>999.04</v>
      </c>
      <c r="M49" s="6">
        <f t="shared" si="11"/>
        <v>1084.4099999999999</v>
      </c>
      <c r="N49" s="6">
        <f t="shared" si="11"/>
        <v>999.22</v>
      </c>
      <c r="O49" s="6">
        <f t="shared" si="11"/>
        <v>1035.29</v>
      </c>
      <c r="P49" s="6">
        <f t="shared" si="11"/>
        <v>957.09</v>
      </c>
      <c r="Q49" s="6">
        <f t="shared" si="11"/>
        <v>1002.4599999999999</v>
      </c>
      <c r="R49" s="6">
        <f t="shared" si="11"/>
        <v>935.98</v>
      </c>
      <c r="S49" s="6">
        <f t="shared" si="11"/>
        <v>932.66000000000008</v>
      </c>
      <c r="T49" s="6">
        <f t="shared" si="11"/>
        <v>878.12</v>
      </c>
      <c r="U49" s="6">
        <f t="shared" si="11"/>
        <v>999.66000000000008</v>
      </c>
      <c r="V49" s="6">
        <f t="shared" si="11"/>
        <v>1021.0200000000002</v>
      </c>
      <c r="W49" s="6">
        <f t="shared" si="11"/>
        <v>919.98</v>
      </c>
      <c r="X49" s="6">
        <f t="shared" si="11"/>
        <v>1066.6999999999998</v>
      </c>
      <c r="Y49" s="6">
        <f t="shared" si="11"/>
        <v>1037.44</v>
      </c>
      <c r="Z49" s="6">
        <f t="shared" si="11"/>
        <v>974.41000000000008</v>
      </c>
      <c r="AA49" s="6">
        <f t="shared" si="11"/>
        <v>1071.3499999999999</v>
      </c>
      <c r="AB49" s="6">
        <f t="shared" si="11"/>
        <v>1027.1300000000001</v>
      </c>
      <c r="AC49" s="6">
        <f t="shared" si="11"/>
        <v>1013.47</v>
      </c>
      <c r="AD49" s="6">
        <f t="shared" si="11"/>
        <v>1107.7499999999998</v>
      </c>
      <c r="AE49" s="6">
        <f t="shared" si="11"/>
        <v>1056.6300000000001</v>
      </c>
      <c r="AF49" s="6">
        <f t="shared" si="11"/>
        <v>1080.6500000000001</v>
      </c>
      <c r="AG49" s="6">
        <f t="shared" si="11"/>
        <v>1166.2699999999998</v>
      </c>
      <c r="AH49" s="6">
        <f t="shared" si="11"/>
        <v>1097.1600000000001</v>
      </c>
      <c r="AI49" s="6">
        <f t="shared" si="11"/>
        <v>0</v>
      </c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</row>
    <row r="50" spans="1:109" s="1" customFormat="1" x14ac:dyDescent="0.25">
      <c r="A50" s="7"/>
      <c r="B50" s="8" t="s">
        <v>7</v>
      </c>
      <c r="C50" s="4" t="s">
        <v>6</v>
      </c>
      <c r="D50" s="5">
        <f t="shared" si="10"/>
        <v>2883.62</v>
      </c>
      <c r="E50" s="9">
        <v>66.34</v>
      </c>
      <c r="F50" s="9">
        <v>60.61</v>
      </c>
      <c r="G50" s="9">
        <v>94.43</v>
      </c>
      <c r="H50" s="9">
        <v>50.44</v>
      </c>
      <c r="I50" s="9">
        <v>69.069999999999993</v>
      </c>
      <c r="J50" s="9">
        <v>83.52</v>
      </c>
      <c r="K50" s="9">
        <v>104.88</v>
      </c>
      <c r="L50" s="9">
        <v>85.75</v>
      </c>
      <c r="M50" s="9">
        <v>116.72</v>
      </c>
      <c r="N50" s="9">
        <v>88.03</v>
      </c>
      <c r="O50" s="9">
        <v>100.59</v>
      </c>
      <c r="P50" s="9">
        <v>97.11</v>
      </c>
      <c r="Q50" s="9">
        <v>119.48</v>
      </c>
      <c r="R50" s="9">
        <v>88.17</v>
      </c>
      <c r="S50" s="9">
        <v>96.35</v>
      </c>
      <c r="T50" s="9">
        <v>83.02</v>
      </c>
      <c r="U50" s="9">
        <v>104.63</v>
      </c>
      <c r="V50" s="9">
        <v>106.92</v>
      </c>
      <c r="W50" s="9">
        <v>88.48</v>
      </c>
      <c r="X50" s="9">
        <v>104.44</v>
      </c>
      <c r="Y50" s="9">
        <v>100.09</v>
      </c>
      <c r="Z50" s="9">
        <v>104.31</v>
      </c>
      <c r="AA50" s="9">
        <v>121.36</v>
      </c>
      <c r="AB50" s="9">
        <v>99.31</v>
      </c>
      <c r="AC50" s="9">
        <v>102.03</v>
      </c>
      <c r="AD50" s="9">
        <v>117.22</v>
      </c>
      <c r="AE50" s="9">
        <v>100.8</v>
      </c>
      <c r="AF50" s="9">
        <v>115.14</v>
      </c>
      <c r="AG50" s="9">
        <v>114.46</v>
      </c>
      <c r="AH50" s="9">
        <v>99.92</v>
      </c>
      <c r="AI50" s="9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</row>
    <row r="51" spans="1:109" s="1" customFormat="1" x14ac:dyDescent="0.25">
      <c r="A51" s="7"/>
      <c r="B51" s="8" t="s">
        <v>8</v>
      </c>
      <c r="C51" s="4" t="s">
        <v>6</v>
      </c>
      <c r="D51" s="5">
        <f t="shared" si="10"/>
        <v>11653.54</v>
      </c>
      <c r="E51" s="9">
        <v>374.63</v>
      </c>
      <c r="F51" s="9">
        <v>368.13</v>
      </c>
      <c r="G51" s="9">
        <v>340.03</v>
      </c>
      <c r="H51" s="9">
        <v>387.69</v>
      </c>
      <c r="I51" s="9">
        <v>411.34</v>
      </c>
      <c r="J51" s="9">
        <v>390.67</v>
      </c>
      <c r="K51" s="9">
        <v>369.87</v>
      </c>
      <c r="L51" s="9">
        <v>367.88</v>
      </c>
      <c r="M51" s="9">
        <v>409.83</v>
      </c>
      <c r="N51" s="9">
        <v>365.23</v>
      </c>
      <c r="O51" s="9">
        <v>424.16</v>
      </c>
      <c r="P51" s="9">
        <v>344.72</v>
      </c>
      <c r="Q51" s="9">
        <v>380.19</v>
      </c>
      <c r="R51" s="9">
        <v>367.98</v>
      </c>
      <c r="S51" s="9">
        <v>399.89</v>
      </c>
      <c r="T51" s="9">
        <v>351.74</v>
      </c>
      <c r="U51" s="9">
        <v>359.86</v>
      </c>
      <c r="V51" s="9">
        <v>388.81</v>
      </c>
      <c r="W51" s="9">
        <v>331.34</v>
      </c>
      <c r="X51" s="9">
        <v>416.33</v>
      </c>
      <c r="Y51" s="9">
        <v>381.97</v>
      </c>
      <c r="Z51" s="9">
        <v>358.64</v>
      </c>
      <c r="AA51" s="9">
        <v>408.18</v>
      </c>
      <c r="AB51" s="9">
        <v>405.26</v>
      </c>
      <c r="AC51" s="9">
        <v>367.43</v>
      </c>
      <c r="AD51" s="9">
        <v>421.04</v>
      </c>
      <c r="AE51" s="9">
        <v>409.35</v>
      </c>
      <c r="AF51" s="9">
        <v>407.89</v>
      </c>
      <c r="AG51" s="9">
        <v>476.39</v>
      </c>
      <c r="AH51" s="9">
        <v>467.07</v>
      </c>
      <c r="AI51" s="9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</row>
    <row r="52" spans="1:109" s="1" customFormat="1" x14ac:dyDescent="0.25">
      <c r="A52" s="7"/>
      <c r="B52" s="8" t="s">
        <v>9</v>
      </c>
      <c r="C52" s="4" t="s">
        <v>6</v>
      </c>
      <c r="D52" s="5">
        <f>SUM(E52:AI52)</f>
        <v>7503.09</v>
      </c>
      <c r="E52" s="9">
        <v>265.7</v>
      </c>
      <c r="F52" s="9">
        <v>278.27999999999997</v>
      </c>
      <c r="G52" s="9">
        <v>233.67</v>
      </c>
      <c r="H52" s="9">
        <v>217.36</v>
      </c>
      <c r="I52" s="9">
        <v>234.71</v>
      </c>
      <c r="J52" s="9">
        <v>235.3</v>
      </c>
      <c r="K52" s="9">
        <f>223.31+2.44</f>
        <v>225.75</v>
      </c>
      <c r="L52" s="9">
        <v>254.43</v>
      </c>
      <c r="M52" s="9">
        <v>265.29000000000002</v>
      </c>
      <c r="N52" s="9">
        <v>248.03</v>
      </c>
      <c r="O52" s="9">
        <v>242.63</v>
      </c>
      <c r="P52" s="9">
        <v>260.89</v>
      </c>
      <c r="Q52" s="9">
        <f>239.75-2.44</f>
        <v>237.31</v>
      </c>
      <c r="R52" s="9">
        <v>214.93</v>
      </c>
      <c r="S52" s="9">
        <v>176.61</v>
      </c>
      <c r="T52" s="9">
        <v>185.02</v>
      </c>
      <c r="U52" s="9">
        <f>258+1.18</f>
        <v>259.18</v>
      </c>
      <c r="V52" s="9">
        <v>247.45</v>
      </c>
      <c r="W52" s="9">
        <f>229.96+1.81</f>
        <v>231.77</v>
      </c>
      <c r="X52" s="9">
        <f>278.14-1.97</f>
        <v>276.16999999999996</v>
      </c>
      <c r="Y52" s="9">
        <v>285.82</v>
      </c>
      <c r="Z52" s="9">
        <v>235.04</v>
      </c>
      <c r="AA52" s="9">
        <v>274.18</v>
      </c>
      <c r="AB52" s="9">
        <v>263.16000000000003</v>
      </c>
      <c r="AC52" s="9">
        <f>279.64-2.03</f>
        <v>277.61</v>
      </c>
      <c r="AD52" s="9">
        <f>263.72+0.28</f>
        <v>264</v>
      </c>
      <c r="AE52" s="9">
        <f>271.24-0.29</f>
        <v>270.95</v>
      </c>
      <c r="AF52" s="9">
        <v>282.10000000000002</v>
      </c>
      <c r="AG52" s="9">
        <v>297.95</v>
      </c>
      <c r="AH52" s="9">
        <v>261.8</v>
      </c>
      <c r="AI52" s="9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</row>
    <row r="53" spans="1:109" s="1" customFormat="1" ht="16.5" customHeight="1" x14ac:dyDescent="0.25">
      <c r="A53" s="7"/>
      <c r="B53" s="8" t="s">
        <v>10</v>
      </c>
      <c r="C53" s="4" t="s">
        <v>6</v>
      </c>
      <c r="D53" s="5">
        <f t="shared" si="10"/>
        <v>2764.27</v>
      </c>
      <c r="E53" s="9">
        <v>97.18</v>
      </c>
      <c r="F53" s="9">
        <v>92.17</v>
      </c>
      <c r="G53" s="9">
        <v>99.97</v>
      </c>
      <c r="H53" s="9">
        <v>93.23</v>
      </c>
      <c r="I53" s="9">
        <v>95.55</v>
      </c>
      <c r="J53" s="9">
        <v>100.13</v>
      </c>
      <c r="K53" s="9">
        <v>100.15</v>
      </c>
      <c r="L53" s="9">
        <v>110.75</v>
      </c>
      <c r="M53" s="9">
        <v>97.13</v>
      </c>
      <c r="N53" s="9">
        <v>103.77</v>
      </c>
      <c r="O53" s="9">
        <v>99.22</v>
      </c>
      <c r="P53" s="9">
        <v>88.09</v>
      </c>
      <c r="Q53" s="9">
        <v>83.17</v>
      </c>
      <c r="R53" s="9">
        <v>86.17</v>
      </c>
      <c r="S53" s="9">
        <v>80.760000000000005</v>
      </c>
      <c r="T53" s="9">
        <v>97.31</v>
      </c>
      <c r="U53" s="9">
        <v>91.35</v>
      </c>
      <c r="V53" s="9">
        <v>72.58</v>
      </c>
      <c r="W53" s="9">
        <v>100.82</v>
      </c>
      <c r="X53" s="9">
        <v>81.010000000000005</v>
      </c>
      <c r="Y53" s="9">
        <v>79.83</v>
      </c>
      <c r="Z53" s="9">
        <v>98.45</v>
      </c>
      <c r="AA53" s="9">
        <v>89.03</v>
      </c>
      <c r="AB53" s="9">
        <v>90.33</v>
      </c>
      <c r="AC53" s="9">
        <f>80.39+0.05</f>
        <v>80.44</v>
      </c>
      <c r="AD53" s="9">
        <v>104.8</v>
      </c>
      <c r="AE53" s="9">
        <v>88.1</v>
      </c>
      <c r="AF53" s="9">
        <f>81.79+1.26</f>
        <v>83.050000000000011</v>
      </c>
      <c r="AG53" s="9">
        <v>88.78</v>
      </c>
      <c r="AH53" s="9">
        <v>90.95</v>
      </c>
      <c r="AI53" s="9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</row>
    <row r="54" spans="1:109" s="1" customFormat="1" x14ac:dyDescent="0.25">
      <c r="A54" s="7"/>
      <c r="B54" s="8" t="s">
        <v>11</v>
      </c>
      <c r="C54" s="4" t="s">
        <v>6</v>
      </c>
      <c r="D54" s="5">
        <f t="shared" si="10"/>
        <v>3334.4000000000005</v>
      </c>
      <c r="E54" s="9">
        <v>86.87</v>
      </c>
      <c r="F54" s="9">
        <v>78.56</v>
      </c>
      <c r="G54" s="9">
        <v>104.73</v>
      </c>
      <c r="H54" s="9">
        <v>119.85</v>
      </c>
      <c r="I54" s="9">
        <v>116.6</v>
      </c>
      <c r="J54" s="9">
        <v>118.4</v>
      </c>
      <c r="K54" s="9">
        <v>111.97</v>
      </c>
      <c r="L54" s="9">
        <v>111.89</v>
      </c>
      <c r="M54" s="9">
        <v>126.95</v>
      </c>
      <c r="N54" s="9">
        <v>121.21</v>
      </c>
      <c r="O54" s="9">
        <f>99.42+0.3</f>
        <v>99.72</v>
      </c>
      <c r="P54" s="9">
        <v>96.23</v>
      </c>
      <c r="Q54" s="9">
        <v>117.94</v>
      </c>
      <c r="R54" s="9">
        <f>103.48+0.6</f>
        <v>104.08</v>
      </c>
      <c r="S54" s="9">
        <v>109.2</v>
      </c>
      <c r="T54" s="9">
        <v>90.7</v>
      </c>
      <c r="U54" s="9">
        <v>115.11</v>
      </c>
      <c r="V54" s="9">
        <f>133.25+0.06</f>
        <v>133.31</v>
      </c>
      <c r="W54" s="9">
        <f>98-0.68</f>
        <v>97.32</v>
      </c>
      <c r="X54" s="9">
        <f>119.51+0.23</f>
        <v>119.74000000000001</v>
      </c>
      <c r="Y54" s="9">
        <v>120.6</v>
      </c>
      <c r="Z54" s="9">
        <v>110.78</v>
      </c>
      <c r="AA54" s="9">
        <v>116.67</v>
      </c>
      <c r="AB54" s="9">
        <v>95.42</v>
      </c>
      <c r="AC54" s="9">
        <f>117.01-0.82</f>
        <v>116.19000000000001</v>
      </c>
      <c r="AD54" s="9">
        <v>127.35</v>
      </c>
      <c r="AE54" s="9">
        <v>115.36</v>
      </c>
      <c r="AF54" s="9">
        <f>122.27+0.12</f>
        <v>122.39</v>
      </c>
      <c r="AG54" s="9">
        <v>120.61</v>
      </c>
      <c r="AH54" s="9">
        <v>108.65</v>
      </c>
      <c r="AI54" s="9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</row>
    <row r="55" spans="1:109" s="1" customFormat="1" ht="15.75" thickBot="1" x14ac:dyDescent="0.3">
      <c r="A55" s="7"/>
      <c r="B55" s="8" t="s">
        <v>12</v>
      </c>
      <c r="C55" s="4" t="s">
        <v>6</v>
      </c>
      <c r="D55" s="29">
        <f>SUM(E55:AI55)</f>
        <v>2100.2200000000003</v>
      </c>
      <c r="E55" s="9">
        <v>71.37</v>
      </c>
      <c r="F55" s="9">
        <v>70.77</v>
      </c>
      <c r="G55" s="9">
        <v>71.22</v>
      </c>
      <c r="H55" s="9">
        <v>70.87</v>
      </c>
      <c r="I55" s="9">
        <v>69.75</v>
      </c>
      <c r="J55" s="9">
        <v>70.760000000000005</v>
      </c>
      <c r="K55" s="9">
        <v>72.73</v>
      </c>
      <c r="L55" s="9">
        <v>68.34</v>
      </c>
      <c r="M55" s="9">
        <v>68.489999999999995</v>
      </c>
      <c r="N55" s="9">
        <v>72.95</v>
      </c>
      <c r="O55" s="9">
        <v>68.97</v>
      </c>
      <c r="P55" s="9">
        <v>70.05</v>
      </c>
      <c r="Q55" s="9">
        <v>64.37</v>
      </c>
      <c r="R55" s="9">
        <f>72.49+2.16</f>
        <v>74.649999999999991</v>
      </c>
      <c r="S55" s="9">
        <v>69.849999999999994</v>
      </c>
      <c r="T55" s="9">
        <v>70.33</v>
      </c>
      <c r="U55" s="9">
        <v>69.53</v>
      </c>
      <c r="V55" s="9">
        <v>71.95</v>
      </c>
      <c r="W55" s="9">
        <v>70.25</v>
      </c>
      <c r="X55" s="9">
        <f>69.96-0.95</f>
        <v>69.009999999999991</v>
      </c>
      <c r="Y55" s="9">
        <f>69.77-0.64</f>
        <v>69.13</v>
      </c>
      <c r="Z55" s="9">
        <v>67.19</v>
      </c>
      <c r="AA55" s="9">
        <v>61.93</v>
      </c>
      <c r="AB55" s="9">
        <v>73.650000000000006</v>
      </c>
      <c r="AC55" s="9">
        <v>69.77</v>
      </c>
      <c r="AD55" s="9">
        <v>73.34</v>
      </c>
      <c r="AE55" s="9">
        <v>72.069999999999993</v>
      </c>
      <c r="AF55" s="9">
        <v>70.08</v>
      </c>
      <c r="AG55" s="9">
        <v>68.08</v>
      </c>
      <c r="AH55" s="9">
        <v>68.77</v>
      </c>
      <c r="AI55" s="9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</row>
    <row r="57" spans="1:109" ht="21" x14ac:dyDescent="0.35">
      <c r="A57" s="27" t="s">
        <v>18</v>
      </c>
    </row>
    <row r="58" spans="1:109" s="1" customFormat="1" ht="20.25" x14ac:dyDescent="0.25">
      <c r="A58" s="2" t="s">
        <v>4</v>
      </c>
      <c r="B58" s="3" t="s">
        <v>5</v>
      </c>
      <c r="C58" s="4" t="s">
        <v>6</v>
      </c>
      <c r="D58" s="5">
        <f t="shared" ref="D58:D63" si="12">SUM(E58:AI58)</f>
        <v>33290.14</v>
      </c>
      <c r="E58" s="6">
        <f>SUM(E59:E64)</f>
        <v>1108.58</v>
      </c>
      <c r="F58" s="6">
        <f t="shared" ref="F58:AI58" si="13">SUM(F59:F64)</f>
        <v>1080.23</v>
      </c>
      <c r="G58" s="6">
        <f t="shared" si="13"/>
        <v>1126.1099999999999</v>
      </c>
      <c r="H58" s="6">
        <f t="shared" si="13"/>
        <v>1085.79</v>
      </c>
      <c r="I58" s="6">
        <f t="shared" si="13"/>
        <v>1041.31</v>
      </c>
      <c r="J58" s="6">
        <f t="shared" si="13"/>
        <v>1062.49</v>
      </c>
      <c r="K58" s="6">
        <f t="shared" si="13"/>
        <v>1104.2099999999998</v>
      </c>
      <c r="L58" s="6">
        <f t="shared" si="13"/>
        <v>1082.46</v>
      </c>
      <c r="M58" s="6">
        <f t="shared" si="13"/>
        <v>1070.95</v>
      </c>
      <c r="N58" s="6">
        <f t="shared" si="13"/>
        <v>1047.54</v>
      </c>
      <c r="O58" s="6">
        <f t="shared" si="13"/>
        <v>1065.79</v>
      </c>
      <c r="P58" s="6">
        <f t="shared" si="13"/>
        <v>1094.0100000000002</v>
      </c>
      <c r="Q58" s="6">
        <f t="shared" si="13"/>
        <v>1089.01</v>
      </c>
      <c r="R58" s="6">
        <f t="shared" si="13"/>
        <v>1078.3600000000001</v>
      </c>
      <c r="S58" s="6">
        <f t="shared" si="13"/>
        <v>1082.32</v>
      </c>
      <c r="T58" s="6">
        <f t="shared" si="13"/>
        <v>1096.0099999999998</v>
      </c>
      <c r="U58" s="6">
        <f t="shared" si="13"/>
        <v>1062.8599999999999</v>
      </c>
      <c r="V58" s="6">
        <f t="shared" si="13"/>
        <v>1050.02</v>
      </c>
      <c r="W58" s="6">
        <f t="shared" si="13"/>
        <v>1135.45</v>
      </c>
      <c r="X58" s="6">
        <f t="shared" si="13"/>
        <v>1075.48</v>
      </c>
      <c r="Y58" s="6">
        <f t="shared" si="13"/>
        <v>1147.19</v>
      </c>
      <c r="Z58" s="6">
        <f t="shared" si="13"/>
        <v>1138.32</v>
      </c>
      <c r="AA58" s="6">
        <f t="shared" si="13"/>
        <v>1022.73</v>
      </c>
      <c r="AB58" s="6">
        <f t="shared" si="13"/>
        <v>1144.05</v>
      </c>
      <c r="AC58" s="6">
        <f t="shared" si="13"/>
        <v>1048.1599999999999</v>
      </c>
      <c r="AD58" s="6">
        <f t="shared" si="13"/>
        <v>1048.6000000000001</v>
      </c>
      <c r="AE58" s="6">
        <f t="shared" si="13"/>
        <v>1031.6200000000001</v>
      </c>
      <c r="AF58" s="6">
        <f t="shared" si="13"/>
        <v>940.54</v>
      </c>
      <c r="AG58" s="6">
        <f t="shared" si="13"/>
        <v>1024.3199999999997</v>
      </c>
      <c r="AH58" s="6">
        <f t="shared" si="13"/>
        <v>1069</v>
      </c>
      <c r="AI58" s="6">
        <f t="shared" si="13"/>
        <v>1036.6299999999999</v>
      </c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</row>
    <row r="59" spans="1:109" s="1" customFormat="1" x14ac:dyDescent="0.25">
      <c r="A59" s="7"/>
      <c r="B59" s="8" t="s">
        <v>7</v>
      </c>
      <c r="C59" s="4" t="s">
        <v>6</v>
      </c>
      <c r="D59" s="5">
        <f t="shared" si="12"/>
        <v>3296.2</v>
      </c>
      <c r="E59" s="9">
        <v>109.01</v>
      </c>
      <c r="F59" s="9">
        <v>120.4</v>
      </c>
      <c r="G59" s="9">
        <v>124.84</v>
      </c>
      <c r="H59" s="9">
        <v>112</v>
      </c>
      <c r="I59" s="9">
        <v>97.39</v>
      </c>
      <c r="J59" s="9">
        <v>118.59</v>
      </c>
      <c r="K59" s="9">
        <v>99.38</v>
      </c>
      <c r="L59" s="9">
        <v>98.45</v>
      </c>
      <c r="M59" s="9">
        <v>106.86</v>
      </c>
      <c r="N59" s="9">
        <f>115.78-0.03</f>
        <v>115.75</v>
      </c>
      <c r="O59" s="9">
        <v>119.98</v>
      </c>
      <c r="P59" s="9">
        <v>108.54</v>
      </c>
      <c r="Q59" s="9">
        <v>100.92</v>
      </c>
      <c r="R59" s="9">
        <v>119.3</v>
      </c>
      <c r="S59" s="9">
        <v>103.48</v>
      </c>
      <c r="T59" s="9">
        <v>109.28</v>
      </c>
      <c r="U59" s="9">
        <v>106.68</v>
      </c>
      <c r="V59" s="9">
        <v>87.94</v>
      </c>
      <c r="W59" s="9">
        <v>112.89</v>
      </c>
      <c r="X59" s="9">
        <v>106.2</v>
      </c>
      <c r="Y59" s="9">
        <v>105.79</v>
      </c>
      <c r="Z59" s="9">
        <v>114.26</v>
      </c>
      <c r="AA59" s="9">
        <v>90.1</v>
      </c>
      <c r="AB59" s="9">
        <v>122.08</v>
      </c>
      <c r="AC59" s="9">
        <v>104.64</v>
      </c>
      <c r="AD59" s="9">
        <v>104.68</v>
      </c>
      <c r="AE59" s="9">
        <v>81.17</v>
      </c>
      <c r="AF59" s="9">
        <v>77.239999999999995</v>
      </c>
      <c r="AG59" s="9">
        <v>103.96</v>
      </c>
      <c r="AH59" s="9">
        <v>91.8</v>
      </c>
      <c r="AI59" s="9">
        <v>122.6</v>
      </c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</row>
    <row r="60" spans="1:109" s="1" customFormat="1" x14ac:dyDescent="0.25">
      <c r="A60" s="7"/>
      <c r="B60" s="8" t="s">
        <v>8</v>
      </c>
      <c r="C60" s="4" t="s">
        <v>6</v>
      </c>
      <c r="D60" s="5">
        <f t="shared" si="12"/>
        <v>12940.92</v>
      </c>
      <c r="E60" s="9">
        <v>451.44</v>
      </c>
      <c r="F60" s="9">
        <v>426.42</v>
      </c>
      <c r="G60" s="9">
        <v>423.02</v>
      </c>
      <c r="H60" s="9">
        <v>431.56</v>
      </c>
      <c r="I60" s="9">
        <v>395.89</v>
      </c>
      <c r="J60" s="9">
        <v>427.93</v>
      </c>
      <c r="K60" s="9">
        <v>449.01</v>
      </c>
      <c r="L60" s="9">
        <f>427.6+0.01</f>
        <v>427.61</v>
      </c>
      <c r="M60" s="9">
        <v>380</v>
      </c>
      <c r="N60" s="9">
        <v>406.46</v>
      </c>
      <c r="O60" s="9">
        <v>409.61</v>
      </c>
      <c r="P60" s="9">
        <v>433.94</v>
      </c>
      <c r="Q60" s="9">
        <v>428.26</v>
      </c>
      <c r="R60" s="9">
        <v>404.31</v>
      </c>
      <c r="S60" s="9">
        <v>415.89</v>
      </c>
      <c r="T60" s="9">
        <v>424.21</v>
      </c>
      <c r="U60" s="9">
        <v>421.4</v>
      </c>
      <c r="V60" s="9">
        <v>392.09</v>
      </c>
      <c r="W60" s="9">
        <v>453.11</v>
      </c>
      <c r="X60" s="9">
        <v>380.39</v>
      </c>
      <c r="Y60" s="9">
        <v>473.49</v>
      </c>
      <c r="Z60" s="9">
        <v>462.65</v>
      </c>
      <c r="AA60" s="9">
        <v>336.66</v>
      </c>
      <c r="AB60" s="9">
        <v>430.26</v>
      </c>
      <c r="AC60" s="9">
        <v>406.19</v>
      </c>
      <c r="AD60" s="9">
        <f>438.42-9.76</f>
        <v>428.66</v>
      </c>
      <c r="AE60" s="9">
        <v>429.17</v>
      </c>
      <c r="AF60" s="9">
        <v>400.1</v>
      </c>
      <c r="AG60" s="9">
        <v>357.53</v>
      </c>
      <c r="AH60" s="9">
        <v>433</v>
      </c>
      <c r="AI60" s="9">
        <v>400.66</v>
      </c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</row>
    <row r="61" spans="1:109" s="1" customFormat="1" x14ac:dyDescent="0.25">
      <c r="A61" s="7"/>
      <c r="B61" s="8" t="s">
        <v>9</v>
      </c>
      <c r="C61" s="4" t="s">
        <v>6</v>
      </c>
      <c r="D61" s="5">
        <f>SUM(E61:AI61)</f>
        <v>8438.6500000000015</v>
      </c>
      <c r="E61" s="9">
        <v>267.89999999999998</v>
      </c>
      <c r="F61" s="9">
        <v>281.58</v>
      </c>
      <c r="G61" s="9">
        <v>294.61</v>
      </c>
      <c r="H61" s="9">
        <v>268.45999999999998</v>
      </c>
      <c r="I61" s="9">
        <v>276.02999999999997</v>
      </c>
      <c r="J61" s="9">
        <v>247.82</v>
      </c>
      <c r="K61" s="9">
        <v>281.88</v>
      </c>
      <c r="L61" s="9">
        <f>271.09+0.29</f>
        <v>271.38</v>
      </c>
      <c r="M61" s="9">
        <v>294.94</v>
      </c>
      <c r="N61" s="9">
        <v>274.63</v>
      </c>
      <c r="O61" s="9">
        <v>262.23</v>
      </c>
      <c r="P61" s="9">
        <v>267.38</v>
      </c>
      <c r="Q61" s="9">
        <v>292.82</v>
      </c>
      <c r="R61" s="9">
        <v>281.82</v>
      </c>
      <c r="S61" s="9">
        <v>276.41000000000003</v>
      </c>
      <c r="T61" s="9">
        <v>274.58999999999997</v>
      </c>
      <c r="U61" s="9">
        <v>273.01</v>
      </c>
      <c r="V61" s="9">
        <v>275.92</v>
      </c>
      <c r="W61" s="9">
        <v>279.14</v>
      </c>
      <c r="X61" s="9">
        <v>283.10000000000002</v>
      </c>
      <c r="Y61" s="9">
        <v>288.91000000000003</v>
      </c>
      <c r="Z61" s="9">
        <v>278.72000000000003</v>
      </c>
      <c r="AA61" s="9">
        <v>298.25</v>
      </c>
      <c r="AB61" s="9">
        <v>291.52</v>
      </c>
      <c r="AC61" s="9">
        <v>271.49</v>
      </c>
      <c r="AD61" s="9">
        <v>259.31</v>
      </c>
      <c r="AE61" s="9">
        <v>247.12</v>
      </c>
      <c r="AF61" s="9">
        <v>195.46</v>
      </c>
      <c r="AG61" s="9">
        <v>258.89999999999998</v>
      </c>
      <c r="AH61" s="9">
        <v>269.56</v>
      </c>
      <c r="AI61" s="9">
        <v>253.76</v>
      </c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</row>
    <row r="62" spans="1:109" s="1" customFormat="1" ht="16.5" customHeight="1" x14ac:dyDescent="0.25">
      <c r="A62" s="7"/>
      <c r="B62" s="8" t="s">
        <v>10</v>
      </c>
      <c r="C62" s="4" t="s">
        <v>6</v>
      </c>
      <c r="D62" s="5">
        <f t="shared" si="12"/>
        <v>2952.7000000000003</v>
      </c>
      <c r="E62" s="9">
        <v>92.73</v>
      </c>
      <c r="F62" s="9">
        <v>86.49</v>
      </c>
      <c r="G62" s="9">
        <f>97.63</f>
        <v>97.63</v>
      </c>
      <c r="H62" s="9">
        <v>98.04</v>
      </c>
      <c r="I62" s="9">
        <v>100.18</v>
      </c>
      <c r="J62" s="9">
        <v>96.22</v>
      </c>
      <c r="K62" s="9">
        <v>100.81</v>
      </c>
      <c r="L62" s="9">
        <f>95.82-1.76</f>
        <v>94.059999999999988</v>
      </c>
      <c r="M62" s="9">
        <v>102.51</v>
      </c>
      <c r="N62" s="9">
        <v>83.14</v>
      </c>
      <c r="O62" s="9">
        <v>89.41</v>
      </c>
      <c r="P62" s="9">
        <v>100.47</v>
      </c>
      <c r="Q62" s="9">
        <v>93.16</v>
      </c>
      <c r="R62" s="9">
        <v>80.45</v>
      </c>
      <c r="S62" s="9">
        <v>90.21</v>
      </c>
      <c r="T62" s="9">
        <v>85.62</v>
      </c>
      <c r="U62" s="9">
        <v>94.26</v>
      </c>
      <c r="V62" s="9">
        <v>90.97</v>
      </c>
      <c r="W62" s="9">
        <v>95.79</v>
      </c>
      <c r="X62" s="9">
        <v>114.42</v>
      </c>
      <c r="Y62" s="9">
        <v>90.33</v>
      </c>
      <c r="Z62" s="9">
        <v>97.08</v>
      </c>
      <c r="AA62" s="9">
        <v>100.47</v>
      </c>
      <c r="AB62" s="9">
        <v>105.48</v>
      </c>
      <c r="AC62" s="9">
        <v>86.82</v>
      </c>
      <c r="AD62" s="9">
        <f>92.47+2.31</f>
        <v>94.78</v>
      </c>
      <c r="AE62" s="9">
        <v>110.94</v>
      </c>
      <c r="AF62" s="9">
        <v>101.8</v>
      </c>
      <c r="AG62" s="9">
        <v>108.42</v>
      </c>
      <c r="AH62" s="9">
        <v>86.7</v>
      </c>
      <c r="AI62" s="9">
        <v>83.31</v>
      </c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</row>
    <row r="63" spans="1:109" s="1" customFormat="1" x14ac:dyDescent="0.25">
      <c r="A63" s="7"/>
      <c r="B63" s="8" t="s">
        <v>11</v>
      </c>
      <c r="C63" s="4" t="s">
        <v>6</v>
      </c>
      <c r="D63" s="5">
        <f t="shared" si="12"/>
        <v>3546.74</v>
      </c>
      <c r="E63" s="9">
        <v>118.66</v>
      </c>
      <c r="F63" s="9">
        <v>101.86</v>
      </c>
      <c r="G63" s="9">
        <f>115.7+0.03</f>
        <v>115.73</v>
      </c>
      <c r="H63" s="9">
        <v>107.47</v>
      </c>
      <c r="I63" s="9">
        <v>102.71</v>
      </c>
      <c r="J63" s="9">
        <v>104.63</v>
      </c>
      <c r="K63" s="9">
        <v>103.61</v>
      </c>
      <c r="L63" s="9">
        <v>120.38</v>
      </c>
      <c r="M63" s="9">
        <f>116.73-0.3</f>
        <v>116.43</v>
      </c>
      <c r="N63" s="9">
        <f>99.88-1.1</f>
        <v>98.78</v>
      </c>
      <c r="O63" s="9">
        <v>114.81</v>
      </c>
      <c r="P63" s="9">
        <v>117.52</v>
      </c>
      <c r="Q63" s="9">
        <v>113.72</v>
      </c>
      <c r="R63" s="9">
        <v>122.32</v>
      </c>
      <c r="S63" s="9">
        <v>127.05</v>
      </c>
      <c r="T63" s="9">
        <v>133.18</v>
      </c>
      <c r="U63" s="9">
        <v>102.94</v>
      </c>
      <c r="V63" s="9">
        <v>131.78</v>
      </c>
      <c r="W63" s="9">
        <v>123.04</v>
      </c>
      <c r="X63" s="9">
        <v>123.94</v>
      </c>
      <c r="Y63" s="9">
        <v>121.45</v>
      </c>
      <c r="Z63" s="9">
        <v>114.83</v>
      </c>
      <c r="AA63" s="9">
        <v>127.24</v>
      </c>
      <c r="AB63" s="9">
        <v>124.24</v>
      </c>
      <c r="AC63" s="9">
        <v>111.11</v>
      </c>
      <c r="AD63" s="9">
        <f>92.93-0.09</f>
        <v>92.84</v>
      </c>
      <c r="AE63" s="9">
        <v>95.94</v>
      </c>
      <c r="AF63" s="9">
        <v>99</v>
      </c>
      <c r="AG63" s="9">
        <v>124.79</v>
      </c>
      <c r="AH63" s="9">
        <f>121.28+1.1</f>
        <v>122.38</v>
      </c>
      <c r="AI63" s="9">
        <f>112.3+0.06</f>
        <v>112.36</v>
      </c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</row>
    <row r="64" spans="1:109" s="1" customFormat="1" ht="15.75" thickBot="1" x14ac:dyDescent="0.3">
      <c r="A64" s="7"/>
      <c r="B64" s="8" t="s">
        <v>12</v>
      </c>
      <c r="C64" s="4" t="s">
        <v>6</v>
      </c>
      <c r="D64" s="29">
        <f>SUM(E64:AI64)</f>
        <v>2114.9299999999998</v>
      </c>
      <c r="E64" s="9">
        <v>68.84</v>
      </c>
      <c r="F64" s="9">
        <v>63.48</v>
      </c>
      <c r="G64" s="9">
        <v>70.28</v>
      </c>
      <c r="H64" s="9">
        <v>68.260000000000005</v>
      </c>
      <c r="I64" s="9">
        <v>69.11</v>
      </c>
      <c r="J64" s="9">
        <v>67.3</v>
      </c>
      <c r="K64" s="9">
        <v>69.52</v>
      </c>
      <c r="L64" s="9">
        <v>70.58</v>
      </c>
      <c r="M64" s="9">
        <v>70.209999999999994</v>
      </c>
      <c r="N64" s="9">
        <v>68.78</v>
      </c>
      <c r="O64" s="9">
        <f>70.39-0.64</f>
        <v>69.75</v>
      </c>
      <c r="P64" s="9">
        <v>66.16</v>
      </c>
      <c r="Q64" s="9">
        <v>60.13</v>
      </c>
      <c r="R64" s="9">
        <v>70.16</v>
      </c>
      <c r="S64" s="9">
        <v>69.28</v>
      </c>
      <c r="T64" s="9">
        <v>69.13</v>
      </c>
      <c r="U64" s="9">
        <v>64.569999999999993</v>
      </c>
      <c r="V64" s="9">
        <v>71.319999999999993</v>
      </c>
      <c r="W64" s="9">
        <v>71.48</v>
      </c>
      <c r="X64" s="9">
        <v>67.430000000000007</v>
      </c>
      <c r="Y64" s="9">
        <v>67.22</v>
      </c>
      <c r="Z64" s="9">
        <v>70.78</v>
      </c>
      <c r="AA64" s="9">
        <v>70.010000000000005</v>
      </c>
      <c r="AB64" s="9">
        <v>70.47</v>
      </c>
      <c r="AC64" s="9">
        <v>67.91</v>
      </c>
      <c r="AD64" s="9">
        <v>68.33</v>
      </c>
      <c r="AE64" s="9">
        <v>67.28</v>
      </c>
      <c r="AF64" s="9">
        <v>66.94</v>
      </c>
      <c r="AG64" s="9">
        <v>70.72</v>
      </c>
      <c r="AH64" s="9">
        <v>65.56</v>
      </c>
      <c r="AI64" s="9">
        <v>63.94</v>
      </c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</row>
    <row r="66" spans="1:109" ht="21" x14ac:dyDescent="0.35">
      <c r="A66" s="27" t="s">
        <v>19</v>
      </c>
    </row>
    <row r="67" spans="1:109" s="1" customFormat="1" ht="20.25" x14ac:dyDescent="0.25">
      <c r="A67" s="2" t="s">
        <v>4</v>
      </c>
      <c r="B67" s="3" t="s">
        <v>5</v>
      </c>
      <c r="C67" s="4" t="s">
        <v>6</v>
      </c>
      <c r="D67" s="5">
        <f t="shared" ref="D67:D72" si="14">SUM(E67:AI67)</f>
        <v>32339.949999999997</v>
      </c>
      <c r="E67" s="6">
        <f>SUM(E68:E73)</f>
        <v>990.68000000000006</v>
      </c>
      <c r="F67" s="6">
        <f t="shared" ref="F67:AI67" si="15">SUM(F68:F73)</f>
        <v>869.23</v>
      </c>
      <c r="G67" s="6">
        <f t="shared" si="15"/>
        <v>805.75</v>
      </c>
      <c r="H67" s="6">
        <f t="shared" si="15"/>
        <v>712.87</v>
      </c>
      <c r="I67" s="6">
        <f t="shared" si="15"/>
        <v>1007.9899999999999</v>
      </c>
      <c r="J67" s="6">
        <f t="shared" si="15"/>
        <v>1100.74</v>
      </c>
      <c r="K67" s="6">
        <f t="shared" si="15"/>
        <v>1116.4499999999998</v>
      </c>
      <c r="L67" s="6">
        <f t="shared" si="15"/>
        <v>1066.3700000000001</v>
      </c>
      <c r="M67" s="6">
        <f t="shared" si="15"/>
        <v>1089.52</v>
      </c>
      <c r="N67" s="6">
        <f t="shared" si="15"/>
        <v>1029.6299999999999</v>
      </c>
      <c r="O67" s="6">
        <f t="shared" si="15"/>
        <v>988.71</v>
      </c>
      <c r="P67" s="6">
        <f t="shared" si="15"/>
        <v>1060.8999999999999</v>
      </c>
      <c r="Q67" s="6">
        <f t="shared" si="15"/>
        <v>1135.0499999999997</v>
      </c>
      <c r="R67" s="6">
        <f t="shared" si="15"/>
        <v>1100.0999999999999</v>
      </c>
      <c r="S67" s="6">
        <f t="shared" si="15"/>
        <v>1027.97</v>
      </c>
      <c r="T67" s="6">
        <f t="shared" si="15"/>
        <v>1026.3800000000001</v>
      </c>
      <c r="U67" s="6">
        <f t="shared" si="15"/>
        <v>1065.3</v>
      </c>
      <c r="V67" s="6">
        <f t="shared" si="15"/>
        <v>1050.29</v>
      </c>
      <c r="W67" s="6">
        <f t="shared" si="15"/>
        <v>1023.7099999999999</v>
      </c>
      <c r="X67" s="6">
        <f t="shared" si="15"/>
        <v>1049.8700000000001</v>
      </c>
      <c r="Y67" s="6">
        <f t="shared" si="15"/>
        <v>1113.6200000000001</v>
      </c>
      <c r="Z67" s="6">
        <f t="shared" si="15"/>
        <v>1108.03</v>
      </c>
      <c r="AA67" s="6">
        <f t="shared" si="15"/>
        <v>1038.06</v>
      </c>
      <c r="AB67" s="6">
        <f t="shared" si="15"/>
        <v>1079.02</v>
      </c>
      <c r="AC67" s="6">
        <f t="shared" si="15"/>
        <v>1150.03</v>
      </c>
      <c r="AD67" s="6">
        <f t="shared" si="15"/>
        <v>1093.7200000000003</v>
      </c>
      <c r="AE67" s="6">
        <f t="shared" si="15"/>
        <v>1112.0800000000002</v>
      </c>
      <c r="AF67" s="6">
        <f t="shared" si="15"/>
        <v>1071.2</v>
      </c>
      <c r="AG67" s="6">
        <f t="shared" si="15"/>
        <v>1079.1199999999999</v>
      </c>
      <c r="AH67" s="6">
        <f t="shared" si="15"/>
        <v>1133.54</v>
      </c>
      <c r="AI67" s="6">
        <f t="shared" si="15"/>
        <v>1044.02</v>
      </c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</row>
    <row r="68" spans="1:109" s="1" customFormat="1" x14ac:dyDescent="0.25">
      <c r="A68" s="7"/>
      <c r="B68" s="8" t="s">
        <v>7</v>
      </c>
      <c r="C68" s="4" t="s">
        <v>6</v>
      </c>
      <c r="D68" s="5">
        <f t="shared" si="14"/>
        <v>3137.62</v>
      </c>
      <c r="E68" s="9">
        <v>63.19</v>
      </c>
      <c r="F68" s="9">
        <v>60.6</v>
      </c>
      <c r="G68" s="9">
        <v>64.05</v>
      </c>
      <c r="H68" s="9">
        <v>60.55</v>
      </c>
      <c r="I68" s="9">
        <v>88.66</v>
      </c>
      <c r="J68" s="9">
        <v>100.47</v>
      </c>
      <c r="K68" s="9">
        <v>107.38</v>
      </c>
      <c r="L68" s="9">
        <v>107</v>
      </c>
      <c r="M68" s="9">
        <v>117.41</v>
      </c>
      <c r="N68" s="9">
        <v>104.01</v>
      </c>
      <c r="O68" s="9">
        <v>109.1</v>
      </c>
      <c r="P68" s="9">
        <v>112.62</v>
      </c>
      <c r="Q68" s="9">
        <v>111.9</v>
      </c>
      <c r="R68" s="9">
        <v>108.54</v>
      </c>
      <c r="S68" s="9">
        <v>121.89</v>
      </c>
      <c r="T68" s="9">
        <v>91.99</v>
      </c>
      <c r="U68" s="9">
        <v>123.25</v>
      </c>
      <c r="V68" s="9">
        <v>104.06</v>
      </c>
      <c r="W68" s="9">
        <v>110.85</v>
      </c>
      <c r="X68" s="9">
        <v>115.03</v>
      </c>
      <c r="Y68" s="9">
        <v>101.61</v>
      </c>
      <c r="Z68" s="9">
        <v>125.06</v>
      </c>
      <c r="AA68" s="9">
        <v>80.25</v>
      </c>
      <c r="AB68" s="9">
        <v>112.51</v>
      </c>
      <c r="AC68" s="9">
        <v>117.04</v>
      </c>
      <c r="AD68" s="9">
        <v>87.99</v>
      </c>
      <c r="AE68" s="9">
        <v>115.06</v>
      </c>
      <c r="AF68" s="9">
        <v>112.55</v>
      </c>
      <c r="AG68" s="9">
        <v>94.29</v>
      </c>
      <c r="AH68" s="9">
        <v>107.86</v>
      </c>
      <c r="AI68" s="9">
        <v>100.85</v>
      </c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</row>
    <row r="69" spans="1:109" s="1" customFormat="1" x14ac:dyDescent="0.25">
      <c r="A69" s="7"/>
      <c r="B69" s="8" t="s">
        <v>8</v>
      </c>
      <c r="C69" s="4" t="s">
        <v>6</v>
      </c>
      <c r="D69" s="5">
        <f t="shared" si="14"/>
        <v>12715.4</v>
      </c>
      <c r="E69" s="9">
        <v>451.97</v>
      </c>
      <c r="F69" s="9">
        <v>401.82</v>
      </c>
      <c r="G69" s="9">
        <v>363.12</v>
      </c>
      <c r="H69" s="9">
        <v>244.6</v>
      </c>
      <c r="I69" s="9">
        <v>383.68</v>
      </c>
      <c r="J69" s="9">
        <v>427.53</v>
      </c>
      <c r="K69" s="9">
        <v>440.38</v>
      </c>
      <c r="L69" s="9">
        <v>401.93</v>
      </c>
      <c r="M69" s="9">
        <v>430.66</v>
      </c>
      <c r="N69" s="9">
        <v>416.4</v>
      </c>
      <c r="O69" s="9">
        <v>416.95</v>
      </c>
      <c r="P69" s="9">
        <v>368.57</v>
      </c>
      <c r="Q69" s="9">
        <v>454.15</v>
      </c>
      <c r="R69" s="9">
        <v>409.68</v>
      </c>
      <c r="S69" s="9">
        <v>356.63</v>
      </c>
      <c r="T69" s="9">
        <v>450.43</v>
      </c>
      <c r="U69" s="9">
        <v>395.98</v>
      </c>
      <c r="V69" s="9">
        <v>457.43</v>
      </c>
      <c r="W69" s="9">
        <v>373.52</v>
      </c>
      <c r="X69" s="9">
        <v>382.68</v>
      </c>
      <c r="Y69" s="9">
        <v>454.16</v>
      </c>
      <c r="Z69" s="9">
        <v>435.66</v>
      </c>
      <c r="AA69" s="9">
        <v>393.29</v>
      </c>
      <c r="AB69" s="9">
        <v>419.05</v>
      </c>
      <c r="AC69" s="9">
        <v>462.55</v>
      </c>
      <c r="AD69" s="9">
        <v>450</v>
      </c>
      <c r="AE69" s="9">
        <v>440.6</v>
      </c>
      <c r="AF69" s="9">
        <v>396.74</v>
      </c>
      <c r="AG69" s="9">
        <v>406.56</v>
      </c>
      <c r="AH69" s="9">
        <v>446.89</v>
      </c>
      <c r="AI69" s="9">
        <v>381.79</v>
      </c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</row>
    <row r="70" spans="1:109" s="1" customFormat="1" x14ac:dyDescent="0.25">
      <c r="A70" s="7"/>
      <c r="B70" s="8" t="s">
        <v>9</v>
      </c>
      <c r="C70" s="4" t="s">
        <v>6</v>
      </c>
      <c r="D70" s="5">
        <f>SUM(E70:AI70)</f>
        <v>8030.74</v>
      </c>
      <c r="E70" s="9">
        <v>230.11</v>
      </c>
      <c r="F70" s="9">
        <v>191.52</v>
      </c>
      <c r="G70" s="9">
        <v>171.32</v>
      </c>
      <c r="H70" s="9">
        <v>199.09</v>
      </c>
      <c r="I70" s="9">
        <v>253.95</v>
      </c>
      <c r="J70" s="9">
        <v>281.79000000000002</v>
      </c>
      <c r="K70" s="9">
        <v>276.14</v>
      </c>
      <c r="L70" s="9">
        <v>272</v>
      </c>
      <c r="M70" s="9">
        <v>260.72000000000003</v>
      </c>
      <c r="N70" s="9">
        <v>239.11</v>
      </c>
      <c r="O70" s="9">
        <v>202.34</v>
      </c>
      <c r="P70" s="9">
        <v>285.38</v>
      </c>
      <c r="Q70" s="9">
        <v>291.08999999999997</v>
      </c>
      <c r="R70" s="9">
        <v>293.48</v>
      </c>
      <c r="S70" s="9">
        <v>287.64</v>
      </c>
      <c r="T70" s="9">
        <v>207.57</v>
      </c>
      <c r="U70" s="9">
        <v>276.82</v>
      </c>
      <c r="V70" s="9">
        <v>230.45</v>
      </c>
      <c r="W70" s="9">
        <v>258.27</v>
      </c>
      <c r="X70" s="9">
        <f>253.21+2.08</f>
        <v>255.29000000000002</v>
      </c>
      <c r="Y70" s="9">
        <v>268.41000000000003</v>
      </c>
      <c r="Z70" s="9">
        <v>271.63</v>
      </c>
      <c r="AA70" s="9">
        <f>276.8+1.69</f>
        <v>278.49</v>
      </c>
      <c r="AB70" s="9">
        <v>276.79000000000002</v>
      </c>
      <c r="AC70" s="9">
        <v>285.02</v>
      </c>
      <c r="AD70" s="9">
        <v>282.02</v>
      </c>
      <c r="AE70" s="9">
        <v>287.52</v>
      </c>
      <c r="AF70" s="9">
        <v>270.61</v>
      </c>
      <c r="AG70" s="9">
        <v>284.49</v>
      </c>
      <c r="AH70" s="9">
        <v>285.52</v>
      </c>
      <c r="AI70" s="9">
        <v>276.16000000000003</v>
      </c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</row>
    <row r="71" spans="1:109" s="1" customFormat="1" ht="16.5" customHeight="1" x14ac:dyDescent="0.25">
      <c r="A71" s="7"/>
      <c r="B71" s="8" t="s">
        <v>10</v>
      </c>
      <c r="C71" s="4" t="s">
        <v>6</v>
      </c>
      <c r="D71" s="5">
        <f t="shared" si="14"/>
        <v>2919.01</v>
      </c>
      <c r="E71" s="9">
        <v>80.5</v>
      </c>
      <c r="F71" s="9">
        <v>70.11</v>
      </c>
      <c r="G71" s="9">
        <v>82.28</v>
      </c>
      <c r="H71" s="9">
        <v>84.65</v>
      </c>
      <c r="I71" s="9">
        <v>104.66</v>
      </c>
      <c r="J71" s="9">
        <v>94.68</v>
      </c>
      <c r="K71" s="9">
        <v>96</v>
      </c>
      <c r="L71" s="9">
        <v>102.2</v>
      </c>
      <c r="M71" s="9">
        <f>105.45+0.14</f>
        <v>105.59</v>
      </c>
      <c r="N71" s="9">
        <v>106.26</v>
      </c>
      <c r="O71" s="9">
        <v>89.49</v>
      </c>
      <c r="P71" s="9">
        <v>93.55</v>
      </c>
      <c r="Q71" s="9">
        <v>98.08</v>
      </c>
      <c r="R71" s="9">
        <f>99.64+0.67</f>
        <v>100.31</v>
      </c>
      <c r="S71" s="9">
        <v>80.22</v>
      </c>
      <c r="T71" s="9">
        <f>92.19+0.06</f>
        <v>92.25</v>
      </c>
      <c r="U71" s="9">
        <v>89.95</v>
      </c>
      <c r="V71" s="9">
        <v>91.47</v>
      </c>
      <c r="W71" s="9">
        <v>98.15</v>
      </c>
      <c r="X71" s="9">
        <v>100.18</v>
      </c>
      <c r="Y71" s="9">
        <v>92.71</v>
      </c>
      <c r="Z71" s="9">
        <v>86.52</v>
      </c>
      <c r="AA71" s="9">
        <f>87.64+0.45</f>
        <v>88.09</v>
      </c>
      <c r="AB71" s="9">
        <v>92.3</v>
      </c>
      <c r="AC71" s="9">
        <v>90.58</v>
      </c>
      <c r="AD71" s="9">
        <v>90.68</v>
      </c>
      <c r="AE71" s="9">
        <v>99.74</v>
      </c>
      <c r="AF71" s="9">
        <v>102.16</v>
      </c>
      <c r="AG71" s="9">
        <v>100.26</v>
      </c>
      <c r="AH71" s="9">
        <v>104.89</v>
      </c>
      <c r="AI71" s="9">
        <v>110.5</v>
      </c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</row>
    <row r="72" spans="1:109" s="1" customFormat="1" x14ac:dyDescent="0.25">
      <c r="A72" s="7"/>
      <c r="B72" s="8" t="s">
        <v>11</v>
      </c>
      <c r="C72" s="4" t="s">
        <v>6</v>
      </c>
      <c r="D72" s="5">
        <f t="shared" si="14"/>
        <v>3517.4299999999989</v>
      </c>
      <c r="E72" s="9">
        <v>98.15</v>
      </c>
      <c r="F72" s="9">
        <v>85</v>
      </c>
      <c r="G72" s="9">
        <v>70.47</v>
      </c>
      <c r="H72" s="9">
        <v>69.2</v>
      </c>
      <c r="I72" s="9">
        <f>115.74+0.12</f>
        <v>115.86</v>
      </c>
      <c r="J72" s="9">
        <v>132.47</v>
      </c>
      <c r="K72" s="9">
        <f>128.65+1.02</f>
        <v>129.67000000000002</v>
      </c>
      <c r="L72" s="9">
        <v>117.85</v>
      </c>
      <c r="M72" s="9">
        <v>105.64</v>
      </c>
      <c r="N72" s="9">
        <v>98.03</v>
      </c>
      <c r="O72" s="9">
        <v>106.34</v>
      </c>
      <c r="P72" s="9">
        <v>133.12</v>
      </c>
      <c r="Q72" s="9">
        <f>111.13+0.12</f>
        <v>111.25</v>
      </c>
      <c r="R72" s="9">
        <v>120</v>
      </c>
      <c r="S72" s="9">
        <v>112.88</v>
      </c>
      <c r="T72" s="9">
        <v>119.84</v>
      </c>
      <c r="U72" s="9">
        <v>114.36</v>
      </c>
      <c r="V72" s="9">
        <v>102.17</v>
      </c>
      <c r="W72" s="9">
        <v>116.79</v>
      </c>
      <c r="X72" s="9">
        <f>129.05+0.15</f>
        <v>129.20000000000002</v>
      </c>
      <c r="Y72" s="9">
        <v>132.51</v>
      </c>
      <c r="Z72" s="9">
        <v>124.1</v>
      </c>
      <c r="AA72" s="9">
        <v>132.72</v>
      </c>
      <c r="AB72" s="9">
        <v>113.63</v>
      </c>
      <c r="AC72" s="9">
        <v>131.06</v>
      </c>
      <c r="AD72" s="9">
        <v>113.63</v>
      </c>
      <c r="AE72" s="9">
        <v>102.45</v>
      </c>
      <c r="AF72" s="9">
        <v>123.03</v>
      </c>
      <c r="AG72" s="9">
        <v>124.64</v>
      </c>
      <c r="AH72" s="9">
        <v>121.25</v>
      </c>
      <c r="AI72" s="9">
        <v>110.12</v>
      </c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</row>
    <row r="73" spans="1:109" s="1" customFormat="1" ht="15.75" thickBot="1" x14ac:dyDescent="0.3">
      <c r="A73" s="7"/>
      <c r="B73" s="8" t="s">
        <v>12</v>
      </c>
      <c r="C73" s="4" t="s">
        <v>6</v>
      </c>
      <c r="D73" s="29">
        <f>SUM(E73:AI73)</f>
        <v>2019.7500000000005</v>
      </c>
      <c r="E73" s="9">
        <v>66.760000000000005</v>
      </c>
      <c r="F73" s="9">
        <v>60.18</v>
      </c>
      <c r="G73" s="9">
        <v>54.51</v>
      </c>
      <c r="H73" s="9">
        <v>54.78</v>
      </c>
      <c r="I73" s="9">
        <v>61.18</v>
      </c>
      <c r="J73" s="9">
        <v>63.8</v>
      </c>
      <c r="K73" s="9">
        <v>66.88</v>
      </c>
      <c r="L73" s="9">
        <v>65.39</v>
      </c>
      <c r="M73" s="9">
        <v>69.5</v>
      </c>
      <c r="N73" s="9">
        <v>65.819999999999993</v>
      </c>
      <c r="O73" s="9">
        <v>64.489999999999995</v>
      </c>
      <c r="P73" s="9">
        <v>67.66</v>
      </c>
      <c r="Q73" s="9">
        <v>68.58</v>
      </c>
      <c r="R73" s="9">
        <v>68.09</v>
      </c>
      <c r="S73" s="9">
        <v>68.709999999999994</v>
      </c>
      <c r="T73" s="9">
        <v>64.3</v>
      </c>
      <c r="U73" s="9">
        <v>64.94</v>
      </c>
      <c r="V73" s="9">
        <v>64.709999999999994</v>
      </c>
      <c r="W73" s="9">
        <v>66.13</v>
      </c>
      <c r="X73" s="9">
        <v>67.489999999999995</v>
      </c>
      <c r="Y73" s="9">
        <v>64.22</v>
      </c>
      <c r="Z73" s="9">
        <v>65.06</v>
      </c>
      <c r="AA73" s="9">
        <v>65.22</v>
      </c>
      <c r="AB73" s="9">
        <v>64.739999999999995</v>
      </c>
      <c r="AC73" s="9">
        <v>63.78</v>
      </c>
      <c r="AD73" s="9">
        <v>69.400000000000006</v>
      </c>
      <c r="AE73" s="9">
        <v>66.709999999999994</v>
      </c>
      <c r="AF73" s="9">
        <v>66.11</v>
      </c>
      <c r="AG73" s="9">
        <v>68.88</v>
      </c>
      <c r="AH73" s="9">
        <v>67.13</v>
      </c>
      <c r="AI73" s="9">
        <v>64.599999999999994</v>
      </c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</row>
    <row r="75" spans="1:109" ht="21" x14ac:dyDescent="0.35">
      <c r="A75" s="27" t="s">
        <v>20</v>
      </c>
    </row>
    <row r="76" spans="1:109" s="1" customFormat="1" ht="20.25" x14ac:dyDescent="0.25">
      <c r="A76" s="2" t="s">
        <v>4</v>
      </c>
      <c r="B76" s="3" t="s">
        <v>5</v>
      </c>
      <c r="C76" s="4" t="s">
        <v>6</v>
      </c>
      <c r="D76" s="5">
        <f t="shared" ref="D76:D81" si="16">SUM(E76:AI76)</f>
        <v>32289.95</v>
      </c>
      <c r="E76" s="6">
        <f>SUM(E77:E82)</f>
        <v>903.57</v>
      </c>
      <c r="F76" s="6">
        <f t="shared" ref="F76:AI76" si="17">SUM(F77:F82)</f>
        <v>1181.94</v>
      </c>
      <c r="G76" s="6">
        <f t="shared" si="17"/>
        <v>1132.0299999999997</v>
      </c>
      <c r="H76" s="6">
        <f t="shared" si="17"/>
        <v>1106.83</v>
      </c>
      <c r="I76" s="6">
        <f t="shared" si="17"/>
        <v>1014.23</v>
      </c>
      <c r="J76" s="6">
        <f t="shared" si="17"/>
        <v>1084.1199999999999</v>
      </c>
      <c r="K76" s="6">
        <f t="shared" si="17"/>
        <v>1081.04</v>
      </c>
      <c r="L76" s="6">
        <f t="shared" si="17"/>
        <v>1075.3399999999999</v>
      </c>
      <c r="M76" s="6">
        <f t="shared" si="17"/>
        <v>1045.8400000000001</v>
      </c>
      <c r="N76" s="6">
        <f t="shared" si="17"/>
        <v>1111.7199999999998</v>
      </c>
      <c r="O76" s="6">
        <f t="shared" si="17"/>
        <v>1062.81</v>
      </c>
      <c r="P76" s="6">
        <f t="shared" si="17"/>
        <v>1070.8100000000002</v>
      </c>
      <c r="Q76" s="6">
        <f t="shared" si="17"/>
        <v>1014.71</v>
      </c>
      <c r="R76" s="6">
        <f t="shared" si="17"/>
        <v>1135.73</v>
      </c>
      <c r="S76" s="6">
        <f t="shared" si="17"/>
        <v>1072.6300000000001</v>
      </c>
      <c r="T76" s="6">
        <f t="shared" si="17"/>
        <v>1044.6800000000003</v>
      </c>
      <c r="U76" s="6">
        <f t="shared" si="17"/>
        <v>1056.0500000000002</v>
      </c>
      <c r="V76" s="6">
        <f t="shared" si="17"/>
        <v>1122.1800000000003</v>
      </c>
      <c r="W76" s="6">
        <f t="shared" si="17"/>
        <v>1093.46</v>
      </c>
      <c r="X76" s="6">
        <f t="shared" si="17"/>
        <v>1085.1799999999998</v>
      </c>
      <c r="Y76" s="6">
        <f t="shared" si="17"/>
        <v>1119.19</v>
      </c>
      <c r="Z76" s="6">
        <f t="shared" si="17"/>
        <v>1077.07</v>
      </c>
      <c r="AA76" s="6">
        <f t="shared" si="17"/>
        <v>1094.1799999999998</v>
      </c>
      <c r="AB76" s="6">
        <f t="shared" si="17"/>
        <v>1013.84</v>
      </c>
      <c r="AC76" s="6">
        <f t="shared" si="17"/>
        <v>1119.94</v>
      </c>
      <c r="AD76" s="6">
        <f t="shared" si="17"/>
        <v>1095.1499999999999</v>
      </c>
      <c r="AE76" s="6">
        <f t="shared" si="17"/>
        <v>1078.25</v>
      </c>
      <c r="AF76" s="6">
        <f t="shared" si="17"/>
        <v>1042.72</v>
      </c>
      <c r="AG76" s="6">
        <f t="shared" si="17"/>
        <v>1073.99</v>
      </c>
      <c r="AH76" s="6">
        <f t="shared" si="17"/>
        <v>1080.72</v>
      </c>
      <c r="AI76" s="6">
        <f t="shared" si="17"/>
        <v>0</v>
      </c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</row>
    <row r="77" spans="1:109" s="1" customFormat="1" x14ac:dyDescent="0.25">
      <c r="A77" s="7"/>
      <c r="B77" s="8" t="s">
        <v>7</v>
      </c>
      <c r="C77" s="4" t="s">
        <v>6</v>
      </c>
      <c r="D77" s="5">
        <f t="shared" si="16"/>
        <v>3150.0400000000004</v>
      </c>
      <c r="E77" s="9">
        <v>80.739999999999995</v>
      </c>
      <c r="F77" s="9">
        <v>109.1</v>
      </c>
      <c r="G77" s="9">
        <v>103.4</v>
      </c>
      <c r="H77" s="9">
        <v>110.05</v>
      </c>
      <c r="I77" s="9">
        <v>108.03</v>
      </c>
      <c r="J77" s="9">
        <v>109.53</v>
      </c>
      <c r="K77" s="9">
        <v>101.93</v>
      </c>
      <c r="L77" s="9">
        <v>116.38</v>
      </c>
      <c r="M77" s="9">
        <v>106.45</v>
      </c>
      <c r="N77" s="9">
        <v>92.9</v>
      </c>
      <c r="O77" s="9">
        <v>93.54</v>
      </c>
      <c r="P77" s="9">
        <v>120.94</v>
      </c>
      <c r="Q77" s="9">
        <v>80.56</v>
      </c>
      <c r="R77" s="9">
        <v>125.3</v>
      </c>
      <c r="S77" s="9">
        <v>117.56</v>
      </c>
      <c r="T77" s="9">
        <v>87.9</v>
      </c>
      <c r="U77" s="9">
        <v>106.31</v>
      </c>
      <c r="V77" s="9">
        <v>117.93</v>
      </c>
      <c r="W77" s="9">
        <v>103.88</v>
      </c>
      <c r="X77" s="9">
        <v>108.28</v>
      </c>
      <c r="Y77" s="9">
        <v>112.59</v>
      </c>
      <c r="Z77" s="9">
        <v>110.43</v>
      </c>
      <c r="AA77" s="9">
        <v>87.85</v>
      </c>
      <c r="AB77" s="9">
        <v>117.1</v>
      </c>
      <c r="AC77" s="9">
        <f>103.71+0.04</f>
        <v>103.75</v>
      </c>
      <c r="AD77" s="9">
        <v>108.26</v>
      </c>
      <c r="AE77" s="9">
        <v>89.32</v>
      </c>
      <c r="AF77" s="9">
        <v>101.07</v>
      </c>
      <c r="AG77" s="9">
        <v>106.01</v>
      </c>
      <c r="AH77" s="9">
        <v>112.95</v>
      </c>
      <c r="AI77" s="9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</row>
    <row r="78" spans="1:109" s="1" customFormat="1" x14ac:dyDescent="0.25">
      <c r="A78" s="7"/>
      <c r="B78" s="8" t="s">
        <v>8</v>
      </c>
      <c r="C78" s="4" t="s">
        <v>6</v>
      </c>
      <c r="D78" s="5">
        <f t="shared" si="16"/>
        <v>12261.099999999997</v>
      </c>
      <c r="E78" s="9">
        <v>332.42</v>
      </c>
      <c r="F78" s="9">
        <v>473.88</v>
      </c>
      <c r="G78" s="9">
        <v>431.77</v>
      </c>
      <c r="H78" s="9">
        <v>438.69</v>
      </c>
      <c r="I78" s="9">
        <v>367.19</v>
      </c>
      <c r="J78" s="9">
        <v>374.38</v>
      </c>
      <c r="K78" s="9">
        <v>422.89</v>
      </c>
      <c r="L78" s="9">
        <v>411.45</v>
      </c>
      <c r="M78" s="9">
        <v>386.32</v>
      </c>
      <c r="N78" s="9">
        <v>431.68</v>
      </c>
      <c r="O78" s="9">
        <v>407.01</v>
      </c>
      <c r="P78" s="9">
        <v>408.23</v>
      </c>
      <c r="Q78" s="9">
        <v>389.38</v>
      </c>
      <c r="R78" s="9">
        <v>431.9</v>
      </c>
      <c r="S78" s="9">
        <v>402.34</v>
      </c>
      <c r="T78" s="9">
        <v>421.54</v>
      </c>
      <c r="U78" s="9">
        <v>390.98</v>
      </c>
      <c r="V78" s="9">
        <v>426.48</v>
      </c>
      <c r="W78" s="9">
        <v>428.03</v>
      </c>
      <c r="X78" s="9">
        <v>418.47</v>
      </c>
      <c r="Y78" s="9">
        <v>447.26</v>
      </c>
      <c r="Z78" s="9">
        <v>392.22</v>
      </c>
      <c r="AA78" s="9">
        <v>438.59</v>
      </c>
      <c r="AB78" s="9">
        <v>334.64</v>
      </c>
      <c r="AC78" s="9">
        <v>428.95</v>
      </c>
      <c r="AD78" s="9">
        <v>417.05</v>
      </c>
      <c r="AE78" s="9">
        <v>426.63</v>
      </c>
      <c r="AF78" s="9">
        <v>390.07</v>
      </c>
      <c r="AG78" s="9">
        <v>394.16</v>
      </c>
      <c r="AH78" s="9">
        <v>396.5</v>
      </c>
      <c r="AI78" s="9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</row>
    <row r="79" spans="1:109" s="1" customFormat="1" x14ac:dyDescent="0.25">
      <c r="A79" s="7"/>
      <c r="B79" s="8" t="s">
        <v>9</v>
      </c>
      <c r="C79" s="4" t="s">
        <v>6</v>
      </c>
      <c r="D79" s="5">
        <f>SUM(E79:AI79)</f>
        <v>7973.1999999999989</v>
      </c>
      <c r="E79" s="9">
        <v>232.24</v>
      </c>
      <c r="F79" s="9">
        <v>283.33</v>
      </c>
      <c r="G79" s="9">
        <v>291.63</v>
      </c>
      <c r="H79" s="9">
        <v>264.32</v>
      </c>
      <c r="I79" s="9">
        <v>258.52999999999997</v>
      </c>
      <c r="J79" s="9">
        <v>290.95</v>
      </c>
      <c r="K79" s="9">
        <v>288.19</v>
      </c>
      <c r="L79" s="9">
        <v>273.88</v>
      </c>
      <c r="M79" s="9">
        <v>262.18</v>
      </c>
      <c r="N79" s="9">
        <v>284.39</v>
      </c>
      <c r="O79" s="9">
        <v>273.18</v>
      </c>
      <c r="P79" s="9">
        <v>268.64999999999998</v>
      </c>
      <c r="Q79" s="9">
        <v>235.51</v>
      </c>
      <c r="R79" s="9">
        <v>277.57</v>
      </c>
      <c r="S79" s="9">
        <v>279.77</v>
      </c>
      <c r="T79" s="9">
        <v>256.18</v>
      </c>
      <c r="U79" s="9">
        <v>240.36</v>
      </c>
      <c r="V79" s="9">
        <v>266.24</v>
      </c>
      <c r="W79" s="9">
        <v>261.8</v>
      </c>
      <c r="X79" s="9">
        <v>255.57</v>
      </c>
      <c r="Y79" s="9">
        <v>251.55</v>
      </c>
      <c r="Z79" s="9">
        <v>266.61</v>
      </c>
      <c r="AA79" s="9">
        <v>253.43</v>
      </c>
      <c r="AB79" s="9">
        <v>261.02</v>
      </c>
      <c r="AC79" s="9">
        <f>264.75-1.18</f>
        <v>263.57</v>
      </c>
      <c r="AD79" s="9">
        <v>260.20999999999998</v>
      </c>
      <c r="AE79" s="9">
        <f>255.27+0.28</f>
        <v>255.55</v>
      </c>
      <c r="AF79" s="9">
        <v>268.98</v>
      </c>
      <c r="AG79" s="9">
        <v>272.11</v>
      </c>
      <c r="AH79" s="9">
        <v>275.7</v>
      </c>
      <c r="AI79" s="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</row>
    <row r="80" spans="1:109" s="1" customFormat="1" ht="16.5" customHeight="1" x14ac:dyDescent="0.25">
      <c r="A80" s="7"/>
      <c r="B80" s="8" t="s">
        <v>10</v>
      </c>
      <c r="C80" s="4" t="s">
        <v>6</v>
      </c>
      <c r="D80" s="5">
        <f t="shared" si="16"/>
        <v>3193.4300000000003</v>
      </c>
      <c r="E80" s="9">
        <v>76.98</v>
      </c>
      <c r="F80" s="9">
        <v>115.63</v>
      </c>
      <c r="G80" s="9">
        <v>113.81</v>
      </c>
      <c r="H80" s="9">
        <v>100.94</v>
      </c>
      <c r="I80" s="9">
        <f>85.92-0.96</f>
        <v>84.960000000000008</v>
      </c>
      <c r="J80" s="9">
        <v>106.73</v>
      </c>
      <c r="K80" s="9">
        <v>95.71</v>
      </c>
      <c r="L80" s="9">
        <v>100.81</v>
      </c>
      <c r="M80" s="9">
        <v>89.12</v>
      </c>
      <c r="N80" s="9">
        <v>110.04</v>
      </c>
      <c r="O80" s="9">
        <v>99.51</v>
      </c>
      <c r="P80" s="9">
        <v>93.34</v>
      </c>
      <c r="Q80" s="9">
        <f>116.9+0.01</f>
        <v>116.91000000000001</v>
      </c>
      <c r="R80" s="9">
        <v>113.83</v>
      </c>
      <c r="S80" s="9">
        <v>108.84</v>
      </c>
      <c r="T80" s="9">
        <v>92.47</v>
      </c>
      <c r="U80" s="9">
        <f>116.26-0.08</f>
        <v>116.18</v>
      </c>
      <c r="V80" s="9">
        <v>114.33</v>
      </c>
      <c r="W80" s="9">
        <v>111.43</v>
      </c>
      <c r="X80" s="9">
        <f>109.52-1.46</f>
        <v>108.06</v>
      </c>
      <c r="Y80" s="9">
        <v>114.23</v>
      </c>
      <c r="Z80" s="9">
        <v>117.03</v>
      </c>
      <c r="AA80" s="9">
        <v>116.8</v>
      </c>
      <c r="AB80" s="9">
        <v>108.76</v>
      </c>
      <c r="AC80" s="9">
        <v>120.87</v>
      </c>
      <c r="AD80" s="9">
        <v>112.45</v>
      </c>
      <c r="AE80" s="9">
        <v>110.5</v>
      </c>
      <c r="AF80" s="9">
        <v>102.56</v>
      </c>
      <c r="AG80" s="9">
        <v>114.64</v>
      </c>
      <c r="AH80" s="9">
        <v>105.96</v>
      </c>
      <c r="AI80" s="9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</row>
    <row r="81" spans="1:109" s="1" customFormat="1" x14ac:dyDescent="0.25">
      <c r="A81" s="7"/>
      <c r="B81" s="8" t="s">
        <v>11</v>
      </c>
      <c r="C81" s="4" t="s">
        <v>6</v>
      </c>
      <c r="D81" s="5">
        <f t="shared" si="16"/>
        <v>3641.2499999999995</v>
      </c>
      <c r="E81" s="9">
        <v>115.64</v>
      </c>
      <c r="F81" s="9">
        <v>131.04</v>
      </c>
      <c r="G81" s="9">
        <v>123.83</v>
      </c>
      <c r="H81" s="9">
        <v>124.95</v>
      </c>
      <c r="I81" s="9">
        <v>126.78</v>
      </c>
      <c r="J81" s="9">
        <f>131.41-0.02</f>
        <v>131.38999999999999</v>
      </c>
      <c r="K81" s="9">
        <v>107.01</v>
      </c>
      <c r="L81" s="9">
        <v>106.39</v>
      </c>
      <c r="M81" s="9">
        <v>133.86000000000001</v>
      </c>
      <c r="N81" s="9">
        <v>125.58</v>
      </c>
      <c r="O81" s="9">
        <f>117.94+0.3</f>
        <v>118.24</v>
      </c>
      <c r="P81" s="9">
        <f>115.38-4.12</f>
        <v>111.25999999999999</v>
      </c>
      <c r="Q81" s="9">
        <v>123.95</v>
      </c>
      <c r="R81" s="9">
        <v>120.38</v>
      </c>
      <c r="S81" s="9">
        <v>104.47</v>
      </c>
      <c r="T81" s="9">
        <v>117.18</v>
      </c>
      <c r="U81" s="9">
        <f>131.19+0.01</f>
        <v>131.19999999999999</v>
      </c>
      <c r="V81" s="9">
        <v>124.26</v>
      </c>
      <c r="W81" s="9">
        <v>118.02</v>
      </c>
      <c r="X81" s="9">
        <f>120.87+0.54</f>
        <v>121.41000000000001</v>
      </c>
      <c r="Y81" s="9">
        <v>123.1</v>
      </c>
      <c r="Z81" s="9">
        <v>123.52</v>
      </c>
      <c r="AA81" s="9">
        <f>124.74+1.08</f>
        <v>125.82</v>
      </c>
      <c r="AB81" s="9">
        <f>121.84+0.23</f>
        <v>122.07000000000001</v>
      </c>
      <c r="AC81" s="9">
        <v>131.1</v>
      </c>
      <c r="AD81" s="9">
        <v>128.1</v>
      </c>
      <c r="AE81" s="9">
        <v>122.31</v>
      </c>
      <c r="AF81" s="9">
        <v>110.66</v>
      </c>
      <c r="AG81" s="9">
        <v>118.75</v>
      </c>
      <c r="AH81" s="9">
        <v>118.98</v>
      </c>
      <c r="AI81" s="9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</row>
    <row r="82" spans="1:109" s="1" customFormat="1" ht="15.75" thickBot="1" x14ac:dyDescent="0.3">
      <c r="A82" s="7"/>
      <c r="B82" s="8" t="s">
        <v>12</v>
      </c>
      <c r="C82" s="4" t="s">
        <v>6</v>
      </c>
      <c r="D82" s="29">
        <f>SUM(E82:AI82)</f>
        <v>2070.9299999999998</v>
      </c>
      <c r="E82" s="9">
        <v>65.55</v>
      </c>
      <c r="F82" s="9">
        <v>68.959999999999994</v>
      </c>
      <c r="G82" s="9">
        <v>67.59</v>
      </c>
      <c r="H82" s="9">
        <v>67.88</v>
      </c>
      <c r="I82" s="9">
        <v>68.739999999999995</v>
      </c>
      <c r="J82" s="9">
        <v>71.14</v>
      </c>
      <c r="K82" s="9">
        <v>65.31</v>
      </c>
      <c r="L82" s="9">
        <v>66.430000000000007</v>
      </c>
      <c r="M82" s="9">
        <v>67.91</v>
      </c>
      <c r="N82" s="9">
        <v>67.13</v>
      </c>
      <c r="O82" s="9">
        <v>71.33</v>
      </c>
      <c r="P82" s="9">
        <v>68.39</v>
      </c>
      <c r="Q82" s="9">
        <v>68.400000000000006</v>
      </c>
      <c r="R82" s="9">
        <v>66.75</v>
      </c>
      <c r="S82" s="9">
        <v>59.65</v>
      </c>
      <c r="T82" s="9">
        <v>69.41</v>
      </c>
      <c r="U82" s="9">
        <v>71.02</v>
      </c>
      <c r="V82" s="9">
        <v>72.94</v>
      </c>
      <c r="W82" s="9">
        <v>70.3</v>
      </c>
      <c r="X82" s="9">
        <v>73.39</v>
      </c>
      <c r="Y82" s="9">
        <v>70.459999999999994</v>
      </c>
      <c r="Z82" s="9">
        <v>67.260000000000005</v>
      </c>
      <c r="AA82" s="9">
        <v>71.69</v>
      </c>
      <c r="AB82" s="9">
        <v>70.25</v>
      </c>
      <c r="AC82" s="9">
        <v>71.7</v>
      </c>
      <c r="AD82" s="9">
        <f>70.66-1.58</f>
        <v>69.08</v>
      </c>
      <c r="AE82" s="9">
        <v>73.94</v>
      </c>
      <c r="AF82" s="9">
        <v>69.38</v>
      </c>
      <c r="AG82" s="9">
        <v>68.319999999999993</v>
      </c>
      <c r="AH82" s="9">
        <v>70.63</v>
      </c>
      <c r="AI82" s="9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</row>
    <row r="84" spans="1:109" ht="21" x14ac:dyDescent="0.35">
      <c r="A84" s="27" t="s">
        <v>21</v>
      </c>
    </row>
    <row r="85" spans="1:109" s="1" customFormat="1" ht="20.25" x14ac:dyDescent="0.25">
      <c r="A85" s="2" t="s">
        <v>4</v>
      </c>
      <c r="B85" s="3" t="s">
        <v>5</v>
      </c>
      <c r="C85" s="4" t="s">
        <v>6</v>
      </c>
      <c r="D85" s="5">
        <f t="shared" ref="D85:D90" si="18">SUM(E85:AI85)</f>
        <v>26232.129999999997</v>
      </c>
      <c r="E85" s="6">
        <f>SUM(E86:E91)</f>
        <v>998.95</v>
      </c>
      <c r="F85" s="6">
        <f t="shared" ref="F85:AI85" si="19">SUM(F86:F91)</f>
        <v>1000.59</v>
      </c>
      <c r="G85" s="6">
        <f t="shared" si="19"/>
        <v>954.14999999999986</v>
      </c>
      <c r="H85" s="6">
        <f t="shared" si="19"/>
        <v>925.41</v>
      </c>
      <c r="I85" s="6">
        <f t="shared" si="19"/>
        <v>834.7600000000001</v>
      </c>
      <c r="J85" s="6">
        <f t="shared" si="19"/>
        <v>734.06000000000006</v>
      </c>
      <c r="K85" s="6">
        <f t="shared" si="19"/>
        <v>814.16000000000008</v>
      </c>
      <c r="L85" s="6">
        <f t="shared" si="19"/>
        <v>681.21</v>
      </c>
      <c r="M85" s="6">
        <f t="shared" si="19"/>
        <v>671.2299999999999</v>
      </c>
      <c r="N85" s="6">
        <f t="shared" si="19"/>
        <v>605.65</v>
      </c>
      <c r="O85" s="6">
        <f t="shared" si="19"/>
        <v>682.49</v>
      </c>
      <c r="P85" s="6">
        <f t="shared" si="19"/>
        <v>637.22</v>
      </c>
      <c r="Q85" s="6">
        <f t="shared" si="19"/>
        <v>768.98</v>
      </c>
      <c r="R85" s="6">
        <f t="shared" si="19"/>
        <v>799.69</v>
      </c>
      <c r="S85" s="6">
        <f t="shared" si="19"/>
        <v>833.12</v>
      </c>
      <c r="T85" s="6">
        <f t="shared" si="19"/>
        <v>829.15</v>
      </c>
      <c r="U85" s="6">
        <f t="shared" si="19"/>
        <v>830.67</v>
      </c>
      <c r="V85" s="6">
        <f t="shared" si="19"/>
        <v>719.68</v>
      </c>
      <c r="W85" s="6">
        <f t="shared" si="19"/>
        <v>503.81000000000006</v>
      </c>
      <c r="X85" s="6">
        <f t="shared" si="19"/>
        <v>850.71</v>
      </c>
      <c r="Y85" s="6">
        <f t="shared" si="19"/>
        <v>928.63</v>
      </c>
      <c r="Z85" s="6">
        <f t="shared" si="19"/>
        <v>922.5100000000001</v>
      </c>
      <c r="AA85" s="6">
        <f t="shared" si="19"/>
        <v>983.87</v>
      </c>
      <c r="AB85" s="6">
        <f t="shared" si="19"/>
        <v>952.45</v>
      </c>
      <c r="AC85" s="6">
        <f t="shared" si="19"/>
        <v>982.38</v>
      </c>
      <c r="AD85" s="6">
        <f t="shared" si="19"/>
        <v>939.47</v>
      </c>
      <c r="AE85" s="6">
        <f t="shared" si="19"/>
        <v>791.62</v>
      </c>
      <c r="AF85" s="6">
        <f t="shared" si="19"/>
        <v>938.66000000000008</v>
      </c>
      <c r="AG85" s="6">
        <f t="shared" si="19"/>
        <v>1005.12</v>
      </c>
      <c r="AH85" s="6">
        <f t="shared" si="19"/>
        <v>1032.3599999999999</v>
      </c>
      <c r="AI85" s="6">
        <f t="shared" si="19"/>
        <v>1079.3699999999999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</row>
    <row r="86" spans="1:109" s="1" customFormat="1" x14ac:dyDescent="0.25">
      <c r="A86" s="7"/>
      <c r="B86" s="8" t="s">
        <v>7</v>
      </c>
      <c r="C86" s="4" t="s">
        <v>6</v>
      </c>
      <c r="D86" s="5">
        <f t="shared" si="18"/>
        <v>2482.42</v>
      </c>
      <c r="E86" s="9">
        <v>77.12</v>
      </c>
      <c r="F86" s="9">
        <v>70.75</v>
      </c>
      <c r="G86" s="9">
        <v>72.83</v>
      </c>
      <c r="H86" s="9">
        <v>77.319999999999993</v>
      </c>
      <c r="I86" s="9">
        <v>63.97</v>
      </c>
      <c r="J86" s="9">
        <v>61.45</v>
      </c>
      <c r="K86" s="9">
        <v>61.34</v>
      </c>
      <c r="L86" s="9">
        <v>51.9</v>
      </c>
      <c r="M86" s="9">
        <v>53.07</v>
      </c>
      <c r="N86" s="9">
        <v>55.4</v>
      </c>
      <c r="O86" s="9">
        <v>58.63</v>
      </c>
      <c r="P86" s="9">
        <v>53.7</v>
      </c>
      <c r="Q86" s="9">
        <v>85.14</v>
      </c>
      <c r="R86" s="9">
        <v>70.06</v>
      </c>
      <c r="S86" s="9">
        <v>59.98</v>
      </c>
      <c r="T86" s="9">
        <v>74.42</v>
      </c>
      <c r="U86" s="9">
        <v>93.43</v>
      </c>
      <c r="V86" s="9">
        <v>75.55</v>
      </c>
      <c r="W86" s="9">
        <v>44.7</v>
      </c>
      <c r="X86" s="9">
        <v>82.37</v>
      </c>
      <c r="Y86" s="9">
        <v>76.599999999999994</v>
      </c>
      <c r="Z86" s="9">
        <v>99.53</v>
      </c>
      <c r="AA86" s="9">
        <v>101.95</v>
      </c>
      <c r="AB86" s="9">
        <v>107.93</v>
      </c>
      <c r="AC86" s="9">
        <v>95.04</v>
      </c>
      <c r="AD86" s="9">
        <v>111.93</v>
      </c>
      <c r="AE86" s="9">
        <v>124.06</v>
      </c>
      <c r="AF86" s="9">
        <v>109.88</v>
      </c>
      <c r="AG86" s="9">
        <v>95.49</v>
      </c>
      <c r="AH86" s="9">
        <v>103.61</v>
      </c>
      <c r="AI86" s="9">
        <v>113.27</v>
      </c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</row>
    <row r="87" spans="1:109" s="1" customFormat="1" x14ac:dyDescent="0.25">
      <c r="A87" s="7"/>
      <c r="B87" s="8" t="s">
        <v>8</v>
      </c>
      <c r="C87" s="4" t="s">
        <v>6</v>
      </c>
      <c r="D87" s="5">
        <f t="shared" si="18"/>
        <v>9671.14</v>
      </c>
      <c r="E87" s="9">
        <v>403.83</v>
      </c>
      <c r="F87" s="9">
        <v>415.09</v>
      </c>
      <c r="G87" s="9">
        <v>352.86</v>
      </c>
      <c r="H87" s="9">
        <v>382.7</v>
      </c>
      <c r="I87" s="9">
        <v>292.10000000000002</v>
      </c>
      <c r="J87" s="9">
        <v>269.26</v>
      </c>
      <c r="K87" s="9">
        <v>310.93</v>
      </c>
      <c r="L87" s="9">
        <f>236.69-0.03</f>
        <v>236.66</v>
      </c>
      <c r="M87" s="9">
        <v>180.97</v>
      </c>
      <c r="N87" s="9">
        <f>155.64+0.68</f>
        <v>156.32</v>
      </c>
      <c r="O87" s="9">
        <v>196.07</v>
      </c>
      <c r="P87" s="9">
        <v>213.23</v>
      </c>
      <c r="Q87" s="9">
        <v>301.39</v>
      </c>
      <c r="R87" s="9">
        <v>289.45999999999998</v>
      </c>
      <c r="S87" s="9">
        <v>317.66000000000003</v>
      </c>
      <c r="T87" s="9">
        <v>326.08999999999997</v>
      </c>
      <c r="U87" s="9">
        <v>291.86</v>
      </c>
      <c r="V87" s="9">
        <v>208.79</v>
      </c>
      <c r="W87" s="9">
        <v>135.99</v>
      </c>
      <c r="X87" s="9">
        <v>356.15</v>
      </c>
      <c r="Y87" s="9">
        <v>363.4</v>
      </c>
      <c r="Z87" s="9">
        <v>368.41</v>
      </c>
      <c r="AA87" s="9">
        <v>389.41</v>
      </c>
      <c r="AB87" s="9">
        <f>383.3-1.97</f>
        <v>381.33</v>
      </c>
      <c r="AC87" s="9">
        <f>404.4+0.34</f>
        <v>404.73999999999995</v>
      </c>
      <c r="AD87" s="9">
        <v>338.6</v>
      </c>
      <c r="AE87" s="9">
        <v>228.08</v>
      </c>
      <c r="AF87" s="9">
        <v>314.07</v>
      </c>
      <c r="AG87" s="9">
        <f>395.21-0.1</f>
        <v>395.10999999999996</v>
      </c>
      <c r="AH87" s="9">
        <f>423.64+0.27</f>
        <v>423.90999999999997</v>
      </c>
      <c r="AI87" s="9">
        <v>426.67</v>
      </c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</row>
    <row r="88" spans="1:109" s="1" customFormat="1" x14ac:dyDescent="0.25">
      <c r="A88" s="7"/>
      <c r="B88" s="8" t="s">
        <v>9</v>
      </c>
      <c r="C88" s="4" t="s">
        <v>6</v>
      </c>
      <c r="D88" s="5">
        <f>SUM(E88:AI88)</f>
        <v>6237.0300000000016</v>
      </c>
      <c r="E88" s="9">
        <v>242.17</v>
      </c>
      <c r="F88" s="9">
        <v>234.2</v>
      </c>
      <c r="G88" s="9">
        <f>233.95-3.55</f>
        <v>230.39999999999998</v>
      </c>
      <c r="H88" s="9">
        <v>218.54</v>
      </c>
      <c r="I88" s="9">
        <v>201.05</v>
      </c>
      <c r="J88" s="9">
        <v>152.55000000000001</v>
      </c>
      <c r="K88" s="9">
        <v>198.41</v>
      </c>
      <c r="L88" s="9">
        <v>179.1</v>
      </c>
      <c r="M88" s="9">
        <v>196.7</v>
      </c>
      <c r="N88" s="9">
        <v>186.45</v>
      </c>
      <c r="O88" s="9">
        <v>186.54</v>
      </c>
      <c r="P88" s="9">
        <v>170.77</v>
      </c>
      <c r="Q88" s="9">
        <v>145.38999999999999</v>
      </c>
      <c r="R88" s="9">
        <v>195.19</v>
      </c>
      <c r="S88" s="9">
        <v>206.87</v>
      </c>
      <c r="T88" s="9">
        <f>196.43-1.81</f>
        <v>194.62</v>
      </c>
      <c r="U88" s="9">
        <v>192.36</v>
      </c>
      <c r="V88" s="9">
        <v>187.68</v>
      </c>
      <c r="W88" s="9">
        <v>74.38</v>
      </c>
      <c r="X88" s="9">
        <v>173.65</v>
      </c>
      <c r="Y88" s="9">
        <v>220.63</v>
      </c>
      <c r="Z88" s="9">
        <v>205.78</v>
      </c>
      <c r="AA88" s="9">
        <v>211.64</v>
      </c>
      <c r="AB88" s="9">
        <v>197.6</v>
      </c>
      <c r="AC88" s="9">
        <v>221.87</v>
      </c>
      <c r="AD88" s="9">
        <v>223.89</v>
      </c>
      <c r="AE88" s="9">
        <v>184.33</v>
      </c>
      <c r="AF88" s="9">
        <v>222.57</v>
      </c>
      <c r="AG88" s="9">
        <v>252.84</v>
      </c>
      <c r="AH88" s="9">
        <v>253.05</v>
      </c>
      <c r="AI88" s="9">
        <v>275.81</v>
      </c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</row>
    <row r="89" spans="1:109" s="1" customFormat="1" ht="16.5" customHeight="1" x14ac:dyDescent="0.25">
      <c r="A89" s="7"/>
      <c r="B89" s="8" t="s">
        <v>10</v>
      </c>
      <c r="C89" s="4" t="s">
        <v>6</v>
      </c>
      <c r="D89" s="5">
        <f t="shared" si="18"/>
        <v>2919.31</v>
      </c>
      <c r="E89" s="9">
        <v>96.35</v>
      </c>
      <c r="F89" s="9">
        <v>95.26</v>
      </c>
      <c r="G89" s="9">
        <v>102.12</v>
      </c>
      <c r="H89" s="9">
        <v>82.77</v>
      </c>
      <c r="I89" s="9">
        <v>118.28</v>
      </c>
      <c r="J89" s="9">
        <v>87.58</v>
      </c>
      <c r="K89" s="9">
        <v>82.06</v>
      </c>
      <c r="L89" s="9">
        <v>81.7</v>
      </c>
      <c r="M89" s="9">
        <v>87.75</v>
      </c>
      <c r="N89" s="9">
        <v>73.819999999999993</v>
      </c>
      <c r="O89" s="9">
        <v>83.57</v>
      </c>
      <c r="P89" s="9">
        <v>74.599999999999994</v>
      </c>
      <c r="Q89" s="9">
        <v>90.22</v>
      </c>
      <c r="R89" s="9">
        <v>100.39</v>
      </c>
      <c r="S89" s="9">
        <v>94.65</v>
      </c>
      <c r="T89" s="9">
        <v>92.67</v>
      </c>
      <c r="U89" s="9">
        <v>110.82</v>
      </c>
      <c r="V89" s="9">
        <v>93.67</v>
      </c>
      <c r="W89" s="9">
        <v>114.73</v>
      </c>
      <c r="X89" s="9">
        <v>102.85</v>
      </c>
      <c r="Y89" s="9">
        <v>97.58</v>
      </c>
      <c r="Z89" s="9">
        <f>85.16+0.54</f>
        <v>85.7</v>
      </c>
      <c r="AA89" s="9">
        <f>92.64-0.01</f>
        <v>92.63</v>
      </c>
      <c r="AB89" s="9">
        <f>83.14-0.01</f>
        <v>83.13</v>
      </c>
      <c r="AC89" s="9">
        <f>83.3-2.09</f>
        <v>81.209999999999994</v>
      </c>
      <c r="AD89" s="9">
        <v>99.1</v>
      </c>
      <c r="AE89" s="9">
        <v>100.68</v>
      </c>
      <c r="AF89" s="9">
        <v>106.44</v>
      </c>
      <c r="AG89" s="9">
        <v>106.07</v>
      </c>
      <c r="AH89" s="9">
        <f>100.63-0.64</f>
        <v>99.99</v>
      </c>
      <c r="AI89" s="9">
        <v>100.92</v>
      </c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</row>
    <row r="90" spans="1:109" s="1" customFormat="1" x14ac:dyDescent="0.25">
      <c r="A90" s="7"/>
      <c r="B90" s="8" t="s">
        <v>11</v>
      </c>
      <c r="C90" s="4" t="s">
        <v>6</v>
      </c>
      <c r="D90" s="5">
        <f t="shared" si="18"/>
        <v>2974.95</v>
      </c>
      <c r="E90" s="9">
        <v>114</v>
      </c>
      <c r="F90" s="9">
        <f>121.67-0.73</f>
        <v>120.94</v>
      </c>
      <c r="G90" s="9">
        <v>131.78</v>
      </c>
      <c r="H90" s="9">
        <v>99.48</v>
      </c>
      <c r="I90" s="9">
        <v>97.66</v>
      </c>
      <c r="J90" s="9">
        <v>101.82</v>
      </c>
      <c r="K90" s="9">
        <v>96.85</v>
      </c>
      <c r="L90" s="9">
        <v>68.36</v>
      </c>
      <c r="M90" s="9">
        <v>90.06</v>
      </c>
      <c r="N90" s="9">
        <v>76.17</v>
      </c>
      <c r="O90" s="9">
        <v>95.46</v>
      </c>
      <c r="P90" s="9">
        <v>63.61</v>
      </c>
      <c r="Q90" s="9">
        <v>87.52</v>
      </c>
      <c r="R90" s="9">
        <v>83.78</v>
      </c>
      <c r="S90" s="9">
        <v>91.09</v>
      </c>
      <c r="T90" s="9">
        <v>79.400000000000006</v>
      </c>
      <c r="U90" s="9">
        <v>78.900000000000006</v>
      </c>
      <c r="V90" s="9">
        <v>91.22</v>
      </c>
      <c r="W90" s="9">
        <v>73.23</v>
      </c>
      <c r="X90" s="9">
        <v>73.849999999999994</v>
      </c>
      <c r="Y90" s="9">
        <v>106.81</v>
      </c>
      <c r="Z90" s="9">
        <v>106.36</v>
      </c>
      <c r="AA90" s="9">
        <v>122.95</v>
      </c>
      <c r="AB90" s="9">
        <v>116.63</v>
      </c>
      <c r="AC90" s="9">
        <v>115.22</v>
      </c>
      <c r="AD90" s="9">
        <v>103.89</v>
      </c>
      <c r="AE90" s="9">
        <v>92.06</v>
      </c>
      <c r="AF90" s="9">
        <v>120.44</v>
      </c>
      <c r="AG90" s="9">
        <v>94.71</v>
      </c>
      <c r="AH90" s="9">
        <v>86.8</v>
      </c>
      <c r="AI90" s="9">
        <f>94.05-0.15</f>
        <v>93.899999999999991</v>
      </c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</row>
    <row r="91" spans="1:109" s="1" customFormat="1" ht="15.75" thickBot="1" x14ac:dyDescent="0.3">
      <c r="A91" s="7"/>
      <c r="B91" s="8" t="s">
        <v>12</v>
      </c>
      <c r="C91" s="4" t="s">
        <v>6</v>
      </c>
      <c r="D91" s="29">
        <f>SUM(E91:AI91)</f>
        <v>1947.28</v>
      </c>
      <c r="E91" s="9">
        <v>65.48</v>
      </c>
      <c r="F91" s="9">
        <f>64.94-0.59</f>
        <v>64.349999999999994</v>
      </c>
      <c r="G91" s="9">
        <v>64.16</v>
      </c>
      <c r="H91" s="9">
        <v>64.599999999999994</v>
      </c>
      <c r="I91" s="9">
        <v>61.7</v>
      </c>
      <c r="J91" s="9">
        <v>61.4</v>
      </c>
      <c r="K91" s="9">
        <v>64.569999999999993</v>
      </c>
      <c r="L91" s="9">
        <v>63.49</v>
      </c>
      <c r="M91" s="9">
        <f>65.66-2.98</f>
        <v>62.68</v>
      </c>
      <c r="N91" s="9">
        <f>58.67-1.18</f>
        <v>57.49</v>
      </c>
      <c r="O91" s="9">
        <v>62.22</v>
      </c>
      <c r="P91" s="9">
        <v>61.31</v>
      </c>
      <c r="Q91" s="9">
        <v>59.32</v>
      </c>
      <c r="R91" s="9">
        <v>60.81</v>
      </c>
      <c r="S91" s="9">
        <v>62.87</v>
      </c>
      <c r="T91" s="9">
        <f>61.88+0.07</f>
        <v>61.95</v>
      </c>
      <c r="U91" s="9">
        <v>63.3</v>
      </c>
      <c r="V91" s="9">
        <v>62.77</v>
      </c>
      <c r="W91" s="9">
        <v>60.78</v>
      </c>
      <c r="X91" s="9">
        <v>61.84</v>
      </c>
      <c r="Y91" s="9">
        <v>63.61</v>
      </c>
      <c r="Z91" s="9">
        <f>56.8-0.07</f>
        <v>56.73</v>
      </c>
      <c r="AA91" s="9">
        <v>65.290000000000006</v>
      </c>
      <c r="AB91" s="9">
        <v>65.83</v>
      </c>
      <c r="AC91" s="9">
        <v>64.3</v>
      </c>
      <c r="AD91" s="9">
        <v>62.06</v>
      </c>
      <c r="AE91" s="9">
        <v>62.41</v>
      </c>
      <c r="AF91" s="9">
        <v>65.260000000000005</v>
      </c>
      <c r="AG91" s="9">
        <v>60.9</v>
      </c>
      <c r="AH91" s="9">
        <v>65</v>
      </c>
      <c r="AI91" s="9">
        <v>68.8</v>
      </c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</row>
    <row r="93" spans="1:109" ht="21" x14ac:dyDescent="0.35">
      <c r="A93" s="27" t="s">
        <v>22</v>
      </c>
    </row>
    <row r="94" spans="1:109" s="1" customFormat="1" ht="20.25" x14ac:dyDescent="0.25">
      <c r="A94" s="2" t="s">
        <v>4</v>
      </c>
      <c r="B94" s="3" t="s">
        <v>5</v>
      </c>
      <c r="C94" s="4" t="s">
        <v>6</v>
      </c>
      <c r="D94" s="5">
        <f t="shared" ref="D94:D99" si="20">SUM(E94:AI94)</f>
        <v>26233.09</v>
      </c>
      <c r="E94" s="6">
        <f>SUM(E95:E100)</f>
        <v>971.54</v>
      </c>
      <c r="F94" s="6">
        <f t="shared" ref="F94:AI94" si="21">SUM(F95:F100)</f>
        <v>1051.9000000000001</v>
      </c>
      <c r="G94" s="6">
        <f t="shared" si="21"/>
        <v>1015.9</v>
      </c>
      <c r="H94" s="6">
        <f t="shared" si="21"/>
        <v>952.24</v>
      </c>
      <c r="I94" s="6">
        <f t="shared" si="21"/>
        <v>991.32999999999993</v>
      </c>
      <c r="J94" s="6">
        <f t="shared" si="21"/>
        <v>932.82</v>
      </c>
      <c r="K94" s="6">
        <f t="shared" si="21"/>
        <v>871.86999999999989</v>
      </c>
      <c r="L94" s="6">
        <f t="shared" si="21"/>
        <v>775.56</v>
      </c>
      <c r="M94" s="6">
        <f t="shared" si="21"/>
        <v>591.13</v>
      </c>
      <c r="N94" s="6">
        <f t="shared" si="21"/>
        <v>627.12</v>
      </c>
      <c r="O94" s="6">
        <f t="shared" si="21"/>
        <v>834.22</v>
      </c>
      <c r="P94" s="6">
        <f t="shared" si="21"/>
        <v>724.42</v>
      </c>
      <c r="Q94" s="6">
        <f t="shared" si="21"/>
        <v>740.69999999999993</v>
      </c>
      <c r="R94" s="6">
        <f t="shared" si="21"/>
        <v>725.57</v>
      </c>
      <c r="S94" s="6">
        <f t="shared" si="21"/>
        <v>701.7</v>
      </c>
      <c r="T94" s="6">
        <f t="shared" si="21"/>
        <v>691.3599999999999</v>
      </c>
      <c r="U94" s="6">
        <f t="shared" si="21"/>
        <v>713.45999999999992</v>
      </c>
      <c r="V94" s="6">
        <f t="shared" si="21"/>
        <v>887.56</v>
      </c>
      <c r="W94" s="6">
        <f t="shared" si="21"/>
        <v>943.99</v>
      </c>
      <c r="X94" s="6">
        <f t="shared" si="21"/>
        <v>928.09</v>
      </c>
      <c r="Y94" s="6">
        <f t="shared" si="21"/>
        <v>857.64</v>
      </c>
      <c r="Z94" s="6">
        <f t="shared" si="21"/>
        <v>1000.9999999999999</v>
      </c>
      <c r="AA94" s="6">
        <f t="shared" si="21"/>
        <v>956.62999999999988</v>
      </c>
      <c r="AB94" s="6">
        <f t="shared" si="21"/>
        <v>843.93000000000006</v>
      </c>
      <c r="AC94" s="6">
        <f t="shared" si="21"/>
        <v>932.1</v>
      </c>
      <c r="AD94" s="6">
        <f t="shared" si="21"/>
        <v>890.3</v>
      </c>
      <c r="AE94" s="6">
        <f t="shared" si="21"/>
        <v>994.41</v>
      </c>
      <c r="AF94" s="6">
        <f t="shared" si="21"/>
        <v>1018.7399999999999</v>
      </c>
      <c r="AG94" s="6">
        <f t="shared" si="21"/>
        <v>1013.86</v>
      </c>
      <c r="AH94" s="6">
        <f t="shared" si="21"/>
        <v>1052</v>
      </c>
      <c r="AI94" s="6">
        <f t="shared" si="21"/>
        <v>0</v>
      </c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</row>
    <row r="95" spans="1:109" s="1" customFormat="1" x14ac:dyDescent="0.25">
      <c r="A95" s="7"/>
      <c r="B95" s="8" t="s">
        <v>7</v>
      </c>
      <c r="C95" s="4" t="s">
        <v>6</v>
      </c>
      <c r="D95" s="5">
        <f t="shared" si="20"/>
        <v>2752.9000000000005</v>
      </c>
      <c r="E95" s="9">
        <v>83.49</v>
      </c>
      <c r="F95" s="9">
        <v>106.67</v>
      </c>
      <c r="G95" s="9">
        <v>113.01</v>
      </c>
      <c r="H95" s="9">
        <v>96.1</v>
      </c>
      <c r="I95" s="9">
        <v>112.2</v>
      </c>
      <c r="J95" s="9">
        <f>94.22-0.03</f>
        <v>94.19</v>
      </c>
      <c r="K95" s="9">
        <v>85.87</v>
      </c>
      <c r="L95" s="9">
        <v>74.39</v>
      </c>
      <c r="M95" s="9">
        <v>67.8</v>
      </c>
      <c r="N95" s="9">
        <v>63.35</v>
      </c>
      <c r="O95" s="9">
        <v>61.06</v>
      </c>
      <c r="P95" s="9">
        <v>72.709999999999994</v>
      </c>
      <c r="Q95" s="9">
        <f>78.18-0.04</f>
        <v>78.14</v>
      </c>
      <c r="R95" s="9">
        <v>98.24</v>
      </c>
      <c r="S95" s="9">
        <v>96.2</v>
      </c>
      <c r="T95" s="9">
        <v>113.27</v>
      </c>
      <c r="U95" s="9">
        <v>97.89</v>
      </c>
      <c r="V95" s="9">
        <v>99.44</v>
      </c>
      <c r="W95" s="9">
        <v>100.86</v>
      </c>
      <c r="X95" s="9">
        <v>100.9</v>
      </c>
      <c r="Y95" s="9">
        <v>76.16</v>
      </c>
      <c r="Z95" s="9">
        <v>85.6</v>
      </c>
      <c r="AA95" s="9">
        <v>98.16</v>
      </c>
      <c r="AB95" s="9">
        <v>88.54</v>
      </c>
      <c r="AC95" s="9">
        <v>95.78</v>
      </c>
      <c r="AD95" s="9">
        <v>87.63</v>
      </c>
      <c r="AE95" s="9">
        <v>103.23</v>
      </c>
      <c r="AF95" s="9">
        <v>97.08</v>
      </c>
      <c r="AG95" s="9">
        <v>100.89</v>
      </c>
      <c r="AH95" s="9">
        <v>104.05</v>
      </c>
      <c r="AI95" s="9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</row>
    <row r="96" spans="1:109" s="1" customFormat="1" x14ac:dyDescent="0.25">
      <c r="A96" s="7"/>
      <c r="B96" s="8" t="s">
        <v>8</v>
      </c>
      <c r="C96" s="4" t="s">
        <v>6</v>
      </c>
      <c r="D96" s="5">
        <f t="shared" si="20"/>
        <v>9856.4</v>
      </c>
      <c r="E96" s="9">
        <v>373.76</v>
      </c>
      <c r="F96" s="9">
        <v>403.19</v>
      </c>
      <c r="G96" s="9">
        <v>384.33</v>
      </c>
      <c r="H96" s="9">
        <v>347.18</v>
      </c>
      <c r="I96" s="9">
        <v>381.34</v>
      </c>
      <c r="J96" s="9">
        <v>349.42</v>
      </c>
      <c r="K96" s="9">
        <v>316.26</v>
      </c>
      <c r="L96" s="9">
        <v>274.01</v>
      </c>
      <c r="M96" s="9">
        <v>156.69999999999999</v>
      </c>
      <c r="N96" s="9">
        <v>229.65</v>
      </c>
      <c r="O96" s="9">
        <v>313.95</v>
      </c>
      <c r="P96" s="9">
        <v>240.61</v>
      </c>
      <c r="Q96" s="9">
        <v>257.45</v>
      </c>
      <c r="R96" s="9">
        <v>248.91</v>
      </c>
      <c r="S96" s="9">
        <v>238.15</v>
      </c>
      <c r="T96" s="9">
        <v>223.68</v>
      </c>
      <c r="U96" s="9">
        <v>294.02</v>
      </c>
      <c r="V96" s="9">
        <v>359.53</v>
      </c>
      <c r="W96" s="9">
        <v>375.04</v>
      </c>
      <c r="X96" s="9">
        <v>370.05</v>
      </c>
      <c r="Y96" s="9">
        <v>339.02</v>
      </c>
      <c r="Z96" s="9">
        <v>418.16</v>
      </c>
      <c r="AA96" s="9">
        <v>341.71</v>
      </c>
      <c r="AB96" s="9">
        <v>238.17</v>
      </c>
      <c r="AC96" s="9">
        <v>361.03</v>
      </c>
      <c r="AD96" s="9">
        <v>355.8</v>
      </c>
      <c r="AE96" s="9">
        <v>416.31</v>
      </c>
      <c r="AF96" s="9">
        <v>413.52</v>
      </c>
      <c r="AG96" s="9">
        <v>395.76</v>
      </c>
      <c r="AH96" s="9">
        <v>439.69</v>
      </c>
      <c r="AI96" s="9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</row>
    <row r="97" spans="1:109" s="1" customFormat="1" x14ac:dyDescent="0.25">
      <c r="A97" s="7"/>
      <c r="B97" s="8" t="s">
        <v>9</v>
      </c>
      <c r="C97" s="4" t="s">
        <v>6</v>
      </c>
      <c r="D97" s="5">
        <f>SUM(E97:AI97)</f>
        <v>6641.3600000000015</v>
      </c>
      <c r="E97" s="9">
        <v>246.15</v>
      </c>
      <c r="F97" s="9">
        <v>255.57</v>
      </c>
      <c r="G97" s="9">
        <v>247.65</v>
      </c>
      <c r="H97" s="9">
        <v>231.69</v>
      </c>
      <c r="I97" s="9">
        <v>250.8</v>
      </c>
      <c r="J97" s="9">
        <v>249.41</v>
      </c>
      <c r="K97" s="9">
        <v>246.4</v>
      </c>
      <c r="L97" s="9">
        <f>210.61-0.07</f>
        <v>210.54000000000002</v>
      </c>
      <c r="M97" s="9">
        <v>176.19</v>
      </c>
      <c r="N97" s="9">
        <v>131.21</v>
      </c>
      <c r="O97" s="9">
        <v>236.36</v>
      </c>
      <c r="P97" s="9">
        <v>216.52</v>
      </c>
      <c r="Q97" s="9">
        <v>205.76</v>
      </c>
      <c r="R97" s="9">
        <v>196.58</v>
      </c>
      <c r="S97" s="9">
        <v>163.78</v>
      </c>
      <c r="T97" s="9">
        <v>164.25</v>
      </c>
      <c r="U97" s="9">
        <v>188.4</v>
      </c>
      <c r="V97" s="9">
        <v>202.4</v>
      </c>
      <c r="W97" s="9">
        <f>234.3+3.39</f>
        <v>237.69</v>
      </c>
      <c r="X97" s="9">
        <v>218.87</v>
      </c>
      <c r="Y97" s="9">
        <f>226.1-1.96</f>
        <v>224.14</v>
      </c>
      <c r="Z97" s="9">
        <v>238.53</v>
      </c>
      <c r="AA97" s="9">
        <v>259.01</v>
      </c>
      <c r="AB97" s="9">
        <v>265.67</v>
      </c>
      <c r="AC97" s="9">
        <f>224.26-2.8</f>
        <v>221.45999999999998</v>
      </c>
      <c r="AD97" s="9">
        <v>207.12</v>
      </c>
      <c r="AE97" s="9">
        <v>233.13</v>
      </c>
      <c r="AF97" s="9">
        <v>248.18</v>
      </c>
      <c r="AG97" s="9">
        <v>229.97</v>
      </c>
      <c r="AH97" s="9">
        <v>237.93</v>
      </c>
      <c r="AI97" s="9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</row>
    <row r="98" spans="1:109" s="1" customFormat="1" ht="16.5" customHeight="1" x14ac:dyDescent="0.25">
      <c r="A98" s="7"/>
      <c r="B98" s="8" t="s">
        <v>10</v>
      </c>
      <c r="C98" s="4" t="s">
        <v>6</v>
      </c>
      <c r="D98" s="5">
        <f t="shared" si="20"/>
        <v>2539.9399999999996</v>
      </c>
      <c r="E98" s="9">
        <v>90.26</v>
      </c>
      <c r="F98" s="9">
        <v>106.19</v>
      </c>
      <c r="G98" s="9">
        <v>94.14</v>
      </c>
      <c r="H98" s="9">
        <v>94.64</v>
      </c>
      <c r="I98" s="9">
        <v>98.03</v>
      </c>
      <c r="J98" s="9">
        <v>100</v>
      </c>
      <c r="K98" s="9">
        <v>101.8</v>
      </c>
      <c r="L98" s="9">
        <v>91.4</v>
      </c>
      <c r="M98" s="9">
        <v>75.44</v>
      </c>
      <c r="N98" s="9">
        <v>72.400000000000006</v>
      </c>
      <c r="O98" s="9">
        <v>82.07</v>
      </c>
      <c r="P98" s="9">
        <v>74.55</v>
      </c>
      <c r="Q98" s="9">
        <v>70.56</v>
      </c>
      <c r="R98" s="9">
        <v>54.97</v>
      </c>
      <c r="S98" s="9">
        <v>78.59</v>
      </c>
      <c r="T98" s="9">
        <v>66.59</v>
      </c>
      <c r="U98" s="9">
        <v>64.75</v>
      </c>
      <c r="V98" s="9">
        <v>74.430000000000007</v>
      </c>
      <c r="W98" s="9">
        <v>70.540000000000006</v>
      </c>
      <c r="X98" s="9">
        <v>71.430000000000007</v>
      </c>
      <c r="Y98" s="9">
        <v>66.95</v>
      </c>
      <c r="Z98" s="9">
        <v>89</v>
      </c>
      <c r="AA98" s="9">
        <v>95.28</v>
      </c>
      <c r="AB98" s="9">
        <v>90.47</v>
      </c>
      <c r="AC98" s="9">
        <v>89.92</v>
      </c>
      <c r="AD98" s="9">
        <v>90.76</v>
      </c>
      <c r="AE98" s="9">
        <v>82.52</v>
      </c>
      <c r="AF98" s="9">
        <v>102.41</v>
      </c>
      <c r="AG98" s="9">
        <f>100.75-0.01</f>
        <v>100.74</v>
      </c>
      <c r="AH98" s="9">
        <v>99.11</v>
      </c>
      <c r="AI98" s="9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</row>
    <row r="99" spans="1:109" s="1" customFormat="1" x14ac:dyDescent="0.25">
      <c r="A99" s="7"/>
      <c r="B99" s="8" t="s">
        <v>11</v>
      </c>
      <c r="C99" s="4" t="s">
        <v>6</v>
      </c>
      <c r="D99" s="5">
        <f t="shared" si="20"/>
        <v>2739.8799999999992</v>
      </c>
      <c r="E99" s="9">
        <v>110.78</v>
      </c>
      <c r="F99" s="9">
        <f>112.77+0.54</f>
        <v>113.31</v>
      </c>
      <c r="G99" s="9">
        <v>120.88</v>
      </c>
      <c r="H99" s="9">
        <v>118.17</v>
      </c>
      <c r="I99" s="9">
        <v>81.900000000000006</v>
      </c>
      <c r="J99" s="9">
        <v>73.84</v>
      </c>
      <c r="K99" s="9">
        <v>54.74</v>
      </c>
      <c r="L99" s="9">
        <v>64.42</v>
      </c>
      <c r="M99" s="9">
        <v>65.41</v>
      </c>
      <c r="N99" s="9">
        <v>81.290000000000006</v>
      </c>
      <c r="O99" s="9">
        <v>85.81</v>
      </c>
      <c r="P99" s="9">
        <v>67.53</v>
      </c>
      <c r="Q99" s="9">
        <f>77.04+0.3</f>
        <v>77.34</v>
      </c>
      <c r="R99" s="9">
        <v>73.34</v>
      </c>
      <c r="S99" s="9">
        <f>71.73-0.4</f>
        <v>71.33</v>
      </c>
      <c r="T99" s="9">
        <v>68.400000000000006</v>
      </c>
      <c r="U99" s="9">
        <v>68.400000000000006</v>
      </c>
      <c r="V99" s="9">
        <v>94.58</v>
      </c>
      <c r="W99" s="9">
        <v>101.97</v>
      </c>
      <c r="X99" s="9">
        <v>104.26</v>
      </c>
      <c r="Y99" s="9">
        <v>92</v>
      </c>
      <c r="Z99" s="9">
        <v>109.78</v>
      </c>
      <c r="AA99" s="9">
        <v>108.03</v>
      </c>
      <c r="AB99" s="9">
        <v>106.12</v>
      </c>
      <c r="AC99" s="9">
        <v>105.06</v>
      </c>
      <c r="AD99" s="9">
        <v>92.65</v>
      </c>
      <c r="AE99" s="9">
        <v>98.22</v>
      </c>
      <c r="AF99" s="9">
        <v>95.39</v>
      </c>
      <c r="AG99" s="9">
        <f>122.19+1.06</f>
        <v>123.25</v>
      </c>
      <c r="AH99" s="9">
        <v>111.68</v>
      </c>
      <c r="AI99" s="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</row>
    <row r="100" spans="1:109" s="1" customFormat="1" ht="15.75" thickBot="1" x14ac:dyDescent="0.3">
      <c r="A100" s="7"/>
      <c r="B100" s="8" t="s">
        <v>12</v>
      </c>
      <c r="C100" s="4" t="s">
        <v>6</v>
      </c>
      <c r="D100" s="29">
        <f>SUM(E100:AI100)</f>
        <v>1702.61</v>
      </c>
      <c r="E100" s="9">
        <v>67.099999999999994</v>
      </c>
      <c r="F100" s="9">
        <v>66.97</v>
      </c>
      <c r="G100" s="9">
        <v>55.89</v>
      </c>
      <c r="H100" s="9">
        <v>64.459999999999994</v>
      </c>
      <c r="I100" s="9">
        <v>67.06</v>
      </c>
      <c r="J100" s="9">
        <v>65.959999999999994</v>
      </c>
      <c r="K100" s="9">
        <v>66.8</v>
      </c>
      <c r="L100" s="9">
        <f>62.02-1.22</f>
        <v>60.800000000000004</v>
      </c>
      <c r="M100" s="9">
        <v>49.59</v>
      </c>
      <c r="N100" s="9">
        <v>49.22</v>
      </c>
      <c r="O100" s="9">
        <v>54.97</v>
      </c>
      <c r="P100" s="9">
        <v>52.5</v>
      </c>
      <c r="Q100" s="9">
        <v>51.45</v>
      </c>
      <c r="R100" s="9">
        <v>53.53</v>
      </c>
      <c r="S100" s="9">
        <v>53.65</v>
      </c>
      <c r="T100" s="9">
        <v>55.17</v>
      </c>
      <c r="U100" s="9"/>
      <c r="V100" s="9">
        <v>57.18</v>
      </c>
      <c r="W100" s="9">
        <v>57.89</v>
      </c>
      <c r="X100" s="9">
        <v>62.58</v>
      </c>
      <c r="Y100" s="9">
        <v>59.37</v>
      </c>
      <c r="Z100" s="9">
        <v>59.93</v>
      </c>
      <c r="AA100" s="9">
        <v>54.44</v>
      </c>
      <c r="AB100" s="9">
        <v>54.96</v>
      </c>
      <c r="AC100" s="9">
        <v>58.85</v>
      </c>
      <c r="AD100" s="9">
        <v>56.34</v>
      </c>
      <c r="AE100" s="9">
        <v>61</v>
      </c>
      <c r="AF100" s="9">
        <v>62.16</v>
      </c>
      <c r="AG100" s="9">
        <v>63.25</v>
      </c>
      <c r="AH100" s="9">
        <v>59.54</v>
      </c>
      <c r="AI100" s="9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</row>
    <row r="102" spans="1:109" ht="21" x14ac:dyDescent="0.35">
      <c r="A102" s="27" t="s">
        <v>23</v>
      </c>
    </row>
    <row r="103" spans="1:109" s="1" customFormat="1" ht="20.25" x14ac:dyDescent="0.25">
      <c r="A103" s="2" t="s">
        <v>4</v>
      </c>
      <c r="B103" s="3" t="s">
        <v>5</v>
      </c>
      <c r="C103" s="4" t="s">
        <v>6</v>
      </c>
      <c r="D103" s="5">
        <f t="shared" ref="D103:D108" si="22">SUM(E103:AI103)</f>
        <v>23024.07</v>
      </c>
      <c r="E103" s="6">
        <f>SUM(E104:E109)</f>
        <v>971.0100000000001</v>
      </c>
      <c r="F103" s="6">
        <f t="shared" ref="F103:AI103" si="23">SUM(F104:F109)</f>
        <v>965.31999999999994</v>
      </c>
      <c r="G103" s="6">
        <f t="shared" si="23"/>
        <v>946.36</v>
      </c>
      <c r="H103" s="6">
        <f t="shared" si="23"/>
        <v>952.42</v>
      </c>
      <c r="I103" s="6">
        <f t="shared" si="23"/>
        <v>824.10000000000014</v>
      </c>
      <c r="J103" s="6">
        <f t="shared" si="23"/>
        <v>708.35</v>
      </c>
      <c r="K103" s="6">
        <f t="shared" si="23"/>
        <v>648</v>
      </c>
      <c r="L103" s="6">
        <f t="shared" si="23"/>
        <v>857.85</v>
      </c>
      <c r="M103" s="6">
        <f t="shared" si="23"/>
        <v>836.29000000000008</v>
      </c>
      <c r="N103" s="6">
        <f t="shared" si="23"/>
        <v>964.58999999999992</v>
      </c>
      <c r="O103" s="6">
        <f t="shared" si="23"/>
        <v>993.35</v>
      </c>
      <c r="P103" s="6">
        <f t="shared" si="23"/>
        <v>911.88</v>
      </c>
      <c r="Q103" s="6">
        <f t="shared" si="23"/>
        <v>930.62</v>
      </c>
      <c r="R103" s="6">
        <f t="shared" si="23"/>
        <v>915.06999999999994</v>
      </c>
      <c r="S103" s="6">
        <f t="shared" si="23"/>
        <v>885.27</v>
      </c>
      <c r="T103" s="6">
        <f t="shared" si="23"/>
        <v>902.41</v>
      </c>
      <c r="U103" s="6">
        <f t="shared" si="23"/>
        <v>855.67000000000007</v>
      </c>
      <c r="V103" s="6">
        <f t="shared" si="23"/>
        <v>876.21</v>
      </c>
      <c r="W103" s="6">
        <f t="shared" si="23"/>
        <v>798.03999999999985</v>
      </c>
      <c r="X103" s="6">
        <f t="shared" si="23"/>
        <v>748.93</v>
      </c>
      <c r="Y103" s="6">
        <f t="shared" si="23"/>
        <v>735</v>
      </c>
      <c r="Z103" s="6">
        <f t="shared" si="23"/>
        <v>738.43</v>
      </c>
      <c r="AA103" s="6">
        <f t="shared" si="23"/>
        <v>917.79000000000008</v>
      </c>
      <c r="AB103" s="6">
        <f t="shared" si="23"/>
        <v>852.48</v>
      </c>
      <c r="AC103" s="6">
        <f t="shared" si="23"/>
        <v>951.32</v>
      </c>
      <c r="AD103" s="6">
        <f t="shared" si="23"/>
        <v>905.09</v>
      </c>
      <c r="AE103" s="6">
        <f t="shared" si="23"/>
        <v>427.07999999999993</v>
      </c>
      <c r="AF103" s="6">
        <f t="shared" si="23"/>
        <v>5.1400000000000006</v>
      </c>
      <c r="AG103" s="6">
        <f t="shared" si="23"/>
        <v>0</v>
      </c>
      <c r="AH103" s="6">
        <f t="shared" si="23"/>
        <v>0</v>
      </c>
      <c r="AI103" s="6">
        <f t="shared" si="23"/>
        <v>0</v>
      </c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</row>
    <row r="104" spans="1:109" s="1" customFormat="1" x14ac:dyDescent="0.25">
      <c r="A104" s="7"/>
      <c r="B104" s="8" t="s">
        <v>7</v>
      </c>
      <c r="C104" s="4" t="s">
        <v>6</v>
      </c>
      <c r="D104" s="5">
        <f t="shared" si="22"/>
        <v>2137.3400000000006</v>
      </c>
      <c r="E104" s="9">
        <v>91.41</v>
      </c>
      <c r="F104" s="9">
        <v>74.13</v>
      </c>
      <c r="G104" s="9">
        <v>104.03</v>
      </c>
      <c r="H104" s="9">
        <v>83.98</v>
      </c>
      <c r="I104" s="9">
        <v>94.84</v>
      </c>
      <c r="J104" s="9">
        <v>80.34</v>
      </c>
      <c r="K104" s="9">
        <v>56.07</v>
      </c>
      <c r="L104" s="9">
        <v>74.12</v>
      </c>
      <c r="M104" s="9">
        <v>72.98</v>
      </c>
      <c r="N104" s="9">
        <v>80.27</v>
      </c>
      <c r="O104" s="9">
        <v>100.69</v>
      </c>
      <c r="P104" s="9">
        <v>91.48</v>
      </c>
      <c r="Q104" s="9">
        <v>84.43</v>
      </c>
      <c r="R104" s="9">
        <v>92.56</v>
      </c>
      <c r="S104" s="9">
        <v>90.58</v>
      </c>
      <c r="T104" s="9">
        <v>99.2</v>
      </c>
      <c r="U104" s="9">
        <v>72.55</v>
      </c>
      <c r="V104" s="9">
        <v>72.489999999999995</v>
      </c>
      <c r="W104" s="9">
        <v>74.09</v>
      </c>
      <c r="X104" s="9">
        <v>62.31</v>
      </c>
      <c r="Y104" s="9">
        <v>45.94</v>
      </c>
      <c r="Z104" s="9">
        <v>82.91</v>
      </c>
      <c r="AA104" s="9">
        <v>67.47</v>
      </c>
      <c r="AB104" s="9">
        <v>78.19</v>
      </c>
      <c r="AC104" s="9">
        <v>82.42</v>
      </c>
      <c r="AD104" s="9">
        <v>78.56</v>
      </c>
      <c r="AE104" s="9">
        <v>49.3</v>
      </c>
      <c r="AF104" s="9"/>
      <c r="AG104" s="9"/>
      <c r="AH104" s="9"/>
      <c r="AI104" s="9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</row>
    <row r="105" spans="1:109" s="1" customFormat="1" x14ac:dyDescent="0.25">
      <c r="A105" s="7"/>
      <c r="B105" s="8" t="s">
        <v>8</v>
      </c>
      <c r="C105" s="4" t="s">
        <v>6</v>
      </c>
      <c r="D105" s="5">
        <f t="shared" si="22"/>
        <v>9174.7899999999991</v>
      </c>
      <c r="E105" s="9">
        <v>375.48</v>
      </c>
      <c r="F105" s="9">
        <v>381.44</v>
      </c>
      <c r="G105" s="9">
        <v>357.89</v>
      </c>
      <c r="H105" s="9">
        <v>394.05</v>
      </c>
      <c r="I105" s="9">
        <v>322.75</v>
      </c>
      <c r="J105" s="9">
        <v>260.05</v>
      </c>
      <c r="K105" s="9">
        <v>230.14</v>
      </c>
      <c r="L105" s="9">
        <v>375.61</v>
      </c>
      <c r="M105" s="9">
        <v>361.25</v>
      </c>
      <c r="N105" s="9">
        <v>414.06</v>
      </c>
      <c r="O105" s="9">
        <v>422.61</v>
      </c>
      <c r="P105" s="9">
        <v>359.26</v>
      </c>
      <c r="Q105" s="9">
        <v>387.26</v>
      </c>
      <c r="R105" s="9">
        <v>369.39</v>
      </c>
      <c r="S105" s="9">
        <v>324.31</v>
      </c>
      <c r="T105" s="9">
        <v>340.32</v>
      </c>
      <c r="U105" s="9">
        <v>332.87</v>
      </c>
      <c r="V105" s="9">
        <v>356.77</v>
      </c>
      <c r="W105" s="9">
        <v>295.70999999999998</v>
      </c>
      <c r="X105" s="9">
        <v>245.86</v>
      </c>
      <c r="Y105" s="9">
        <v>264.64999999999998</v>
      </c>
      <c r="Z105" s="9">
        <v>242.46</v>
      </c>
      <c r="AA105" s="9">
        <v>385.63</v>
      </c>
      <c r="AB105" s="9">
        <v>320.89999999999998</v>
      </c>
      <c r="AC105" s="9">
        <v>424.75</v>
      </c>
      <c r="AD105" s="9">
        <f>401.01-0.32</f>
        <v>400.69</v>
      </c>
      <c r="AE105" s="9">
        <v>226.73</v>
      </c>
      <c r="AF105" s="9">
        <v>1.9</v>
      </c>
      <c r="AG105" s="9"/>
      <c r="AH105" s="9"/>
      <c r="AI105" s="9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</row>
    <row r="106" spans="1:109" s="1" customFormat="1" x14ac:dyDescent="0.25">
      <c r="A106" s="7"/>
      <c r="B106" s="8" t="s">
        <v>9</v>
      </c>
      <c r="C106" s="4" t="s">
        <v>6</v>
      </c>
      <c r="D106" s="5">
        <f>SUM(E106:AI106)</f>
        <v>5335.11</v>
      </c>
      <c r="E106" s="9">
        <v>245.05</v>
      </c>
      <c r="F106" s="9">
        <v>250.95</v>
      </c>
      <c r="G106" s="9">
        <v>228.23</v>
      </c>
      <c r="H106" s="9">
        <v>227.83</v>
      </c>
      <c r="I106" s="9">
        <v>161.38</v>
      </c>
      <c r="J106" s="9">
        <v>130.96</v>
      </c>
      <c r="K106" s="9">
        <v>135.36000000000001</v>
      </c>
      <c r="L106" s="9">
        <v>163.4</v>
      </c>
      <c r="M106" s="9">
        <v>185.23</v>
      </c>
      <c r="N106" s="9">
        <v>211.46</v>
      </c>
      <c r="O106" s="9">
        <v>226.84</v>
      </c>
      <c r="P106" s="9">
        <v>218.52</v>
      </c>
      <c r="Q106" s="9">
        <v>217.21</v>
      </c>
      <c r="R106" s="9">
        <v>206.82</v>
      </c>
      <c r="S106" s="9">
        <v>227.49</v>
      </c>
      <c r="T106" s="9">
        <v>236.58</v>
      </c>
      <c r="U106" s="9">
        <v>225.69</v>
      </c>
      <c r="V106" s="9">
        <v>210.51</v>
      </c>
      <c r="W106" s="9">
        <v>206.31</v>
      </c>
      <c r="X106" s="9">
        <v>201.06</v>
      </c>
      <c r="Y106" s="9">
        <v>189.12</v>
      </c>
      <c r="Z106" s="9">
        <v>174.48</v>
      </c>
      <c r="AA106" s="9">
        <v>221.99</v>
      </c>
      <c r="AB106" s="9">
        <v>221.89</v>
      </c>
      <c r="AC106" s="9">
        <v>202.8</v>
      </c>
      <c r="AD106" s="9">
        <v>205.51</v>
      </c>
      <c r="AE106" s="9">
        <v>2.44</v>
      </c>
      <c r="AF106" s="9"/>
      <c r="AG106" s="9"/>
      <c r="AH106" s="9"/>
      <c r="AI106" s="9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</row>
    <row r="107" spans="1:109" s="1" customFormat="1" ht="16.5" customHeight="1" x14ac:dyDescent="0.25">
      <c r="A107" s="7"/>
      <c r="B107" s="8" t="s">
        <v>10</v>
      </c>
      <c r="C107" s="4" t="s">
        <v>6</v>
      </c>
      <c r="D107" s="5">
        <f t="shared" si="22"/>
        <v>2303.0099999999998</v>
      </c>
      <c r="E107" s="9">
        <v>97.83</v>
      </c>
      <c r="F107" s="9">
        <v>94.8</v>
      </c>
      <c r="G107" s="9">
        <v>85.49</v>
      </c>
      <c r="H107" s="9">
        <v>85.54</v>
      </c>
      <c r="I107" s="9">
        <v>88.2</v>
      </c>
      <c r="J107" s="9">
        <v>91.36</v>
      </c>
      <c r="K107" s="9">
        <v>91.55</v>
      </c>
      <c r="L107" s="9">
        <v>91.71</v>
      </c>
      <c r="M107" s="9">
        <v>80.08</v>
      </c>
      <c r="N107" s="9">
        <v>89.06</v>
      </c>
      <c r="O107" s="9">
        <v>77.7</v>
      </c>
      <c r="P107" s="9">
        <v>88.25</v>
      </c>
      <c r="Q107" s="9">
        <v>90.61</v>
      </c>
      <c r="R107" s="9">
        <v>91.6</v>
      </c>
      <c r="S107" s="9">
        <v>83.24</v>
      </c>
      <c r="T107" s="9">
        <v>72.52</v>
      </c>
      <c r="U107" s="9">
        <v>75.81</v>
      </c>
      <c r="V107" s="9">
        <v>85.5</v>
      </c>
      <c r="W107" s="9">
        <v>79.540000000000006</v>
      </c>
      <c r="X107" s="9">
        <v>96.92</v>
      </c>
      <c r="Y107" s="9">
        <v>96.46</v>
      </c>
      <c r="Z107" s="9">
        <v>98.93</v>
      </c>
      <c r="AA107" s="9">
        <v>93.64</v>
      </c>
      <c r="AB107" s="9">
        <f>79.27+0.16</f>
        <v>79.429999999999993</v>
      </c>
      <c r="AC107" s="9">
        <v>75.02</v>
      </c>
      <c r="AD107" s="9">
        <v>69.12</v>
      </c>
      <c r="AE107" s="9">
        <v>52.02</v>
      </c>
      <c r="AF107" s="9">
        <v>1.08</v>
      </c>
      <c r="AG107" s="9"/>
      <c r="AH107" s="9"/>
      <c r="AI107" s="9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</row>
    <row r="108" spans="1:109" s="1" customFormat="1" x14ac:dyDescent="0.25">
      <c r="A108" s="7"/>
      <c r="B108" s="8" t="s">
        <v>11</v>
      </c>
      <c r="C108" s="4" t="s">
        <v>6</v>
      </c>
      <c r="D108" s="5">
        <f t="shared" si="22"/>
        <v>2503.2399999999998</v>
      </c>
      <c r="E108" s="9">
        <v>101.7</v>
      </c>
      <c r="F108" s="9">
        <f>102.36+0.54</f>
        <v>102.9</v>
      </c>
      <c r="G108" s="9">
        <v>103.96</v>
      </c>
      <c r="H108" s="9">
        <f>94.57+1.7</f>
        <v>96.27</v>
      </c>
      <c r="I108" s="9">
        <v>93.62</v>
      </c>
      <c r="J108" s="9">
        <v>85.98</v>
      </c>
      <c r="K108" s="9">
        <v>79.72</v>
      </c>
      <c r="L108" s="9">
        <v>96.26</v>
      </c>
      <c r="M108" s="9">
        <v>88.72</v>
      </c>
      <c r="N108" s="9">
        <v>106.99</v>
      </c>
      <c r="O108" s="9">
        <v>102.39</v>
      </c>
      <c r="P108" s="9">
        <v>90.9</v>
      </c>
      <c r="Q108" s="9">
        <v>89.23</v>
      </c>
      <c r="R108" s="9">
        <v>94.27</v>
      </c>
      <c r="S108" s="9">
        <v>99.23</v>
      </c>
      <c r="T108" s="9">
        <v>95.24</v>
      </c>
      <c r="U108" s="9">
        <v>94.6</v>
      </c>
      <c r="V108" s="9">
        <v>95.23</v>
      </c>
      <c r="W108" s="9">
        <v>87.82</v>
      </c>
      <c r="X108" s="9">
        <v>85.25</v>
      </c>
      <c r="Y108" s="9">
        <v>87.37</v>
      </c>
      <c r="Z108" s="9">
        <v>84.64</v>
      </c>
      <c r="AA108" s="9">
        <v>91.86</v>
      </c>
      <c r="AB108" s="9">
        <v>98.74</v>
      </c>
      <c r="AC108" s="9">
        <f>106.79+0.54</f>
        <v>107.33000000000001</v>
      </c>
      <c r="AD108" s="9">
        <v>91.37</v>
      </c>
      <c r="AE108" s="9">
        <f>51.53+0.12</f>
        <v>51.65</v>
      </c>
      <c r="AF108" s="9"/>
      <c r="AG108" s="9"/>
      <c r="AH108" s="9"/>
      <c r="AI108" s="9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</row>
    <row r="109" spans="1:109" s="1" customFormat="1" ht="15.75" thickBot="1" x14ac:dyDescent="0.3">
      <c r="A109" s="7"/>
      <c r="B109" s="8" t="s">
        <v>12</v>
      </c>
      <c r="C109" s="4" t="s">
        <v>6</v>
      </c>
      <c r="D109" s="29">
        <f>SUM(E109:AI109)</f>
        <v>1570.5799999999997</v>
      </c>
      <c r="E109" s="9">
        <v>59.54</v>
      </c>
      <c r="F109" s="9">
        <v>61.1</v>
      </c>
      <c r="G109" s="9">
        <v>66.760000000000005</v>
      </c>
      <c r="H109" s="9">
        <v>64.75</v>
      </c>
      <c r="I109" s="9">
        <v>63.31</v>
      </c>
      <c r="J109" s="9">
        <v>59.66</v>
      </c>
      <c r="K109" s="9">
        <v>55.16</v>
      </c>
      <c r="L109" s="9">
        <v>56.75</v>
      </c>
      <c r="M109" s="9">
        <v>48.03</v>
      </c>
      <c r="N109" s="9">
        <v>62.75</v>
      </c>
      <c r="O109" s="9">
        <v>63.12</v>
      </c>
      <c r="P109" s="9">
        <v>63.47</v>
      </c>
      <c r="Q109" s="9">
        <v>61.88</v>
      </c>
      <c r="R109" s="9">
        <v>60.43</v>
      </c>
      <c r="S109" s="9">
        <v>60.42</v>
      </c>
      <c r="T109" s="9">
        <v>58.55</v>
      </c>
      <c r="U109" s="9">
        <v>54.15</v>
      </c>
      <c r="V109" s="9">
        <v>55.71</v>
      </c>
      <c r="W109" s="9">
        <v>54.57</v>
      </c>
      <c r="X109" s="9">
        <v>57.53</v>
      </c>
      <c r="Y109" s="9">
        <v>51.46</v>
      </c>
      <c r="Z109" s="9">
        <v>55.01</v>
      </c>
      <c r="AA109" s="9">
        <v>57.2</v>
      </c>
      <c r="AB109" s="9">
        <v>53.33</v>
      </c>
      <c r="AC109" s="9">
        <f>59.09-0.09</f>
        <v>59</v>
      </c>
      <c r="AD109" s="9">
        <v>59.84</v>
      </c>
      <c r="AE109" s="9">
        <v>44.94</v>
      </c>
      <c r="AF109" s="9">
        <v>2.16</v>
      </c>
      <c r="AG109" s="9"/>
      <c r="AH109" s="9"/>
      <c r="AI109" s="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73"/>
  <sheetViews>
    <sheetView topLeftCell="A37" zoomScale="75" zoomScaleNormal="75" workbookViewId="0">
      <selection activeCell="U73" sqref="U73"/>
    </sheetView>
  </sheetViews>
  <sheetFormatPr defaultRowHeight="15" x14ac:dyDescent="0.25"/>
  <cols>
    <col min="1" max="1" width="21" customWidth="1"/>
    <col min="2" max="2" width="14.85546875" customWidth="1"/>
    <col min="4" max="4" width="17.140625" customWidth="1"/>
    <col min="22" max="22" width="10.42578125" customWidth="1"/>
    <col min="31" max="31" width="10.85546875" customWidth="1"/>
  </cols>
  <sheetData>
    <row r="1" spans="1:109" ht="28.5" x14ac:dyDescent="0.45">
      <c r="A1" s="28" t="s">
        <v>27</v>
      </c>
    </row>
    <row r="2" spans="1:109" s="1" customFormat="1" ht="53.25" customHeight="1" x14ac:dyDescent="0.25">
      <c r="A2" s="32" t="s">
        <v>1</v>
      </c>
      <c r="B2" s="33"/>
      <c r="C2" s="34" t="s">
        <v>2</v>
      </c>
      <c r="D2" s="35" t="s">
        <v>3</v>
      </c>
      <c r="E2" s="32">
        <v>1</v>
      </c>
      <c r="F2" s="32">
        <v>2</v>
      </c>
      <c r="G2" s="32">
        <v>3</v>
      </c>
      <c r="H2" s="32">
        <v>4</v>
      </c>
      <c r="I2" s="32">
        <v>5</v>
      </c>
      <c r="J2" s="36">
        <v>6</v>
      </c>
      <c r="K2" s="36">
        <v>7</v>
      </c>
      <c r="L2" s="32">
        <v>8</v>
      </c>
      <c r="M2" s="32">
        <v>9</v>
      </c>
      <c r="N2" s="32">
        <v>10</v>
      </c>
      <c r="O2" s="32">
        <v>11</v>
      </c>
      <c r="P2" s="32">
        <v>12</v>
      </c>
      <c r="Q2" s="36">
        <v>13</v>
      </c>
      <c r="R2" s="36">
        <v>14</v>
      </c>
      <c r="S2" s="32">
        <v>15</v>
      </c>
      <c r="T2" s="32">
        <v>16</v>
      </c>
      <c r="U2" s="32">
        <v>17</v>
      </c>
      <c r="V2" s="32">
        <v>18</v>
      </c>
      <c r="W2" s="32">
        <v>19</v>
      </c>
      <c r="X2" s="36">
        <v>20</v>
      </c>
      <c r="Y2" s="36">
        <v>21</v>
      </c>
      <c r="Z2" s="32">
        <v>22</v>
      </c>
      <c r="AA2" s="32">
        <v>23</v>
      </c>
      <c r="AB2" s="32">
        <v>24</v>
      </c>
      <c r="AC2" s="32">
        <v>25</v>
      </c>
      <c r="AD2" s="32">
        <v>26</v>
      </c>
      <c r="AE2" s="36">
        <v>27</v>
      </c>
      <c r="AF2" s="37">
        <v>28</v>
      </c>
      <c r="AG2" s="32">
        <v>29</v>
      </c>
      <c r="AH2" s="32">
        <v>30</v>
      </c>
      <c r="AI2" s="38">
        <v>31</v>
      </c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</row>
    <row r="3" spans="1:109" ht="21" x14ac:dyDescent="0.35">
      <c r="A3" s="27" t="s">
        <v>13</v>
      </c>
    </row>
    <row r="4" spans="1:109" s="1" customFormat="1" ht="20.25" x14ac:dyDescent="0.25">
      <c r="A4" s="2" t="s">
        <v>4</v>
      </c>
      <c r="B4" s="3" t="s">
        <v>5</v>
      </c>
      <c r="C4" s="4" t="s">
        <v>6</v>
      </c>
      <c r="D4" s="5">
        <f t="shared" ref="D4:D9" si="0">SUM(E4:AI4)</f>
        <v>18343.009999999995</v>
      </c>
      <c r="E4" s="6">
        <f>SUM(E5:E10)</f>
        <v>0</v>
      </c>
      <c r="F4" s="6">
        <f t="shared" ref="F4:AI4" si="1">SUM(F5:F10)</f>
        <v>0</v>
      </c>
      <c r="G4" s="6">
        <f t="shared" si="1"/>
        <v>0</v>
      </c>
      <c r="H4" s="6">
        <f t="shared" si="1"/>
        <v>0</v>
      </c>
      <c r="I4" s="6">
        <f t="shared" si="1"/>
        <v>0</v>
      </c>
      <c r="J4" s="6">
        <f t="shared" si="1"/>
        <v>0</v>
      </c>
      <c r="K4" s="6">
        <f t="shared" si="1"/>
        <v>0</v>
      </c>
      <c r="L4" s="6">
        <f t="shared" si="1"/>
        <v>0</v>
      </c>
      <c r="M4" s="6">
        <f t="shared" si="1"/>
        <v>863.18999999999994</v>
      </c>
      <c r="N4" s="6">
        <f t="shared" si="1"/>
        <v>823.6400000000001</v>
      </c>
      <c r="O4" s="6">
        <f t="shared" si="1"/>
        <v>719.93999999999994</v>
      </c>
      <c r="P4" s="6">
        <f t="shared" si="1"/>
        <v>748.35000000000014</v>
      </c>
      <c r="Q4" s="6">
        <f t="shared" si="1"/>
        <v>788.77</v>
      </c>
      <c r="R4" s="6">
        <f t="shared" si="1"/>
        <v>662.56999999999994</v>
      </c>
      <c r="S4" s="6">
        <f t="shared" si="1"/>
        <v>684.55000000000007</v>
      </c>
      <c r="T4" s="6">
        <f t="shared" si="1"/>
        <v>714.33</v>
      </c>
      <c r="U4" s="6">
        <f t="shared" si="1"/>
        <v>786.19</v>
      </c>
      <c r="V4" s="6">
        <f t="shared" si="1"/>
        <v>709.1</v>
      </c>
      <c r="W4" s="6">
        <f t="shared" si="1"/>
        <v>736.48</v>
      </c>
      <c r="X4" s="6">
        <f t="shared" si="1"/>
        <v>842.72</v>
      </c>
      <c r="Y4" s="6">
        <f t="shared" si="1"/>
        <v>930.31000000000006</v>
      </c>
      <c r="Z4" s="6">
        <f t="shared" si="1"/>
        <v>968.43999999999994</v>
      </c>
      <c r="AA4" s="6">
        <f t="shared" si="1"/>
        <v>972.15</v>
      </c>
      <c r="AB4" s="6">
        <f t="shared" si="1"/>
        <v>867.86</v>
      </c>
      <c r="AC4" s="6">
        <f t="shared" si="1"/>
        <v>640.25</v>
      </c>
      <c r="AD4" s="6">
        <f t="shared" si="1"/>
        <v>312.45999999999998</v>
      </c>
      <c r="AE4" s="6">
        <f t="shared" si="1"/>
        <v>1017.89</v>
      </c>
      <c r="AF4" s="6">
        <f t="shared" si="1"/>
        <v>845.81999999999994</v>
      </c>
      <c r="AG4" s="6">
        <f t="shared" si="1"/>
        <v>876.75999999999988</v>
      </c>
      <c r="AH4" s="6">
        <f t="shared" si="1"/>
        <v>881.18999999999994</v>
      </c>
      <c r="AI4" s="6">
        <f t="shared" si="1"/>
        <v>950.05000000000007</v>
      </c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</row>
    <row r="5" spans="1:109" s="1" customFormat="1" x14ac:dyDescent="0.25">
      <c r="A5" s="7"/>
      <c r="B5" s="8" t="s">
        <v>7</v>
      </c>
      <c r="C5" s="4" t="s">
        <v>6</v>
      </c>
      <c r="D5" s="5">
        <f t="shared" si="0"/>
        <v>1874.15</v>
      </c>
      <c r="E5" s="9"/>
      <c r="F5" s="9"/>
      <c r="G5" s="9"/>
      <c r="H5" s="9"/>
      <c r="I5" s="9"/>
      <c r="J5" s="9"/>
      <c r="K5" s="9"/>
      <c r="L5" s="9"/>
      <c r="M5" s="9">
        <v>64.489999999999995</v>
      </c>
      <c r="N5" s="9">
        <v>73.650000000000006</v>
      </c>
      <c r="O5" s="9">
        <v>60.14</v>
      </c>
      <c r="P5" s="9">
        <v>83.59</v>
      </c>
      <c r="Q5" s="9">
        <v>78.48</v>
      </c>
      <c r="R5" s="9">
        <v>77.19</v>
      </c>
      <c r="S5" s="9">
        <v>86.23</v>
      </c>
      <c r="T5" s="9">
        <v>83.33</v>
      </c>
      <c r="U5" s="9">
        <v>71.59</v>
      </c>
      <c r="V5" s="9">
        <v>77.83</v>
      </c>
      <c r="W5" s="9">
        <v>61.25</v>
      </c>
      <c r="X5" s="9">
        <v>82.59</v>
      </c>
      <c r="Y5" s="9">
        <v>92.58</v>
      </c>
      <c r="Z5" s="9">
        <f>100.69+0.4</f>
        <v>101.09</v>
      </c>
      <c r="AA5" s="9">
        <f>92.46+1.08</f>
        <v>93.539999999999992</v>
      </c>
      <c r="AB5" s="9">
        <v>99.04</v>
      </c>
      <c r="AC5" s="9">
        <v>91.31</v>
      </c>
      <c r="AD5" s="9">
        <v>80.08</v>
      </c>
      <c r="AE5" s="9">
        <v>96.47</v>
      </c>
      <c r="AF5" s="9">
        <v>68.180000000000007</v>
      </c>
      <c r="AG5" s="9">
        <v>74.489999999999995</v>
      </c>
      <c r="AH5" s="9">
        <v>86.42</v>
      </c>
      <c r="AI5" s="9">
        <v>90.59</v>
      </c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</row>
    <row r="6" spans="1:109" s="1" customFormat="1" x14ac:dyDescent="0.25">
      <c r="A6" s="7"/>
      <c r="B6" s="8" t="s">
        <v>8</v>
      </c>
      <c r="C6" s="4" t="s">
        <v>6</v>
      </c>
      <c r="D6" s="5">
        <f t="shared" si="0"/>
        <v>7336.11</v>
      </c>
      <c r="E6" s="9"/>
      <c r="F6" s="9"/>
      <c r="G6" s="9"/>
      <c r="H6" s="9"/>
      <c r="I6" s="9"/>
      <c r="J6" s="9"/>
      <c r="K6" s="9"/>
      <c r="L6" s="9"/>
      <c r="M6" s="9">
        <v>360.8</v>
      </c>
      <c r="N6" s="9">
        <v>350.59</v>
      </c>
      <c r="O6" s="9">
        <v>278.8</v>
      </c>
      <c r="P6" s="9">
        <v>304.23</v>
      </c>
      <c r="Q6" s="9">
        <v>324.57</v>
      </c>
      <c r="R6" s="9">
        <v>256.89999999999998</v>
      </c>
      <c r="S6" s="9">
        <v>252.55</v>
      </c>
      <c r="T6" s="9">
        <v>262.60000000000002</v>
      </c>
      <c r="U6" s="9">
        <v>335.2</v>
      </c>
      <c r="V6" s="9">
        <v>277.02999999999997</v>
      </c>
      <c r="W6" s="9">
        <v>303.26</v>
      </c>
      <c r="X6" s="9">
        <v>340.68</v>
      </c>
      <c r="Y6" s="9">
        <v>396.44</v>
      </c>
      <c r="Z6" s="9">
        <v>395.33</v>
      </c>
      <c r="AA6" s="9">
        <v>418.23</v>
      </c>
      <c r="AB6" s="9">
        <v>317.48</v>
      </c>
      <c r="AC6" s="9">
        <v>165.08</v>
      </c>
      <c r="AD6" s="9"/>
      <c r="AE6" s="9">
        <v>448.14</v>
      </c>
      <c r="AF6" s="9">
        <v>363.8</v>
      </c>
      <c r="AG6" s="9">
        <v>399.46</v>
      </c>
      <c r="AH6" s="9">
        <v>379.51</v>
      </c>
      <c r="AI6" s="9">
        <v>405.43</v>
      </c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</row>
    <row r="7" spans="1:109" s="1" customFormat="1" x14ac:dyDescent="0.25">
      <c r="A7" s="7"/>
      <c r="B7" s="8" t="s">
        <v>9</v>
      </c>
      <c r="C7" s="4" t="s">
        <v>6</v>
      </c>
      <c r="D7" s="5">
        <f>SUM(E7:AI7)</f>
        <v>4095.85</v>
      </c>
      <c r="E7" s="9"/>
      <c r="F7" s="9"/>
      <c r="G7" s="9"/>
      <c r="H7" s="9"/>
      <c r="I7" s="9"/>
      <c r="J7" s="9"/>
      <c r="K7" s="9"/>
      <c r="L7" s="9"/>
      <c r="M7" s="9">
        <v>207.69</v>
      </c>
      <c r="N7" s="9">
        <v>156.59</v>
      </c>
      <c r="O7" s="9">
        <v>134.19</v>
      </c>
      <c r="P7" s="9">
        <v>137.99</v>
      </c>
      <c r="Q7" s="9">
        <v>151.9</v>
      </c>
      <c r="R7" s="9">
        <v>131.80000000000001</v>
      </c>
      <c r="S7" s="9">
        <v>148.62</v>
      </c>
      <c r="T7" s="9">
        <v>169.75</v>
      </c>
      <c r="U7" s="9">
        <v>173.7</v>
      </c>
      <c r="V7" s="9">
        <v>150.04</v>
      </c>
      <c r="W7" s="9">
        <v>160.69999999999999</v>
      </c>
      <c r="X7" s="9">
        <f>199.03-2.8</f>
        <v>196.23</v>
      </c>
      <c r="Y7" s="9">
        <v>218.2</v>
      </c>
      <c r="Z7" s="9">
        <v>220.23</v>
      </c>
      <c r="AA7" s="9">
        <v>211.72</v>
      </c>
      <c r="AB7" s="9">
        <v>210.47</v>
      </c>
      <c r="AC7" s="9">
        <v>202.23</v>
      </c>
      <c r="AD7" s="9">
        <v>135.57</v>
      </c>
      <c r="AE7" s="9">
        <v>209.59</v>
      </c>
      <c r="AF7" s="9">
        <v>195.91</v>
      </c>
      <c r="AG7" s="9">
        <v>187.38</v>
      </c>
      <c r="AH7" s="9">
        <v>182.23</v>
      </c>
      <c r="AI7" s="9">
        <v>203.12</v>
      </c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</row>
    <row r="8" spans="1:109" s="1" customFormat="1" ht="16.5" customHeight="1" x14ac:dyDescent="0.25">
      <c r="A8" s="7"/>
      <c r="B8" s="8" t="s">
        <v>10</v>
      </c>
      <c r="C8" s="4" t="s">
        <v>6</v>
      </c>
      <c r="D8" s="5">
        <f t="shared" si="0"/>
        <v>1978.7599999999998</v>
      </c>
      <c r="E8" s="9"/>
      <c r="F8" s="9"/>
      <c r="G8" s="9"/>
      <c r="H8" s="9"/>
      <c r="I8" s="9"/>
      <c r="J8" s="9"/>
      <c r="K8" s="9"/>
      <c r="L8" s="9"/>
      <c r="M8" s="9">
        <v>83.32</v>
      </c>
      <c r="N8" s="9">
        <v>86.15</v>
      </c>
      <c r="O8" s="9">
        <v>93.52</v>
      </c>
      <c r="P8" s="9">
        <v>88.75</v>
      </c>
      <c r="Q8" s="9">
        <v>91.56</v>
      </c>
      <c r="R8" s="9">
        <v>75.239999999999995</v>
      </c>
      <c r="S8" s="9">
        <v>80.069999999999993</v>
      </c>
      <c r="T8" s="9">
        <v>81.760000000000005</v>
      </c>
      <c r="U8" s="9">
        <f>93.71-0.08</f>
        <v>93.63</v>
      </c>
      <c r="V8" s="9">
        <v>93.58</v>
      </c>
      <c r="W8" s="9">
        <v>94.78</v>
      </c>
      <c r="X8" s="9">
        <v>83.18</v>
      </c>
      <c r="Y8" s="9">
        <v>67.45</v>
      </c>
      <c r="Z8" s="9">
        <v>92.85</v>
      </c>
      <c r="AA8" s="9">
        <v>94.76</v>
      </c>
      <c r="AB8" s="9">
        <v>97.29</v>
      </c>
      <c r="AC8" s="9">
        <v>95.45</v>
      </c>
      <c r="AD8" s="9">
        <v>96.81</v>
      </c>
      <c r="AE8" s="9">
        <v>95.65</v>
      </c>
      <c r="AF8" s="9">
        <v>61.62</v>
      </c>
      <c r="AG8" s="9">
        <v>65.569999999999993</v>
      </c>
      <c r="AH8" s="9">
        <v>80.650000000000006</v>
      </c>
      <c r="AI8" s="9">
        <v>85.12</v>
      </c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</row>
    <row r="9" spans="1:109" s="1" customFormat="1" x14ac:dyDescent="0.25">
      <c r="A9" s="7"/>
      <c r="B9" s="8" t="s">
        <v>11</v>
      </c>
      <c r="C9" s="4" t="s">
        <v>6</v>
      </c>
      <c r="D9" s="5">
        <f t="shared" si="0"/>
        <v>1792.9100000000003</v>
      </c>
      <c r="E9" s="9"/>
      <c r="F9" s="9"/>
      <c r="G9" s="9"/>
      <c r="H9" s="9"/>
      <c r="I9" s="9"/>
      <c r="J9" s="9"/>
      <c r="K9" s="9"/>
      <c r="L9" s="9"/>
      <c r="M9" s="9">
        <v>90.92</v>
      </c>
      <c r="N9" s="9">
        <v>101.83</v>
      </c>
      <c r="O9" s="9">
        <v>98.29</v>
      </c>
      <c r="P9" s="9">
        <v>75.7</v>
      </c>
      <c r="Q9" s="9">
        <v>87.42</v>
      </c>
      <c r="R9" s="9">
        <v>61.8</v>
      </c>
      <c r="S9" s="9">
        <v>58.38</v>
      </c>
      <c r="T9" s="9">
        <v>58.47</v>
      </c>
      <c r="U9" s="9">
        <v>56.24</v>
      </c>
      <c r="V9" s="9">
        <v>54.02</v>
      </c>
      <c r="W9" s="9">
        <v>60.33</v>
      </c>
      <c r="X9" s="9">
        <v>84.39</v>
      </c>
      <c r="Y9" s="9">
        <v>96.1</v>
      </c>
      <c r="Z9" s="9">
        <v>99.4</v>
      </c>
      <c r="AA9" s="9">
        <v>94.64</v>
      </c>
      <c r="AB9" s="9">
        <v>82.63</v>
      </c>
      <c r="AC9" s="9">
        <v>27.31</v>
      </c>
      <c r="AD9" s="9"/>
      <c r="AE9" s="9">
        <v>109.99</v>
      </c>
      <c r="AF9" s="9">
        <v>100.64</v>
      </c>
      <c r="AG9" s="9">
        <v>92.86</v>
      </c>
      <c r="AH9" s="9">
        <v>97.71</v>
      </c>
      <c r="AI9" s="9">
        <v>103.84</v>
      </c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</row>
    <row r="10" spans="1:109" s="1" customFormat="1" ht="15.75" thickBot="1" x14ac:dyDescent="0.3">
      <c r="A10" s="7"/>
      <c r="B10" s="8" t="s">
        <v>12</v>
      </c>
      <c r="C10" s="4" t="s">
        <v>6</v>
      </c>
      <c r="D10" s="29">
        <f>SUM(E10:AI10)</f>
        <v>1265.23</v>
      </c>
      <c r="E10" s="9"/>
      <c r="F10" s="9"/>
      <c r="G10" s="9"/>
      <c r="H10" s="9"/>
      <c r="I10" s="9"/>
      <c r="J10" s="9"/>
      <c r="K10" s="9"/>
      <c r="L10" s="9"/>
      <c r="M10" s="9">
        <v>55.97</v>
      </c>
      <c r="N10" s="9">
        <v>54.83</v>
      </c>
      <c r="O10" s="9">
        <v>55</v>
      </c>
      <c r="P10" s="9">
        <v>58.09</v>
      </c>
      <c r="Q10" s="9">
        <v>54.84</v>
      </c>
      <c r="R10" s="9">
        <v>59.64</v>
      </c>
      <c r="S10" s="9">
        <v>58.7</v>
      </c>
      <c r="T10" s="9">
        <v>58.42</v>
      </c>
      <c r="U10" s="9">
        <f>56.89-1.06</f>
        <v>55.83</v>
      </c>
      <c r="V10" s="9">
        <v>56.6</v>
      </c>
      <c r="W10" s="9">
        <v>56.16</v>
      </c>
      <c r="X10" s="9">
        <v>55.65</v>
      </c>
      <c r="Y10" s="9">
        <v>59.54</v>
      </c>
      <c r="Z10" s="9">
        <v>59.54</v>
      </c>
      <c r="AA10" s="9">
        <v>59.26</v>
      </c>
      <c r="AB10" s="9">
        <v>60.95</v>
      </c>
      <c r="AC10" s="9">
        <v>58.87</v>
      </c>
      <c r="AD10" s="9"/>
      <c r="AE10" s="9">
        <v>58.05</v>
      </c>
      <c r="AF10" s="9">
        <v>55.67</v>
      </c>
      <c r="AG10" s="9">
        <v>57</v>
      </c>
      <c r="AH10" s="9">
        <v>54.67</v>
      </c>
      <c r="AI10" s="9">
        <v>61.95</v>
      </c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</row>
    <row r="12" spans="1:109" ht="21" x14ac:dyDescent="0.35">
      <c r="A12" s="27" t="s">
        <v>14</v>
      </c>
    </row>
    <row r="13" spans="1:109" s="1" customFormat="1" ht="20.25" x14ac:dyDescent="0.25">
      <c r="A13" s="2" t="s">
        <v>4</v>
      </c>
      <c r="B13" s="3" t="s">
        <v>5</v>
      </c>
      <c r="C13" s="4" t="s">
        <v>6</v>
      </c>
      <c r="D13" s="5">
        <f t="shared" ref="D13:D18" si="2">SUM(E13:AI13)</f>
        <v>18249.950000011999</v>
      </c>
      <c r="E13" s="6">
        <f>SUM(E14:E19)</f>
        <v>386.96</v>
      </c>
      <c r="F13" s="6">
        <f t="shared" ref="F13:AI13" si="3">SUM(F14:F19)</f>
        <v>0</v>
      </c>
      <c r="G13" s="6">
        <f t="shared" si="3"/>
        <v>811.68</v>
      </c>
      <c r="H13" s="6">
        <f t="shared" si="3"/>
        <v>834.4000000000002</v>
      </c>
      <c r="I13" s="6">
        <f t="shared" si="3"/>
        <v>712.24</v>
      </c>
      <c r="J13" s="6">
        <f t="shared" si="3"/>
        <v>744.51</v>
      </c>
      <c r="K13" s="6">
        <f t="shared" si="3"/>
        <v>690.6</v>
      </c>
      <c r="L13" s="6">
        <f t="shared" si="3"/>
        <v>1.2200000050000004</v>
      </c>
      <c r="M13" s="6">
        <f t="shared" si="3"/>
        <v>6E-9</v>
      </c>
      <c r="N13" s="6">
        <f t="shared" si="3"/>
        <v>834.6</v>
      </c>
      <c r="O13" s="6">
        <f t="shared" si="3"/>
        <v>725.13999999999987</v>
      </c>
      <c r="P13" s="6">
        <f t="shared" si="3"/>
        <v>731.46</v>
      </c>
      <c r="Q13" s="6">
        <f t="shared" si="3"/>
        <v>627.65000000000009</v>
      </c>
      <c r="R13" s="6">
        <f t="shared" si="3"/>
        <v>810.88</v>
      </c>
      <c r="S13" s="6">
        <f t="shared" si="3"/>
        <v>761.6099999999999</v>
      </c>
      <c r="T13" s="6">
        <f t="shared" si="3"/>
        <v>730.70000000099992</v>
      </c>
      <c r="U13" s="6">
        <f t="shared" si="3"/>
        <v>814.01</v>
      </c>
      <c r="V13" s="6">
        <f t="shared" si="3"/>
        <v>858.3</v>
      </c>
      <c r="W13" s="6">
        <f t="shared" si="3"/>
        <v>792.84</v>
      </c>
      <c r="X13" s="6">
        <f t="shared" si="3"/>
        <v>741.6400000000001</v>
      </c>
      <c r="Y13" s="6">
        <f t="shared" si="3"/>
        <v>806.25</v>
      </c>
      <c r="Z13" s="6">
        <f t="shared" si="3"/>
        <v>431.76000000000005</v>
      </c>
      <c r="AA13" s="6">
        <f t="shared" si="3"/>
        <v>0</v>
      </c>
      <c r="AB13" s="6">
        <f t="shared" si="3"/>
        <v>924.84</v>
      </c>
      <c r="AC13" s="6">
        <f t="shared" si="3"/>
        <v>834.49</v>
      </c>
      <c r="AD13" s="6">
        <f t="shared" si="3"/>
        <v>821.63000000000011</v>
      </c>
      <c r="AE13" s="6">
        <f t="shared" si="3"/>
        <v>967.07</v>
      </c>
      <c r="AF13" s="6">
        <f t="shared" si="3"/>
        <v>853.47</v>
      </c>
      <c r="AG13" s="6">
        <f t="shared" si="3"/>
        <v>0</v>
      </c>
      <c r="AH13" s="6">
        <f t="shared" si="3"/>
        <v>0</v>
      </c>
      <c r="AI13" s="6">
        <f t="shared" si="3"/>
        <v>0</v>
      </c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</row>
    <row r="14" spans="1:109" s="1" customFormat="1" x14ac:dyDescent="0.25">
      <c r="A14" s="7"/>
      <c r="B14" s="8" t="s">
        <v>7</v>
      </c>
      <c r="C14" s="4" t="s">
        <v>6</v>
      </c>
      <c r="D14" s="5">
        <f t="shared" si="2"/>
        <v>1511.260000002</v>
      </c>
      <c r="E14" s="9">
        <v>44.58</v>
      </c>
      <c r="F14" s="9"/>
      <c r="G14" s="9">
        <v>55.62</v>
      </c>
      <c r="H14" s="9">
        <v>69.59</v>
      </c>
      <c r="I14" s="9">
        <v>57.34</v>
      </c>
      <c r="J14" s="9">
        <v>55.46</v>
      </c>
      <c r="K14" s="9">
        <v>65.92</v>
      </c>
      <c r="L14" s="9">
        <v>1.0000000000000001E-9</v>
      </c>
      <c r="M14" s="9">
        <v>1.0000000000000001E-9</v>
      </c>
      <c r="N14" s="9">
        <v>72</v>
      </c>
      <c r="O14" s="9">
        <v>60.43</v>
      </c>
      <c r="P14" s="9">
        <v>61.93</v>
      </c>
      <c r="Q14" s="9">
        <v>52.47</v>
      </c>
      <c r="R14" s="9">
        <v>61.08</v>
      </c>
      <c r="S14" s="9">
        <v>63.74</v>
      </c>
      <c r="T14" s="9">
        <v>66.86</v>
      </c>
      <c r="U14" s="9">
        <v>66.3</v>
      </c>
      <c r="V14" s="9">
        <v>61.12</v>
      </c>
      <c r="W14" s="9">
        <f>73.49+0.09</f>
        <v>73.58</v>
      </c>
      <c r="X14" s="9">
        <v>74.64</v>
      </c>
      <c r="Y14" s="9">
        <v>58.62</v>
      </c>
      <c r="Z14" s="9">
        <v>26.36</v>
      </c>
      <c r="AA14" s="9"/>
      <c r="AB14" s="9">
        <v>84.56</v>
      </c>
      <c r="AC14" s="9">
        <v>54</v>
      </c>
      <c r="AD14" s="9">
        <v>73.790000000000006</v>
      </c>
      <c r="AE14" s="9">
        <v>82.13</v>
      </c>
      <c r="AF14" s="9">
        <v>69.14</v>
      </c>
      <c r="AG14" s="9"/>
      <c r="AH14" s="9"/>
      <c r="AI14" s="9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</row>
    <row r="15" spans="1:109" s="1" customFormat="1" x14ac:dyDescent="0.25">
      <c r="A15" s="7"/>
      <c r="B15" s="8" t="s">
        <v>8</v>
      </c>
      <c r="C15" s="4" t="s">
        <v>6</v>
      </c>
      <c r="D15" s="5">
        <f t="shared" si="2"/>
        <v>7511.6800000010007</v>
      </c>
      <c r="E15" s="9">
        <v>159.79</v>
      </c>
      <c r="F15" s="9"/>
      <c r="G15" s="9">
        <v>343.84</v>
      </c>
      <c r="H15" s="9">
        <v>340.36</v>
      </c>
      <c r="I15" s="9">
        <v>252.89</v>
      </c>
      <c r="J15" s="9">
        <v>303.74</v>
      </c>
      <c r="K15" s="9">
        <v>277.33999999999997</v>
      </c>
      <c r="L15" s="9">
        <v>1.22</v>
      </c>
      <c r="M15" s="9">
        <v>1.0000000000000001E-9</v>
      </c>
      <c r="N15" s="9">
        <v>331.78</v>
      </c>
      <c r="O15" s="9">
        <v>300.14999999999998</v>
      </c>
      <c r="P15" s="9">
        <v>312.42</v>
      </c>
      <c r="Q15" s="9">
        <v>249.12</v>
      </c>
      <c r="R15" s="9">
        <v>319.26</v>
      </c>
      <c r="S15" s="9">
        <v>273.64999999999998</v>
      </c>
      <c r="T15" s="9">
        <v>299.35000000000002</v>
      </c>
      <c r="U15" s="9">
        <v>328.29</v>
      </c>
      <c r="V15" s="9">
        <v>387.55</v>
      </c>
      <c r="W15" s="9">
        <v>324.5</v>
      </c>
      <c r="X15" s="9">
        <v>312.42</v>
      </c>
      <c r="Y15" s="9">
        <v>354.79</v>
      </c>
      <c r="Z15" s="9">
        <v>169.9</v>
      </c>
      <c r="AA15" s="9"/>
      <c r="AB15" s="9">
        <v>380.01</v>
      </c>
      <c r="AC15" s="9">
        <v>364.1</v>
      </c>
      <c r="AD15" s="9">
        <v>343.91</v>
      </c>
      <c r="AE15" s="9">
        <v>433.62</v>
      </c>
      <c r="AF15" s="9">
        <v>347.68</v>
      </c>
      <c r="AG15" s="9"/>
      <c r="AH15" s="9"/>
      <c r="AI15" s="9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</row>
    <row r="16" spans="1:109" s="1" customFormat="1" x14ac:dyDescent="0.25">
      <c r="A16" s="7"/>
      <c r="B16" s="8" t="s">
        <v>9</v>
      </c>
      <c r="C16" s="4" t="s">
        <v>6</v>
      </c>
      <c r="D16" s="5">
        <f>SUM(E16:AI16)</f>
        <v>4460.4800000020005</v>
      </c>
      <c r="E16" s="9">
        <v>104.76</v>
      </c>
      <c r="F16" s="9"/>
      <c r="G16" s="9">
        <v>186.37</v>
      </c>
      <c r="H16" s="9">
        <v>214.69</v>
      </c>
      <c r="I16" s="9">
        <v>206.73</v>
      </c>
      <c r="J16" s="9">
        <v>189.61</v>
      </c>
      <c r="K16" s="9">
        <v>183.64</v>
      </c>
      <c r="L16" s="9">
        <v>1.0000000000000001E-9</v>
      </c>
      <c r="M16" s="9">
        <v>1.0000000000000001E-9</v>
      </c>
      <c r="N16" s="9">
        <v>203.29</v>
      </c>
      <c r="O16" s="9">
        <v>159.69999999999999</v>
      </c>
      <c r="P16" s="9">
        <v>150.13999999999999</v>
      </c>
      <c r="Q16" s="9">
        <v>135.47</v>
      </c>
      <c r="R16" s="9">
        <v>195.33</v>
      </c>
      <c r="S16" s="9">
        <v>201.91</v>
      </c>
      <c r="T16" s="9">
        <v>199.15</v>
      </c>
      <c r="U16" s="9">
        <v>203.11</v>
      </c>
      <c r="V16" s="9">
        <v>206.84</v>
      </c>
      <c r="W16" s="9">
        <v>210.45</v>
      </c>
      <c r="X16" s="9">
        <f>197.55+1.81</f>
        <v>199.36</v>
      </c>
      <c r="Y16" s="9">
        <f>201.08+0.28</f>
        <v>201.36</v>
      </c>
      <c r="Z16" s="9">
        <v>104.09</v>
      </c>
      <c r="AA16" s="9"/>
      <c r="AB16" s="9">
        <v>217.87</v>
      </c>
      <c r="AC16" s="9">
        <v>186.02</v>
      </c>
      <c r="AD16" s="9">
        <v>187.59</v>
      </c>
      <c r="AE16" s="9">
        <v>203.19</v>
      </c>
      <c r="AF16" s="9">
        <v>209.81</v>
      </c>
      <c r="AG16" s="9"/>
      <c r="AH16" s="9"/>
      <c r="AI16" s="9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</row>
    <row r="17" spans="1:109" s="1" customFormat="1" ht="16.5" customHeight="1" x14ac:dyDescent="0.25">
      <c r="A17" s="7"/>
      <c r="B17" s="8" t="s">
        <v>10</v>
      </c>
      <c r="C17" s="4" t="s">
        <v>6</v>
      </c>
      <c r="D17" s="5">
        <f t="shared" si="2"/>
        <v>1760.5600000020002</v>
      </c>
      <c r="E17" s="9">
        <v>41.7</v>
      </c>
      <c r="F17" s="9"/>
      <c r="G17" s="9">
        <v>77.2</v>
      </c>
      <c r="H17" s="9">
        <v>78.180000000000007</v>
      </c>
      <c r="I17" s="9">
        <v>69.25</v>
      </c>
      <c r="J17" s="9">
        <v>76.459999999999994</v>
      </c>
      <c r="K17" s="9">
        <v>80.72</v>
      </c>
      <c r="L17" s="9">
        <v>1.0000000000000001E-9</v>
      </c>
      <c r="M17" s="9">
        <v>1.0000000000000001E-9</v>
      </c>
      <c r="N17" s="9">
        <v>93.43</v>
      </c>
      <c r="O17" s="9">
        <v>76.069999999999993</v>
      </c>
      <c r="P17" s="9">
        <v>76.099999999999994</v>
      </c>
      <c r="Q17" s="9">
        <v>57.85</v>
      </c>
      <c r="R17" s="9">
        <v>78.989999999999995</v>
      </c>
      <c r="S17" s="9">
        <v>77.92</v>
      </c>
      <c r="T17" s="9">
        <v>79.92</v>
      </c>
      <c r="U17" s="9">
        <v>67.47</v>
      </c>
      <c r="V17" s="9">
        <v>64.849999999999994</v>
      </c>
      <c r="W17" s="9">
        <v>63.39</v>
      </c>
      <c r="X17" s="9">
        <v>59.51</v>
      </c>
      <c r="Y17" s="9">
        <v>85.01</v>
      </c>
      <c r="Z17" s="9">
        <v>38.99</v>
      </c>
      <c r="AA17" s="9"/>
      <c r="AB17" s="9">
        <v>84.17</v>
      </c>
      <c r="AC17" s="9">
        <v>77.3</v>
      </c>
      <c r="AD17" s="9">
        <v>88.91</v>
      </c>
      <c r="AE17" s="9">
        <v>89.71</v>
      </c>
      <c r="AF17" s="9">
        <v>77.459999999999994</v>
      </c>
      <c r="AG17" s="9"/>
      <c r="AH17" s="9"/>
      <c r="AI17" s="9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</row>
    <row r="18" spans="1:109" s="1" customFormat="1" x14ac:dyDescent="0.25">
      <c r="A18" s="7"/>
      <c r="B18" s="8" t="s">
        <v>11</v>
      </c>
      <c r="C18" s="4" t="s">
        <v>6</v>
      </c>
      <c r="D18" s="5">
        <f t="shared" si="2"/>
        <v>1821.5500000019999</v>
      </c>
      <c r="E18" s="9">
        <v>36.130000000000003</v>
      </c>
      <c r="F18" s="9"/>
      <c r="G18" s="9">
        <v>101.77</v>
      </c>
      <c r="H18" s="9">
        <v>82.95</v>
      </c>
      <c r="I18" s="9">
        <v>72.27</v>
      </c>
      <c r="J18" s="9">
        <v>67.349999999999994</v>
      </c>
      <c r="K18" s="9">
        <v>26.75</v>
      </c>
      <c r="L18" s="9">
        <v>1.0000000000000001E-9</v>
      </c>
      <c r="M18" s="9">
        <v>1.0000000000000001E-9</v>
      </c>
      <c r="N18" s="9">
        <v>73.709999999999994</v>
      </c>
      <c r="O18" s="9">
        <v>67.87</v>
      </c>
      <c r="P18" s="9">
        <v>71.75</v>
      </c>
      <c r="Q18" s="9">
        <v>71.16</v>
      </c>
      <c r="R18" s="9">
        <v>94.83</v>
      </c>
      <c r="S18" s="9">
        <v>92.96</v>
      </c>
      <c r="T18" s="9">
        <v>85.42</v>
      </c>
      <c r="U18" s="9">
        <v>92.78</v>
      </c>
      <c r="V18" s="9">
        <v>86.18</v>
      </c>
      <c r="W18" s="9">
        <v>66.58</v>
      </c>
      <c r="X18" s="9">
        <f>57.61-0.1</f>
        <v>57.51</v>
      </c>
      <c r="Y18" s="9">
        <v>58.7</v>
      </c>
      <c r="Z18" s="9">
        <v>40.1</v>
      </c>
      <c r="AA18" s="9"/>
      <c r="AB18" s="9">
        <v>98.5</v>
      </c>
      <c r="AC18" s="9">
        <v>96.59</v>
      </c>
      <c r="AD18" s="9">
        <v>75.19</v>
      </c>
      <c r="AE18" s="9">
        <v>103.07</v>
      </c>
      <c r="AF18" s="9">
        <v>101.43</v>
      </c>
      <c r="AG18" s="9"/>
      <c r="AH18" s="9"/>
      <c r="AI18" s="9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</row>
    <row r="19" spans="1:109" s="1" customFormat="1" ht="15.75" thickBot="1" x14ac:dyDescent="0.3">
      <c r="A19" s="7"/>
      <c r="B19" s="8" t="s">
        <v>12</v>
      </c>
      <c r="C19" s="4" t="s">
        <v>6</v>
      </c>
      <c r="D19" s="29">
        <f>SUM(E19:AI19)</f>
        <v>1184.420000003</v>
      </c>
      <c r="E19" s="9"/>
      <c r="F19" s="9"/>
      <c r="G19" s="9">
        <v>46.88</v>
      </c>
      <c r="H19" s="9">
        <v>48.63</v>
      </c>
      <c r="I19" s="9">
        <v>53.76</v>
      </c>
      <c r="J19" s="9">
        <v>51.89</v>
      </c>
      <c r="K19" s="9">
        <v>56.23</v>
      </c>
      <c r="L19" s="9">
        <v>1.0000000000000001E-9</v>
      </c>
      <c r="M19" s="9">
        <v>1.0000000000000001E-9</v>
      </c>
      <c r="N19" s="9">
        <v>60.39</v>
      </c>
      <c r="O19" s="9">
        <v>60.92</v>
      </c>
      <c r="P19" s="9">
        <v>59.12</v>
      </c>
      <c r="Q19" s="9">
        <v>61.58</v>
      </c>
      <c r="R19" s="9">
        <v>61.39</v>
      </c>
      <c r="S19" s="9">
        <v>51.43</v>
      </c>
      <c r="T19" s="9">
        <v>1.0000000000000001E-9</v>
      </c>
      <c r="U19" s="9">
        <v>56.06</v>
      </c>
      <c r="V19" s="9">
        <v>51.76</v>
      </c>
      <c r="W19" s="9">
        <v>54.34</v>
      </c>
      <c r="X19" s="9">
        <f>39.37-1.17</f>
        <v>38.199999999999996</v>
      </c>
      <c r="Y19" s="9">
        <v>47.77</v>
      </c>
      <c r="Z19" s="9">
        <v>52.32</v>
      </c>
      <c r="AA19" s="9"/>
      <c r="AB19" s="9">
        <v>59.73</v>
      </c>
      <c r="AC19" s="9">
        <v>56.48</v>
      </c>
      <c r="AD19" s="9">
        <v>52.24</v>
      </c>
      <c r="AE19" s="9">
        <v>55.35</v>
      </c>
      <c r="AF19" s="9">
        <v>47.95</v>
      </c>
      <c r="AG19" s="9"/>
      <c r="AH19" s="9"/>
      <c r="AI19" s="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</row>
    <row r="21" spans="1:109" ht="21" x14ac:dyDescent="0.35">
      <c r="A21" s="27" t="s">
        <v>15</v>
      </c>
    </row>
    <row r="22" spans="1:109" s="1" customFormat="1" ht="20.25" x14ac:dyDescent="0.25">
      <c r="A22" s="2" t="s">
        <v>4</v>
      </c>
      <c r="B22" s="3" t="s">
        <v>5</v>
      </c>
      <c r="C22" s="4" t="s">
        <v>6</v>
      </c>
      <c r="D22" s="5">
        <f t="shared" ref="D22:D27" si="4">SUM(E22:AI22)</f>
        <v>10488.06</v>
      </c>
      <c r="E22" s="6">
        <f>SUM(E23:E28)</f>
        <v>1.36</v>
      </c>
      <c r="F22" s="6">
        <f t="shared" ref="F22:AI22" si="5">SUM(F23:F28)</f>
        <v>0</v>
      </c>
      <c r="G22" s="6">
        <f t="shared" si="5"/>
        <v>738.04000000000008</v>
      </c>
      <c r="H22" s="6">
        <f t="shared" si="5"/>
        <v>513.2700000000001</v>
      </c>
      <c r="I22" s="6">
        <f t="shared" si="5"/>
        <v>547.46</v>
      </c>
      <c r="J22" s="6">
        <f t="shared" si="5"/>
        <v>477.15000000000003</v>
      </c>
      <c r="K22" s="6">
        <f t="shared" si="5"/>
        <v>346.03999999999996</v>
      </c>
      <c r="L22" s="6">
        <f t="shared" si="5"/>
        <v>0</v>
      </c>
      <c r="M22" s="6">
        <f t="shared" si="5"/>
        <v>0</v>
      </c>
      <c r="N22" s="6">
        <f t="shared" si="5"/>
        <v>745.19</v>
      </c>
      <c r="O22" s="6">
        <f t="shared" si="5"/>
        <v>520.11</v>
      </c>
      <c r="P22" s="6">
        <f t="shared" si="5"/>
        <v>469.28</v>
      </c>
      <c r="Q22" s="6">
        <f t="shared" si="5"/>
        <v>470.15</v>
      </c>
      <c r="R22" s="6">
        <f t="shared" si="5"/>
        <v>464.08</v>
      </c>
      <c r="S22" s="6">
        <f t="shared" si="5"/>
        <v>0</v>
      </c>
      <c r="T22" s="6">
        <f t="shared" si="5"/>
        <v>0</v>
      </c>
      <c r="U22" s="6">
        <f t="shared" si="5"/>
        <v>930.33999999999992</v>
      </c>
      <c r="V22" s="6">
        <f t="shared" si="5"/>
        <v>1021.3299999999999</v>
      </c>
      <c r="W22" s="6">
        <f t="shared" si="5"/>
        <v>927.93999999999994</v>
      </c>
      <c r="X22" s="6">
        <f t="shared" si="5"/>
        <v>319.15999999999997</v>
      </c>
      <c r="Y22" s="6">
        <f t="shared" si="5"/>
        <v>0</v>
      </c>
      <c r="Z22" s="6">
        <f t="shared" si="5"/>
        <v>0</v>
      </c>
      <c r="AA22" s="6">
        <f t="shared" si="5"/>
        <v>0</v>
      </c>
      <c r="AB22" s="6">
        <f t="shared" si="5"/>
        <v>554.78</v>
      </c>
      <c r="AC22" s="6">
        <f t="shared" si="5"/>
        <v>487.48</v>
      </c>
      <c r="AD22" s="6">
        <f t="shared" si="5"/>
        <v>404.39</v>
      </c>
      <c r="AE22" s="6">
        <f t="shared" si="5"/>
        <v>0.54</v>
      </c>
      <c r="AF22" s="6">
        <f t="shared" si="5"/>
        <v>0</v>
      </c>
      <c r="AG22" s="6">
        <f t="shared" si="5"/>
        <v>0</v>
      </c>
      <c r="AH22" s="6">
        <f t="shared" si="5"/>
        <v>0</v>
      </c>
      <c r="AI22" s="6">
        <f t="shared" si="5"/>
        <v>549.97</v>
      </c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</row>
    <row r="23" spans="1:109" s="1" customFormat="1" x14ac:dyDescent="0.25">
      <c r="A23" s="7"/>
      <c r="B23" s="8" t="s">
        <v>7</v>
      </c>
      <c r="C23" s="4" t="s">
        <v>6</v>
      </c>
      <c r="D23" s="5">
        <f t="shared" si="4"/>
        <v>659.78000000000009</v>
      </c>
      <c r="E23" s="9"/>
      <c r="F23" s="9"/>
      <c r="G23" s="9">
        <v>44.39</v>
      </c>
      <c r="H23" s="9">
        <v>30.42</v>
      </c>
      <c r="I23" s="9">
        <v>27.93</v>
      </c>
      <c r="J23" s="9">
        <v>30.22</v>
      </c>
      <c r="K23" s="9">
        <v>17.87</v>
      </c>
      <c r="L23" s="9"/>
      <c r="M23" s="9"/>
      <c r="N23" s="9">
        <v>40.86</v>
      </c>
      <c r="O23" s="9">
        <v>38.9</v>
      </c>
      <c r="P23" s="9">
        <v>42.3</v>
      </c>
      <c r="Q23" s="9">
        <v>44.19</v>
      </c>
      <c r="R23" s="9">
        <v>24.28</v>
      </c>
      <c r="S23" s="9"/>
      <c r="T23" s="9"/>
      <c r="U23" s="9">
        <v>50.62</v>
      </c>
      <c r="V23" s="9">
        <v>76.02</v>
      </c>
      <c r="W23" s="9">
        <v>68.12</v>
      </c>
      <c r="X23" s="9">
        <f>25.23+0.06</f>
        <v>25.29</v>
      </c>
      <c r="Y23" s="9"/>
      <c r="Z23" s="9"/>
      <c r="AA23" s="9"/>
      <c r="AB23" s="9">
        <v>30.84</v>
      </c>
      <c r="AC23" s="9">
        <v>22.48</v>
      </c>
      <c r="AD23" s="9">
        <v>8.6999999999999993</v>
      </c>
      <c r="AE23" s="9"/>
      <c r="AF23" s="9"/>
      <c r="AG23" s="9"/>
      <c r="AH23" s="9"/>
      <c r="AI23" s="9">
        <v>36.35</v>
      </c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</row>
    <row r="24" spans="1:109" s="1" customFormat="1" x14ac:dyDescent="0.25">
      <c r="A24" s="7"/>
      <c r="B24" s="8" t="s">
        <v>8</v>
      </c>
      <c r="C24" s="4" t="s">
        <v>6</v>
      </c>
      <c r="D24" s="5">
        <f t="shared" si="4"/>
        <v>3766.3000000000006</v>
      </c>
      <c r="E24" s="9">
        <v>1.36</v>
      </c>
      <c r="F24" s="9"/>
      <c r="G24" s="9">
        <v>313.75</v>
      </c>
      <c r="H24" s="9">
        <v>142.30000000000001</v>
      </c>
      <c r="I24" s="9">
        <v>168.9</v>
      </c>
      <c r="J24" s="9">
        <v>134.80000000000001</v>
      </c>
      <c r="K24" s="9">
        <v>135.97</v>
      </c>
      <c r="L24" s="9"/>
      <c r="M24" s="9"/>
      <c r="N24" s="9">
        <v>315.74</v>
      </c>
      <c r="O24" s="9">
        <v>168.52</v>
      </c>
      <c r="P24" s="9">
        <v>142.41999999999999</v>
      </c>
      <c r="Q24" s="9">
        <v>140.51</v>
      </c>
      <c r="R24" s="9">
        <v>136.13999999999999</v>
      </c>
      <c r="S24" s="9"/>
      <c r="T24" s="9"/>
      <c r="U24" s="9">
        <v>385.77</v>
      </c>
      <c r="V24" s="9">
        <v>428.6</v>
      </c>
      <c r="W24" s="9">
        <v>347.77</v>
      </c>
      <c r="X24" s="9">
        <v>89.42</v>
      </c>
      <c r="Y24" s="9"/>
      <c r="Z24" s="9"/>
      <c r="AA24" s="9"/>
      <c r="AB24" s="9">
        <v>215.57</v>
      </c>
      <c r="AC24" s="9">
        <v>142.54</v>
      </c>
      <c r="AD24" s="9">
        <v>122.26</v>
      </c>
      <c r="AE24" s="9"/>
      <c r="AF24" s="9"/>
      <c r="AG24" s="9"/>
      <c r="AH24" s="9"/>
      <c r="AI24" s="9">
        <v>233.96</v>
      </c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</row>
    <row r="25" spans="1:109" s="1" customFormat="1" x14ac:dyDescent="0.25">
      <c r="A25" s="7"/>
      <c r="B25" s="8" t="s">
        <v>9</v>
      </c>
      <c r="C25" s="4" t="s">
        <v>6</v>
      </c>
      <c r="D25" s="5">
        <f>SUM(E25:AI25)</f>
        <v>2894.6699999999996</v>
      </c>
      <c r="E25" s="9"/>
      <c r="F25" s="9"/>
      <c r="G25" s="9">
        <v>195.74</v>
      </c>
      <c r="H25" s="9">
        <v>177.83</v>
      </c>
      <c r="I25" s="9">
        <v>183.21</v>
      </c>
      <c r="J25" s="9">
        <v>154.83000000000001</v>
      </c>
      <c r="K25" s="9">
        <v>80.77</v>
      </c>
      <c r="L25" s="9"/>
      <c r="M25" s="9"/>
      <c r="N25" s="9">
        <v>173.57</v>
      </c>
      <c r="O25" s="9">
        <v>167.06</v>
      </c>
      <c r="P25" s="9">
        <v>162.65</v>
      </c>
      <c r="Q25" s="9">
        <v>171.68</v>
      </c>
      <c r="R25" s="9">
        <v>104.22</v>
      </c>
      <c r="S25" s="9"/>
      <c r="T25" s="9"/>
      <c r="U25" s="9">
        <v>240.51</v>
      </c>
      <c r="V25" s="9">
        <v>245.79</v>
      </c>
      <c r="W25" s="9">
        <v>251.5</v>
      </c>
      <c r="X25" s="9">
        <v>67.41</v>
      </c>
      <c r="Y25" s="9"/>
      <c r="Z25" s="9"/>
      <c r="AA25" s="9"/>
      <c r="AB25" s="9">
        <v>163.76</v>
      </c>
      <c r="AC25" s="9">
        <v>147.11000000000001</v>
      </c>
      <c r="AD25" s="9">
        <v>79.489999999999995</v>
      </c>
      <c r="AE25" s="9"/>
      <c r="AF25" s="9"/>
      <c r="AG25" s="9"/>
      <c r="AH25" s="9"/>
      <c r="AI25" s="9">
        <v>127.54</v>
      </c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</row>
    <row r="26" spans="1:109" s="1" customFormat="1" ht="16.5" customHeight="1" x14ac:dyDescent="0.25">
      <c r="A26" s="7"/>
      <c r="B26" s="8" t="s">
        <v>10</v>
      </c>
      <c r="C26" s="4" t="s">
        <v>6</v>
      </c>
      <c r="D26" s="5">
        <f t="shared" si="4"/>
        <v>1229.1099999999999</v>
      </c>
      <c r="E26" s="9"/>
      <c r="F26" s="9"/>
      <c r="G26" s="9">
        <v>57.07</v>
      </c>
      <c r="H26" s="9">
        <v>57.72</v>
      </c>
      <c r="I26" s="9">
        <v>63.69</v>
      </c>
      <c r="J26" s="9">
        <v>77.489999999999995</v>
      </c>
      <c r="K26" s="9">
        <v>41.03</v>
      </c>
      <c r="L26" s="9"/>
      <c r="M26" s="9"/>
      <c r="N26" s="9">
        <v>79.13</v>
      </c>
      <c r="O26" s="9">
        <f>55.59-0.26</f>
        <v>55.330000000000005</v>
      </c>
      <c r="P26" s="9">
        <v>53.02</v>
      </c>
      <c r="Q26" s="9">
        <v>48.26</v>
      </c>
      <c r="R26" s="9">
        <v>93.31</v>
      </c>
      <c r="S26" s="9"/>
      <c r="T26" s="9"/>
      <c r="U26" s="9">
        <v>99.75</v>
      </c>
      <c r="V26" s="9">
        <v>103.01</v>
      </c>
      <c r="W26" s="9">
        <v>90.35</v>
      </c>
      <c r="X26" s="9">
        <f>48.43+0.64</f>
        <v>49.07</v>
      </c>
      <c r="Y26" s="9"/>
      <c r="Z26" s="9"/>
      <c r="AA26" s="9"/>
      <c r="AB26" s="9">
        <v>72.59</v>
      </c>
      <c r="AC26" s="9">
        <v>76.55</v>
      </c>
      <c r="AD26" s="9">
        <v>63.71</v>
      </c>
      <c r="AE26" s="9"/>
      <c r="AF26" s="9"/>
      <c r="AG26" s="9"/>
      <c r="AH26" s="9"/>
      <c r="AI26" s="9">
        <v>48.03</v>
      </c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</row>
    <row r="27" spans="1:109" s="1" customFormat="1" x14ac:dyDescent="0.25">
      <c r="A27" s="7"/>
      <c r="B27" s="8" t="s">
        <v>11</v>
      </c>
      <c r="C27" s="4" t="s">
        <v>6</v>
      </c>
      <c r="D27" s="5">
        <f t="shared" si="4"/>
        <v>1219.05</v>
      </c>
      <c r="E27" s="9"/>
      <c r="F27" s="9"/>
      <c r="G27" s="9">
        <v>82.18</v>
      </c>
      <c r="H27" s="9">
        <v>62.11</v>
      </c>
      <c r="I27" s="9">
        <v>62.54</v>
      </c>
      <c r="J27" s="9">
        <v>42.92</v>
      </c>
      <c r="K27" s="9">
        <v>33.9</v>
      </c>
      <c r="L27" s="9"/>
      <c r="M27" s="9"/>
      <c r="N27" s="9">
        <v>94.79</v>
      </c>
      <c r="O27" s="9">
        <v>68.540000000000006</v>
      </c>
      <c r="P27" s="9">
        <v>48.18</v>
      </c>
      <c r="Q27" s="9">
        <v>40.79</v>
      </c>
      <c r="R27" s="9">
        <v>61.24</v>
      </c>
      <c r="S27" s="9"/>
      <c r="T27" s="9"/>
      <c r="U27" s="9">
        <v>107.63</v>
      </c>
      <c r="V27" s="9">
        <v>120.55</v>
      </c>
      <c r="W27" s="9">
        <v>120.82</v>
      </c>
      <c r="X27" s="9">
        <v>41.56</v>
      </c>
      <c r="Y27" s="9"/>
      <c r="Z27" s="9"/>
      <c r="AA27" s="9"/>
      <c r="AB27" s="9">
        <v>38.090000000000003</v>
      </c>
      <c r="AC27" s="9">
        <v>55.52</v>
      </c>
      <c r="AD27" s="9">
        <f>81.09+0.12</f>
        <v>81.210000000000008</v>
      </c>
      <c r="AE27" s="9">
        <v>0.54</v>
      </c>
      <c r="AF27" s="9"/>
      <c r="AG27" s="9"/>
      <c r="AH27" s="9"/>
      <c r="AI27" s="9">
        <f>55.4+0.54</f>
        <v>55.94</v>
      </c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</row>
    <row r="28" spans="1:109" s="1" customFormat="1" ht="15.75" thickBot="1" x14ac:dyDescent="0.3">
      <c r="A28" s="7"/>
      <c r="B28" s="8" t="s">
        <v>12</v>
      </c>
      <c r="C28" s="4" t="s">
        <v>6</v>
      </c>
      <c r="D28" s="29">
        <f>SUM(E28:AI28)</f>
        <v>719.14999999999986</v>
      </c>
      <c r="E28" s="9"/>
      <c r="F28" s="9"/>
      <c r="G28" s="9">
        <v>44.91</v>
      </c>
      <c r="H28" s="9">
        <v>42.89</v>
      </c>
      <c r="I28" s="9">
        <v>41.19</v>
      </c>
      <c r="J28" s="9">
        <v>36.89</v>
      </c>
      <c r="K28" s="9">
        <v>36.5</v>
      </c>
      <c r="L28" s="9"/>
      <c r="M28" s="9"/>
      <c r="N28" s="9">
        <v>41.1</v>
      </c>
      <c r="O28" s="9">
        <v>21.76</v>
      </c>
      <c r="P28" s="9">
        <v>20.71</v>
      </c>
      <c r="Q28" s="9">
        <v>24.72</v>
      </c>
      <c r="R28" s="9">
        <v>44.89</v>
      </c>
      <c r="S28" s="9"/>
      <c r="T28" s="9"/>
      <c r="U28" s="9">
        <v>46.06</v>
      </c>
      <c r="V28" s="9">
        <v>47.36</v>
      </c>
      <c r="W28" s="9">
        <v>49.38</v>
      </c>
      <c r="X28" s="9">
        <v>46.41</v>
      </c>
      <c r="Y28" s="9"/>
      <c r="Z28" s="9"/>
      <c r="AA28" s="9"/>
      <c r="AB28" s="9">
        <v>33.93</v>
      </c>
      <c r="AC28" s="9">
        <f>47-3.72</f>
        <v>43.28</v>
      </c>
      <c r="AD28" s="9">
        <v>49.02</v>
      </c>
      <c r="AE28" s="9"/>
      <c r="AF28" s="9"/>
      <c r="AG28" s="9"/>
      <c r="AH28" s="9"/>
      <c r="AI28" s="9">
        <v>48.15</v>
      </c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</row>
    <row r="30" spans="1:109" ht="21" x14ac:dyDescent="0.35">
      <c r="A30" s="27" t="s">
        <v>16</v>
      </c>
    </row>
    <row r="31" spans="1:109" s="1" customFormat="1" ht="20.25" x14ac:dyDescent="0.25">
      <c r="A31" s="2" t="s">
        <v>4</v>
      </c>
      <c r="B31" s="3" t="s">
        <v>5</v>
      </c>
      <c r="C31" s="4" t="s">
        <v>6</v>
      </c>
      <c r="D31" s="5">
        <f t="shared" ref="D31:D36" si="6">SUM(E31:AI31)</f>
        <v>10079.08</v>
      </c>
      <c r="E31" s="6">
        <f>SUM(E32:E37)</f>
        <v>555.01</v>
      </c>
      <c r="F31" s="6">
        <f t="shared" ref="F31:AI31" si="7">SUM(F32:F37)</f>
        <v>482.86</v>
      </c>
      <c r="G31" s="6">
        <f t="shared" si="7"/>
        <v>421.62</v>
      </c>
      <c r="H31" s="6">
        <f t="shared" si="7"/>
        <v>446.40000000000009</v>
      </c>
      <c r="I31" s="6">
        <f t="shared" si="7"/>
        <v>0</v>
      </c>
      <c r="J31" s="6">
        <f t="shared" si="7"/>
        <v>0</v>
      </c>
      <c r="K31" s="6">
        <f t="shared" si="7"/>
        <v>508.42999999999995</v>
      </c>
      <c r="L31" s="6">
        <f t="shared" si="7"/>
        <v>510.15999999999997</v>
      </c>
      <c r="M31" s="6">
        <f t="shared" si="7"/>
        <v>523.75</v>
      </c>
      <c r="N31" s="6">
        <f t="shared" si="7"/>
        <v>472.03</v>
      </c>
      <c r="O31" s="6">
        <f t="shared" si="7"/>
        <v>474.46999999999997</v>
      </c>
      <c r="P31" s="6">
        <f t="shared" si="7"/>
        <v>0</v>
      </c>
      <c r="Q31" s="6">
        <f t="shared" si="7"/>
        <v>0</v>
      </c>
      <c r="R31" s="6">
        <f t="shared" si="7"/>
        <v>556.16999999999996</v>
      </c>
      <c r="S31" s="6">
        <f t="shared" si="7"/>
        <v>503.76</v>
      </c>
      <c r="T31" s="6">
        <f t="shared" si="7"/>
        <v>483.15</v>
      </c>
      <c r="U31" s="6">
        <f t="shared" si="7"/>
        <v>386.11</v>
      </c>
      <c r="V31" s="6">
        <f t="shared" si="7"/>
        <v>377.32</v>
      </c>
      <c r="W31" s="6">
        <f t="shared" si="7"/>
        <v>0</v>
      </c>
      <c r="X31" s="6">
        <f t="shared" si="7"/>
        <v>0</v>
      </c>
      <c r="Y31" s="6">
        <f t="shared" si="7"/>
        <v>490.38999999999993</v>
      </c>
      <c r="Z31" s="6">
        <f t="shared" si="7"/>
        <v>537.63999999999987</v>
      </c>
      <c r="AA31" s="6">
        <f t="shared" si="7"/>
        <v>501.62</v>
      </c>
      <c r="AB31" s="6">
        <f t="shared" si="7"/>
        <v>391.67999999999995</v>
      </c>
      <c r="AC31" s="6">
        <f t="shared" si="7"/>
        <v>501.28999999999996</v>
      </c>
      <c r="AD31" s="6">
        <f t="shared" si="7"/>
        <v>0</v>
      </c>
      <c r="AE31" s="6">
        <f t="shared" si="7"/>
        <v>0</v>
      </c>
      <c r="AF31" s="6">
        <f t="shared" si="7"/>
        <v>509.25</v>
      </c>
      <c r="AG31" s="6">
        <f t="shared" si="7"/>
        <v>443.81</v>
      </c>
      <c r="AH31" s="6">
        <f t="shared" si="7"/>
        <v>2.16</v>
      </c>
      <c r="AI31" s="6">
        <f t="shared" si="7"/>
        <v>0</v>
      </c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</row>
    <row r="32" spans="1:109" s="1" customFormat="1" x14ac:dyDescent="0.25">
      <c r="A32" s="7"/>
      <c r="B32" s="8" t="s">
        <v>7</v>
      </c>
      <c r="C32" s="4" t="s">
        <v>6</v>
      </c>
      <c r="D32" s="5">
        <f t="shared" si="6"/>
        <v>790.72000000000014</v>
      </c>
      <c r="E32" s="9">
        <v>40.090000000000003</v>
      </c>
      <c r="F32" s="9">
        <v>37.700000000000003</v>
      </c>
      <c r="G32" s="9">
        <v>23.74</v>
      </c>
      <c r="H32" s="9">
        <v>20.260000000000002</v>
      </c>
      <c r="I32" s="9"/>
      <c r="J32" s="9"/>
      <c r="K32" s="9">
        <v>32.65</v>
      </c>
      <c r="L32" s="9">
        <v>45.49</v>
      </c>
      <c r="M32" s="9">
        <v>50.21</v>
      </c>
      <c r="N32" s="9">
        <v>48.05</v>
      </c>
      <c r="O32" s="9">
        <v>36.94</v>
      </c>
      <c r="P32" s="9"/>
      <c r="Q32" s="9"/>
      <c r="R32" s="9">
        <v>55.42</v>
      </c>
      <c r="S32" s="9">
        <v>53.38</v>
      </c>
      <c r="T32" s="9">
        <v>46.12</v>
      </c>
      <c r="U32" s="9">
        <v>38.229999999999997</v>
      </c>
      <c r="V32" s="9">
        <v>29.75</v>
      </c>
      <c r="W32" s="9"/>
      <c r="X32" s="9"/>
      <c r="Y32" s="9">
        <v>43.44</v>
      </c>
      <c r="Z32" s="9">
        <v>41.19</v>
      </c>
      <c r="AA32" s="9">
        <v>33.51</v>
      </c>
      <c r="AB32" s="9">
        <v>26.63</v>
      </c>
      <c r="AC32" s="9">
        <v>26.95</v>
      </c>
      <c r="AD32" s="9"/>
      <c r="AE32" s="9"/>
      <c r="AF32" s="9">
        <v>34.64</v>
      </c>
      <c r="AG32" s="9">
        <v>26.33</v>
      </c>
      <c r="AH32" s="9"/>
      <c r="AI32" s="9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</row>
    <row r="33" spans="1:109" s="1" customFormat="1" x14ac:dyDescent="0.25">
      <c r="A33" s="7"/>
      <c r="B33" s="8" t="s">
        <v>8</v>
      </c>
      <c r="C33" s="4" t="s">
        <v>6</v>
      </c>
      <c r="D33" s="5">
        <f t="shared" si="6"/>
        <v>3866.8800000000006</v>
      </c>
      <c r="E33" s="9">
        <v>208.05</v>
      </c>
      <c r="F33" s="9">
        <v>171.05</v>
      </c>
      <c r="G33" s="9">
        <v>145.44999999999999</v>
      </c>
      <c r="H33" s="9">
        <v>163.54</v>
      </c>
      <c r="I33" s="9"/>
      <c r="J33" s="9"/>
      <c r="K33" s="9">
        <v>230.68</v>
      </c>
      <c r="L33" s="9">
        <v>210.19</v>
      </c>
      <c r="M33" s="9">
        <v>228.05</v>
      </c>
      <c r="N33" s="9">
        <v>186.13</v>
      </c>
      <c r="O33" s="9">
        <v>184.2</v>
      </c>
      <c r="P33" s="9"/>
      <c r="Q33" s="9"/>
      <c r="R33" s="9">
        <v>210.01</v>
      </c>
      <c r="S33" s="9">
        <v>176.57</v>
      </c>
      <c r="T33" s="9">
        <v>175.05</v>
      </c>
      <c r="U33" s="9">
        <v>133.03</v>
      </c>
      <c r="V33" s="9">
        <v>158.49</v>
      </c>
      <c r="W33" s="9"/>
      <c r="X33" s="9"/>
      <c r="Y33" s="9">
        <v>173.95</v>
      </c>
      <c r="Z33" s="9">
        <v>218.76</v>
      </c>
      <c r="AA33" s="9">
        <v>185.46</v>
      </c>
      <c r="AB33" s="9">
        <v>130.97999999999999</v>
      </c>
      <c r="AC33" s="9">
        <v>231.47</v>
      </c>
      <c r="AD33" s="9"/>
      <c r="AE33" s="9"/>
      <c r="AF33" s="9">
        <v>197.99</v>
      </c>
      <c r="AG33" s="9">
        <v>147.78</v>
      </c>
      <c r="AH33" s="9"/>
      <c r="AI33" s="9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</row>
    <row r="34" spans="1:109" s="1" customFormat="1" x14ac:dyDescent="0.25">
      <c r="A34" s="7"/>
      <c r="B34" s="8" t="s">
        <v>9</v>
      </c>
      <c r="C34" s="4" t="s">
        <v>6</v>
      </c>
      <c r="D34" s="5">
        <f>SUM(E34:AI34)</f>
        <v>2603.8200000000002</v>
      </c>
      <c r="E34" s="9">
        <v>130.59</v>
      </c>
      <c r="F34" s="9">
        <v>130.06</v>
      </c>
      <c r="G34" s="9">
        <v>126.29</v>
      </c>
      <c r="H34" s="9">
        <v>137.55000000000001</v>
      </c>
      <c r="I34" s="9"/>
      <c r="J34" s="9"/>
      <c r="K34" s="9">
        <f>124.58-8.46</f>
        <v>116.12</v>
      </c>
      <c r="L34" s="9">
        <v>127.43</v>
      </c>
      <c r="M34" s="9">
        <v>127.43</v>
      </c>
      <c r="N34" s="9">
        <v>129.46</v>
      </c>
      <c r="O34" s="9">
        <v>109.26</v>
      </c>
      <c r="P34" s="9"/>
      <c r="Q34" s="9"/>
      <c r="R34" s="9">
        <v>131.05000000000001</v>
      </c>
      <c r="S34" s="9">
        <v>121.51</v>
      </c>
      <c r="T34" s="9">
        <v>125.57</v>
      </c>
      <c r="U34" s="9">
        <v>102.3</v>
      </c>
      <c r="V34" s="9">
        <v>110.39</v>
      </c>
      <c r="W34" s="9"/>
      <c r="X34" s="9"/>
      <c r="Y34" s="9">
        <v>124.82</v>
      </c>
      <c r="Z34" s="9">
        <v>132.72</v>
      </c>
      <c r="AA34" s="9">
        <v>143.31</v>
      </c>
      <c r="AB34" s="9">
        <v>131.05000000000001</v>
      </c>
      <c r="AC34" s="9">
        <v>93.47</v>
      </c>
      <c r="AD34" s="9"/>
      <c r="AE34" s="9"/>
      <c r="AF34" s="9">
        <v>120.19</v>
      </c>
      <c r="AG34" s="9">
        <v>133.25</v>
      </c>
      <c r="AH34" s="9"/>
      <c r="AI34" s="9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</row>
    <row r="35" spans="1:109" s="1" customFormat="1" ht="16.5" customHeight="1" x14ac:dyDescent="0.25">
      <c r="A35" s="7"/>
      <c r="B35" s="8" t="s">
        <v>10</v>
      </c>
      <c r="C35" s="4" t="s">
        <v>6</v>
      </c>
      <c r="D35" s="5">
        <f t="shared" si="6"/>
        <v>1016.5300000000002</v>
      </c>
      <c r="E35" s="9">
        <v>74.33</v>
      </c>
      <c r="F35" s="9">
        <v>48.26</v>
      </c>
      <c r="G35" s="9">
        <v>42.89</v>
      </c>
      <c r="H35" s="9">
        <v>44.59</v>
      </c>
      <c r="I35" s="9"/>
      <c r="J35" s="9"/>
      <c r="K35" s="9">
        <v>48.2</v>
      </c>
      <c r="L35" s="9">
        <v>41.15</v>
      </c>
      <c r="M35" s="9">
        <v>40.43</v>
      </c>
      <c r="N35" s="9">
        <v>35.49</v>
      </c>
      <c r="O35" s="9">
        <v>44.6</v>
      </c>
      <c r="P35" s="9"/>
      <c r="Q35" s="9"/>
      <c r="R35" s="9">
        <v>51.63</v>
      </c>
      <c r="S35" s="9">
        <v>49.42</v>
      </c>
      <c r="T35" s="9">
        <v>42.41</v>
      </c>
      <c r="U35" s="9">
        <v>39.200000000000003</v>
      </c>
      <c r="V35" s="9">
        <v>32.35</v>
      </c>
      <c r="W35" s="9"/>
      <c r="X35" s="9"/>
      <c r="Y35" s="9">
        <v>58.09</v>
      </c>
      <c r="Z35" s="9">
        <v>58.21</v>
      </c>
      <c r="AA35" s="9">
        <v>53.34</v>
      </c>
      <c r="AB35" s="9">
        <v>43.19</v>
      </c>
      <c r="AC35" s="9">
        <v>50.71</v>
      </c>
      <c r="AD35" s="9"/>
      <c r="AE35" s="9"/>
      <c r="AF35" s="9">
        <v>60.27</v>
      </c>
      <c r="AG35" s="9">
        <v>57.77</v>
      </c>
      <c r="AH35" s="9"/>
      <c r="AI35" s="9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</row>
    <row r="36" spans="1:109" s="1" customFormat="1" x14ac:dyDescent="0.25">
      <c r="A36" s="7"/>
      <c r="B36" s="8" t="s">
        <v>11</v>
      </c>
      <c r="C36" s="4" t="s">
        <v>6</v>
      </c>
      <c r="D36" s="5">
        <f t="shared" si="6"/>
        <v>1010.2500000000001</v>
      </c>
      <c r="E36" s="9">
        <v>55.23</v>
      </c>
      <c r="F36" s="9">
        <v>50.86</v>
      </c>
      <c r="G36" s="9">
        <v>49.14</v>
      </c>
      <c r="H36" s="9">
        <v>43.85</v>
      </c>
      <c r="I36" s="9"/>
      <c r="J36" s="9"/>
      <c r="K36" s="9">
        <v>51.07</v>
      </c>
      <c r="L36" s="9">
        <v>52.28</v>
      </c>
      <c r="M36" s="9">
        <v>48.91</v>
      </c>
      <c r="N36" s="9">
        <v>41.32</v>
      </c>
      <c r="O36" s="9">
        <v>60.52</v>
      </c>
      <c r="P36" s="9"/>
      <c r="Q36" s="9"/>
      <c r="R36" s="9">
        <v>65.91</v>
      </c>
      <c r="S36" s="9">
        <v>61.14</v>
      </c>
      <c r="T36" s="9">
        <v>54.33</v>
      </c>
      <c r="U36" s="9">
        <v>33.67</v>
      </c>
      <c r="V36" s="9">
        <v>20.02</v>
      </c>
      <c r="W36" s="9"/>
      <c r="X36" s="9"/>
      <c r="Y36" s="9">
        <v>49.95</v>
      </c>
      <c r="Z36" s="9">
        <v>49.59</v>
      </c>
      <c r="AA36" s="9">
        <v>48.42</v>
      </c>
      <c r="AB36" s="9">
        <f>21.84-0.64</f>
        <v>21.2</v>
      </c>
      <c r="AC36" s="9">
        <v>53.85</v>
      </c>
      <c r="AD36" s="9"/>
      <c r="AE36" s="9"/>
      <c r="AF36" s="9">
        <v>55.88</v>
      </c>
      <c r="AG36" s="9">
        <v>43.11</v>
      </c>
      <c r="AH36" s="9"/>
      <c r="AI36" s="9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</row>
    <row r="37" spans="1:109" s="1" customFormat="1" ht="15.75" thickBot="1" x14ac:dyDescent="0.3">
      <c r="A37" s="7"/>
      <c r="B37" s="8" t="s">
        <v>12</v>
      </c>
      <c r="C37" s="4" t="s">
        <v>6</v>
      </c>
      <c r="D37" s="29">
        <f>SUM(E37:AI37)</f>
        <v>790.88</v>
      </c>
      <c r="E37" s="9">
        <v>46.72</v>
      </c>
      <c r="F37" s="9">
        <v>44.93</v>
      </c>
      <c r="G37" s="9">
        <v>34.11</v>
      </c>
      <c r="H37" s="9">
        <v>36.61</v>
      </c>
      <c r="I37" s="9"/>
      <c r="J37" s="9"/>
      <c r="K37" s="9">
        <v>29.71</v>
      </c>
      <c r="L37" s="9">
        <v>33.619999999999997</v>
      </c>
      <c r="M37" s="9">
        <v>28.72</v>
      </c>
      <c r="N37" s="9">
        <v>31.58</v>
      </c>
      <c r="O37" s="9">
        <v>38.950000000000003</v>
      </c>
      <c r="P37" s="9"/>
      <c r="Q37" s="9"/>
      <c r="R37" s="9">
        <v>42.15</v>
      </c>
      <c r="S37" s="9">
        <v>41.74</v>
      </c>
      <c r="T37" s="9">
        <v>39.67</v>
      </c>
      <c r="U37" s="9">
        <v>39.68</v>
      </c>
      <c r="V37" s="9">
        <v>26.32</v>
      </c>
      <c r="W37" s="9"/>
      <c r="X37" s="9"/>
      <c r="Y37" s="9">
        <v>40.14</v>
      </c>
      <c r="Z37" s="9">
        <v>37.17</v>
      </c>
      <c r="AA37" s="9">
        <v>37.58</v>
      </c>
      <c r="AB37" s="9">
        <v>38.630000000000003</v>
      </c>
      <c r="AC37" s="9">
        <v>44.84</v>
      </c>
      <c r="AD37" s="9"/>
      <c r="AE37" s="9"/>
      <c r="AF37" s="9">
        <v>40.28</v>
      </c>
      <c r="AG37" s="9">
        <f>37.66-2.09</f>
        <v>35.569999999999993</v>
      </c>
      <c r="AH37" s="9">
        <v>2.16</v>
      </c>
      <c r="AI37" s="9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</row>
    <row r="39" spans="1:109" ht="21" x14ac:dyDescent="0.35">
      <c r="A39" s="27" t="s">
        <v>25</v>
      </c>
    </row>
    <row r="40" spans="1:109" s="1" customFormat="1" ht="20.25" x14ac:dyDescent="0.25">
      <c r="A40" s="2" t="s">
        <v>4</v>
      </c>
      <c r="B40" s="3" t="s">
        <v>5</v>
      </c>
      <c r="C40" s="4" t="s">
        <v>6</v>
      </c>
      <c r="D40" s="5">
        <f t="shared" ref="D40:D45" si="8">SUM(E40:AI40)</f>
        <v>8659.5100000000893</v>
      </c>
      <c r="E40" s="6">
        <f>SUM(E41:E46)</f>
        <v>0</v>
      </c>
      <c r="F40" s="6">
        <f t="shared" ref="F40:AI40" si="9">SUM(F41:F46)</f>
        <v>0</v>
      </c>
      <c r="G40" s="6">
        <f t="shared" si="9"/>
        <v>0</v>
      </c>
      <c r="H40" s="6">
        <f t="shared" si="9"/>
        <v>0</v>
      </c>
      <c r="I40" s="6">
        <f t="shared" si="9"/>
        <v>523.20999999999992</v>
      </c>
      <c r="J40" s="6">
        <f t="shared" si="9"/>
        <v>508.08</v>
      </c>
      <c r="K40" s="6">
        <f t="shared" si="9"/>
        <v>1.9000000000400001</v>
      </c>
      <c r="L40" s="6">
        <f t="shared" si="9"/>
        <v>0</v>
      </c>
      <c r="M40" s="6">
        <f t="shared" si="9"/>
        <v>0</v>
      </c>
      <c r="N40" s="6">
        <f t="shared" si="9"/>
        <v>0</v>
      </c>
      <c r="O40" s="6">
        <f t="shared" si="9"/>
        <v>490.53000000000003</v>
      </c>
      <c r="P40" s="6">
        <f t="shared" si="9"/>
        <v>503.74999999999994</v>
      </c>
      <c r="Q40" s="6">
        <f t="shared" si="9"/>
        <v>417.45</v>
      </c>
      <c r="R40" s="6">
        <f t="shared" si="9"/>
        <v>290.03000000000003</v>
      </c>
      <c r="S40" s="6">
        <f t="shared" si="9"/>
        <v>249.3</v>
      </c>
      <c r="T40" s="6">
        <f t="shared" si="9"/>
        <v>334.83000000000999</v>
      </c>
      <c r="U40" s="6">
        <f t="shared" si="9"/>
        <v>0</v>
      </c>
      <c r="V40" s="6">
        <f t="shared" si="9"/>
        <v>0</v>
      </c>
      <c r="W40" s="6">
        <f t="shared" si="9"/>
        <v>477.97999999999996</v>
      </c>
      <c r="X40" s="6">
        <f t="shared" si="9"/>
        <v>446.01</v>
      </c>
      <c r="Y40" s="6">
        <f t="shared" si="9"/>
        <v>393.96999999999997</v>
      </c>
      <c r="Z40" s="6">
        <f t="shared" si="9"/>
        <v>326.95</v>
      </c>
      <c r="AA40" s="6">
        <f t="shared" si="9"/>
        <v>460.48</v>
      </c>
      <c r="AB40" s="6">
        <f t="shared" si="9"/>
        <v>432.96000000000998</v>
      </c>
      <c r="AC40" s="6">
        <f t="shared" si="9"/>
        <v>0</v>
      </c>
      <c r="AD40" s="6">
        <f t="shared" si="9"/>
        <v>523.78</v>
      </c>
      <c r="AE40" s="6">
        <f t="shared" si="9"/>
        <v>494.84000000000003</v>
      </c>
      <c r="AF40" s="6">
        <f t="shared" si="9"/>
        <v>484.46999999999997</v>
      </c>
      <c r="AG40" s="6">
        <f t="shared" si="9"/>
        <v>458.32</v>
      </c>
      <c r="AH40" s="6">
        <f t="shared" si="9"/>
        <v>502.49</v>
      </c>
      <c r="AI40" s="6">
        <f t="shared" si="9"/>
        <v>338.18000000003002</v>
      </c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</row>
    <row r="41" spans="1:109" s="1" customFormat="1" x14ac:dyDescent="0.25">
      <c r="A41" s="7"/>
      <c r="B41" s="8" t="s">
        <v>7</v>
      </c>
      <c r="C41" s="4" t="s">
        <v>6</v>
      </c>
      <c r="D41" s="5">
        <f t="shared" si="8"/>
        <v>822.1100000000099</v>
      </c>
      <c r="E41" s="9"/>
      <c r="F41" s="9"/>
      <c r="G41" s="9"/>
      <c r="H41" s="9"/>
      <c r="I41" s="9">
        <v>39.729999999999997</v>
      </c>
      <c r="J41" s="9">
        <v>34.6</v>
      </c>
      <c r="K41" s="9">
        <v>9.9999999999999994E-12</v>
      </c>
      <c r="L41" s="9"/>
      <c r="M41" s="9"/>
      <c r="N41" s="9"/>
      <c r="O41" s="9">
        <v>40.78</v>
      </c>
      <c r="P41" s="9">
        <v>42.07</v>
      </c>
      <c r="Q41" s="9">
        <v>39.86</v>
      </c>
      <c r="R41" s="9">
        <v>39.32</v>
      </c>
      <c r="S41" s="9">
        <v>20.2</v>
      </c>
      <c r="T41" s="9">
        <v>32.729999999999997</v>
      </c>
      <c r="U41" s="9"/>
      <c r="V41" s="9"/>
      <c r="W41" s="9">
        <v>23.26</v>
      </c>
      <c r="X41" s="9">
        <v>42.57</v>
      </c>
      <c r="Y41" s="9">
        <v>50.15</v>
      </c>
      <c r="Z41" s="9">
        <v>42.41</v>
      </c>
      <c r="AA41" s="9">
        <v>38.15</v>
      </c>
      <c r="AB41" s="9">
        <v>36.47</v>
      </c>
      <c r="AC41" s="9"/>
      <c r="AD41" s="9">
        <v>52.3</v>
      </c>
      <c r="AE41" s="9">
        <v>51.31</v>
      </c>
      <c r="AF41" s="9">
        <v>52.09</v>
      </c>
      <c r="AG41" s="9">
        <f>50.63-0.02</f>
        <v>50.61</v>
      </c>
      <c r="AH41" s="9">
        <v>44.55</v>
      </c>
      <c r="AI41" s="9">
        <v>48.95</v>
      </c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</row>
    <row r="42" spans="1:109" s="1" customFormat="1" x14ac:dyDescent="0.25">
      <c r="A42" s="7"/>
      <c r="B42" s="8" t="s">
        <v>8</v>
      </c>
      <c r="C42" s="4" t="s">
        <v>6</v>
      </c>
      <c r="D42" s="5">
        <f t="shared" si="8"/>
        <v>3300.8700000000003</v>
      </c>
      <c r="E42" s="9"/>
      <c r="F42" s="9"/>
      <c r="G42" s="9"/>
      <c r="H42" s="9"/>
      <c r="I42" s="9">
        <v>219.47</v>
      </c>
      <c r="J42" s="9">
        <v>187.65</v>
      </c>
      <c r="K42" s="9">
        <v>1.36</v>
      </c>
      <c r="L42" s="9"/>
      <c r="M42" s="9"/>
      <c r="N42" s="9"/>
      <c r="O42" s="9">
        <v>204.87</v>
      </c>
      <c r="P42" s="9">
        <v>205.44</v>
      </c>
      <c r="Q42" s="9">
        <v>144.22</v>
      </c>
      <c r="R42" s="9">
        <v>36.32</v>
      </c>
      <c r="S42" s="9">
        <v>20.260000000000002</v>
      </c>
      <c r="T42" s="9">
        <v>128.96</v>
      </c>
      <c r="U42" s="9"/>
      <c r="V42" s="9"/>
      <c r="W42" s="9">
        <v>210.55</v>
      </c>
      <c r="X42" s="9">
        <v>161.94</v>
      </c>
      <c r="Y42" s="9">
        <v>140.38999999999999</v>
      </c>
      <c r="Z42" s="9">
        <v>90.78</v>
      </c>
      <c r="AA42" s="9">
        <v>160.47</v>
      </c>
      <c r="AB42" s="9">
        <v>205.3</v>
      </c>
      <c r="AC42" s="9"/>
      <c r="AD42" s="9">
        <v>216.42</v>
      </c>
      <c r="AE42" s="9">
        <v>191.49</v>
      </c>
      <c r="AF42" s="9">
        <v>194.94</v>
      </c>
      <c r="AG42" s="9">
        <v>186.47</v>
      </c>
      <c r="AH42" s="9">
        <v>217.11</v>
      </c>
      <c r="AI42" s="9">
        <v>176.46</v>
      </c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</row>
    <row r="43" spans="1:109" s="1" customFormat="1" x14ac:dyDescent="0.25">
      <c r="A43" s="7"/>
      <c r="B43" s="8" t="s">
        <v>9</v>
      </c>
      <c r="C43" s="4" t="s">
        <v>6</v>
      </c>
      <c r="D43" s="5">
        <f>SUM(E43:AI43)</f>
        <v>2376.3200000000102</v>
      </c>
      <c r="E43" s="9"/>
      <c r="F43" s="9"/>
      <c r="G43" s="9"/>
      <c r="H43" s="9"/>
      <c r="I43" s="9">
        <v>130.09</v>
      </c>
      <c r="J43" s="9">
        <v>133.68</v>
      </c>
      <c r="K43" s="9">
        <v>9.9999999999999994E-12</v>
      </c>
      <c r="L43" s="9"/>
      <c r="M43" s="9"/>
      <c r="N43" s="9"/>
      <c r="O43" s="9">
        <v>109.41</v>
      </c>
      <c r="P43" s="9">
        <v>131.63999999999999</v>
      </c>
      <c r="Q43" s="9">
        <v>119.49</v>
      </c>
      <c r="R43" s="9">
        <v>116.66</v>
      </c>
      <c r="S43" s="9">
        <v>112.28</v>
      </c>
      <c r="T43" s="9">
        <v>92.77</v>
      </c>
      <c r="U43" s="9"/>
      <c r="V43" s="9"/>
      <c r="W43" s="9">
        <v>114.29</v>
      </c>
      <c r="X43" s="9">
        <v>122</v>
      </c>
      <c r="Y43" s="9">
        <v>118.42</v>
      </c>
      <c r="Z43" s="9">
        <v>118.24</v>
      </c>
      <c r="AA43" s="9">
        <v>131.22999999999999</v>
      </c>
      <c r="AB43" s="9">
        <v>95.45</v>
      </c>
      <c r="AC43" s="9"/>
      <c r="AD43" s="9">
        <v>133.65</v>
      </c>
      <c r="AE43" s="9">
        <v>127.56</v>
      </c>
      <c r="AF43" s="9">
        <v>124.74</v>
      </c>
      <c r="AG43" s="9">
        <v>114.86</v>
      </c>
      <c r="AH43" s="9">
        <v>117.09</v>
      </c>
      <c r="AI43" s="9">
        <v>112.77</v>
      </c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</row>
    <row r="44" spans="1:109" s="1" customFormat="1" ht="16.5" customHeight="1" x14ac:dyDescent="0.25">
      <c r="A44" s="7"/>
      <c r="B44" s="8" t="s">
        <v>10</v>
      </c>
      <c r="C44" s="4" t="s">
        <v>6</v>
      </c>
      <c r="D44" s="5">
        <f t="shared" si="8"/>
        <v>851.35000000002015</v>
      </c>
      <c r="E44" s="9"/>
      <c r="F44" s="9"/>
      <c r="G44" s="9"/>
      <c r="H44" s="9"/>
      <c r="I44" s="9">
        <v>55.86</v>
      </c>
      <c r="J44" s="9">
        <f>61.11+0.28</f>
        <v>61.39</v>
      </c>
      <c r="K44" s="9">
        <v>9.9999999999999994E-12</v>
      </c>
      <c r="L44" s="9"/>
      <c r="M44" s="9"/>
      <c r="N44" s="9"/>
      <c r="O44" s="9">
        <v>53.43</v>
      </c>
      <c r="P44" s="9">
        <v>41.14</v>
      </c>
      <c r="Q44" s="9">
        <v>38.22</v>
      </c>
      <c r="R44" s="9">
        <v>40.42</v>
      </c>
      <c r="S44" s="9">
        <v>40.020000000000003</v>
      </c>
      <c r="T44" s="9">
        <v>54.76</v>
      </c>
      <c r="U44" s="9"/>
      <c r="V44" s="9"/>
      <c r="W44" s="9">
        <v>55.96</v>
      </c>
      <c r="X44" s="9">
        <v>56.12</v>
      </c>
      <c r="Y44" s="9">
        <v>40.590000000000003</v>
      </c>
      <c r="Z44" s="9">
        <v>34.840000000000003</v>
      </c>
      <c r="AA44" s="9">
        <v>42.39</v>
      </c>
      <c r="AB44" s="9">
        <v>42.03</v>
      </c>
      <c r="AC44" s="9"/>
      <c r="AD44" s="9">
        <v>35.96</v>
      </c>
      <c r="AE44" s="9">
        <v>43.06</v>
      </c>
      <c r="AF44" s="9">
        <v>37.57</v>
      </c>
      <c r="AG44" s="9">
        <v>35.369999999999997</v>
      </c>
      <c r="AH44" s="9">
        <v>42.22</v>
      </c>
      <c r="AI44" s="9">
        <v>9.9999999999999994E-12</v>
      </c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</row>
    <row r="45" spans="1:109" s="1" customFormat="1" x14ac:dyDescent="0.25">
      <c r="A45" s="7"/>
      <c r="B45" s="8" t="s">
        <v>11</v>
      </c>
      <c r="C45" s="4" t="s">
        <v>6</v>
      </c>
      <c r="D45" s="5">
        <f t="shared" si="8"/>
        <v>688.3900000000101</v>
      </c>
      <c r="E45" s="9"/>
      <c r="F45" s="9"/>
      <c r="G45" s="9"/>
      <c r="H45" s="9"/>
      <c r="I45" s="9">
        <v>39.07</v>
      </c>
      <c r="J45" s="9">
        <v>41.2</v>
      </c>
      <c r="K45" s="9">
        <v>0.54</v>
      </c>
      <c r="L45" s="9"/>
      <c r="M45" s="9"/>
      <c r="N45" s="9"/>
      <c r="O45" s="9">
        <v>45.06</v>
      </c>
      <c r="P45" s="9">
        <v>34.520000000000003</v>
      </c>
      <c r="Q45" s="9">
        <v>32.92</v>
      </c>
      <c r="R45" s="9">
        <v>21.53</v>
      </c>
      <c r="S45" s="9">
        <v>26.41</v>
      </c>
      <c r="T45" s="9">
        <v>25.61</v>
      </c>
      <c r="U45" s="9"/>
      <c r="V45" s="9"/>
      <c r="W45" s="9">
        <v>37.71</v>
      </c>
      <c r="X45" s="9">
        <v>29.95</v>
      </c>
      <c r="Y45" s="9">
        <v>23.44</v>
      </c>
      <c r="Z45" s="9">
        <v>19.8</v>
      </c>
      <c r="AA45" s="9">
        <v>53.5</v>
      </c>
      <c r="AB45" s="9">
        <v>53.71</v>
      </c>
      <c r="AC45" s="9"/>
      <c r="AD45" s="9">
        <v>47.52</v>
      </c>
      <c r="AE45" s="9">
        <v>41.62</v>
      </c>
      <c r="AF45" s="9">
        <v>38.08</v>
      </c>
      <c r="AG45" s="9">
        <f>33.05+1.08</f>
        <v>34.129999999999995</v>
      </c>
      <c r="AH45" s="9">
        <v>42.07</v>
      </c>
      <c r="AI45" s="9">
        <v>9.9999999999999994E-12</v>
      </c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</row>
    <row r="46" spans="1:109" s="1" customFormat="1" ht="15.75" thickBot="1" x14ac:dyDescent="0.3">
      <c r="A46" s="7"/>
      <c r="B46" s="8" t="s">
        <v>12</v>
      </c>
      <c r="C46" s="4" t="s">
        <v>6</v>
      </c>
      <c r="D46" s="29">
        <f>SUM(E46:AI46)</f>
        <v>620.47000000004005</v>
      </c>
      <c r="E46" s="9"/>
      <c r="F46" s="9"/>
      <c r="G46" s="9"/>
      <c r="H46" s="9"/>
      <c r="I46" s="9">
        <v>38.99</v>
      </c>
      <c r="J46" s="9">
        <v>49.56</v>
      </c>
      <c r="K46" s="9">
        <v>9.9999999999999994E-12</v>
      </c>
      <c r="L46" s="9"/>
      <c r="M46" s="9"/>
      <c r="N46" s="9"/>
      <c r="O46" s="9">
        <v>36.979999999999997</v>
      </c>
      <c r="P46" s="9">
        <v>48.94</v>
      </c>
      <c r="Q46" s="9">
        <v>42.74</v>
      </c>
      <c r="R46" s="9">
        <v>35.78</v>
      </c>
      <c r="S46" s="9">
        <v>30.13</v>
      </c>
      <c r="T46" s="9">
        <v>9.9999999999999994E-12</v>
      </c>
      <c r="U46" s="9"/>
      <c r="V46" s="9"/>
      <c r="W46" s="9">
        <v>36.21</v>
      </c>
      <c r="X46" s="9">
        <v>33.43</v>
      </c>
      <c r="Y46" s="9">
        <v>20.98</v>
      </c>
      <c r="Z46" s="9">
        <v>20.88</v>
      </c>
      <c r="AA46" s="9">
        <v>34.74</v>
      </c>
      <c r="AB46" s="9">
        <v>9.9999999999999994E-12</v>
      </c>
      <c r="AC46" s="9"/>
      <c r="AD46" s="9">
        <v>37.93</v>
      </c>
      <c r="AE46" s="9">
        <v>39.799999999999997</v>
      </c>
      <c r="AF46" s="9">
        <v>37.049999999999997</v>
      </c>
      <c r="AG46" s="9">
        <v>36.880000000000003</v>
      </c>
      <c r="AH46" s="9">
        <v>39.450000000000003</v>
      </c>
      <c r="AI46" s="9">
        <v>9.9999999999999994E-12</v>
      </c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</row>
    <row r="48" spans="1:109" ht="21" x14ac:dyDescent="0.35">
      <c r="A48" s="27" t="s">
        <v>17</v>
      </c>
    </row>
    <row r="49" spans="1:109" s="1" customFormat="1" ht="20.25" x14ac:dyDescent="0.25">
      <c r="A49" s="2" t="s">
        <v>4</v>
      </c>
      <c r="B49" s="3" t="s">
        <v>5</v>
      </c>
      <c r="C49" s="4" t="s">
        <v>6</v>
      </c>
      <c r="D49" s="5">
        <f t="shared" ref="D49:D54" si="10">SUM(E49:AI49)</f>
        <v>11925.190000026003</v>
      </c>
      <c r="E49" s="6">
        <f>SUM(E50:E55)</f>
        <v>470.110000001</v>
      </c>
      <c r="F49" s="6">
        <f t="shared" ref="F49:AI49" si="11">SUM(F50:F55)</f>
        <v>520.96999999999991</v>
      </c>
      <c r="G49" s="6">
        <f t="shared" si="11"/>
        <v>496.47999999999996</v>
      </c>
      <c r="H49" s="6">
        <f t="shared" si="11"/>
        <v>480.23</v>
      </c>
      <c r="I49" s="6">
        <f t="shared" si="11"/>
        <v>479.4799999999999</v>
      </c>
      <c r="J49" s="6">
        <f t="shared" si="11"/>
        <v>443.76</v>
      </c>
      <c r="K49" s="6">
        <f t="shared" si="11"/>
        <v>417.65000000099997</v>
      </c>
      <c r="L49" s="6">
        <f t="shared" si="11"/>
        <v>429.11000000099995</v>
      </c>
      <c r="M49" s="6">
        <f t="shared" si="11"/>
        <v>453.22</v>
      </c>
      <c r="N49" s="6">
        <f t="shared" si="11"/>
        <v>422.07</v>
      </c>
      <c r="O49" s="6">
        <f t="shared" si="11"/>
        <v>435.34000000000003</v>
      </c>
      <c r="P49" s="6">
        <f t="shared" si="11"/>
        <v>372.90000000099997</v>
      </c>
      <c r="Q49" s="6">
        <f t="shared" si="11"/>
        <v>444.28000000000003</v>
      </c>
      <c r="R49" s="6">
        <f t="shared" si="11"/>
        <v>485.35000000100001</v>
      </c>
      <c r="S49" s="6">
        <f t="shared" si="11"/>
        <v>463.70000000100003</v>
      </c>
      <c r="T49" s="6">
        <f t="shared" si="11"/>
        <v>474.22</v>
      </c>
      <c r="U49" s="6">
        <f t="shared" si="11"/>
        <v>521.03</v>
      </c>
      <c r="V49" s="6">
        <f t="shared" si="11"/>
        <v>461.56000000000006</v>
      </c>
      <c r="W49" s="6">
        <f t="shared" si="11"/>
        <v>448.36</v>
      </c>
      <c r="X49" s="6">
        <f t="shared" si="11"/>
        <v>507.34000000000003</v>
      </c>
      <c r="Y49" s="6">
        <f t="shared" si="11"/>
        <v>515.14000000099998</v>
      </c>
      <c r="Z49" s="6">
        <f t="shared" si="11"/>
        <v>443.29000000099995</v>
      </c>
      <c r="AA49" s="6">
        <f t="shared" si="11"/>
        <v>495.27</v>
      </c>
      <c r="AB49" s="6">
        <f t="shared" si="11"/>
        <v>353.78999999999996</v>
      </c>
      <c r="AC49" s="6">
        <f t="shared" si="11"/>
        <v>338.18</v>
      </c>
      <c r="AD49" s="6">
        <f t="shared" si="11"/>
        <v>217.56</v>
      </c>
      <c r="AE49" s="6">
        <f t="shared" si="11"/>
        <v>6E-9</v>
      </c>
      <c r="AF49" s="6">
        <f t="shared" si="11"/>
        <v>6E-9</v>
      </c>
      <c r="AG49" s="6">
        <f t="shared" si="11"/>
        <v>6E-9</v>
      </c>
      <c r="AH49" s="6">
        <f t="shared" si="11"/>
        <v>334.8</v>
      </c>
      <c r="AI49" s="6">
        <f t="shared" si="11"/>
        <v>0</v>
      </c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</row>
    <row r="50" spans="1:109" s="1" customFormat="1" x14ac:dyDescent="0.25">
      <c r="A50" s="7"/>
      <c r="B50" s="8" t="s">
        <v>7</v>
      </c>
      <c r="C50" s="4" t="s">
        <v>6</v>
      </c>
      <c r="D50" s="5">
        <f t="shared" si="10"/>
        <v>1428.8900000029998</v>
      </c>
      <c r="E50" s="9">
        <v>48.07</v>
      </c>
      <c r="F50" s="9">
        <v>55.12</v>
      </c>
      <c r="G50" s="9">
        <v>52.09</v>
      </c>
      <c r="H50" s="9">
        <v>53.83</v>
      </c>
      <c r="I50" s="9">
        <v>64.86</v>
      </c>
      <c r="J50" s="9">
        <v>65.75</v>
      </c>
      <c r="K50" s="9">
        <v>48.16</v>
      </c>
      <c r="L50" s="9">
        <v>57.08</v>
      </c>
      <c r="M50" s="9">
        <v>53.22</v>
      </c>
      <c r="N50" s="9">
        <v>59.85</v>
      </c>
      <c r="O50" s="9">
        <v>64.12</v>
      </c>
      <c r="P50" s="9">
        <v>46.45</v>
      </c>
      <c r="Q50" s="9">
        <v>40.79</v>
      </c>
      <c r="R50" s="9">
        <v>46.13</v>
      </c>
      <c r="S50" s="9">
        <v>50.31</v>
      </c>
      <c r="T50" s="9">
        <v>53.32</v>
      </c>
      <c r="U50" s="9">
        <v>53.59</v>
      </c>
      <c r="V50" s="9">
        <v>58.06</v>
      </c>
      <c r="W50" s="9">
        <v>55.2</v>
      </c>
      <c r="X50" s="9">
        <v>54.46</v>
      </c>
      <c r="Y50" s="9">
        <v>50.03</v>
      </c>
      <c r="Z50" s="9">
        <v>57.04</v>
      </c>
      <c r="AA50" s="9">
        <v>57</v>
      </c>
      <c r="AB50" s="9">
        <v>44.05</v>
      </c>
      <c r="AC50" s="9">
        <v>51.45</v>
      </c>
      <c r="AD50" s="9">
        <v>49.8</v>
      </c>
      <c r="AE50" s="9">
        <v>1.0000000000000001E-9</v>
      </c>
      <c r="AF50" s="9">
        <v>1.0000000000000001E-9</v>
      </c>
      <c r="AG50" s="9">
        <v>1.0000000000000001E-9</v>
      </c>
      <c r="AH50" s="9">
        <v>39.06</v>
      </c>
      <c r="AI50" s="9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</row>
    <row r="51" spans="1:109" s="1" customFormat="1" x14ac:dyDescent="0.25">
      <c r="A51" s="7"/>
      <c r="B51" s="8" t="s">
        <v>8</v>
      </c>
      <c r="C51" s="4" t="s">
        <v>6</v>
      </c>
      <c r="D51" s="5">
        <f t="shared" si="10"/>
        <v>4533.9400000030009</v>
      </c>
      <c r="E51" s="9">
        <v>227.53</v>
      </c>
      <c r="F51" s="9">
        <v>214.9</v>
      </c>
      <c r="G51" s="9">
        <v>188.12</v>
      </c>
      <c r="H51" s="9">
        <v>174.37</v>
      </c>
      <c r="I51" s="9">
        <v>153.91</v>
      </c>
      <c r="J51" s="9">
        <v>135.35</v>
      </c>
      <c r="K51" s="9">
        <v>152.31</v>
      </c>
      <c r="L51" s="9">
        <v>156.06</v>
      </c>
      <c r="M51" s="9">
        <v>160.62</v>
      </c>
      <c r="N51" s="9">
        <v>148.61000000000001</v>
      </c>
      <c r="O51" s="9">
        <v>173.37</v>
      </c>
      <c r="P51" s="9">
        <v>160.96</v>
      </c>
      <c r="Q51" s="9">
        <v>171</v>
      </c>
      <c r="R51" s="9">
        <v>235.17</v>
      </c>
      <c r="S51" s="9">
        <v>215.12</v>
      </c>
      <c r="T51" s="9">
        <v>184.49</v>
      </c>
      <c r="U51" s="9">
        <v>222.19</v>
      </c>
      <c r="V51" s="9">
        <v>173.62</v>
      </c>
      <c r="W51" s="9">
        <v>169.15</v>
      </c>
      <c r="X51" s="9">
        <v>192.5</v>
      </c>
      <c r="Y51" s="9">
        <v>234.33</v>
      </c>
      <c r="Z51" s="9">
        <v>168.68</v>
      </c>
      <c r="AA51" s="9">
        <v>183.69</v>
      </c>
      <c r="AB51" s="9">
        <v>100.39</v>
      </c>
      <c r="AC51" s="9">
        <v>92.87</v>
      </c>
      <c r="AD51" s="9">
        <v>32.590000000000003</v>
      </c>
      <c r="AE51" s="9">
        <v>1.0000000000000001E-9</v>
      </c>
      <c r="AF51" s="9">
        <v>1.0000000000000001E-9</v>
      </c>
      <c r="AG51" s="9">
        <v>1.0000000000000001E-9</v>
      </c>
      <c r="AH51" s="9">
        <v>112.04</v>
      </c>
      <c r="AI51" s="9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</row>
    <row r="52" spans="1:109" s="1" customFormat="1" x14ac:dyDescent="0.25">
      <c r="A52" s="7"/>
      <c r="B52" s="8" t="s">
        <v>9</v>
      </c>
      <c r="C52" s="4" t="s">
        <v>6</v>
      </c>
      <c r="D52" s="5">
        <f>SUM(E52:AI52)</f>
        <v>2995.440000003</v>
      </c>
      <c r="E52" s="9">
        <v>107.8</v>
      </c>
      <c r="F52" s="9">
        <v>122.9</v>
      </c>
      <c r="G52" s="9">
        <v>122.81</v>
      </c>
      <c r="H52" s="9">
        <v>116.41</v>
      </c>
      <c r="I52" s="9">
        <v>130.66</v>
      </c>
      <c r="J52" s="9">
        <v>111.65</v>
      </c>
      <c r="K52" s="9">
        <v>110.66</v>
      </c>
      <c r="L52" s="9">
        <v>111.49</v>
      </c>
      <c r="M52" s="9">
        <v>111.9</v>
      </c>
      <c r="N52" s="9">
        <v>97.21</v>
      </c>
      <c r="O52" s="9">
        <v>93.32</v>
      </c>
      <c r="P52" s="9">
        <v>93.6</v>
      </c>
      <c r="Q52" s="9">
        <v>112.77</v>
      </c>
      <c r="R52" s="9">
        <v>112.63</v>
      </c>
      <c r="S52" s="9">
        <v>111.28</v>
      </c>
      <c r="T52" s="9">
        <v>116.62</v>
      </c>
      <c r="U52" s="9">
        <v>122.66</v>
      </c>
      <c r="V52" s="9">
        <v>112.42</v>
      </c>
      <c r="W52" s="9">
        <v>116.73</v>
      </c>
      <c r="X52" s="9">
        <v>136.62</v>
      </c>
      <c r="Y52" s="9">
        <v>137.56</v>
      </c>
      <c r="Z52" s="9">
        <v>121.3</v>
      </c>
      <c r="AA52" s="9">
        <v>125.05</v>
      </c>
      <c r="AB52" s="9">
        <v>99.81</v>
      </c>
      <c r="AC52" s="9">
        <v>93.66</v>
      </c>
      <c r="AD52" s="9">
        <v>57.21</v>
      </c>
      <c r="AE52" s="9">
        <v>1.0000000000000001E-9</v>
      </c>
      <c r="AF52" s="9">
        <v>1.0000000000000001E-9</v>
      </c>
      <c r="AG52" s="9">
        <v>1.0000000000000001E-9</v>
      </c>
      <c r="AH52" s="9">
        <v>88.71</v>
      </c>
      <c r="AI52" s="9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</row>
    <row r="53" spans="1:109" s="1" customFormat="1" ht="16.5" customHeight="1" x14ac:dyDescent="0.25">
      <c r="A53" s="7"/>
      <c r="B53" s="8" t="s">
        <v>10</v>
      </c>
      <c r="C53" s="4" t="s">
        <v>6</v>
      </c>
      <c r="D53" s="5">
        <f t="shared" si="10"/>
        <v>1151.1500000030001</v>
      </c>
      <c r="E53" s="9">
        <v>41.37</v>
      </c>
      <c r="F53" s="9">
        <v>40.75</v>
      </c>
      <c r="G53" s="9">
        <v>39.770000000000003</v>
      </c>
      <c r="H53" s="9">
        <v>42.07</v>
      </c>
      <c r="I53" s="9">
        <v>44.21</v>
      </c>
      <c r="J53" s="9">
        <v>45.64</v>
      </c>
      <c r="K53" s="9">
        <v>61.36</v>
      </c>
      <c r="L53" s="9">
        <v>57.33</v>
      </c>
      <c r="M53" s="9">
        <v>47.18</v>
      </c>
      <c r="N53" s="9">
        <v>37.46</v>
      </c>
      <c r="O53" s="9">
        <v>32.770000000000003</v>
      </c>
      <c r="P53" s="9">
        <v>34.39</v>
      </c>
      <c r="Q53" s="9">
        <v>40.619999999999997</v>
      </c>
      <c r="R53" s="9">
        <v>45.6</v>
      </c>
      <c r="S53" s="9">
        <v>43.25</v>
      </c>
      <c r="T53" s="9">
        <v>41.29</v>
      </c>
      <c r="U53" s="9">
        <v>48.93</v>
      </c>
      <c r="V53" s="9">
        <v>47.3</v>
      </c>
      <c r="W53" s="9">
        <v>37.99</v>
      </c>
      <c r="X53" s="9">
        <v>43.35</v>
      </c>
      <c r="Y53" s="9">
        <v>48.95</v>
      </c>
      <c r="Z53" s="9">
        <v>45.57</v>
      </c>
      <c r="AA53" s="9">
        <v>46.75</v>
      </c>
      <c r="AB53" s="9">
        <v>37.31</v>
      </c>
      <c r="AC53" s="9">
        <v>34.65</v>
      </c>
      <c r="AD53" s="9">
        <v>30.49</v>
      </c>
      <c r="AE53" s="9">
        <v>1.0000000000000001E-9</v>
      </c>
      <c r="AF53" s="9">
        <v>1.0000000000000001E-9</v>
      </c>
      <c r="AG53" s="9">
        <v>1.0000000000000001E-9</v>
      </c>
      <c r="AH53" s="9">
        <v>34.799999999999997</v>
      </c>
      <c r="AI53" s="9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</row>
    <row r="54" spans="1:109" s="1" customFormat="1" x14ac:dyDescent="0.25">
      <c r="A54" s="7"/>
      <c r="B54" s="8" t="s">
        <v>11</v>
      </c>
      <c r="C54" s="4" t="s">
        <v>6</v>
      </c>
      <c r="D54" s="5">
        <f t="shared" si="10"/>
        <v>1111.0500000029999</v>
      </c>
      <c r="E54" s="9">
        <v>45.34</v>
      </c>
      <c r="F54" s="9">
        <v>46.93</v>
      </c>
      <c r="G54" s="9">
        <v>47.63</v>
      </c>
      <c r="H54" s="9">
        <v>51.3</v>
      </c>
      <c r="I54" s="9">
        <v>45.58</v>
      </c>
      <c r="J54" s="9">
        <v>41.68</v>
      </c>
      <c r="K54" s="9">
        <v>45.16</v>
      </c>
      <c r="L54" s="9">
        <v>47.15</v>
      </c>
      <c r="M54" s="9">
        <v>39.26</v>
      </c>
      <c r="N54" s="9">
        <v>39.229999999999997</v>
      </c>
      <c r="O54" s="9">
        <v>34.909999999999997</v>
      </c>
      <c r="P54" s="9">
        <v>37.5</v>
      </c>
      <c r="Q54" s="9">
        <v>42.12</v>
      </c>
      <c r="R54" s="9">
        <v>45.82</v>
      </c>
      <c r="S54" s="9">
        <v>43.74</v>
      </c>
      <c r="T54" s="9">
        <v>43.91</v>
      </c>
      <c r="U54" s="9">
        <v>40.19</v>
      </c>
      <c r="V54" s="9">
        <v>36.69</v>
      </c>
      <c r="W54" s="9">
        <v>36.65</v>
      </c>
      <c r="X54" s="9">
        <v>43.66</v>
      </c>
      <c r="Y54" s="9">
        <v>44.27</v>
      </c>
      <c r="Z54" s="9">
        <v>50.7</v>
      </c>
      <c r="AA54" s="9">
        <v>42.13</v>
      </c>
      <c r="AB54" s="9">
        <v>37.020000000000003</v>
      </c>
      <c r="AC54" s="9">
        <v>35.340000000000003</v>
      </c>
      <c r="AD54" s="9">
        <v>17.86</v>
      </c>
      <c r="AE54" s="9">
        <v>1.0000000000000001E-9</v>
      </c>
      <c r="AF54" s="9">
        <v>1.0000000000000001E-9</v>
      </c>
      <c r="AG54" s="9">
        <v>1.0000000000000001E-9</v>
      </c>
      <c r="AH54" s="9">
        <v>29.28</v>
      </c>
      <c r="AI54" s="9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</row>
    <row r="55" spans="1:109" s="1" customFormat="1" ht="15.75" thickBot="1" x14ac:dyDescent="0.3">
      <c r="A55" s="7"/>
      <c r="B55" s="8" t="s">
        <v>12</v>
      </c>
      <c r="C55" s="4" t="s">
        <v>6</v>
      </c>
      <c r="D55" s="29">
        <f>SUM(E55:AI55)</f>
        <v>704.72000001100002</v>
      </c>
      <c r="E55" s="9">
        <v>1.0000000000000001E-9</v>
      </c>
      <c r="F55" s="9">
        <v>40.369999999999997</v>
      </c>
      <c r="G55" s="9">
        <v>46.06</v>
      </c>
      <c r="H55" s="9">
        <v>42.25</v>
      </c>
      <c r="I55" s="9">
        <v>40.26</v>
      </c>
      <c r="J55" s="9">
        <v>43.69</v>
      </c>
      <c r="K55" s="9">
        <v>1.0000000000000001E-9</v>
      </c>
      <c r="L55" s="9">
        <v>1.0000000000000001E-9</v>
      </c>
      <c r="M55" s="9">
        <v>41.04</v>
      </c>
      <c r="N55" s="9">
        <v>39.71</v>
      </c>
      <c r="O55" s="9">
        <v>36.85</v>
      </c>
      <c r="P55" s="9">
        <v>1.0000000000000001E-9</v>
      </c>
      <c r="Q55" s="9">
        <v>36.979999999999997</v>
      </c>
      <c r="R55" s="9">
        <v>1.0000000000000001E-9</v>
      </c>
      <c r="S55" s="9">
        <v>1.0000000000000001E-9</v>
      </c>
      <c r="T55" s="9">
        <v>34.590000000000003</v>
      </c>
      <c r="U55" s="9">
        <v>33.47</v>
      </c>
      <c r="V55" s="9">
        <v>33.47</v>
      </c>
      <c r="W55" s="9">
        <v>32.64</v>
      </c>
      <c r="X55" s="9">
        <v>36.75</v>
      </c>
      <c r="Y55" s="9">
        <v>1.0000000000000001E-9</v>
      </c>
      <c r="Z55" s="9">
        <v>1.0000000000000001E-9</v>
      </c>
      <c r="AA55" s="9">
        <v>40.65</v>
      </c>
      <c r="AB55" s="9">
        <v>35.21</v>
      </c>
      <c r="AC55" s="9">
        <v>30.21</v>
      </c>
      <c r="AD55" s="9">
        <v>29.61</v>
      </c>
      <c r="AE55" s="9">
        <v>1.0000000000000001E-9</v>
      </c>
      <c r="AF55" s="9">
        <v>1.0000000000000001E-9</v>
      </c>
      <c r="AG55" s="9">
        <v>1.0000000000000001E-9</v>
      </c>
      <c r="AH55" s="9">
        <v>30.91</v>
      </c>
      <c r="AI55" s="9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</row>
    <row r="57" spans="1:109" ht="21" x14ac:dyDescent="0.35">
      <c r="A57" s="27" t="s">
        <v>18</v>
      </c>
    </row>
    <row r="58" spans="1:109" s="1" customFormat="1" ht="20.25" x14ac:dyDescent="0.25">
      <c r="A58" s="2" t="s">
        <v>4</v>
      </c>
      <c r="B58" s="3" t="s">
        <v>5</v>
      </c>
      <c r="C58" s="4" t="s">
        <v>6</v>
      </c>
      <c r="D58" s="5">
        <f t="shared" ref="D58:D63" si="12">SUM(E58:AI58)</f>
        <v>7512.6200000101189</v>
      </c>
      <c r="E58" s="6">
        <f>SUM(E59:E64)</f>
        <v>331.22999999999996</v>
      </c>
      <c r="F58" s="6">
        <f t="shared" ref="F58:AI58" si="13">SUM(F59:F64)</f>
        <v>350.93</v>
      </c>
      <c r="G58" s="6">
        <f t="shared" si="13"/>
        <v>274.30999999999995</v>
      </c>
      <c r="H58" s="6">
        <f t="shared" si="13"/>
        <v>6E-11</v>
      </c>
      <c r="I58" s="6">
        <f t="shared" si="13"/>
        <v>0</v>
      </c>
      <c r="J58" s="6">
        <f t="shared" si="13"/>
        <v>0</v>
      </c>
      <c r="K58" s="6">
        <f t="shared" si="13"/>
        <v>378.09</v>
      </c>
      <c r="L58" s="6">
        <f t="shared" si="13"/>
        <v>397.57</v>
      </c>
      <c r="M58" s="6">
        <f t="shared" si="13"/>
        <v>372.63999999999993</v>
      </c>
      <c r="N58" s="6">
        <f t="shared" si="13"/>
        <v>177.20000001</v>
      </c>
      <c r="O58" s="6">
        <f t="shared" si="13"/>
        <v>0</v>
      </c>
      <c r="P58" s="6">
        <f t="shared" si="13"/>
        <v>0</v>
      </c>
      <c r="Q58" s="6">
        <f t="shared" si="13"/>
        <v>0</v>
      </c>
      <c r="R58" s="6">
        <f t="shared" si="13"/>
        <v>460.27</v>
      </c>
      <c r="S58" s="6">
        <f t="shared" si="13"/>
        <v>455.37</v>
      </c>
      <c r="T58" s="6">
        <f t="shared" si="13"/>
        <v>405.13</v>
      </c>
      <c r="U58" s="6">
        <f t="shared" si="13"/>
        <v>362.08</v>
      </c>
      <c r="V58" s="6">
        <f t="shared" si="13"/>
        <v>149.22</v>
      </c>
      <c r="W58" s="6">
        <f t="shared" si="13"/>
        <v>0</v>
      </c>
      <c r="X58" s="6">
        <f t="shared" si="13"/>
        <v>0</v>
      </c>
      <c r="Y58" s="6">
        <f t="shared" si="13"/>
        <v>372.66</v>
      </c>
      <c r="Z58" s="6">
        <f t="shared" si="13"/>
        <v>339.33000000000004</v>
      </c>
      <c r="AA58" s="6">
        <f t="shared" si="13"/>
        <v>305.96999999999997</v>
      </c>
      <c r="AB58" s="6">
        <f t="shared" si="13"/>
        <v>320.49</v>
      </c>
      <c r="AC58" s="6">
        <f t="shared" si="13"/>
        <v>338.54</v>
      </c>
      <c r="AD58" s="6">
        <f t="shared" si="13"/>
        <v>6E-11</v>
      </c>
      <c r="AE58" s="6">
        <f t="shared" si="13"/>
        <v>316.75</v>
      </c>
      <c r="AF58" s="6">
        <f t="shared" si="13"/>
        <v>404.40000000000003</v>
      </c>
      <c r="AG58" s="6">
        <f t="shared" si="13"/>
        <v>382.83000000000004</v>
      </c>
      <c r="AH58" s="6">
        <f t="shared" si="13"/>
        <v>333.07</v>
      </c>
      <c r="AI58" s="6">
        <f t="shared" si="13"/>
        <v>284.53999999999996</v>
      </c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</row>
    <row r="59" spans="1:109" s="1" customFormat="1" x14ac:dyDescent="0.25">
      <c r="A59" s="7"/>
      <c r="B59" s="8" t="s">
        <v>7</v>
      </c>
      <c r="C59" s="4" t="s">
        <v>6</v>
      </c>
      <c r="D59" s="5">
        <f t="shared" si="12"/>
        <v>813.50000000002012</v>
      </c>
      <c r="E59" s="9">
        <v>46.61</v>
      </c>
      <c r="F59" s="9">
        <v>56.37</v>
      </c>
      <c r="G59" s="9">
        <v>53.41</v>
      </c>
      <c r="H59" s="9">
        <v>9.9999999999999994E-12</v>
      </c>
      <c r="I59" s="9"/>
      <c r="J59" s="9"/>
      <c r="K59" s="9">
        <v>49.1</v>
      </c>
      <c r="L59" s="9">
        <v>32.75</v>
      </c>
      <c r="M59" s="9">
        <v>30.95</v>
      </c>
      <c r="N59" s="9">
        <v>6.2</v>
      </c>
      <c r="O59" s="9"/>
      <c r="P59" s="9"/>
      <c r="Q59" s="9"/>
      <c r="R59" s="9">
        <v>45.04</v>
      </c>
      <c r="S59" s="9">
        <v>33.1</v>
      </c>
      <c r="T59" s="9">
        <v>28.06</v>
      </c>
      <c r="U59" s="9">
        <v>22.79</v>
      </c>
      <c r="V59" s="9">
        <v>24.05</v>
      </c>
      <c r="W59" s="9"/>
      <c r="X59" s="9"/>
      <c r="Y59" s="9">
        <v>39.69</v>
      </c>
      <c r="Z59" s="9">
        <v>35.99</v>
      </c>
      <c r="AA59" s="9">
        <v>41.45</v>
      </c>
      <c r="AB59" s="9">
        <v>36.770000000000003</v>
      </c>
      <c r="AC59" s="9">
        <v>32.58</v>
      </c>
      <c r="AD59" s="9">
        <v>9.9999999999999994E-12</v>
      </c>
      <c r="AE59" s="9">
        <v>32.270000000000003</v>
      </c>
      <c r="AF59" s="9">
        <v>34.22</v>
      </c>
      <c r="AG59" s="9">
        <v>54.08</v>
      </c>
      <c r="AH59" s="9">
        <v>34.43</v>
      </c>
      <c r="AI59" s="9">
        <v>43.59</v>
      </c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</row>
    <row r="60" spans="1:109" s="1" customFormat="1" x14ac:dyDescent="0.25">
      <c r="A60" s="7"/>
      <c r="B60" s="8" t="s">
        <v>8</v>
      </c>
      <c r="C60" s="4" t="s">
        <v>6</v>
      </c>
      <c r="D60" s="5">
        <f t="shared" si="12"/>
        <v>2980.46000000002</v>
      </c>
      <c r="E60" s="9">
        <v>120.32</v>
      </c>
      <c r="F60" s="9">
        <v>139.78</v>
      </c>
      <c r="G60" s="9">
        <v>88.08</v>
      </c>
      <c r="H60" s="9">
        <v>9.9999999999999994E-12</v>
      </c>
      <c r="I60" s="9"/>
      <c r="J60" s="9"/>
      <c r="K60" s="9">
        <v>176.22</v>
      </c>
      <c r="L60" s="9">
        <v>180</v>
      </c>
      <c r="M60" s="9">
        <v>137.29</v>
      </c>
      <c r="N60" s="9">
        <v>107.49</v>
      </c>
      <c r="O60" s="9"/>
      <c r="P60" s="9"/>
      <c r="Q60" s="9"/>
      <c r="R60" s="9">
        <v>184.25</v>
      </c>
      <c r="S60" s="9">
        <v>201.1</v>
      </c>
      <c r="T60" s="9">
        <v>156.66</v>
      </c>
      <c r="U60" s="9">
        <v>150.12</v>
      </c>
      <c r="V60" s="9">
        <v>41.59</v>
      </c>
      <c r="W60" s="9"/>
      <c r="X60" s="9"/>
      <c r="Y60" s="9">
        <v>141.38</v>
      </c>
      <c r="Z60" s="9">
        <v>136.52000000000001</v>
      </c>
      <c r="AA60" s="9">
        <v>110.17</v>
      </c>
      <c r="AB60" s="9">
        <v>114.75</v>
      </c>
      <c r="AC60" s="9">
        <v>149.22999999999999</v>
      </c>
      <c r="AD60" s="9">
        <v>9.9999999999999994E-12</v>
      </c>
      <c r="AE60" s="9">
        <v>122.3</v>
      </c>
      <c r="AF60" s="9">
        <v>174.34</v>
      </c>
      <c r="AG60" s="9">
        <v>145.41999999999999</v>
      </c>
      <c r="AH60" s="9">
        <v>119.73</v>
      </c>
      <c r="AI60" s="9">
        <v>83.72</v>
      </c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</row>
    <row r="61" spans="1:109" s="1" customFormat="1" x14ac:dyDescent="0.25">
      <c r="A61" s="7"/>
      <c r="B61" s="8" t="s">
        <v>9</v>
      </c>
      <c r="C61" s="4" t="s">
        <v>6</v>
      </c>
      <c r="D61" s="5">
        <f>SUM(E61:AI61)</f>
        <v>1365.2000000100199</v>
      </c>
      <c r="E61" s="9">
        <v>76.09</v>
      </c>
      <c r="F61" s="9">
        <v>71.569999999999993</v>
      </c>
      <c r="G61" s="9">
        <v>65.08</v>
      </c>
      <c r="H61" s="9">
        <v>9.9999999999999994E-12</v>
      </c>
      <c r="I61" s="9"/>
      <c r="J61" s="9"/>
      <c r="K61" s="9">
        <v>60.5</v>
      </c>
      <c r="L61" s="9">
        <v>79.73</v>
      </c>
      <c r="M61" s="9">
        <v>88.67</v>
      </c>
      <c r="N61" s="9">
        <v>1E-8</v>
      </c>
      <c r="O61" s="9"/>
      <c r="P61" s="9"/>
      <c r="Q61" s="9"/>
      <c r="R61" s="9">
        <v>86.35</v>
      </c>
      <c r="S61" s="9">
        <v>90.9</v>
      </c>
      <c r="T61" s="9">
        <v>90.33</v>
      </c>
      <c r="U61" s="9">
        <v>76.349999999999994</v>
      </c>
      <c r="V61" s="9">
        <v>1.36</v>
      </c>
      <c r="W61" s="9"/>
      <c r="X61" s="9"/>
      <c r="Y61" s="9">
        <v>77.66</v>
      </c>
      <c r="Z61" s="9">
        <v>43.92</v>
      </c>
      <c r="AA61" s="9">
        <v>39.200000000000003</v>
      </c>
      <c r="AB61" s="9">
        <v>40.28</v>
      </c>
      <c r="AC61" s="9">
        <v>33.18</v>
      </c>
      <c r="AD61" s="9">
        <v>9.9999999999999994E-12</v>
      </c>
      <c r="AE61" s="9">
        <v>57.6</v>
      </c>
      <c r="AF61" s="9">
        <v>60.13</v>
      </c>
      <c r="AG61" s="9">
        <v>69.739999999999995</v>
      </c>
      <c r="AH61" s="9">
        <v>79.23</v>
      </c>
      <c r="AI61" s="9">
        <v>77.33</v>
      </c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</row>
    <row r="62" spans="1:109" s="1" customFormat="1" ht="16.5" customHeight="1" x14ac:dyDescent="0.25">
      <c r="A62" s="7"/>
      <c r="B62" s="8" t="s">
        <v>10</v>
      </c>
      <c r="C62" s="4" t="s">
        <v>6</v>
      </c>
      <c r="D62" s="5">
        <f t="shared" si="12"/>
        <v>909.09000000001993</v>
      </c>
      <c r="E62" s="9">
        <v>33.67</v>
      </c>
      <c r="F62" s="9">
        <v>32.14</v>
      </c>
      <c r="G62" s="9">
        <v>31.76</v>
      </c>
      <c r="H62" s="9">
        <v>9.9999999999999994E-12</v>
      </c>
      <c r="I62" s="9"/>
      <c r="J62" s="9"/>
      <c r="K62" s="9">
        <v>31.52</v>
      </c>
      <c r="L62" s="9">
        <v>31.83</v>
      </c>
      <c r="M62" s="9">
        <v>38.200000000000003</v>
      </c>
      <c r="N62" s="9">
        <v>19.62</v>
      </c>
      <c r="O62" s="9"/>
      <c r="P62" s="9"/>
      <c r="Q62" s="9"/>
      <c r="R62" s="9">
        <v>51.01</v>
      </c>
      <c r="S62" s="9">
        <v>48.44</v>
      </c>
      <c r="T62" s="9">
        <v>43.21</v>
      </c>
      <c r="U62" s="9">
        <v>51.63</v>
      </c>
      <c r="V62" s="9">
        <v>47.5</v>
      </c>
      <c r="W62" s="9"/>
      <c r="X62" s="9"/>
      <c r="Y62" s="9">
        <f>44.81-3.82</f>
        <v>40.99</v>
      </c>
      <c r="Z62" s="9">
        <v>49.49</v>
      </c>
      <c r="AA62" s="9">
        <v>41.02</v>
      </c>
      <c r="AB62" s="9">
        <v>47.56</v>
      </c>
      <c r="AC62" s="9">
        <v>49.87</v>
      </c>
      <c r="AD62" s="9">
        <v>9.9999999999999994E-12</v>
      </c>
      <c r="AE62" s="9">
        <v>45.97</v>
      </c>
      <c r="AF62" s="9">
        <v>55.49</v>
      </c>
      <c r="AG62" s="9">
        <v>45.86</v>
      </c>
      <c r="AH62" s="9">
        <f>39.52+0.01</f>
        <v>39.53</v>
      </c>
      <c r="AI62" s="9">
        <v>32.78</v>
      </c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</row>
    <row r="63" spans="1:109" s="1" customFormat="1" x14ac:dyDescent="0.25">
      <c r="A63" s="7"/>
      <c r="B63" s="8" t="s">
        <v>11</v>
      </c>
      <c r="C63" s="4" t="s">
        <v>6</v>
      </c>
      <c r="D63" s="5">
        <f t="shared" si="12"/>
        <v>653.94000000001995</v>
      </c>
      <c r="E63" s="9">
        <v>29.64</v>
      </c>
      <c r="F63" s="9">
        <v>25.57</v>
      </c>
      <c r="G63" s="9">
        <v>17.899999999999999</v>
      </c>
      <c r="H63" s="9">
        <v>9.9999999999999994E-12</v>
      </c>
      <c r="I63" s="9"/>
      <c r="J63" s="9"/>
      <c r="K63" s="9">
        <v>28.06</v>
      </c>
      <c r="L63" s="9">
        <v>39.15</v>
      </c>
      <c r="M63" s="9">
        <v>40.26</v>
      </c>
      <c r="N63" s="9">
        <v>12.84</v>
      </c>
      <c r="O63" s="9"/>
      <c r="P63" s="9"/>
      <c r="Q63" s="9"/>
      <c r="R63" s="9">
        <v>55.98</v>
      </c>
      <c r="S63" s="9">
        <v>40.65</v>
      </c>
      <c r="T63" s="9">
        <v>44.94</v>
      </c>
      <c r="U63" s="9">
        <v>24.11</v>
      </c>
      <c r="V63" s="9">
        <v>1.02</v>
      </c>
      <c r="W63" s="9"/>
      <c r="X63" s="9"/>
      <c r="Y63" s="9">
        <v>32.299999999999997</v>
      </c>
      <c r="Z63" s="9">
        <v>33.99</v>
      </c>
      <c r="AA63" s="9">
        <v>34.24</v>
      </c>
      <c r="AB63" s="9">
        <v>40.369999999999997</v>
      </c>
      <c r="AC63" s="9">
        <v>30.93</v>
      </c>
      <c r="AD63" s="9">
        <v>9.9999999999999994E-12</v>
      </c>
      <c r="AE63" s="9">
        <v>19.5</v>
      </c>
      <c r="AF63" s="9">
        <v>39.369999999999997</v>
      </c>
      <c r="AG63" s="9">
        <f>26.91-0.15</f>
        <v>26.76</v>
      </c>
      <c r="AH63" s="9">
        <v>18.48</v>
      </c>
      <c r="AI63" s="9">
        <v>17.88</v>
      </c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</row>
    <row r="64" spans="1:109" s="1" customFormat="1" ht="15.75" thickBot="1" x14ac:dyDescent="0.3">
      <c r="A64" s="7"/>
      <c r="B64" s="8" t="s">
        <v>12</v>
      </c>
      <c r="C64" s="4" t="s">
        <v>6</v>
      </c>
      <c r="D64" s="29">
        <f>SUM(E64:AI64)</f>
        <v>790.43000000002007</v>
      </c>
      <c r="E64" s="9">
        <v>24.9</v>
      </c>
      <c r="F64" s="9">
        <v>25.5</v>
      </c>
      <c r="G64" s="9">
        <v>18.079999999999998</v>
      </c>
      <c r="H64" s="9">
        <v>9.9999999999999994E-12</v>
      </c>
      <c r="I64" s="9"/>
      <c r="J64" s="9"/>
      <c r="K64" s="9">
        <v>32.69</v>
      </c>
      <c r="L64" s="9">
        <v>34.11</v>
      </c>
      <c r="M64" s="9">
        <v>37.270000000000003</v>
      </c>
      <c r="N64" s="9">
        <v>31.05</v>
      </c>
      <c r="O64" s="9"/>
      <c r="P64" s="9"/>
      <c r="Q64" s="9"/>
      <c r="R64" s="9">
        <v>37.64</v>
      </c>
      <c r="S64" s="9">
        <v>41.18</v>
      </c>
      <c r="T64" s="9">
        <v>41.93</v>
      </c>
      <c r="U64" s="9">
        <v>37.08</v>
      </c>
      <c r="V64" s="9">
        <v>33.700000000000003</v>
      </c>
      <c r="W64" s="9"/>
      <c r="X64" s="9"/>
      <c r="Y64" s="9">
        <v>40.64</v>
      </c>
      <c r="Z64" s="9">
        <v>39.42</v>
      </c>
      <c r="AA64" s="9">
        <v>39.89</v>
      </c>
      <c r="AB64" s="9">
        <v>40.76</v>
      </c>
      <c r="AC64" s="9">
        <v>42.75</v>
      </c>
      <c r="AD64" s="9">
        <v>9.9999999999999994E-12</v>
      </c>
      <c r="AE64" s="9">
        <v>39.11</v>
      </c>
      <c r="AF64" s="9">
        <v>40.85</v>
      </c>
      <c r="AG64" s="9">
        <v>40.97</v>
      </c>
      <c r="AH64" s="9">
        <v>41.67</v>
      </c>
      <c r="AI64" s="9">
        <v>29.24</v>
      </c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</row>
    <row r="66" spans="1:109" ht="21" x14ac:dyDescent="0.35">
      <c r="A66" s="27" t="s">
        <v>19</v>
      </c>
    </row>
    <row r="67" spans="1:109" s="1" customFormat="1" ht="20.25" x14ac:dyDescent="0.25">
      <c r="A67" s="2" t="s">
        <v>4</v>
      </c>
      <c r="B67" s="3" t="s">
        <v>5</v>
      </c>
      <c r="C67" s="4" t="s">
        <v>6</v>
      </c>
      <c r="D67" s="5">
        <f t="shared" ref="D67:D72" si="14">SUM(E67:AI67)</f>
        <v>7264.0600000015502</v>
      </c>
      <c r="E67" s="6">
        <f>SUM(E68:E73)</f>
        <v>231.65000000001001</v>
      </c>
      <c r="F67" s="6">
        <f t="shared" ref="F67:AE67" si="15">SUM(F68:F73)</f>
        <v>6E-11</v>
      </c>
      <c r="G67" s="6">
        <f t="shared" si="15"/>
        <v>124.51000000002003</v>
      </c>
      <c r="H67" s="6">
        <f t="shared" si="15"/>
        <v>296.02000000000004</v>
      </c>
      <c r="I67" s="6">
        <f t="shared" si="15"/>
        <v>319.99</v>
      </c>
      <c r="J67" s="6">
        <f t="shared" si="15"/>
        <v>330.91</v>
      </c>
      <c r="K67" s="6">
        <f t="shared" si="15"/>
        <v>360.09000000000003</v>
      </c>
      <c r="L67" s="6">
        <f t="shared" si="15"/>
        <v>273.97999999999996</v>
      </c>
      <c r="M67" s="6">
        <f t="shared" si="15"/>
        <v>144.57000000003001</v>
      </c>
      <c r="N67" s="6">
        <f t="shared" si="15"/>
        <v>327.06000000001001</v>
      </c>
      <c r="O67" s="6">
        <f t="shared" si="15"/>
        <v>375.46999999999997</v>
      </c>
      <c r="P67" s="6">
        <f t="shared" si="15"/>
        <v>353.66</v>
      </c>
      <c r="Q67" s="6">
        <f t="shared" si="15"/>
        <v>381.2299999999999</v>
      </c>
      <c r="R67" s="6">
        <f t="shared" si="15"/>
        <v>267.96000000000004</v>
      </c>
      <c r="S67" s="6">
        <f t="shared" si="15"/>
        <v>266.90999999999997</v>
      </c>
      <c r="T67" s="6">
        <f t="shared" si="15"/>
        <v>130.64000000002</v>
      </c>
      <c r="U67" s="6">
        <f t="shared" si="15"/>
        <v>6E-10</v>
      </c>
      <c r="V67" s="6">
        <f t="shared" si="15"/>
        <v>343.18999999999994</v>
      </c>
      <c r="W67" s="6">
        <f t="shared" si="15"/>
        <v>255.03</v>
      </c>
      <c r="X67" s="6">
        <f t="shared" si="15"/>
        <v>190.68000000000004</v>
      </c>
      <c r="Y67" s="6">
        <f t="shared" si="15"/>
        <v>210.47</v>
      </c>
      <c r="Z67" s="6">
        <f t="shared" si="15"/>
        <v>430.33</v>
      </c>
      <c r="AA67" s="6">
        <f t="shared" si="15"/>
        <v>326.33000000020002</v>
      </c>
      <c r="AB67" s="6">
        <f t="shared" si="15"/>
        <v>6E-10</v>
      </c>
      <c r="AC67" s="6">
        <f t="shared" si="15"/>
        <v>454.89000000000004</v>
      </c>
      <c r="AD67" s="6">
        <f t="shared" si="15"/>
        <v>451.88000000000005</v>
      </c>
      <c r="AE67" s="6">
        <f t="shared" si="15"/>
        <v>416.61</v>
      </c>
      <c r="AF67" s="6"/>
      <c r="AG67" s="6"/>
      <c r="AH67" s="6"/>
      <c r="AI67" s="6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</row>
    <row r="68" spans="1:109" s="1" customFormat="1" x14ac:dyDescent="0.25">
      <c r="A68" s="7"/>
      <c r="B68" s="8" t="s">
        <v>7</v>
      </c>
      <c r="C68" s="4" t="s">
        <v>6</v>
      </c>
      <c r="D68" s="5">
        <f t="shared" si="14"/>
        <v>810.50000000021009</v>
      </c>
      <c r="E68" s="9">
        <v>29.15</v>
      </c>
      <c r="F68" s="9">
        <v>9.9999999999999994E-12</v>
      </c>
      <c r="G68" s="9">
        <v>35.04</v>
      </c>
      <c r="H68" s="9">
        <v>27.21</v>
      </c>
      <c r="I68" s="9">
        <v>40.409999999999997</v>
      </c>
      <c r="J68" s="9">
        <v>41.79</v>
      </c>
      <c r="K68" s="9">
        <v>45.37</v>
      </c>
      <c r="L68" s="9">
        <v>36.53</v>
      </c>
      <c r="M68" s="9">
        <v>33.58</v>
      </c>
      <c r="N68" s="9">
        <v>28.28</v>
      </c>
      <c r="O68" s="9">
        <v>33.56</v>
      </c>
      <c r="P68" s="9">
        <v>44.97</v>
      </c>
      <c r="Q68" s="9">
        <v>41.96</v>
      </c>
      <c r="R68" s="9">
        <v>27.87</v>
      </c>
      <c r="S68" s="9">
        <v>33.25</v>
      </c>
      <c r="T68" s="9">
        <v>24.14</v>
      </c>
      <c r="U68" s="30">
        <v>1E-10</v>
      </c>
      <c r="V68" s="9">
        <v>25.16</v>
      </c>
      <c r="W68" s="9">
        <v>22.94</v>
      </c>
      <c r="X68" s="9">
        <v>21.1</v>
      </c>
      <c r="Y68" s="9">
        <f>21.56+0.06</f>
        <v>21.619999999999997</v>
      </c>
      <c r="Z68" s="9">
        <v>32.299999999999997</v>
      </c>
      <c r="AA68" s="9">
        <v>30.9</v>
      </c>
      <c r="AB68" s="30">
        <v>1E-10</v>
      </c>
      <c r="AC68" s="9">
        <v>48.61</v>
      </c>
      <c r="AD68" s="9">
        <v>42.71</v>
      </c>
      <c r="AE68" s="9">
        <v>42.05</v>
      </c>
      <c r="AF68" s="9"/>
      <c r="AG68" s="9"/>
      <c r="AH68" s="9"/>
      <c r="AI68" s="9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</row>
    <row r="69" spans="1:109" s="1" customFormat="1" x14ac:dyDescent="0.25">
      <c r="A69" s="7"/>
      <c r="B69" s="8" t="s">
        <v>8</v>
      </c>
      <c r="C69" s="4" t="s">
        <v>6</v>
      </c>
      <c r="D69" s="5">
        <f t="shared" si="14"/>
        <v>2915.10000000023</v>
      </c>
      <c r="E69" s="9">
        <v>107.63</v>
      </c>
      <c r="F69" s="9">
        <v>9.9999999999999994E-12</v>
      </c>
      <c r="G69" s="9">
        <v>38.799999999999997</v>
      </c>
      <c r="H69" s="9">
        <v>148.72999999999999</v>
      </c>
      <c r="I69" s="9">
        <v>132.63</v>
      </c>
      <c r="J69" s="9">
        <v>147.11000000000001</v>
      </c>
      <c r="K69" s="9">
        <v>138.11000000000001</v>
      </c>
      <c r="L69" s="9">
        <v>69.63</v>
      </c>
      <c r="M69" s="9">
        <v>9.9999999999999994E-12</v>
      </c>
      <c r="N69" s="9">
        <v>163.51</v>
      </c>
      <c r="O69" s="9">
        <v>165.51</v>
      </c>
      <c r="P69" s="9">
        <v>140.96</v>
      </c>
      <c r="Q69" s="9">
        <v>181.51</v>
      </c>
      <c r="R69" s="9">
        <v>94.68</v>
      </c>
      <c r="S69" s="9">
        <v>94.31</v>
      </c>
      <c r="T69" s="9">
        <v>9.9999999999999994E-12</v>
      </c>
      <c r="U69" s="30">
        <v>1E-10</v>
      </c>
      <c r="V69" s="9">
        <v>175.14</v>
      </c>
      <c r="W69" s="9">
        <v>116.61</v>
      </c>
      <c r="X69" s="9">
        <v>68.3</v>
      </c>
      <c r="Y69" s="9">
        <v>102.78</v>
      </c>
      <c r="Z69" s="9">
        <v>190.14</v>
      </c>
      <c r="AA69" s="9">
        <v>168.42</v>
      </c>
      <c r="AB69" s="30">
        <v>1E-10</v>
      </c>
      <c r="AC69" s="9">
        <v>177.13</v>
      </c>
      <c r="AD69" s="9">
        <v>167.21</v>
      </c>
      <c r="AE69" s="9">
        <v>126.25</v>
      </c>
      <c r="AF69" s="9"/>
      <c r="AG69" s="9"/>
      <c r="AH69" s="9"/>
      <c r="AI69" s="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</row>
    <row r="70" spans="1:109" s="1" customFormat="1" x14ac:dyDescent="0.25">
      <c r="A70" s="7"/>
      <c r="B70" s="8" t="s">
        <v>9</v>
      </c>
      <c r="C70" s="4" t="s">
        <v>6</v>
      </c>
      <c r="D70" s="5">
        <f>SUM(E70:AI70)</f>
        <v>1161.4400000002101</v>
      </c>
      <c r="E70" s="9">
        <v>36.22</v>
      </c>
      <c r="F70" s="9">
        <v>9.9999999999999994E-12</v>
      </c>
      <c r="G70" s="9">
        <v>32.99</v>
      </c>
      <c r="H70" s="9">
        <v>31</v>
      </c>
      <c r="I70" s="9">
        <v>37.93</v>
      </c>
      <c r="J70" s="9">
        <v>47.27</v>
      </c>
      <c r="K70" s="9">
        <v>63.39</v>
      </c>
      <c r="L70" s="9">
        <v>52.05</v>
      </c>
      <c r="M70" s="9">
        <v>49.23</v>
      </c>
      <c r="N70" s="9">
        <v>46.97</v>
      </c>
      <c r="O70" s="9">
        <v>51.75</v>
      </c>
      <c r="P70" s="9">
        <v>46.39</v>
      </c>
      <c r="Q70" s="9">
        <v>46.44</v>
      </c>
      <c r="R70" s="9">
        <v>38.22</v>
      </c>
      <c r="S70" s="9">
        <v>22.48</v>
      </c>
      <c r="T70" s="9">
        <v>20.74</v>
      </c>
      <c r="U70" s="30">
        <v>1E-10</v>
      </c>
      <c r="V70" s="9">
        <v>28.12</v>
      </c>
      <c r="W70" s="9">
        <v>23.33</v>
      </c>
      <c r="X70" s="9">
        <v>17.399999999999999</v>
      </c>
      <c r="Y70" s="9">
        <v>14.42</v>
      </c>
      <c r="Z70" s="9">
        <v>83.26</v>
      </c>
      <c r="AA70" s="9">
        <v>81.78</v>
      </c>
      <c r="AB70" s="30">
        <v>1E-10</v>
      </c>
      <c r="AC70" s="9">
        <v>89.48</v>
      </c>
      <c r="AD70" s="9">
        <v>100.24</v>
      </c>
      <c r="AE70" s="9">
        <v>100.34</v>
      </c>
      <c r="AF70" s="9"/>
      <c r="AG70" s="9"/>
      <c r="AH70" s="9"/>
      <c r="AI70" s="9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</row>
    <row r="71" spans="1:109" s="1" customFormat="1" ht="16.5" customHeight="1" x14ac:dyDescent="0.25">
      <c r="A71" s="7"/>
      <c r="B71" s="8" t="s">
        <v>10</v>
      </c>
      <c r="C71" s="4" t="s">
        <v>6</v>
      </c>
      <c r="D71" s="5">
        <f t="shared" si="14"/>
        <v>1136.5100000002101</v>
      </c>
      <c r="E71" s="9">
        <v>34.72</v>
      </c>
      <c r="F71" s="9">
        <v>9.9999999999999994E-12</v>
      </c>
      <c r="G71" s="9">
        <v>17.68</v>
      </c>
      <c r="H71" s="9">
        <v>28.38</v>
      </c>
      <c r="I71" s="9">
        <v>48.7</v>
      </c>
      <c r="J71" s="9">
        <v>46.3</v>
      </c>
      <c r="K71" s="9">
        <v>54.34</v>
      </c>
      <c r="L71" s="9">
        <v>46.08</v>
      </c>
      <c r="M71" s="9">
        <v>61.76</v>
      </c>
      <c r="N71" s="9">
        <v>56.12</v>
      </c>
      <c r="O71" s="9">
        <v>50.76</v>
      </c>
      <c r="P71" s="9">
        <v>52.53</v>
      </c>
      <c r="Q71" s="9">
        <v>51.96</v>
      </c>
      <c r="R71" s="9">
        <v>46.37</v>
      </c>
      <c r="S71" s="9">
        <v>52.41</v>
      </c>
      <c r="T71" s="9">
        <v>58.2</v>
      </c>
      <c r="U71" s="30">
        <v>1E-10</v>
      </c>
      <c r="V71" s="9">
        <v>56.97</v>
      </c>
      <c r="W71" s="9">
        <v>48.23</v>
      </c>
      <c r="X71" s="9">
        <v>38.36</v>
      </c>
      <c r="Y71" s="9">
        <v>34.14</v>
      </c>
      <c r="Z71" s="9">
        <v>43.52</v>
      </c>
      <c r="AA71" s="9">
        <v>45.23</v>
      </c>
      <c r="AB71" s="30">
        <v>1E-10</v>
      </c>
      <c r="AC71" s="9">
        <v>54.94</v>
      </c>
      <c r="AD71" s="9">
        <v>54.5</v>
      </c>
      <c r="AE71" s="9">
        <v>54.31</v>
      </c>
      <c r="AF71" s="9"/>
      <c r="AG71" s="9"/>
      <c r="AH71" s="9"/>
      <c r="AI71" s="9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</row>
    <row r="72" spans="1:109" s="1" customFormat="1" x14ac:dyDescent="0.25">
      <c r="A72" s="7"/>
      <c r="B72" s="8" t="s">
        <v>11</v>
      </c>
      <c r="C72" s="4" t="s">
        <v>6</v>
      </c>
      <c r="D72" s="5">
        <f t="shared" si="14"/>
        <v>635.39000000032991</v>
      </c>
      <c r="E72" s="9">
        <v>23.93</v>
      </c>
      <c r="F72" s="9">
        <v>9.9999999999999994E-12</v>
      </c>
      <c r="G72" s="9">
        <v>9.9999999999999994E-12</v>
      </c>
      <c r="H72" s="9">
        <v>29.66</v>
      </c>
      <c r="I72" s="9">
        <v>33.119999999999997</v>
      </c>
      <c r="J72" s="9">
        <v>22.78</v>
      </c>
      <c r="K72" s="9">
        <v>34.42</v>
      </c>
      <c r="L72" s="9">
        <v>34.28</v>
      </c>
      <c r="M72" s="9">
        <v>9.9999999999999994E-12</v>
      </c>
      <c r="N72" s="9">
        <v>32.18</v>
      </c>
      <c r="O72" s="9">
        <v>32.07</v>
      </c>
      <c r="P72" s="9">
        <v>32.18</v>
      </c>
      <c r="Q72" s="9">
        <v>25.34</v>
      </c>
      <c r="R72" s="9">
        <v>27.75</v>
      </c>
      <c r="S72" s="9">
        <v>28.23</v>
      </c>
      <c r="T72" s="9">
        <v>27.56</v>
      </c>
      <c r="U72" s="30">
        <v>1E-10</v>
      </c>
      <c r="V72" s="9">
        <v>25.27</v>
      </c>
      <c r="W72" s="9">
        <v>12.99</v>
      </c>
      <c r="X72" s="9">
        <v>12.99</v>
      </c>
      <c r="Y72" s="9">
        <v>14.74</v>
      </c>
      <c r="Z72" s="9">
        <v>50.31</v>
      </c>
      <c r="AA72" s="30">
        <v>1E-10</v>
      </c>
      <c r="AB72" s="30">
        <v>1E-10</v>
      </c>
      <c r="AC72" s="31">
        <v>46.31</v>
      </c>
      <c r="AD72" s="31">
        <f>42.75-1.01</f>
        <v>41.74</v>
      </c>
      <c r="AE72" s="31">
        <v>47.54</v>
      </c>
      <c r="AF72" s="9"/>
      <c r="AG72" s="9"/>
      <c r="AH72" s="9"/>
      <c r="AI72" s="9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</row>
    <row r="73" spans="1:109" s="1" customFormat="1" ht="15.75" thickBot="1" x14ac:dyDescent="0.3">
      <c r="A73" s="7"/>
      <c r="B73" s="8" t="s">
        <v>12</v>
      </c>
      <c r="C73" s="4" t="s">
        <v>6</v>
      </c>
      <c r="D73" s="29">
        <f>SUM(E73:AI73)</f>
        <v>605.12000000036005</v>
      </c>
      <c r="E73" s="9">
        <v>9.9999999999999994E-12</v>
      </c>
      <c r="F73" s="9">
        <v>9.9999999999999994E-12</v>
      </c>
      <c r="G73" s="9">
        <v>9.9999999999999994E-12</v>
      </c>
      <c r="H73" s="9">
        <v>31.04</v>
      </c>
      <c r="I73" s="9">
        <v>27.2</v>
      </c>
      <c r="J73" s="9">
        <v>25.66</v>
      </c>
      <c r="K73" s="9">
        <v>24.46</v>
      </c>
      <c r="L73" s="9">
        <v>35.409999999999997</v>
      </c>
      <c r="M73" s="9">
        <v>9.9999999999999994E-12</v>
      </c>
      <c r="N73" s="9">
        <v>9.9999999999999994E-12</v>
      </c>
      <c r="O73" s="9">
        <f>39.72+2.1</f>
        <v>41.82</v>
      </c>
      <c r="P73" s="9">
        <v>36.630000000000003</v>
      </c>
      <c r="Q73" s="9">
        <v>34.020000000000003</v>
      </c>
      <c r="R73" s="9">
        <v>33.07</v>
      </c>
      <c r="S73" s="9">
        <v>36.229999999999997</v>
      </c>
      <c r="T73" s="9">
        <v>9.9999999999999994E-12</v>
      </c>
      <c r="U73" s="30">
        <v>1E-10</v>
      </c>
      <c r="V73" s="9">
        <v>32.53</v>
      </c>
      <c r="W73" s="9">
        <v>30.93</v>
      </c>
      <c r="X73" s="9">
        <v>32.53</v>
      </c>
      <c r="Y73" s="9">
        <v>22.77</v>
      </c>
      <c r="Z73" s="9">
        <v>30.8</v>
      </c>
      <c r="AA73" s="30">
        <v>1E-10</v>
      </c>
      <c r="AB73" s="30">
        <v>1E-10</v>
      </c>
      <c r="AC73" s="31">
        <v>38.42</v>
      </c>
      <c r="AD73" s="31">
        <v>45.48</v>
      </c>
      <c r="AE73" s="31">
        <v>46.12</v>
      </c>
      <c r="AF73" s="9"/>
      <c r="AG73" s="9"/>
      <c r="AH73" s="9"/>
      <c r="AI73" s="9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366"/>
  <sheetViews>
    <sheetView topLeftCell="A122" zoomScaleNormal="100" workbookViewId="0">
      <selection activeCell="C122" sqref="C122:C152"/>
    </sheetView>
  </sheetViews>
  <sheetFormatPr defaultRowHeight="12.75" x14ac:dyDescent="0.2"/>
  <cols>
    <col min="1" max="1" width="9.140625" style="44"/>
    <col min="2" max="3" width="13.85546875" style="44" customWidth="1"/>
    <col min="4" max="250" width="9.140625" style="44"/>
    <col min="251" max="251" width="10.85546875" style="44" customWidth="1"/>
    <col min="252" max="252" width="10.28515625" style="44" customWidth="1"/>
    <col min="253" max="253" width="9.85546875" style="44" customWidth="1"/>
    <col min="254" max="254" width="10.5703125" style="44" customWidth="1"/>
    <col min="255" max="255" width="10" style="44" customWidth="1"/>
    <col min="256" max="256" width="9.85546875" style="44" customWidth="1"/>
    <col min="257" max="257" width="10.140625" style="44" customWidth="1"/>
    <col min="258" max="258" width="13.85546875" style="44" customWidth="1"/>
    <col min="259" max="259" width="12.5703125" style="44" customWidth="1"/>
    <col min="260" max="506" width="9.140625" style="44"/>
    <col min="507" max="507" width="10.85546875" style="44" customWidth="1"/>
    <col min="508" max="508" width="10.28515625" style="44" customWidth="1"/>
    <col min="509" max="509" width="9.85546875" style="44" customWidth="1"/>
    <col min="510" max="510" width="10.5703125" style="44" customWidth="1"/>
    <col min="511" max="511" width="10" style="44" customWidth="1"/>
    <col min="512" max="512" width="9.85546875" style="44" customWidth="1"/>
    <col min="513" max="513" width="10.140625" style="44" customWidth="1"/>
    <col min="514" max="514" width="13.85546875" style="44" customWidth="1"/>
    <col min="515" max="515" width="12.5703125" style="44" customWidth="1"/>
    <col min="516" max="762" width="9.140625" style="44"/>
    <col min="763" max="763" width="10.85546875" style="44" customWidth="1"/>
    <col min="764" max="764" width="10.28515625" style="44" customWidth="1"/>
    <col min="765" max="765" width="9.85546875" style="44" customWidth="1"/>
    <col min="766" max="766" width="10.5703125" style="44" customWidth="1"/>
    <col min="767" max="767" width="10" style="44" customWidth="1"/>
    <col min="768" max="768" width="9.85546875" style="44" customWidth="1"/>
    <col min="769" max="769" width="10.140625" style="44" customWidth="1"/>
    <col min="770" max="770" width="13.85546875" style="44" customWidth="1"/>
    <col min="771" max="771" width="12.5703125" style="44" customWidth="1"/>
    <col min="772" max="1018" width="9.140625" style="44"/>
    <col min="1019" max="1019" width="10.85546875" style="44" customWidth="1"/>
    <col min="1020" max="1020" width="10.28515625" style="44" customWidth="1"/>
    <col min="1021" max="1021" width="9.85546875" style="44" customWidth="1"/>
    <col min="1022" max="1022" width="10.5703125" style="44" customWidth="1"/>
    <col min="1023" max="1023" width="10" style="44" customWidth="1"/>
    <col min="1024" max="1024" width="9.85546875" style="44" customWidth="1"/>
    <col min="1025" max="1025" width="10.140625" style="44" customWidth="1"/>
    <col min="1026" max="1026" width="13.85546875" style="44" customWidth="1"/>
    <col min="1027" max="1027" width="12.5703125" style="44" customWidth="1"/>
    <col min="1028" max="1274" width="9.140625" style="44"/>
    <col min="1275" max="1275" width="10.85546875" style="44" customWidth="1"/>
    <col min="1276" max="1276" width="10.28515625" style="44" customWidth="1"/>
    <col min="1277" max="1277" width="9.85546875" style="44" customWidth="1"/>
    <col min="1278" max="1278" width="10.5703125" style="44" customWidth="1"/>
    <col min="1279" max="1279" width="10" style="44" customWidth="1"/>
    <col min="1280" max="1280" width="9.85546875" style="44" customWidth="1"/>
    <col min="1281" max="1281" width="10.140625" style="44" customWidth="1"/>
    <col min="1282" max="1282" width="13.85546875" style="44" customWidth="1"/>
    <col min="1283" max="1283" width="12.5703125" style="44" customWidth="1"/>
    <col min="1284" max="1530" width="9.140625" style="44"/>
    <col min="1531" max="1531" width="10.85546875" style="44" customWidth="1"/>
    <col min="1532" max="1532" width="10.28515625" style="44" customWidth="1"/>
    <col min="1533" max="1533" width="9.85546875" style="44" customWidth="1"/>
    <col min="1534" max="1534" width="10.5703125" style="44" customWidth="1"/>
    <col min="1535" max="1535" width="10" style="44" customWidth="1"/>
    <col min="1536" max="1536" width="9.85546875" style="44" customWidth="1"/>
    <col min="1537" max="1537" width="10.140625" style="44" customWidth="1"/>
    <col min="1538" max="1538" width="13.85546875" style="44" customWidth="1"/>
    <col min="1539" max="1539" width="12.5703125" style="44" customWidth="1"/>
    <col min="1540" max="1786" width="9.140625" style="44"/>
    <col min="1787" max="1787" width="10.85546875" style="44" customWidth="1"/>
    <col min="1788" max="1788" width="10.28515625" style="44" customWidth="1"/>
    <col min="1789" max="1789" width="9.85546875" style="44" customWidth="1"/>
    <col min="1790" max="1790" width="10.5703125" style="44" customWidth="1"/>
    <col min="1791" max="1791" width="10" style="44" customWidth="1"/>
    <col min="1792" max="1792" width="9.85546875" style="44" customWidth="1"/>
    <col min="1793" max="1793" width="10.140625" style="44" customWidth="1"/>
    <col min="1794" max="1794" width="13.85546875" style="44" customWidth="1"/>
    <col min="1795" max="1795" width="12.5703125" style="44" customWidth="1"/>
    <col min="1796" max="2042" width="9.140625" style="44"/>
    <col min="2043" max="2043" width="10.85546875" style="44" customWidth="1"/>
    <col min="2044" max="2044" width="10.28515625" style="44" customWidth="1"/>
    <col min="2045" max="2045" width="9.85546875" style="44" customWidth="1"/>
    <col min="2046" max="2046" width="10.5703125" style="44" customWidth="1"/>
    <col min="2047" max="2047" width="10" style="44" customWidth="1"/>
    <col min="2048" max="2048" width="9.85546875" style="44" customWidth="1"/>
    <col min="2049" max="2049" width="10.140625" style="44" customWidth="1"/>
    <col min="2050" max="2050" width="13.85546875" style="44" customWidth="1"/>
    <col min="2051" max="2051" width="12.5703125" style="44" customWidth="1"/>
    <col min="2052" max="2298" width="9.140625" style="44"/>
    <col min="2299" max="2299" width="10.85546875" style="44" customWidth="1"/>
    <col min="2300" max="2300" width="10.28515625" style="44" customWidth="1"/>
    <col min="2301" max="2301" width="9.85546875" style="44" customWidth="1"/>
    <col min="2302" max="2302" width="10.5703125" style="44" customWidth="1"/>
    <col min="2303" max="2303" width="10" style="44" customWidth="1"/>
    <col min="2304" max="2304" width="9.85546875" style="44" customWidth="1"/>
    <col min="2305" max="2305" width="10.140625" style="44" customWidth="1"/>
    <col min="2306" max="2306" width="13.85546875" style="44" customWidth="1"/>
    <col min="2307" max="2307" width="12.5703125" style="44" customWidth="1"/>
    <col min="2308" max="2554" width="9.140625" style="44"/>
    <col min="2555" max="2555" width="10.85546875" style="44" customWidth="1"/>
    <col min="2556" max="2556" width="10.28515625" style="44" customWidth="1"/>
    <col min="2557" max="2557" width="9.85546875" style="44" customWidth="1"/>
    <col min="2558" max="2558" width="10.5703125" style="44" customWidth="1"/>
    <col min="2559" max="2559" width="10" style="44" customWidth="1"/>
    <col min="2560" max="2560" width="9.85546875" style="44" customWidth="1"/>
    <col min="2561" max="2561" width="10.140625" style="44" customWidth="1"/>
    <col min="2562" max="2562" width="13.85546875" style="44" customWidth="1"/>
    <col min="2563" max="2563" width="12.5703125" style="44" customWidth="1"/>
    <col min="2564" max="2810" width="9.140625" style="44"/>
    <col min="2811" max="2811" width="10.85546875" style="44" customWidth="1"/>
    <col min="2812" max="2812" width="10.28515625" style="44" customWidth="1"/>
    <col min="2813" max="2813" width="9.85546875" style="44" customWidth="1"/>
    <col min="2814" max="2814" width="10.5703125" style="44" customWidth="1"/>
    <col min="2815" max="2815" width="10" style="44" customWidth="1"/>
    <col min="2816" max="2816" width="9.85546875" style="44" customWidth="1"/>
    <col min="2817" max="2817" width="10.140625" style="44" customWidth="1"/>
    <col min="2818" max="2818" width="13.85546875" style="44" customWidth="1"/>
    <col min="2819" max="2819" width="12.5703125" style="44" customWidth="1"/>
    <col min="2820" max="3066" width="9.140625" style="44"/>
    <col min="3067" max="3067" width="10.85546875" style="44" customWidth="1"/>
    <col min="3068" max="3068" width="10.28515625" style="44" customWidth="1"/>
    <col min="3069" max="3069" width="9.85546875" style="44" customWidth="1"/>
    <col min="3070" max="3070" width="10.5703125" style="44" customWidth="1"/>
    <col min="3071" max="3071" width="10" style="44" customWidth="1"/>
    <col min="3072" max="3072" width="9.85546875" style="44" customWidth="1"/>
    <col min="3073" max="3073" width="10.140625" style="44" customWidth="1"/>
    <col min="3074" max="3074" width="13.85546875" style="44" customWidth="1"/>
    <col min="3075" max="3075" width="12.5703125" style="44" customWidth="1"/>
    <col min="3076" max="3322" width="9.140625" style="44"/>
    <col min="3323" max="3323" width="10.85546875" style="44" customWidth="1"/>
    <col min="3324" max="3324" width="10.28515625" style="44" customWidth="1"/>
    <col min="3325" max="3325" width="9.85546875" style="44" customWidth="1"/>
    <col min="3326" max="3326" width="10.5703125" style="44" customWidth="1"/>
    <col min="3327" max="3327" width="10" style="44" customWidth="1"/>
    <col min="3328" max="3328" width="9.85546875" style="44" customWidth="1"/>
    <col min="3329" max="3329" width="10.140625" style="44" customWidth="1"/>
    <col min="3330" max="3330" width="13.85546875" style="44" customWidth="1"/>
    <col min="3331" max="3331" width="12.5703125" style="44" customWidth="1"/>
    <col min="3332" max="3578" width="9.140625" style="44"/>
    <col min="3579" max="3579" width="10.85546875" style="44" customWidth="1"/>
    <col min="3580" max="3580" width="10.28515625" style="44" customWidth="1"/>
    <col min="3581" max="3581" width="9.85546875" style="44" customWidth="1"/>
    <col min="3582" max="3582" width="10.5703125" style="44" customWidth="1"/>
    <col min="3583" max="3583" width="10" style="44" customWidth="1"/>
    <col min="3584" max="3584" width="9.85546875" style="44" customWidth="1"/>
    <col min="3585" max="3585" width="10.140625" style="44" customWidth="1"/>
    <col min="3586" max="3586" width="13.85546875" style="44" customWidth="1"/>
    <col min="3587" max="3587" width="12.5703125" style="44" customWidth="1"/>
    <col min="3588" max="3834" width="9.140625" style="44"/>
    <col min="3835" max="3835" width="10.85546875" style="44" customWidth="1"/>
    <col min="3836" max="3836" width="10.28515625" style="44" customWidth="1"/>
    <col min="3837" max="3837" width="9.85546875" style="44" customWidth="1"/>
    <col min="3838" max="3838" width="10.5703125" style="44" customWidth="1"/>
    <col min="3839" max="3839" width="10" style="44" customWidth="1"/>
    <col min="3840" max="3840" width="9.85546875" style="44" customWidth="1"/>
    <col min="3841" max="3841" width="10.140625" style="44" customWidth="1"/>
    <col min="3842" max="3842" width="13.85546875" style="44" customWidth="1"/>
    <col min="3843" max="3843" width="12.5703125" style="44" customWidth="1"/>
    <col min="3844" max="4090" width="9.140625" style="44"/>
    <col min="4091" max="4091" width="10.85546875" style="44" customWidth="1"/>
    <col min="4092" max="4092" width="10.28515625" style="44" customWidth="1"/>
    <col min="4093" max="4093" width="9.85546875" style="44" customWidth="1"/>
    <col min="4094" max="4094" width="10.5703125" style="44" customWidth="1"/>
    <col min="4095" max="4095" width="10" style="44" customWidth="1"/>
    <col min="4096" max="4096" width="9.85546875" style="44" customWidth="1"/>
    <col min="4097" max="4097" width="10.140625" style="44" customWidth="1"/>
    <col min="4098" max="4098" width="13.85546875" style="44" customWidth="1"/>
    <col min="4099" max="4099" width="12.5703125" style="44" customWidth="1"/>
    <col min="4100" max="4346" width="9.140625" style="44"/>
    <col min="4347" max="4347" width="10.85546875" style="44" customWidth="1"/>
    <col min="4348" max="4348" width="10.28515625" style="44" customWidth="1"/>
    <col min="4349" max="4349" width="9.85546875" style="44" customWidth="1"/>
    <col min="4350" max="4350" width="10.5703125" style="44" customWidth="1"/>
    <col min="4351" max="4351" width="10" style="44" customWidth="1"/>
    <col min="4352" max="4352" width="9.85546875" style="44" customWidth="1"/>
    <col min="4353" max="4353" width="10.140625" style="44" customWidth="1"/>
    <col min="4354" max="4354" width="13.85546875" style="44" customWidth="1"/>
    <col min="4355" max="4355" width="12.5703125" style="44" customWidth="1"/>
    <col min="4356" max="4602" width="9.140625" style="44"/>
    <col min="4603" max="4603" width="10.85546875" style="44" customWidth="1"/>
    <col min="4604" max="4604" width="10.28515625" style="44" customWidth="1"/>
    <col min="4605" max="4605" width="9.85546875" style="44" customWidth="1"/>
    <col min="4606" max="4606" width="10.5703125" style="44" customWidth="1"/>
    <col min="4607" max="4607" width="10" style="44" customWidth="1"/>
    <col min="4608" max="4608" width="9.85546875" style="44" customWidth="1"/>
    <col min="4609" max="4609" width="10.140625" style="44" customWidth="1"/>
    <col min="4610" max="4610" width="13.85546875" style="44" customWidth="1"/>
    <col min="4611" max="4611" width="12.5703125" style="44" customWidth="1"/>
    <col min="4612" max="4858" width="9.140625" style="44"/>
    <col min="4859" max="4859" width="10.85546875" style="44" customWidth="1"/>
    <col min="4860" max="4860" width="10.28515625" style="44" customWidth="1"/>
    <col min="4861" max="4861" width="9.85546875" style="44" customWidth="1"/>
    <col min="4862" max="4862" width="10.5703125" style="44" customWidth="1"/>
    <col min="4863" max="4863" width="10" style="44" customWidth="1"/>
    <col min="4864" max="4864" width="9.85546875" style="44" customWidth="1"/>
    <col min="4865" max="4865" width="10.140625" style="44" customWidth="1"/>
    <col min="4866" max="4866" width="13.85546875" style="44" customWidth="1"/>
    <col min="4867" max="4867" width="12.5703125" style="44" customWidth="1"/>
    <col min="4868" max="5114" width="9.140625" style="44"/>
    <col min="5115" max="5115" width="10.85546875" style="44" customWidth="1"/>
    <col min="5116" max="5116" width="10.28515625" style="44" customWidth="1"/>
    <col min="5117" max="5117" width="9.85546875" style="44" customWidth="1"/>
    <col min="5118" max="5118" width="10.5703125" style="44" customWidth="1"/>
    <col min="5119" max="5119" width="10" style="44" customWidth="1"/>
    <col min="5120" max="5120" width="9.85546875" style="44" customWidth="1"/>
    <col min="5121" max="5121" width="10.140625" style="44" customWidth="1"/>
    <col min="5122" max="5122" width="13.85546875" style="44" customWidth="1"/>
    <col min="5123" max="5123" width="12.5703125" style="44" customWidth="1"/>
    <col min="5124" max="5370" width="9.140625" style="44"/>
    <col min="5371" max="5371" width="10.85546875" style="44" customWidth="1"/>
    <col min="5372" max="5372" width="10.28515625" style="44" customWidth="1"/>
    <col min="5373" max="5373" width="9.85546875" style="44" customWidth="1"/>
    <col min="5374" max="5374" width="10.5703125" style="44" customWidth="1"/>
    <col min="5375" max="5375" width="10" style="44" customWidth="1"/>
    <col min="5376" max="5376" width="9.85546875" style="44" customWidth="1"/>
    <col min="5377" max="5377" width="10.140625" style="44" customWidth="1"/>
    <col min="5378" max="5378" width="13.85546875" style="44" customWidth="1"/>
    <col min="5379" max="5379" width="12.5703125" style="44" customWidth="1"/>
    <col min="5380" max="5626" width="9.140625" style="44"/>
    <col min="5627" max="5627" width="10.85546875" style="44" customWidth="1"/>
    <col min="5628" max="5628" width="10.28515625" style="44" customWidth="1"/>
    <col min="5629" max="5629" width="9.85546875" style="44" customWidth="1"/>
    <col min="5630" max="5630" width="10.5703125" style="44" customWidth="1"/>
    <col min="5631" max="5631" width="10" style="44" customWidth="1"/>
    <col min="5632" max="5632" width="9.85546875" style="44" customWidth="1"/>
    <col min="5633" max="5633" width="10.140625" style="44" customWidth="1"/>
    <col min="5634" max="5634" width="13.85546875" style="44" customWidth="1"/>
    <col min="5635" max="5635" width="12.5703125" style="44" customWidth="1"/>
    <col min="5636" max="5882" width="9.140625" style="44"/>
    <col min="5883" max="5883" width="10.85546875" style="44" customWidth="1"/>
    <col min="5884" max="5884" width="10.28515625" style="44" customWidth="1"/>
    <col min="5885" max="5885" width="9.85546875" style="44" customWidth="1"/>
    <col min="5886" max="5886" width="10.5703125" style="44" customWidth="1"/>
    <col min="5887" max="5887" width="10" style="44" customWidth="1"/>
    <col min="5888" max="5888" width="9.85546875" style="44" customWidth="1"/>
    <col min="5889" max="5889" width="10.140625" style="44" customWidth="1"/>
    <col min="5890" max="5890" width="13.85546875" style="44" customWidth="1"/>
    <col min="5891" max="5891" width="12.5703125" style="44" customWidth="1"/>
    <col min="5892" max="6138" width="9.140625" style="44"/>
    <col min="6139" max="6139" width="10.85546875" style="44" customWidth="1"/>
    <col min="6140" max="6140" width="10.28515625" style="44" customWidth="1"/>
    <col min="6141" max="6141" width="9.85546875" style="44" customWidth="1"/>
    <col min="6142" max="6142" width="10.5703125" style="44" customWidth="1"/>
    <col min="6143" max="6143" width="10" style="44" customWidth="1"/>
    <col min="6144" max="6144" width="9.85546875" style="44" customWidth="1"/>
    <col min="6145" max="6145" width="10.140625" style="44" customWidth="1"/>
    <col min="6146" max="6146" width="13.85546875" style="44" customWidth="1"/>
    <col min="6147" max="6147" width="12.5703125" style="44" customWidth="1"/>
    <col min="6148" max="6394" width="9.140625" style="44"/>
    <col min="6395" max="6395" width="10.85546875" style="44" customWidth="1"/>
    <col min="6396" max="6396" width="10.28515625" style="44" customWidth="1"/>
    <col min="6397" max="6397" width="9.85546875" style="44" customWidth="1"/>
    <col min="6398" max="6398" width="10.5703125" style="44" customWidth="1"/>
    <col min="6399" max="6399" width="10" style="44" customWidth="1"/>
    <col min="6400" max="6400" width="9.85546875" style="44" customWidth="1"/>
    <col min="6401" max="6401" width="10.140625" style="44" customWidth="1"/>
    <col min="6402" max="6402" width="13.85546875" style="44" customWidth="1"/>
    <col min="6403" max="6403" width="12.5703125" style="44" customWidth="1"/>
    <col min="6404" max="6650" width="9.140625" style="44"/>
    <col min="6651" max="6651" width="10.85546875" style="44" customWidth="1"/>
    <col min="6652" max="6652" width="10.28515625" style="44" customWidth="1"/>
    <col min="6653" max="6653" width="9.85546875" style="44" customWidth="1"/>
    <col min="6654" max="6654" width="10.5703125" style="44" customWidth="1"/>
    <col min="6655" max="6655" width="10" style="44" customWidth="1"/>
    <col min="6656" max="6656" width="9.85546875" style="44" customWidth="1"/>
    <col min="6657" max="6657" width="10.140625" style="44" customWidth="1"/>
    <col min="6658" max="6658" width="13.85546875" style="44" customWidth="1"/>
    <col min="6659" max="6659" width="12.5703125" style="44" customWidth="1"/>
    <col min="6660" max="6906" width="9.140625" style="44"/>
    <col min="6907" max="6907" width="10.85546875" style="44" customWidth="1"/>
    <col min="6908" max="6908" width="10.28515625" style="44" customWidth="1"/>
    <col min="6909" max="6909" width="9.85546875" style="44" customWidth="1"/>
    <col min="6910" max="6910" width="10.5703125" style="44" customWidth="1"/>
    <col min="6911" max="6911" width="10" style="44" customWidth="1"/>
    <col min="6912" max="6912" width="9.85546875" style="44" customWidth="1"/>
    <col min="6913" max="6913" width="10.140625" style="44" customWidth="1"/>
    <col min="6914" max="6914" width="13.85546875" style="44" customWidth="1"/>
    <col min="6915" max="6915" width="12.5703125" style="44" customWidth="1"/>
    <col min="6916" max="7162" width="9.140625" style="44"/>
    <col min="7163" max="7163" width="10.85546875" style="44" customWidth="1"/>
    <col min="7164" max="7164" width="10.28515625" style="44" customWidth="1"/>
    <col min="7165" max="7165" width="9.85546875" style="44" customWidth="1"/>
    <col min="7166" max="7166" width="10.5703125" style="44" customWidth="1"/>
    <col min="7167" max="7167" width="10" style="44" customWidth="1"/>
    <col min="7168" max="7168" width="9.85546875" style="44" customWidth="1"/>
    <col min="7169" max="7169" width="10.140625" style="44" customWidth="1"/>
    <col min="7170" max="7170" width="13.85546875" style="44" customWidth="1"/>
    <col min="7171" max="7171" width="12.5703125" style="44" customWidth="1"/>
    <col min="7172" max="7418" width="9.140625" style="44"/>
    <col min="7419" max="7419" width="10.85546875" style="44" customWidth="1"/>
    <col min="7420" max="7420" width="10.28515625" style="44" customWidth="1"/>
    <col min="7421" max="7421" width="9.85546875" style="44" customWidth="1"/>
    <col min="7422" max="7422" width="10.5703125" style="44" customWidth="1"/>
    <col min="7423" max="7423" width="10" style="44" customWidth="1"/>
    <col min="7424" max="7424" width="9.85546875" style="44" customWidth="1"/>
    <col min="7425" max="7425" width="10.140625" style="44" customWidth="1"/>
    <col min="7426" max="7426" width="13.85546875" style="44" customWidth="1"/>
    <col min="7427" max="7427" width="12.5703125" style="44" customWidth="1"/>
    <col min="7428" max="7674" width="9.140625" style="44"/>
    <col min="7675" max="7675" width="10.85546875" style="44" customWidth="1"/>
    <col min="7676" max="7676" width="10.28515625" style="44" customWidth="1"/>
    <col min="7677" max="7677" width="9.85546875" style="44" customWidth="1"/>
    <col min="7678" max="7678" width="10.5703125" style="44" customWidth="1"/>
    <col min="7679" max="7679" width="10" style="44" customWidth="1"/>
    <col min="7680" max="7680" width="9.85546875" style="44" customWidth="1"/>
    <col min="7681" max="7681" width="10.140625" style="44" customWidth="1"/>
    <col min="7682" max="7682" width="13.85546875" style="44" customWidth="1"/>
    <col min="7683" max="7683" width="12.5703125" style="44" customWidth="1"/>
    <col min="7684" max="7930" width="9.140625" style="44"/>
    <col min="7931" max="7931" width="10.85546875" style="44" customWidth="1"/>
    <col min="7932" max="7932" width="10.28515625" style="44" customWidth="1"/>
    <col min="7933" max="7933" width="9.85546875" style="44" customWidth="1"/>
    <col min="7934" max="7934" width="10.5703125" style="44" customWidth="1"/>
    <col min="7935" max="7935" width="10" style="44" customWidth="1"/>
    <col min="7936" max="7936" width="9.85546875" style="44" customWidth="1"/>
    <col min="7937" max="7937" width="10.140625" style="44" customWidth="1"/>
    <col min="7938" max="7938" width="13.85546875" style="44" customWidth="1"/>
    <col min="7939" max="7939" width="12.5703125" style="44" customWidth="1"/>
    <col min="7940" max="8186" width="9.140625" style="44"/>
    <col min="8187" max="8187" width="10.85546875" style="44" customWidth="1"/>
    <col min="8188" max="8188" width="10.28515625" style="44" customWidth="1"/>
    <col min="8189" max="8189" width="9.85546875" style="44" customWidth="1"/>
    <col min="8190" max="8190" width="10.5703125" style="44" customWidth="1"/>
    <col min="8191" max="8191" width="10" style="44" customWidth="1"/>
    <col min="8192" max="8192" width="9.85546875" style="44" customWidth="1"/>
    <col min="8193" max="8193" width="10.140625" style="44" customWidth="1"/>
    <col min="8194" max="8194" width="13.85546875" style="44" customWidth="1"/>
    <col min="8195" max="8195" width="12.5703125" style="44" customWidth="1"/>
    <col min="8196" max="8442" width="9.140625" style="44"/>
    <col min="8443" max="8443" width="10.85546875" style="44" customWidth="1"/>
    <col min="8444" max="8444" width="10.28515625" style="44" customWidth="1"/>
    <col min="8445" max="8445" width="9.85546875" style="44" customWidth="1"/>
    <col min="8446" max="8446" width="10.5703125" style="44" customWidth="1"/>
    <col min="8447" max="8447" width="10" style="44" customWidth="1"/>
    <col min="8448" max="8448" width="9.85546875" style="44" customWidth="1"/>
    <col min="8449" max="8449" width="10.140625" style="44" customWidth="1"/>
    <col min="8450" max="8450" width="13.85546875" style="44" customWidth="1"/>
    <col min="8451" max="8451" width="12.5703125" style="44" customWidth="1"/>
    <col min="8452" max="8698" width="9.140625" style="44"/>
    <col min="8699" max="8699" width="10.85546875" style="44" customWidth="1"/>
    <col min="8700" max="8700" width="10.28515625" style="44" customWidth="1"/>
    <col min="8701" max="8701" width="9.85546875" style="44" customWidth="1"/>
    <col min="8702" max="8702" width="10.5703125" style="44" customWidth="1"/>
    <col min="8703" max="8703" width="10" style="44" customWidth="1"/>
    <col min="8704" max="8704" width="9.85546875" style="44" customWidth="1"/>
    <col min="8705" max="8705" width="10.140625" style="44" customWidth="1"/>
    <col min="8706" max="8706" width="13.85546875" style="44" customWidth="1"/>
    <col min="8707" max="8707" width="12.5703125" style="44" customWidth="1"/>
    <col min="8708" max="8954" width="9.140625" style="44"/>
    <col min="8955" max="8955" width="10.85546875" style="44" customWidth="1"/>
    <col min="8956" max="8956" width="10.28515625" style="44" customWidth="1"/>
    <col min="8957" max="8957" width="9.85546875" style="44" customWidth="1"/>
    <col min="8958" max="8958" width="10.5703125" style="44" customWidth="1"/>
    <col min="8959" max="8959" width="10" style="44" customWidth="1"/>
    <col min="8960" max="8960" width="9.85546875" style="44" customWidth="1"/>
    <col min="8961" max="8961" width="10.140625" style="44" customWidth="1"/>
    <col min="8962" max="8962" width="13.85546875" style="44" customWidth="1"/>
    <col min="8963" max="8963" width="12.5703125" style="44" customWidth="1"/>
    <col min="8964" max="9210" width="9.140625" style="44"/>
    <col min="9211" max="9211" width="10.85546875" style="44" customWidth="1"/>
    <col min="9212" max="9212" width="10.28515625" style="44" customWidth="1"/>
    <col min="9213" max="9213" width="9.85546875" style="44" customWidth="1"/>
    <col min="9214" max="9214" width="10.5703125" style="44" customWidth="1"/>
    <col min="9215" max="9215" width="10" style="44" customWidth="1"/>
    <col min="9216" max="9216" width="9.85546875" style="44" customWidth="1"/>
    <col min="9217" max="9217" width="10.140625" style="44" customWidth="1"/>
    <col min="9218" max="9218" width="13.85546875" style="44" customWidth="1"/>
    <col min="9219" max="9219" width="12.5703125" style="44" customWidth="1"/>
    <col min="9220" max="9466" width="9.140625" style="44"/>
    <col min="9467" max="9467" width="10.85546875" style="44" customWidth="1"/>
    <col min="9468" max="9468" width="10.28515625" style="44" customWidth="1"/>
    <col min="9469" max="9469" width="9.85546875" style="44" customWidth="1"/>
    <col min="9470" max="9470" width="10.5703125" style="44" customWidth="1"/>
    <col min="9471" max="9471" width="10" style="44" customWidth="1"/>
    <col min="9472" max="9472" width="9.85546875" style="44" customWidth="1"/>
    <col min="9473" max="9473" width="10.140625" style="44" customWidth="1"/>
    <col min="9474" max="9474" width="13.85546875" style="44" customWidth="1"/>
    <col min="9475" max="9475" width="12.5703125" style="44" customWidth="1"/>
    <col min="9476" max="9722" width="9.140625" style="44"/>
    <col min="9723" max="9723" width="10.85546875" style="44" customWidth="1"/>
    <col min="9724" max="9724" width="10.28515625" style="44" customWidth="1"/>
    <col min="9725" max="9725" width="9.85546875" style="44" customWidth="1"/>
    <col min="9726" max="9726" width="10.5703125" style="44" customWidth="1"/>
    <col min="9727" max="9727" width="10" style="44" customWidth="1"/>
    <col min="9728" max="9728" width="9.85546875" style="44" customWidth="1"/>
    <col min="9729" max="9729" width="10.140625" style="44" customWidth="1"/>
    <col min="9730" max="9730" width="13.85546875" style="44" customWidth="1"/>
    <col min="9731" max="9731" width="12.5703125" style="44" customWidth="1"/>
    <col min="9732" max="9978" width="9.140625" style="44"/>
    <col min="9979" max="9979" width="10.85546875" style="44" customWidth="1"/>
    <col min="9980" max="9980" width="10.28515625" style="44" customWidth="1"/>
    <col min="9981" max="9981" width="9.85546875" style="44" customWidth="1"/>
    <col min="9982" max="9982" width="10.5703125" style="44" customWidth="1"/>
    <col min="9983" max="9983" width="10" style="44" customWidth="1"/>
    <col min="9984" max="9984" width="9.85546875" style="44" customWidth="1"/>
    <col min="9985" max="9985" width="10.140625" style="44" customWidth="1"/>
    <col min="9986" max="9986" width="13.85546875" style="44" customWidth="1"/>
    <col min="9987" max="9987" width="12.5703125" style="44" customWidth="1"/>
    <col min="9988" max="10234" width="9.140625" style="44"/>
    <col min="10235" max="10235" width="10.85546875" style="44" customWidth="1"/>
    <col min="10236" max="10236" width="10.28515625" style="44" customWidth="1"/>
    <col min="10237" max="10237" width="9.85546875" style="44" customWidth="1"/>
    <col min="10238" max="10238" width="10.5703125" style="44" customWidth="1"/>
    <col min="10239" max="10239" width="10" style="44" customWidth="1"/>
    <col min="10240" max="10240" width="9.85546875" style="44" customWidth="1"/>
    <col min="10241" max="10241" width="10.140625" style="44" customWidth="1"/>
    <col min="10242" max="10242" width="13.85546875" style="44" customWidth="1"/>
    <col min="10243" max="10243" width="12.5703125" style="44" customWidth="1"/>
    <col min="10244" max="10490" width="9.140625" style="44"/>
    <col min="10491" max="10491" width="10.85546875" style="44" customWidth="1"/>
    <col min="10492" max="10492" width="10.28515625" style="44" customWidth="1"/>
    <col min="10493" max="10493" width="9.85546875" style="44" customWidth="1"/>
    <col min="10494" max="10494" width="10.5703125" style="44" customWidth="1"/>
    <col min="10495" max="10495" width="10" style="44" customWidth="1"/>
    <col min="10496" max="10496" width="9.85546875" style="44" customWidth="1"/>
    <col min="10497" max="10497" width="10.140625" style="44" customWidth="1"/>
    <col min="10498" max="10498" width="13.85546875" style="44" customWidth="1"/>
    <col min="10499" max="10499" width="12.5703125" style="44" customWidth="1"/>
    <col min="10500" max="10746" width="9.140625" style="44"/>
    <col min="10747" max="10747" width="10.85546875" style="44" customWidth="1"/>
    <col min="10748" max="10748" width="10.28515625" style="44" customWidth="1"/>
    <col min="10749" max="10749" width="9.85546875" style="44" customWidth="1"/>
    <col min="10750" max="10750" width="10.5703125" style="44" customWidth="1"/>
    <col min="10751" max="10751" width="10" style="44" customWidth="1"/>
    <col min="10752" max="10752" width="9.85546875" style="44" customWidth="1"/>
    <col min="10753" max="10753" width="10.140625" style="44" customWidth="1"/>
    <col min="10754" max="10754" width="13.85546875" style="44" customWidth="1"/>
    <col min="10755" max="10755" width="12.5703125" style="44" customWidth="1"/>
    <col min="10756" max="11002" width="9.140625" style="44"/>
    <col min="11003" max="11003" width="10.85546875" style="44" customWidth="1"/>
    <col min="11004" max="11004" width="10.28515625" style="44" customWidth="1"/>
    <col min="11005" max="11005" width="9.85546875" style="44" customWidth="1"/>
    <col min="11006" max="11006" width="10.5703125" style="44" customWidth="1"/>
    <col min="11007" max="11007" width="10" style="44" customWidth="1"/>
    <col min="11008" max="11008" width="9.85546875" style="44" customWidth="1"/>
    <col min="11009" max="11009" width="10.140625" style="44" customWidth="1"/>
    <col min="11010" max="11010" width="13.85546875" style="44" customWidth="1"/>
    <col min="11011" max="11011" width="12.5703125" style="44" customWidth="1"/>
    <col min="11012" max="11258" width="9.140625" style="44"/>
    <col min="11259" max="11259" width="10.85546875" style="44" customWidth="1"/>
    <col min="11260" max="11260" width="10.28515625" style="44" customWidth="1"/>
    <col min="11261" max="11261" width="9.85546875" style="44" customWidth="1"/>
    <col min="11262" max="11262" width="10.5703125" style="44" customWidth="1"/>
    <col min="11263" max="11263" width="10" style="44" customWidth="1"/>
    <col min="11264" max="11264" width="9.85546875" style="44" customWidth="1"/>
    <col min="11265" max="11265" width="10.140625" style="44" customWidth="1"/>
    <col min="11266" max="11266" width="13.85546875" style="44" customWidth="1"/>
    <col min="11267" max="11267" width="12.5703125" style="44" customWidth="1"/>
    <col min="11268" max="11514" width="9.140625" style="44"/>
    <col min="11515" max="11515" width="10.85546875" style="44" customWidth="1"/>
    <col min="11516" max="11516" width="10.28515625" style="44" customWidth="1"/>
    <col min="11517" max="11517" width="9.85546875" style="44" customWidth="1"/>
    <col min="11518" max="11518" width="10.5703125" style="44" customWidth="1"/>
    <col min="11519" max="11519" width="10" style="44" customWidth="1"/>
    <col min="11520" max="11520" width="9.85546875" style="44" customWidth="1"/>
    <col min="11521" max="11521" width="10.140625" style="44" customWidth="1"/>
    <col min="11522" max="11522" width="13.85546875" style="44" customWidth="1"/>
    <col min="11523" max="11523" width="12.5703125" style="44" customWidth="1"/>
    <col min="11524" max="11770" width="9.140625" style="44"/>
    <col min="11771" max="11771" width="10.85546875" style="44" customWidth="1"/>
    <col min="11772" max="11772" width="10.28515625" style="44" customWidth="1"/>
    <col min="11773" max="11773" width="9.85546875" style="44" customWidth="1"/>
    <col min="11774" max="11774" width="10.5703125" style="44" customWidth="1"/>
    <col min="11775" max="11775" width="10" style="44" customWidth="1"/>
    <col min="11776" max="11776" width="9.85546875" style="44" customWidth="1"/>
    <col min="11777" max="11777" width="10.140625" style="44" customWidth="1"/>
    <col min="11778" max="11778" width="13.85546875" style="44" customWidth="1"/>
    <col min="11779" max="11779" width="12.5703125" style="44" customWidth="1"/>
    <col min="11780" max="12026" width="9.140625" style="44"/>
    <col min="12027" max="12027" width="10.85546875" style="44" customWidth="1"/>
    <col min="12028" max="12028" width="10.28515625" style="44" customWidth="1"/>
    <col min="12029" max="12029" width="9.85546875" style="44" customWidth="1"/>
    <col min="12030" max="12030" width="10.5703125" style="44" customWidth="1"/>
    <col min="12031" max="12031" width="10" style="44" customWidth="1"/>
    <col min="12032" max="12032" width="9.85546875" style="44" customWidth="1"/>
    <col min="12033" max="12033" width="10.140625" style="44" customWidth="1"/>
    <col min="12034" max="12034" width="13.85546875" style="44" customWidth="1"/>
    <col min="12035" max="12035" width="12.5703125" style="44" customWidth="1"/>
    <col min="12036" max="12282" width="9.140625" style="44"/>
    <col min="12283" max="12283" width="10.85546875" style="44" customWidth="1"/>
    <col min="12284" max="12284" width="10.28515625" style="44" customWidth="1"/>
    <col min="12285" max="12285" width="9.85546875" style="44" customWidth="1"/>
    <col min="12286" max="12286" width="10.5703125" style="44" customWidth="1"/>
    <col min="12287" max="12287" width="10" style="44" customWidth="1"/>
    <col min="12288" max="12288" width="9.85546875" style="44" customWidth="1"/>
    <col min="12289" max="12289" width="10.140625" style="44" customWidth="1"/>
    <col min="12290" max="12290" width="13.85546875" style="44" customWidth="1"/>
    <col min="12291" max="12291" width="12.5703125" style="44" customWidth="1"/>
    <col min="12292" max="12538" width="9.140625" style="44"/>
    <col min="12539" max="12539" width="10.85546875" style="44" customWidth="1"/>
    <col min="12540" max="12540" width="10.28515625" style="44" customWidth="1"/>
    <col min="12541" max="12541" width="9.85546875" style="44" customWidth="1"/>
    <col min="12542" max="12542" width="10.5703125" style="44" customWidth="1"/>
    <col min="12543" max="12543" width="10" style="44" customWidth="1"/>
    <col min="12544" max="12544" width="9.85546875" style="44" customWidth="1"/>
    <col min="12545" max="12545" width="10.140625" style="44" customWidth="1"/>
    <col min="12546" max="12546" width="13.85546875" style="44" customWidth="1"/>
    <col min="12547" max="12547" width="12.5703125" style="44" customWidth="1"/>
    <col min="12548" max="12794" width="9.140625" style="44"/>
    <col min="12795" max="12795" width="10.85546875" style="44" customWidth="1"/>
    <col min="12796" max="12796" width="10.28515625" style="44" customWidth="1"/>
    <col min="12797" max="12797" width="9.85546875" style="44" customWidth="1"/>
    <col min="12798" max="12798" width="10.5703125" style="44" customWidth="1"/>
    <col min="12799" max="12799" width="10" style="44" customWidth="1"/>
    <col min="12800" max="12800" width="9.85546875" style="44" customWidth="1"/>
    <col min="12801" max="12801" width="10.140625" style="44" customWidth="1"/>
    <col min="12802" max="12802" width="13.85546875" style="44" customWidth="1"/>
    <col min="12803" max="12803" width="12.5703125" style="44" customWidth="1"/>
    <col min="12804" max="13050" width="9.140625" style="44"/>
    <col min="13051" max="13051" width="10.85546875" style="44" customWidth="1"/>
    <col min="13052" max="13052" width="10.28515625" style="44" customWidth="1"/>
    <col min="13053" max="13053" width="9.85546875" style="44" customWidth="1"/>
    <col min="13054" max="13054" width="10.5703125" style="44" customWidth="1"/>
    <col min="13055" max="13055" width="10" style="44" customWidth="1"/>
    <col min="13056" max="13056" width="9.85546875" style="44" customWidth="1"/>
    <col min="13057" max="13057" width="10.140625" style="44" customWidth="1"/>
    <col min="13058" max="13058" width="13.85546875" style="44" customWidth="1"/>
    <col min="13059" max="13059" width="12.5703125" style="44" customWidth="1"/>
    <col min="13060" max="13306" width="9.140625" style="44"/>
    <col min="13307" max="13307" width="10.85546875" style="44" customWidth="1"/>
    <col min="13308" max="13308" width="10.28515625" style="44" customWidth="1"/>
    <col min="13309" max="13309" width="9.85546875" style="44" customWidth="1"/>
    <col min="13310" max="13310" width="10.5703125" style="44" customWidth="1"/>
    <col min="13311" max="13311" width="10" style="44" customWidth="1"/>
    <col min="13312" max="13312" width="9.85546875" style="44" customWidth="1"/>
    <col min="13313" max="13313" width="10.140625" style="44" customWidth="1"/>
    <col min="13314" max="13314" width="13.85546875" style="44" customWidth="1"/>
    <col min="13315" max="13315" width="12.5703125" style="44" customWidth="1"/>
    <col min="13316" max="13562" width="9.140625" style="44"/>
    <col min="13563" max="13563" width="10.85546875" style="44" customWidth="1"/>
    <col min="13564" max="13564" width="10.28515625" style="44" customWidth="1"/>
    <col min="13565" max="13565" width="9.85546875" style="44" customWidth="1"/>
    <col min="13566" max="13566" width="10.5703125" style="44" customWidth="1"/>
    <col min="13567" max="13567" width="10" style="44" customWidth="1"/>
    <col min="13568" max="13568" width="9.85546875" style="44" customWidth="1"/>
    <col min="13569" max="13569" width="10.140625" style="44" customWidth="1"/>
    <col min="13570" max="13570" width="13.85546875" style="44" customWidth="1"/>
    <col min="13571" max="13571" width="12.5703125" style="44" customWidth="1"/>
    <col min="13572" max="13818" width="9.140625" style="44"/>
    <col min="13819" max="13819" width="10.85546875" style="44" customWidth="1"/>
    <col min="13820" max="13820" width="10.28515625" style="44" customWidth="1"/>
    <col min="13821" max="13821" width="9.85546875" style="44" customWidth="1"/>
    <col min="13822" max="13822" width="10.5703125" style="44" customWidth="1"/>
    <col min="13823" max="13823" width="10" style="44" customWidth="1"/>
    <col min="13824" max="13824" width="9.85546875" style="44" customWidth="1"/>
    <col min="13825" max="13825" width="10.140625" style="44" customWidth="1"/>
    <col min="13826" max="13826" width="13.85546875" style="44" customWidth="1"/>
    <col min="13827" max="13827" width="12.5703125" style="44" customWidth="1"/>
    <col min="13828" max="14074" width="9.140625" style="44"/>
    <col min="14075" max="14075" width="10.85546875" style="44" customWidth="1"/>
    <col min="14076" max="14076" width="10.28515625" style="44" customWidth="1"/>
    <col min="14077" max="14077" width="9.85546875" style="44" customWidth="1"/>
    <col min="14078" max="14078" width="10.5703125" style="44" customWidth="1"/>
    <col min="14079" max="14079" width="10" style="44" customWidth="1"/>
    <col min="14080" max="14080" width="9.85546875" style="44" customWidth="1"/>
    <col min="14081" max="14081" width="10.140625" style="44" customWidth="1"/>
    <col min="14082" max="14082" width="13.85546875" style="44" customWidth="1"/>
    <col min="14083" max="14083" width="12.5703125" style="44" customWidth="1"/>
    <col min="14084" max="14330" width="9.140625" style="44"/>
    <col min="14331" max="14331" width="10.85546875" style="44" customWidth="1"/>
    <col min="14332" max="14332" width="10.28515625" style="44" customWidth="1"/>
    <col min="14333" max="14333" width="9.85546875" style="44" customWidth="1"/>
    <col min="14334" max="14334" width="10.5703125" style="44" customWidth="1"/>
    <col min="14335" max="14335" width="10" style="44" customWidth="1"/>
    <col min="14336" max="14336" width="9.85546875" style="44" customWidth="1"/>
    <col min="14337" max="14337" width="10.140625" style="44" customWidth="1"/>
    <col min="14338" max="14338" width="13.85546875" style="44" customWidth="1"/>
    <col min="14339" max="14339" width="12.5703125" style="44" customWidth="1"/>
    <col min="14340" max="14586" width="9.140625" style="44"/>
    <col min="14587" max="14587" width="10.85546875" style="44" customWidth="1"/>
    <col min="14588" max="14588" width="10.28515625" style="44" customWidth="1"/>
    <col min="14589" max="14589" width="9.85546875" style="44" customWidth="1"/>
    <col min="14590" max="14590" width="10.5703125" style="44" customWidth="1"/>
    <col min="14591" max="14591" width="10" style="44" customWidth="1"/>
    <col min="14592" max="14592" width="9.85546875" style="44" customWidth="1"/>
    <col min="14593" max="14593" width="10.140625" style="44" customWidth="1"/>
    <col min="14594" max="14594" width="13.85546875" style="44" customWidth="1"/>
    <col min="14595" max="14595" width="12.5703125" style="44" customWidth="1"/>
    <col min="14596" max="14842" width="9.140625" style="44"/>
    <col min="14843" max="14843" width="10.85546875" style="44" customWidth="1"/>
    <col min="14844" max="14844" width="10.28515625" style="44" customWidth="1"/>
    <col min="14845" max="14845" width="9.85546875" style="44" customWidth="1"/>
    <col min="14846" max="14846" width="10.5703125" style="44" customWidth="1"/>
    <col min="14847" max="14847" width="10" style="44" customWidth="1"/>
    <col min="14848" max="14848" width="9.85546875" style="44" customWidth="1"/>
    <col min="14849" max="14849" width="10.140625" style="44" customWidth="1"/>
    <col min="14850" max="14850" width="13.85546875" style="44" customWidth="1"/>
    <col min="14851" max="14851" width="12.5703125" style="44" customWidth="1"/>
    <col min="14852" max="15098" width="9.140625" style="44"/>
    <col min="15099" max="15099" width="10.85546875" style="44" customWidth="1"/>
    <col min="15100" max="15100" width="10.28515625" style="44" customWidth="1"/>
    <col min="15101" max="15101" width="9.85546875" style="44" customWidth="1"/>
    <col min="15102" max="15102" width="10.5703125" style="44" customWidth="1"/>
    <col min="15103" max="15103" width="10" style="44" customWidth="1"/>
    <col min="15104" max="15104" width="9.85546875" style="44" customWidth="1"/>
    <col min="15105" max="15105" width="10.140625" style="44" customWidth="1"/>
    <col min="15106" max="15106" width="13.85546875" style="44" customWidth="1"/>
    <col min="15107" max="15107" width="12.5703125" style="44" customWidth="1"/>
    <col min="15108" max="15354" width="9.140625" style="44"/>
    <col min="15355" max="15355" width="10.85546875" style="44" customWidth="1"/>
    <col min="15356" max="15356" width="10.28515625" style="44" customWidth="1"/>
    <col min="15357" max="15357" width="9.85546875" style="44" customWidth="1"/>
    <col min="15358" max="15358" width="10.5703125" style="44" customWidth="1"/>
    <col min="15359" max="15359" width="10" style="44" customWidth="1"/>
    <col min="15360" max="15360" width="9.85546875" style="44" customWidth="1"/>
    <col min="15361" max="15361" width="10.140625" style="44" customWidth="1"/>
    <col min="15362" max="15362" width="13.85546875" style="44" customWidth="1"/>
    <col min="15363" max="15363" width="12.5703125" style="44" customWidth="1"/>
    <col min="15364" max="15610" width="9.140625" style="44"/>
    <col min="15611" max="15611" width="10.85546875" style="44" customWidth="1"/>
    <col min="15612" max="15612" width="10.28515625" style="44" customWidth="1"/>
    <col min="15613" max="15613" width="9.85546875" style="44" customWidth="1"/>
    <col min="15614" max="15614" width="10.5703125" style="44" customWidth="1"/>
    <col min="15615" max="15615" width="10" style="44" customWidth="1"/>
    <col min="15616" max="15616" width="9.85546875" style="44" customWidth="1"/>
    <col min="15617" max="15617" width="10.140625" style="44" customWidth="1"/>
    <col min="15618" max="15618" width="13.85546875" style="44" customWidth="1"/>
    <col min="15619" max="15619" width="12.5703125" style="44" customWidth="1"/>
    <col min="15620" max="15866" width="9.140625" style="44"/>
    <col min="15867" max="15867" width="10.85546875" style="44" customWidth="1"/>
    <col min="15868" max="15868" width="10.28515625" style="44" customWidth="1"/>
    <col min="15869" max="15869" width="9.85546875" style="44" customWidth="1"/>
    <col min="15870" max="15870" width="10.5703125" style="44" customWidth="1"/>
    <col min="15871" max="15871" width="10" style="44" customWidth="1"/>
    <col min="15872" max="15872" width="9.85546875" style="44" customWidth="1"/>
    <col min="15873" max="15873" width="10.140625" style="44" customWidth="1"/>
    <col min="15874" max="15874" width="13.85546875" style="44" customWidth="1"/>
    <col min="15875" max="15875" width="12.5703125" style="44" customWidth="1"/>
    <col min="15876" max="16122" width="9.140625" style="44"/>
    <col min="16123" max="16123" width="10.85546875" style="44" customWidth="1"/>
    <col min="16124" max="16124" width="10.28515625" style="44" customWidth="1"/>
    <col min="16125" max="16125" width="9.85546875" style="44" customWidth="1"/>
    <col min="16126" max="16126" width="10.5703125" style="44" customWidth="1"/>
    <col min="16127" max="16127" width="10" style="44" customWidth="1"/>
    <col min="16128" max="16128" width="9.85546875" style="44" customWidth="1"/>
    <col min="16129" max="16129" width="10.140625" style="44" customWidth="1"/>
    <col min="16130" max="16130" width="13.85546875" style="44" customWidth="1"/>
    <col min="16131" max="16131" width="12.5703125" style="44" customWidth="1"/>
    <col min="16132" max="16384" width="9.140625" style="44"/>
  </cols>
  <sheetData>
    <row r="1" spans="1:3" ht="13.5" thickBot="1" x14ac:dyDescent="0.25">
      <c r="A1" s="40" t="s">
        <v>39</v>
      </c>
      <c r="B1" s="43" t="s">
        <v>38</v>
      </c>
      <c r="C1" s="43" t="s">
        <v>40</v>
      </c>
    </row>
    <row r="2" spans="1:3" x14ac:dyDescent="0.2">
      <c r="A2" s="45">
        <v>44562</v>
      </c>
      <c r="B2" s="48">
        <v>3953.7000000000007</v>
      </c>
      <c r="C2" s="48">
        <v>0</v>
      </c>
    </row>
    <row r="3" spans="1:3" x14ac:dyDescent="0.2">
      <c r="A3" s="50">
        <f t="shared" ref="A3:A30" si="0">A2+1</f>
        <v>44563</v>
      </c>
      <c r="B3" s="53">
        <v>3715.2999999999997</v>
      </c>
      <c r="C3" s="53">
        <v>0</v>
      </c>
    </row>
    <row r="4" spans="1:3" x14ac:dyDescent="0.2">
      <c r="A4" s="50">
        <f t="shared" si="0"/>
        <v>44564</v>
      </c>
      <c r="B4" s="53">
        <v>5454.6200000000008</v>
      </c>
      <c r="C4" s="53">
        <v>0</v>
      </c>
    </row>
    <row r="5" spans="1:3" x14ac:dyDescent="0.2">
      <c r="A5" s="50">
        <f t="shared" si="0"/>
        <v>44565</v>
      </c>
      <c r="B5" s="53">
        <v>5672.5</v>
      </c>
      <c r="C5" s="53">
        <v>0</v>
      </c>
    </row>
    <row r="6" spans="1:3" x14ac:dyDescent="0.2">
      <c r="A6" s="50">
        <f t="shared" si="0"/>
        <v>44566</v>
      </c>
      <c r="B6" s="53">
        <v>6395.02</v>
      </c>
      <c r="C6" s="53">
        <v>0</v>
      </c>
    </row>
    <row r="7" spans="1:3" x14ac:dyDescent="0.2">
      <c r="A7" s="50">
        <f t="shared" si="0"/>
        <v>44567</v>
      </c>
      <c r="B7" s="53">
        <v>6655.01</v>
      </c>
      <c r="C7" s="53">
        <v>0</v>
      </c>
    </row>
    <row r="8" spans="1:3" x14ac:dyDescent="0.2">
      <c r="A8" s="50">
        <f t="shared" si="0"/>
        <v>44568</v>
      </c>
      <c r="B8" s="53">
        <v>5743.0599999999995</v>
      </c>
      <c r="C8" s="53">
        <v>0</v>
      </c>
    </row>
    <row r="9" spans="1:3" x14ac:dyDescent="0.2">
      <c r="A9" s="50">
        <f t="shared" si="0"/>
        <v>44569</v>
      </c>
      <c r="B9" s="53">
        <v>19594.95</v>
      </c>
      <c r="C9" s="53">
        <v>990.43000000000006</v>
      </c>
    </row>
    <row r="10" spans="1:3" x14ac:dyDescent="0.2">
      <c r="A10" s="50">
        <f t="shared" si="0"/>
        <v>44570</v>
      </c>
      <c r="B10" s="53">
        <v>25108.480000000003</v>
      </c>
      <c r="C10" s="53">
        <v>935.65</v>
      </c>
    </row>
    <row r="11" spans="1:3" x14ac:dyDescent="0.2">
      <c r="A11" s="50">
        <f t="shared" si="0"/>
        <v>44571</v>
      </c>
      <c r="B11" s="53">
        <v>29395</v>
      </c>
      <c r="C11" s="53">
        <v>990.95999999999992</v>
      </c>
    </row>
    <row r="12" spans="1:3" x14ac:dyDescent="0.2">
      <c r="A12" s="50">
        <f t="shared" si="0"/>
        <v>44572</v>
      </c>
      <c r="B12" s="53">
        <v>30019.64</v>
      </c>
      <c r="C12" s="53">
        <v>1116.75</v>
      </c>
    </row>
    <row r="13" spans="1:3" x14ac:dyDescent="0.2">
      <c r="A13" s="50">
        <f t="shared" si="0"/>
        <v>44573</v>
      </c>
      <c r="B13" s="53">
        <v>30179.629999999997</v>
      </c>
      <c r="C13" s="53">
        <v>1098.75</v>
      </c>
    </row>
    <row r="14" spans="1:3" x14ac:dyDescent="0.2">
      <c r="A14" s="50">
        <f t="shared" si="0"/>
        <v>44574</v>
      </c>
      <c r="B14" s="53">
        <v>31158.449999999993</v>
      </c>
      <c r="C14" s="53">
        <v>1077.77</v>
      </c>
    </row>
    <row r="15" spans="1:3" x14ac:dyDescent="0.2">
      <c r="A15" s="50">
        <f t="shared" si="0"/>
        <v>44575</v>
      </c>
      <c r="B15" s="53">
        <v>32301</v>
      </c>
      <c r="C15" s="53">
        <v>1117.23</v>
      </c>
    </row>
    <row r="16" spans="1:3" x14ac:dyDescent="0.2">
      <c r="A16" s="50">
        <f t="shared" si="0"/>
        <v>44576</v>
      </c>
      <c r="B16" s="53">
        <v>29758.109999999997</v>
      </c>
      <c r="C16" s="53">
        <v>1034.9100000000001</v>
      </c>
    </row>
    <row r="17" spans="1:3" x14ac:dyDescent="0.2">
      <c r="A17" s="50">
        <f t="shared" si="0"/>
        <v>44577</v>
      </c>
      <c r="B17" s="53">
        <v>29548.559999999998</v>
      </c>
      <c r="C17" s="53">
        <v>1070.56</v>
      </c>
    </row>
    <row r="18" spans="1:3" x14ac:dyDescent="0.2">
      <c r="A18" s="50">
        <f t="shared" si="0"/>
        <v>44578</v>
      </c>
      <c r="B18" s="53">
        <v>29270.579999999998</v>
      </c>
      <c r="C18" s="53">
        <v>1109.9699999999998</v>
      </c>
    </row>
    <row r="19" spans="1:3" x14ac:dyDescent="0.2">
      <c r="A19" s="50">
        <f t="shared" si="0"/>
        <v>44579</v>
      </c>
      <c r="B19" s="53">
        <v>30410</v>
      </c>
      <c r="C19" s="53">
        <v>1122.8</v>
      </c>
    </row>
    <row r="20" spans="1:3" x14ac:dyDescent="0.2">
      <c r="A20" s="50">
        <f t="shared" si="0"/>
        <v>44580</v>
      </c>
      <c r="B20" s="53">
        <v>29225.989999999998</v>
      </c>
      <c r="C20" s="53">
        <v>1109.8699999999999</v>
      </c>
    </row>
    <row r="21" spans="1:3" x14ac:dyDescent="0.2">
      <c r="A21" s="50">
        <f t="shared" si="0"/>
        <v>44581</v>
      </c>
      <c r="B21" s="53">
        <v>30149.39</v>
      </c>
      <c r="C21" s="53">
        <v>1172.72</v>
      </c>
    </row>
    <row r="22" spans="1:3" x14ac:dyDescent="0.2">
      <c r="A22" s="50">
        <f t="shared" si="0"/>
        <v>44582</v>
      </c>
      <c r="B22" s="53">
        <v>30914.749999999993</v>
      </c>
      <c r="C22" s="53">
        <v>1104.19</v>
      </c>
    </row>
    <row r="23" spans="1:3" x14ac:dyDescent="0.2">
      <c r="A23" s="50">
        <f t="shared" si="0"/>
        <v>44583</v>
      </c>
      <c r="B23" s="53">
        <v>31502</v>
      </c>
      <c r="C23" s="53">
        <v>1122.07</v>
      </c>
    </row>
    <row r="24" spans="1:3" x14ac:dyDescent="0.2">
      <c r="A24" s="50">
        <f t="shared" si="0"/>
        <v>44584</v>
      </c>
      <c r="B24" s="53">
        <v>29564.090000000004</v>
      </c>
      <c r="C24" s="53">
        <v>1102.0300000000002</v>
      </c>
    </row>
    <row r="25" spans="1:3" x14ac:dyDescent="0.2">
      <c r="A25" s="50">
        <f t="shared" si="0"/>
        <v>44585</v>
      </c>
      <c r="B25" s="53">
        <v>29003.420000000002</v>
      </c>
      <c r="C25" s="53">
        <v>1171.1499999999999</v>
      </c>
    </row>
    <row r="26" spans="1:3" x14ac:dyDescent="0.2">
      <c r="A26" s="50">
        <f t="shared" si="0"/>
        <v>44586</v>
      </c>
      <c r="B26" s="53">
        <v>29657.379999999997</v>
      </c>
      <c r="C26" s="53">
        <v>1100.6199999999999</v>
      </c>
    </row>
    <row r="27" spans="1:3" x14ac:dyDescent="0.2">
      <c r="A27" s="50">
        <f t="shared" si="0"/>
        <v>44587</v>
      </c>
      <c r="B27" s="53">
        <v>31918</v>
      </c>
      <c r="C27" s="53">
        <v>1154.76</v>
      </c>
    </row>
    <row r="28" spans="1:3" x14ac:dyDescent="0.2">
      <c r="A28" s="50">
        <f t="shared" si="0"/>
        <v>44588</v>
      </c>
      <c r="B28" s="53">
        <v>30532.84</v>
      </c>
      <c r="C28" s="53">
        <v>1133.4000000000001</v>
      </c>
    </row>
    <row r="29" spans="1:3" x14ac:dyDescent="0.2">
      <c r="A29" s="50">
        <f t="shared" si="0"/>
        <v>44589</v>
      </c>
      <c r="B29" s="53">
        <v>30768.089199999999</v>
      </c>
      <c r="C29" s="53">
        <v>1145.7</v>
      </c>
    </row>
    <row r="30" spans="1:3" x14ac:dyDescent="0.2">
      <c r="A30" s="50">
        <f t="shared" si="0"/>
        <v>44590</v>
      </c>
      <c r="B30" s="53">
        <v>31519.853000000003</v>
      </c>
      <c r="C30" s="53">
        <v>1202.23</v>
      </c>
    </row>
    <row r="31" spans="1:3" x14ac:dyDescent="0.2">
      <c r="A31" s="50">
        <f>A30+1</f>
        <v>44591</v>
      </c>
      <c r="B31" s="53">
        <v>30317.722299999998</v>
      </c>
      <c r="C31" s="53">
        <v>1218.9900000000002</v>
      </c>
    </row>
    <row r="32" spans="1:3" x14ac:dyDescent="0.2">
      <c r="A32" s="50">
        <f t="shared" ref="A32:A95" si="1">A31+1</f>
        <v>44592</v>
      </c>
      <c r="B32" s="53">
        <v>30565.850000000006</v>
      </c>
      <c r="C32" s="53">
        <v>1205.82</v>
      </c>
    </row>
    <row r="33" spans="1:3" x14ac:dyDescent="0.2">
      <c r="A33" s="50">
        <f t="shared" si="1"/>
        <v>44593</v>
      </c>
      <c r="B33" s="53">
        <v>31862.523200000003</v>
      </c>
      <c r="C33" s="53">
        <v>1158.46</v>
      </c>
    </row>
    <row r="34" spans="1:3" x14ac:dyDescent="0.2">
      <c r="A34" s="50">
        <f t="shared" si="1"/>
        <v>44594</v>
      </c>
      <c r="B34" s="53">
        <v>31054.89</v>
      </c>
      <c r="C34" s="53">
        <v>1219.72</v>
      </c>
    </row>
    <row r="35" spans="1:3" x14ac:dyDescent="0.2">
      <c r="A35" s="50">
        <f t="shared" si="1"/>
        <v>44595</v>
      </c>
      <c r="B35" s="53">
        <v>32709</v>
      </c>
      <c r="C35" s="53">
        <v>1164.05</v>
      </c>
    </row>
    <row r="36" spans="1:3" x14ac:dyDescent="0.2">
      <c r="A36" s="50">
        <f t="shared" si="1"/>
        <v>44596</v>
      </c>
      <c r="B36" s="53">
        <v>30388.05</v>
      </c>
      <c r="C36" s="53">
        <v>1219.08</v>
      </c>
    </row>
    <row r="37" spans="1:3" x14ac:dyDescent="0.2">
      <c r="A37" s="50">
        <f t="shared" si="1"/>
        <v>44597</v>
      </c>
      <c r="B37" s="53">
        <v>30149.775800000003</v>
      </c>
      <c r="C37" s="53">
        <v>1232.3300000000002</v>
      </c>
    </row>
    <row r="38" spans="1:3" x14ac:dyDescent="0.2">
      <c r="A38" s="50">
        <f t="shared" si="1"/>
        <v>44598</v>
      </c>
      <c r="B38" s="53">
        <v>29634.03</v>
      </c>
      <c r="C38" s="53">
        <v>1222.01</v>
      </c>
    </row>
    <row r="39" spans="1:3" x14ac:dyDescent="0.2">
      <c r="A39" s="50">
        <f t="shared" si="1"/>
        <v>44599</v>
      </c>
      <c r="B39" s="53">
        <v>33143</v>
      </c>
      <c r="C39" s="53">
        <v>1165.8699999999999</v>
      </c>
    </row>
    <row r="40" spans="1:3" x14ac:dyDescent="0.2">
      <c r="A40" s="50">
        <f t="shared" si="1"/>
        <v>44600</v>
      </c>
      <c r="B40" s="53">
        <v>31950.240000000002</v>
      </c>
      <c r="C40" s="53">
        <v>1183.97</v>
      </c>
    </row>
    <row r="41" spans="1:3" x14ac:dyDescent="0.2">
      <c r="A41" s="50">
        <f t="shared" si="1"/>
        <v>44601</v>
      </c>
      <c r="B41" s="53">
        <v>31980</v>
      </c>
      <c r="C41" s="53">
        <v>1200.32</v>
      </c>
    </row>
    <row r="42" spans="1:3" x14ac:dyDescent="0.2">
      <c r="A42" s="50">
        <f t="shared" si="1"/>
        <v>44602</v>
      </c>
      <c r="B42" s="53">
        <v>31565.23</v>
      </c>
      <c r="C42" s="53">
        <v>1175.3900000000001</v>
      </c>
    </row>
    <row r="43" spans="1:3" x14ac:dyDescent="0.2">
      <c r="A43" s="50">
        <f t="shared" si="1"/>
        <v>44603</v>
      </c>
      <c r="B43" s="53">
        <v>35559.519999999997</v>
      </c>
      <c r="C43" s="53">
        <v>1202.52</v>
      </c>
    </row>
    <row r="44" spans="1:3" x14ac:dyDescent="0.2">
      <c r="A44" s="50">
        <f t="shared" si="1"/>
        <v>44604</v>
      </c>
      <c r="B44" s="53">
        <v>32968.79</v>
      </c>
      <c r="C44" s="53">
        <v>1177.49</v>
      </c>
    </row>
    <row r="45" spans="1:3" x14ac:dyDescent="0.2">
      <c r="A45" s="50">
        <f t="shared" si="1"/>
        <v>44605</v>
      </c>
      <c r="B45" s="53">
        <v>32228.41</v>
      </c>
      <c r="C45" s="53">
        <v>1139.1800000000003</v>
      </c>
    </row>
    <row r="46" spans="1:3" x14ac:dyDescent="0.2">
      <c r="A46" s="50">
        <f t="shared" si="1"/>
        <v>44606</v>
      </c>
      <c r="B46" s="53">
        <v>32314.720000000001</v>
      </c>
      <c r="C46" s="53">
        <v>1122.6300000000001</v>
      </c>
    </row>
    <row r="47" spans="1:3" x14ac:dyDescent="0.2">
      <c r="A47" s="50">
        <f t="shared" si="1"/>
        <v>44607</v>
      </c>
      <c r="B47" s="53">
        <v>33098.15</v>
      </c>
      <c r="C47" s="53">
        <v>1142.45</v>
      </c>
    </row>
    <row r="48" spans="1:3" x14ac:dyDescent="0.2">
      <c r="A48" s="50">
        <f t="shared" si="1"/>
        <v>44608</v>
      </c>
      <c r="B48" s="53">
        <v>31704.42</v>
      </c>
      <c r="C48" s="53">
        <v>1163.8699999999999</v>
      </c>
    </row>
    <row r="49" spans="1:3" x14ac:dyDescent="0.2">
      <c r="A49" s="50">
        <f t="shared" si="1"/>
        <v>44609</v>
      </c>
      <c r="B49" s="53">
        <v>31958.090000000004</v>
      </c>
      <c r="C49" s="53">
        <v>1168.17</v>
      </c>
    </row>
    <row r="50" spans="1:3" x14ac:dyDescent="0.2">
      <c r="A50" s="50">
        <f t="shared" si="1"/>
        <v>44610</v>
      </c>
      <c r="B50" s="53">
        <v>33361.18</v>
      </c>
      <c r="C50" s="53">
        <v>1190.6600000000001</v>
      </c>
    </row>
    <row r="51" spans="1:3" x14ac:dyDescent="0.2">
      <c r="A51" s="50">
        <f t="shared" si="1"/>
        <v>44611</v>
      </c>
      <c r="B51" s="53">
        <v>33103.71</v>
      </c>
      <c r="C51" s="53">
        <v>1188.45</v>
      </c>
    </row>
    <row r="52" spans="1:3" x14ac:dyDescent="0.2">
      <c r="A52" s="50">
        <f t="shared" si="1"/>
        <v>44612</v>
      </c>
      <c r="B52" s="53">
        <v>31702.950000000004</v>
      </c>
      <c r="C52" s="53">
        <v>1225.3800000000001</v>
      </c>
    </row>
    <row r="53" spans="1:3" x14ac:dyDescent="0.2">
      <c r="A53" s="50">
        <f t="shared" si="1"/>
        <v>44613</v>
      </c>
      <c r="B53" s="53">
        <v>31950.920000000002</v>
      </c>
      <c r="C53" s="53">
        <v>1197.96</v>
      </c>
    </row>
    <row r="54" spans="1:3" x14ac:dyDescent="0.2">
      <c r="A54" s="50">
        <f t="shared" si="1"/>
        <v>44614</v>
      </c>
      <c r="B54" s="53">
        <v>32144.400000000001</v>
      </c>
      <c r="C54" s="53">
        <v>1181.69</v>
      </c>
    </row>
    <row r="55" spans="1:3" x14ac:dyDescent="0.2">
      <c r="A55" s="50">
        <f t="shared" si="1"/>
        <v>44615</v>
      </c>
      <c r="B55" s="53">
        <v>32149.37</v>
      </c>
      <c r="C55" s="53">
        <v>1202.52</v>
      </c>
    </row>
    <row r="56" spans="1:3" x14ac:dyDescent="0.2">
      <c r="A56" s="50">
        <f t="shared" si="1"/>
        <v>44616</v>
      </c>
      <c r="B56" s="53">
        <v>30860.339999999997</v>
      </c>
      <c r="C56" s="53">
        <v>1220.45</v>
      </c>
    </row>
    <row r="57" spans="1:3" x14ac:dyDescent="0.2">
      <c r="A57" s="50">
        <f t="shared" si="1"/>
        <v>44617</v>
      </c>
      <c r="B57" s="53">
        <v>32803.64</v>
      </c>
      <c r="C57" s="53">
        <v>1191.6399999999999</v>
      </c>
    </row>
    <row r="58" spans="1:3" x14ac:dyDescent="0.2">
      <c r="A58" s="50">
        <f t="shared" si="1"/>
        <v>44618</v>
      </c>
      <c r="B58" s="53">
        <v>30768.289999999997</v>
      </c>
      <c r="C58" s="53">
        <v>1170.1799999999998</v>
      </c>
    </row>
    <row r="59" spans="1:3" x14ac:dyDescent="0.2">
      <c r="A59" s="50">
        <f t="shared" si="1"/>
        <v>44619</v>
      </c>
      <c r="B59" s="53">
        <v>31896</v>
      </c>
      <c r="C59" s="53">
        <v>1147.5</v>
      </c>
    </row>
    <row r="60" spans="1:3" x14ac:dyDescent="0.2">
      <c r="A60" s="50">
        <f t="shared" si="1"/>
        <v>44620</v>
      </c>
      <c r="B60" s="53">
        <v>30223.739999999998</v>
      </c>
      <c r="C60" s="53">
        <v>1167.1600000000001</v>
      </c>
    </row>
    <row r="61" spans="1:3" x14ac:dyDescent="0.2">
      <c r="A61" s="50">
        <f t="shared" si="1"/>
        <v>44621</v>
      </c>
      <c r="B61" s="53">
        <v>29820.829999999998</v>
      </c>
      <c r="C61" s="53">
        <v>1121.1299999999999</v>
      </c>
    </row>
    <row r="62" spans="1:3" x14ac:dyDescent="0.2">
      <c r="A62" s="50">
        <f t="shared" si="1"/>
        <v>44622</v>
      </c>
      <c r="B62" s="53">
        <v>30126.53</v>
      </c>
      <c r="C62" s="53">
        <v>1101.19</v>
      </c>
    </row>
    <row r="63" spans="1:3" x14ac:dyDescent="0.2">
      <c r="A63" s="50">
        <f t="shared" si="1"/>
        <v>44623</v>
      </c>
      <c r="B63" s="53">
        <v>29566</v>
      </c>
      <c r="C63" s="53">
        <v>1033.1300000000001</v>
      </c>
    </row>
    <row r="64" spans="1:3" x14ac:dyDescent="0.2">
      <c r="A64" s="50">
        <f t="shared" si="1"/>
        <v>44624</v>
      </c>
      <c r="B64" s="53">
        <v>28182.06</v>
      </c>
      <c r="C64" s="53">
        <v>1027.55</v>
      </c>
    </row>
    <row r="65" spans="1:3" x14ac:dyDescent="0.2">
      <c r="A65" s="50">
        <f t="shared" si="1"/>
        <v>44625</v>
      </c>
      <c r="B65" s="53">
        <v>28060.1</v>
      </c>
      <c r="C65" s="53">
        <v>1057.54</v>
      </c>
    </row>
    <row r="66" spans="1:3" x14ac:dyDescent="0.2">
      <c r="A66" s="50">
        <f t="shared" si="1"/>
        <v>44626</v>
      </c>
      <c r="B66" s="53">
        <v>28997.16</v>
      </c>
      <c r="C66" s="53">
        <v>997.4</v>
      </c>
    </row>
    <row r="67" spans="1:3" x14ac:dyDescent="0.2">
      <c r="A67" s="50">
        <f t="shared" si="1"/>
        <v>44627</v>
      </c>
      <c r="B67" s="53">
        <v>30929</v>
      </c>
      <c r="C67" s="53">
        <v>1027.08</v>
      </c>
    </row>
    <row r="68" spans="1:3" x14ac:dyDescent="0.2">
      <c r="A68" s="50">
        <f t="shared" si="1"/>
        <v>44628</v>
      </c>
      <c r="B68" s="53">
        <v>31211.72</v>
      </c>
      <c r="C68" s="53">
        <v>1087.1599999999999</v>
      </c>
    </row>
    <row r="69" spans="1:3" x14ac:dyDescent="0.2">
      <c r="A69" s="50">
        <f t="shared" si="1"/>
        <v>44629</v>
      </c>
      <c r="B69" s="53">
        <v>30615.229999999996</v>
      </c>
      <c r="C69" s="53">
        <v>1127.9100000000001</v>
      </c>
    </row>
    <row r="70" spans="1:3" x14ac:dyDescent="0.2">
      <c r="A70" s="50">
        <f t="shared" si="1"/>
        <v>44630</v>
      </c>
      <c r="B70" s="53">
        <v>31282.780000000006</v>
      </c>
      <c r="C70" s="53">
        <v>1064.06</v>
      </c>
    </row>
    <row r="71" spans="1:3" x14ac:dyDescent="0.2">
      <c r="A71" s="50">
        <f t="shared" si="1"/>
        <v>44631</v>
      </c>
      <c r="B71" s="53">
        <v>31522.720000000001</v>
      </c>
      <c r="C71" s="53">
        <v>1094.1300000000001</v>
      </c>
    </row>
    <row r="72" spans="1:3" x14ac:dyDescent="0.2">
      <c r="A72" s="50">
        <f t="shared" si="1"/>
        <v>44632</v>
      </c>
      <c r="B72" s="53">
        <v>31560.770000000004</v>
      </c>
      <c r="C72" s="53">
        <v>1130.2599999999998</v>
      </c>
    </row>
    <row r="73" spans="1:3" x14ac:dyDescent="0.2">
      <c r="A73" s="50">
        <f t="shared" si="1"/>
        <v>44633</v>
      </c>
      <c r="B73" s="53">
        <v>30915.88</v>
      </c>
      <c r="C73" s="53">
        <v>1186.0999999999999</v>
      </c>
    </row>
    <row r="74" spans="1:3" x14ac:dyDescent="0.2">
      <c r="A74" s="50">
        <f t="shared" si="1"/>
        <v>44634</v>
      </c>
      <c r="B74" s="53">
        <v>31073.87</v>
      </c>
      <c r="C74" s="53">
        <v>1183.0100000000002</v>
      </c>
    </row>
    <row r="75" spans="1:3" x14ac:dyDescent="0.2">
      <c r="A75" s="50">
        <f t="shared" si="1"/>
        <v>44635</v>
      </c>
      <c r="B75" s="53">
        <v>30722</v>
      </c>
      <c r="C75" s="53">
        <v>1121.8599999999999</v>
      </c>
    </row>
    <row r="76" spans="1:3" x14ac:dyDescent="0.2">
      <c r="A76" s="50">
        <f t="shared" si="1"/>
        <v>44636</v>
      </c>
      <c r="B76" s="53">
        <v>30473.460000000006</v>
      </c>
      <c r="C76" s="53">
        <v>1171.3799999999999</v>
      </c>
    </row>
    <row r="77" spans="1:3" x14ac:dyDescent="0.2">
      <c r="A77" s="50">
        <f t="shared" si="1"/>
        <v>44637</v>
      </c>
      <c r="B77" s="53">
        <v>32357.39</v>
      </c>
      <c r="C77" s="53">
        <v>1176.74</v>
      </c>
    </row>
    <row r="78" spans="1:3" x14ac:dyDescent="0.2">
      <c r="A78" s="50">
        <f t="shared" si="1"/>
        <v>44638</v>
      </c>
      <c r="B78" s="53">
        <v>29479.65</v>
      </c>
      <c r="C78" s="53">
        <v>1141.44</v>
      </c>
    </row>
    <row r="79" spans="1:3" x14ac:dyDescent="0.2">
      <c r="A79" s="50">
        <f t="shared" si="1"/>
        <v>44639</v>
      </c>
      <c r="B79" s="53">
        <v>31380</v>
      </c>
      <c r="C79" s="53">
        <v>1221.53</v>
      </c>
    </row>
    <row r="80" spans="1:3" x14ac:dyDescent="0.2">
      <c r="A80" s="50">
        <f t="shared" si="1"/>
        <v>44640</v>
      </c>
      <c r="B80" s="53">
        <v>30858.240000000002</v>
      </c>
      <c r="C80" s="53">
        <v>1195.47</v>
      </c>
    </row>
    <row r="81" spans="1:3" x14ac:dyDescent="0.2">
      <c r="A81" s="50">
        <f t="shared" si="1"/>
        <v>44641</v>
      </c>
      <c r="B81" s="53">
        <v>31289.270000000004</v>
      </c>
      <c r="C81" s="53">
        <v>1156.97</v>
      </c>
    </row>
    <row r="82" spans="1:3" x14ac:dyDescent="0.2">
      <c r="A82" s="50">
        <f t="shared" si="1"/>
        <v>44642</v>
      </c>
      <c r="B82" s="53">
        <v>32248.47</v>
      </c>
      <c r="C82" s="53">
        <v>1157.8399999999997</v>
      </c>
    </row>
    <row r="83" spans="1:3" x14ac:dyDescent="0.2">
      <c r="A83" s="50">
        <f t="shared" si="1"/>
        <v>44643</v>
      </c>
      <c r="B83" s="53">
        <v>32404</v>
      </c>
      <c r="C83" s="53">
        <v>1216.7</v>
      </c>
    </row>
    <row r="84" spans="1:3" x14ac:dyDescent="0.2">
      <c r="A84" s="50">
        <f t="shared" si="1"/>
        <v>44644</v>
      </c>
      <c r="B84" s="53">
        <v>31880.290000000005</v>
      </c>
      <c r="C84" s="53">
        <v>1147.95</v>
      </c>
    </row>
    <row r="85" spans="1:3" x14ac:dyDescent="0.2">
      <c r="A85" s="50">
        <f t="shared" si="1"/>
        <v>44645</v>
      </c>
      <c r="B85" s="53">
        <v>31809</v>
      </c>
      <c r="C85" s="53">
        <v>1204.9199999999998</v>
      </c>
    </row>
    <row r="86" spans="1:3" x14ac:dyDescent="0.2">
      <c r="A86" s="50">
        <f t="shared" si="1"/>
        <v>44646</v>
      </c>
      <c r="B86" s="53">
        <v>31301.369999999992</v>
      </c>
      <c r="C86" s="53">
        <v>1148.98</v>
      </c>
    </row>
    <row r="87" spans="1:3" x14ac:dyDescent="0.2">
      <c r="A87" s="50">
        <f t="shared" si="1"/>
        <v>44647</v>
      </c>
      <c r="B87" s="53">
        <v>30827</v>
      </c>
      <c r="C87" s="53">
        <v>1172.9199999999998</v>
      </c>
    </row>
    <row r="88" spans="1:3" x14ac:dyDescent="0.2">
      <c r="A88" s="50">
        <f t="shared" si="1"/>
        <v>44648</v>
      </c>
      <c r="B88" s="53">
        <v>28805.49</v>
      </c>
      <c r="C88" s="53">
        <v>1139.67</v>
      </c>
    </row>
    <row r="89" spans="1:3" x14ac:dyDescent="0.2">
      <c r="A89" s="50">
        <f t="shared" si="1"/>
        <v>44649</v>
      </c>
      <c r="B89" s="53">
        <v>32599.499999999996</v>
      </c>
      <c r="C89" s="53">
        <v>1184.8900000000001</v>
      </c>
    </row>
    <row r="90" spans="1:3" x14ac:dyDescent="0.2">
      <c r="A90" s="50">
        <f t="shared" si="1"/>
        <v>44650</v>
      </c>
      <c r="B90" s="53">
        <v>31673.699999999997</v>
      </c>
      <c r="C90" s="53">
        <v>1206.9099999999999</v>
      </c>
    </row>
    <row r="91" spans="1:3" x14ac:dyDescent="0.2">
      <c r="A91" s="50">
        <f t="shared" si="1"/>
        <v>44651</v>
      </c>
      <c r="B91" s="53">
        <v>31495</v>
      </c>
      <c r="C91" s="53">
        <v>1167.55</v>
      </c>
    </row>
    <row r="92" spans="1:3" x14ac:dyDescent="0.2">
      <c r="A92" s="50">
        <f t="shared" si="1"/>
        <v>44652</v>
      </c>
      <c r="B92" s="53">
        <v>30859.010000000002</v>
      </c>
      <c r="C92" s="53">
        <v>1199.3900000000001</v>
      </c>
    </row>
    <row r="93" spans="1:3" x14ac:dyDescent="0.2">
      <c r="A93" s="50">
        <f t="shared" si="1"/>
        <v>44653</v>
      </c>
      <c r="B93" s="53">
        <v>30820.649999999998</v>
      </c>
      <c r="C93" s="53">
        <v>1188.6999999999998</v>
      </c>
    </row>
    <row r="94" spans="1:3" x14ac:dyDescent="0.2">
      <c r="A94" s="50">
        <f t="shared" si="1"/>
        <v>44654</v>
      </c>
      <c r="B94" s="53">
        <v>29025.03</v>
      </c>
      <c r="C94" s="53">
        <v>1173.03</v>
      </c>
    </row>
    <row r="95" spans="1:3" x14ac:dyDescent="0.2">
      <c r="A95" s="50">
        <f t="shared" si="1"/>
        <v>44655</v>
      </c>
      <c r="B95" s="53">
        <v>28958</v>
      </c>
      <c r="C95" s="53">
        <v>1038.21</v>
      </c>
    </row>
    <row r="96" spans="1:3" x14ac:dyDescent="0.2">
      <c r="A96" s="50">
        <f t="shared" ref="A96:A159" si="2">A95+1</f>
        <v>44656</v>
      </c>
      <c r="B96" s="53">
        <v>30428.32</v>
      </c>
      <c r="C96" s="53">
        <v>1200.48</v>
      </c>
    </row>
    <row r="97" spans="1:3" x14ac:dyDescent="0.2">
      <c r="A97" s="50">
        <f t="shared" si="2"/>
        <v>44657</v>
      </c>
      <c r="B97" s="53">
        <v>29311.31</v>
      </c>
      <c r="C97" s="53">
        <v>1210.06</v>
      </c>
    </row>
    <row r="98" spans="1:3" x14ac:dyDescent="0.2">
      <c r="A98" s="50">
        <f t="shared" si="2"/>
        <v>44658</v>
      </c>
      <c r="B98" s="53">
        <v>30283.729999999996</v>
      </c>
      <c r="C98" s="53">
        <v>1173.32</v>
      </c>
    </row>
    <row r="99" spans="1:3" x14ac:dyDescent="0.2">
      <c r="A99" s="50">
        <f t="shared" si="2"/>
        <v>44659</v>
      </c>
      <c r="B99" s="53">
        <v>31463</v>
      </c>
      <c r="C99" s="53">
        <v>1160.53</v>
      </c>
    </row>
    <row r="100" spans="1:3" x14ac:dyDescent="0.2">
      <c r="A100" s="50">
        <f t="shared" si="2"/>
        <v>44660</v>
      </c>
      <c r="B100" s="53">
        <v>29275.78</v>
      </c>
      <c r="C100" s="53">
        <v>1107.93</v>
      </c>
    </row>
    <row r="101" spans="1:3" x14ac:dyDescent="0.2">
      <c r="A101" s="50">
        <f t="shared" si="2"/>
        <v>44661</v>
      </c>
      <c r="B101" s="53">
        <v>28012.61</v>
      </c>
      <c r="C101" s="53">
        <v>924.04</v>
      </c>
    </row>
    <row r="102" spans="1:3" x14ac:dyDescent="0.2">
      <c r="A102" s="50">
        <f t="shared" si="2"/>
        <v>44662</v>
      </c>
      <c r="B102" s="53">
        <v>29823.67</v>
      </c>
      <c r="C102" s="53">
        <v>1053.9000000000001</v>
      </c>
    </row>
    <row r="103" spans="1:3" x14ac:dyDescent="0.2">
      <c r="A103" s="50">
        <f t="shared" si="2"/>
        <v>44663</v>
      </c>
      <c r="B103" s="53">
        <v>29130</v>
      </c>
      <c r="C103" s="53">
        <v>1152.3500000000001</v>
      </c>
    </row>
    <row r="104" spans="1:3" x14ac:dyDescent="0.2">
      <c r="A104" s="50">
        <f t="shared" si="2"/>
        <v>44664</v>
      </c>
      <c r="B104" s="53">
        <v>27777.890000000003</v>
      </c>
      <c r="C104" s="53">
        <v>1172.7599999999998</v>
      </c>
    </row>
    <row r="105" spans="1:3" x14ac:dyDescent="0.2">
      <c r="A105" s="50">
        <f t="shared" si="2"/>
        <v>44665</v>
      </c>
      <c r="B105" s="53">
        <v>29522.049999999996</v>
      </c>
      <c r="C105" s="53">
        <v>1138.1399999999999</v>
      </c>
    </row>
    <row r="106" spans="1:3" x14ac:dyDescent="0.2">
      <c r="A106" s="50">
        <f t="shared" si="2"/>
        <v>44666</v>
      </c>
      <c r="B106" s="53">
        <v>27785.96</v>
      </c>
      <c r="C106" s="53">
        <v>1162.53</v>
      </c>
    </row>
    <row r="107" spans="1:3" x14ac:dyDescent="0.2">
      <c r="A107" s="50">
        <f t="shared" si="2"/>
        <v>44667</v>
      </c>
      <c r="B107" s="53">
        <v>27508</v>
      </c>
      <c r="C107" s="53">
        <v>1177.48</v>
      </c>
    </row>
    <row r="108" spans="1:3" x14ac:dyDescent="0.2">
      <c r="A108" s="50">
        <f t="shared" si="2"/>
        <v>44668</v>
      </c>
      <c r="B108" s="53">
        <v>27503.16</v>
      </c>
      <c r="C108" s="53">
        <v>1091.8</v>
      </c>
    </row>
    <row r="109" spans="1:3" x14ac:dyDescent="0.2">
      <c r="A109" s="50">
        <f t="shared" si="2"/>
        <v>44669</v>
      </c>
      <c r="B109" s="53">
        <v>25721.370000000003</v>
      </c>
      <c r="C109" s="53">
        <v>835.27</v>
      </c>
    </row>
    <row r="110" spans="1:3" x14ac:dyDescent="0.2">
      <c r="A110" s="50">
        <f t="shared" si="2"/>
        <v>44670</v>
      </c>
      <c r="B110" s="53">
        <v>27969.200000000001</v>
      </c>
      <c r="C110" s="53">
        <v>1190.9900000000002</v>
      </c>
    </row>
    <row r="111" spans="1:3" x14ac:dyDescent="0.2">
      <c r="A111" s="50">
        <f t="shared" si="2"/>
        <v>44671</v>
      </c>
      <c r="B111" s="53">
        <v>28411</v>
      </c>
      <c r="C111" s="53">
        <v>1160.6699999999998</v>
      </c>
    </row>
    <row r="112" spans="1:3" x14ac:dyDescent="0.2">
      <c r="A112" s="50">
        <f t="shared" si="2"/>
        <v>44672</v>
      </c>
      <c r="B112" s="53">
        <v>29050.69</v>
      </c>
      <c r="C112" s="53">
        <v>1236.79</v>
      </c>
    </row>
    <row r="113" spans="1:3" x14ac:dyDescent="0.2">
      <c r="A113" s="50">
        <f t="shared" si="2"/>
        <v>44673</v>
      </c>
      <c r="B113" s="53">
        <v>29546.18</v>
      </c>
      <c r="C113" s="53">
        <v>1206.95</v>
      </c>
    </row>
    <row r="114" spans="1:3" x14ac:dyDescent="0.2">
      <c r="A114" s="50">
        <f t="shared" si="2"/>
        <v>44674</v>
      </c>
      <c r="B114" s="53">
        <v>30292.969999999998</v>
      </c>
      <c r="C114" s="53">
        <v>1195.6799999999998</v>
      </c>
    </row>
    <row r="115" spans="1:3" x14ac:dyDescent="0.2">
      <c r="A115" s="50">
        <f t="shared" si="2"/>
        <v>44675</v>
      </c>
      <c r="B115" s="53">
        <v>27942</v>
      </c>
      <c r="C115" s="53">
        <v>1243.6000000000001</v>
      </c>
    </row>
    <row r="116" spans="1:3" x14ac:dyDescent="0.2">
      <c r="A116" s="50">
        <f t="shared" si="2"/>
        <v>44676</v>
      </c>
      <c r="B116" s="53">
        <v>28491.63</v>
      </c>
      <c r="C116" s="53">
        <v>1169.6299999999999</v>
      </c>
    </row>
    <row r="117" spans="1:3" x14ac:dyDescent="0.2">
      <c r="A117" s="50">
        <f t="shared" si="2"/>
        <v>44677</v>
      </c>
      <c r="B117" s="53">
        <v>28449.24</v>
      </c>
      <c r="C117" s="53">
        <v>1229.8</v>
      </c>
    </row>
    <row r="118" spans="1:3" x14ac:dyDescent="0.2">
      <c r="A118" s="50">
        <f t="shared" si="2"/>
        <v>44678</v>
      </c>
      <c r="B118" s="53">
        <v>26264.940000000002</v>
      </c>
      <c r="C118" s="53">
        <v>1142.6199999999999</v>
      </c>
    </row>
    <row r="119" spans="1:3" x14ac:dyDescent="0.2">
      <c r="A119" s="50">
        <f t="shared" si="2"/>
        <v>44679</v>
      </c>
      <c r="B119" s="53">
        <v>27955</v>
      </c>
      <c r="C119" s="53">
        <v>1223.53</v>
      </c>
    </row>
    <row r="120" spans="1:3" x14ac:dyDescent="0.2">
      <c r="A120" s="50">
        <f t="shared" si="2"/>
        <v>44680</v>
      </c>
      <c r="B120" s="53">
        <v>27927.39</v>
      </c>
      <c r="C120" s="53">
        <v>1127.49</v>
      </c>
    </row>
    <row r="121" spans="1:3" x14ac:dyDescent="0.2">
      <c r="A121" s="50">
        <f t="shared" si="2"/>
        <v>44681</v>
      </c>
      <c r="B121" s="53">
        <v>30212.15</v>
      </c>
      <c r="C121" s="53">
        <v>1132.9100000000001</v>
      </c>
    </row>
    <row r="122" spans="1:3" x14ac:dyDescent="0.2">
      <c r="A122" s="50">
        <f t="shared" si="2"/>
        <v>44682</v>
      </c>
      <c r="B122" s="53">
        <v>28400.46</v>
      </c>
      <c r="C122" s="53">
        <v>1109.71</v>
      </c>
    </row>
    <row r="123" spans="1:3" x14ac:dyDescent="0.2">
      <c r="A123" s="50">
        <f t="shared" si="2"/>
        <v>44683</v>
      </c>
      <c r="B123" s="53">
        <v>28509</v>
      </c>
      <c r="C123" s="53">
        <v>1153.25</v>
      </c>
    </row>
    <row r="124" spans="1:3" x14ac:dyDescent="0.2">
      <c r="A124" s="50">
        <f t="shared" si="2"/>
        <v>44684</v>
      </c>
      <c r="B124" s="53">
        <v>28023.51</v>
      </c>
      <c r="C124" s="53">
        <v>1027.92</v>
      </c>
    </row>
    <row r="125" spans="1:3" x14ac:dyDescent="0.2">
      <c r="A125" s="50">
        <f t="shared" si="2"/>
        <v>44685</v>
      </c>
      <c r="B125" s="53">
        <v>28122.2</v>
      </c>
      <c r="C125" s="53">
        <v>1060.44</v>
      </c>
    </row>
    <row r="126" spans="1:3" x14ac:dyDescent="0.2">
      <c r="A126" s="50">
        <f t="shared" si="2"/>
        <v>44686</v>
      </c>
      <c r="B126" s="53">
        <v>28084.28</v>
      </c>
      <c r="C126" s="53">
        <v>1075.1600000000001</v>
      </c>
    </row>
    <row r="127" spans="1:3" x14ac:dyDescent="0.2">
      <c r="A127" s="50">
        <f t="shared" si="2"/>
        <v>44687</v>
      </c>
      <c r="B127" s="53">
        <v>28980.15</v>
      </c>
      <c r="C127" s="53">
        <v>1109.1500000000001</v>
      </c>
    </row>
    <row r="128" spans="1:3" x14ac:dyDescent="0.2">
      <c r="A128" s="50">
        <f t="shared" si="2"/>
        <v>44688</v>
      </c>
      <c r="B128" s="53">
        <v>27531.479999999996</v>
      </c>
      <c r="C128" s="53">
        <v>1007.27</v>
      </c>
    </row>
    <row r="129" spans="1:3" x14ac:dyDescent="0.2">
      <c r="A129" s="50">
        <f t="shared" si="2"/>
        <v>44689</v>
      </c>
      <c r="B129" s="53">
        <v>27825.439999999999</v>
      </c>
      <c r="C129" s="53">
        <v>981.44</v>
      </c>
    </row>
    <row r="130" spans="1:3" x14ac:dyDescent="0.2">
      <c r="A130" s="50">
        <f t="shared" si="2"/>
        <v>44690</v>
      </c>
      <c r="B130" s="53">
        <v>26801.269999999997</v>
      </c>
      <c r="C130" s="53">
        <v>1014.34</v>
      </c>
    </row>
    <row r="131" spans="1:3" x14ac:dyDescent="0.2">
      <c r="A131" s="50">
        <f t="shared" si="2"/>
        <v>44691</v>
      </c>
      <c r="B131" s="53">
        <v>27592</v>
      </c>
      <c r="C131" s="53">
        <v>1088.17</v>
      </c>
    </row>
    <row r="132" spans="1:3" x14ac:dyDescent="0.2">
      <c r="A132" s="50">
        <f t="shared" si="2"/>
        <v>44692</v>
      </c>
      <c r="B132" s="53">
        <v>28775.329999999998</v>
      </c>
      <c r="C132" s="53">
        <v>1118.72</v>
      </c>
    </row>
    <row r="133" spans="1:3" x14ac:dyDescent="0.2">
      <c r="A133" s="50">
        <f t="shared" si="2"/>
        <v>44693</v>
      </c>
      <c r="B133" s="53">
        <v>29312.300000000003</v>
      </c>
      <c r="C133" s="53">
        <v>1176.05</v>
      </c>
    </row>
    <row r="134" spans="1:3" x14ac:dyDescent="0.2">
      <c r="A134" s="50">
        <f t="shared" si="2"/>
        <v>44694</v>
      </c>
      <c r="B134" s="53">
        <v>28176.649999999998</v>
      </c>
      <c r="C134" s="53">
        <v>1116.26</v>
      </c>
    </row>
    <row r="135" spans="1:3" x14ac:dyDescent="0.2">
      <c r="A135" s="50">
        <f t="shared" si="2"/>
        <v>44695</v>
      </c>
      <c r="B135" s="53">
        <v>26715</v>
      </c>
      <c r="C135" s="53">
        <v>1080.83</v>
      </c>
    </row>
    <row r="136" spans="1:3" x14ac:dyDescent="0.2">
      <c r="A136" s="50">
        <f t="shared" si="2"/>
        <v>44696</v>
      </c>
      <c r="B136" s="53">
        <v>25014.329999999998</v>
      </c>
      <c r="C136" s="53">
        <v>864.67</v>
      </c>
    </row>
    <row r="137" spans="1:3" x14ac:dyDescent="0.2">
      <c r="A137" s="50">
        <f t="shared" si="2"/>
        <v>44697</v>
      </c>
      <c r="B137" s="53">
        <v>27259.089999999997</v>
      </c>
      <c r="C137" s="53">
        <v>1056.7</v>
      </c>
    </row>
    <row r="138" spans="1:3" x14ac:dyDescent="0.2">
      <c r="A138" s="50">
        <f t="shared" si="2"/>
        <v>44698</v>
      </c>
      <c r="B138" s="53">
        <v>28056.100000000002</v>
      </c>
      <c r="C138" s="53">
        <v>1117.55</v>
      </c>
    </row>
    <row r="139" spans="1:3" x14ac:dyDescent="0.2">
      <c r="A139" s="50">
        <f t="shared" si="2"/>
        <v>44699</v>
      </c>
      <c r="B139" s="53">
        <v>28987</v>
      </c>
      <c r="C139" s="53">
        <v>1122.93</v>
      </c>
    </row>
    <row r="140" spans="1:3" x14ac:dyDescent="0.2">
      <c r="A140" s="50">
        <f t="shared" si="2"/>
        <v>44700</v>
      </c>
      <c r="B140" s="53">
        <v>27128.699999999997</v>
      </c>
      <c r="C140" s="53">
        <v>1131.73</v>
      </c>
    </row>
    <row r="141" spans="1:3" x14ac:dyDescent="0.2">
      <c r="A141" s="50">
        <f t="shared" si="2"/>
        <v>44701</v>
      </c>
      <c r="B141" s="53">
        <v>28430.2</v>
      </c>
      <c r="C141" s="53">
        <v>1104.3599999999999</v>
      </c>
    </row>
    <row r="142" spans="1:3" x14ac:dyDescent="0.2">
      <c r="A142" s="50">
        <f t="shared" si="2"/>
        <v>44702</v>
      </c>
      <c r="B142" s="53">
        <v>28214.840000000004</v>
      </c>
      <c r="C142" s="53">
        <v>1051.8</v>
      </c>
    </row>
    <row r="143" spans="1:3" x14ac:dyDescent="0.2">
      <c r="A143" s="50">
        <f t="shared" si="2"/>
        <v>44703</v>
      </c>
      <c r="B143" s="53">
        <v>29056</v>
      </c>
      <c r="C143" s="53">
        <v>1101.78</v>
      </c>
    </row>
    <row r="144" spans="1:3" x14ac:dyDescent="0.2">
      <c r="A144" s="50">
        <f t="shared" si="2"/>
        <v>44704</v>
      </c>
      <c r="B144" s="53">
        <v>30474.440000000002</v>
      </c>
      <c r="C144" s="53">
        <v>1186.6199999999999</v>
      </c>
    </row>
    <row r="145" spans="1:3" x14ac:dyDescent="0.2">
      <c r="A145" s="50">
        <f t="shared" si="2"/>
        <v>44705</v>
      </c>
      <c r="B145" s="53">
        <v>30316.079999999998</v>
      </c>
      <c r="C145" s="53">
        <v>1174.29</v>
      </c>
    </row>
    <row r="146" spans="1:3" x14ac:dyDescent="0.2">
      <c r="A146" s="50">
        <f t="shared" si="2"/>
        <v>44706</v>
      </c>
      <c r="B146" s="53">
        <v>30509.390000000003</v>
      </c>
      <c r="C146" s="53">
        <v>1155.5</v>
      </c>
    </row>
    <row r="147" spans="1:3" x14ac:dyDescent="0.2">
      <c r="A147" s="50">
        <f t="shared" si="2"/>
        <v>44707</v>
      </c>
      <c r="B147" s="53">
        <v>29452</v>
      </c>
      <c r="C147" s="53">
        <v>1114.17</v>
      </c>
    </row>
    <row r="148" spans="1:3" x14ac:dyDescent="0.2">
      <c r="A148" s="50">
        <f t="shared" si="2"/>
        <v>44708</v>
      </c>
      <c r="B148" s="53">
        <v>27645.42</v>
      </c>
      <c r="C148" s="53">
        <v>1115.51</v>
      </c>
    </row>
    <row r="149" spans="1:3" x14ac:dyDescent="0.2">
      <c r="A149" s="50">
        <f t="shared" si="2"/>
        <v>44709</v>
      </c>
      <c r="B149" s="53">
        <v>27857.67</v>
      </c>
      <c r="C149" s="53">
        <v>992.4</v>
      </c>
    </row>
    <row r="150" spans="1:3" x14ac:dyDescent="0.2">
      <c r="A150" s="50">
        <f t="shared" si="2"/>
        <v>44710</v>
      </c>
      <c r="B150" s="53">
        <v>24156.320000000003</v>
      </c>
      <c r="C150" s="53">
        <v>1018.52</v>
      </c>
    </row>
    <row r="151" spans="1:3" x14ac:dyDescent="0.2">
      <c r="A151" s="50">
        <f t="shared" si="2"/>
        <v>44711</v>
      </c>
      <c r="B151" s="53">
        <v>25773</v>
      </c>
      <c r="C151" s="53">
        <v>1091.48</v>
      </c>
    </row>
    <row r="152" spans="1:3" x14ac:dyDescent="0.2">
      <c r="A152" s="50">
        <f t="shared" si="2"/>
        <v>44712</v>
      </c>
      <c r="B152" s="53">
        <v>27145.019999999997</v>
      </c>
      <c r="C152" s="53">
        <v>1199.74</v>
      </c>
    </row>
    <row r="153" spans="1:3" x14ac:dyDescent="0.2">
      <c r="A153" s="50">
        <f t="shared" si="2"/>
        <v>44713</v>
      </c>
      <c r="B153" s="53">
        <v>27207.75</v>
      </c>
      <c r="C153" s="53">
        <v>1104.25</v>
      </c>
    </row>
    <row r="154" spans="1:3" x14ac:dyDescent="0.2">
      <c r="A154" s="50">
        <f t="shared" si="2"/>
        <v>44714</v>
      </c>
      <c r="B154" s="53">
        <v>25489.16</v>
      </c>
      <c r="C154" s="53">
        <v>1035.8900000000001</v>
      </c>
    </row>
    <row r="155" spans="1:3" x14ac:dyDescent="0.2">
      <c r="A155" s="50">
        <f t="shared" si="2"/>
        <v>44715</v>
      </c>
      <c r="B155" s="53">
        <v>24465</v>
      </c>
      <c r="C155" s="53">
        <v>914.63000000000011</v>
      </c>
    </row>
    <row r="156" spans="1:3" x14ac:dyDescent="0.2">
      <c r="A156" s="50">
        <f t="shared" si="2"/>
        <v>44716</v>
      </c>
      <c r="B156" s="53">
        <v>23955.65</v>
      </c>
      <c r="C156" s="53">
        <v>798.09000000000015</v>
      </c>
    </row>
    <row r="157" spans="1:3" x14ac:dyDescent="0.2">
      <c r="A157" s="50">
        <f t="shared" si="2"/>
        <v>44717</v>
      </c>
      <c r="B157" s="53">
        <v>20478.150000000005</v>
      </c>
      <c r="C157" s="53">
        <v>539.24</v>
      </c>
    </row>
    <row r="158" spans="1:3" x14ac:dyDescent="0.2">
      <c r="A158" s="50">
        <f t="shared" si="2"/>
        <v>44718</v>
      </c>
      <c r="B158" s="53">
        <v>21409.58</v>
      </c>
      <c r="C158" s="53">
        <v>976.54</v>
      </c>
    </row>
    <row r="159" spans="1:3" x14ac:dyDescent="0.2">
      <c r="A159" s="50">
        <f t="shared" si="2"/>
        <v>44719</v>
      </c>
      <c r="B159" s="53">
        <v>24440</v>
      </c>
      <c r="C159" s="53">
        <v>943.80000000000007</v>
      </c>
    </row>
    <row r="160" spans="1:3" x14ac:dyDescent="0.2">
      <c r="A160" s="50">
        <f t="shared" ref="A160:A223" si="3">A159+1</f>
        <v>44720</v>
      </c>
      <c r="B160" s="53">
        <v>23303.299999999996</v>
      </c>
      <c r="C160" s="53">
        <v>935.22</v>
      </c>
    </row>
    <row r="161" spans="1:3" x14ac:dyDescent="0.2">
      <c r="A161" s="50">
        <f t="shared" si="3"/>
        <v>44721</v>
      </c>
      <c r="B161" s="53">
        <v>23816.53</v>
      </c>
      <c r="C161" s="53">
        <v>935.15</v>
      </c>
    </row>
    <row r="162" spans="1:3" x14ac:dyDescent="0.2">
      <c r="A162" s="50">
        <f t="shared" si="3"/>
        <v>44722</v>
      </c>
      <c r="B162" s="53">
        <v>22022.260000000002</v>
      </c>
      <c r="C162" s="53">
        <v>470.86</v>
      </c>
    </row>
    <row r="163" spans="1:3" x14ac:dyDescent="0.2">
      <c r="A163" s="50">
        <f t="shared" si="3"/>
        <v>44723</v>
      </c>
      <c r="B163" s="53">
        <v>7738</v>
      </c>
      <c r="C163" s="53">
        <v>0</v>
      </c>
    </row>
    <row r="164" spans="1:3" x14ac:dyDescent="0.2">
      <c r="A164" s="50">
        <f t="shared" si="3"/>
        <v>44724</v>
      </c>
      <c r="B164" s="53">
        <v>18096.150000000001</v>
      </c>
      <c r="C164" s="53">
        <v>1065.21</v>
      </c>
    </row>
    <row r="165" spans="1:3" x14ac:dyDescent="0.2">
      <c r="A165" s="50">
        <f t="shared" si="3"/>
        <v>44725</v>
      </c>
      <c r="B165" s="53">
        <v>23167.45</v>
      </c>
      <c r="C165" s="53">
        <v>978.79000000000008</v>
      </c>
    </row>
    <row r="166" spans="1:3" x14ac:dyDescent="0.2">
      <c r="A166" s="50">
        <f t="shared" si="3"/>
        <v>44726</v>
      </c>
      <c r="B166" s="53">
        <v>25405.8</v>
      </c>
      <c r="C166" s="53">
        <v>1087.97</v>
      </c>
    </row>
    <row r="167" spans="1:3" x14ac:dyDescent="0.2">
      <c r="A167" s="50">
        <f t="shared" si="3"/>
        <v>44727</v>
      </c>
      <c r="B167" s="53">
        <v>24920</v>
      </c>
      <c r="C167" s="53">
        <v>1030.8999999999999</v>
      </c>
    </row>
    <row r="168" spans="1:3" x14ac:dyDescent="0.2">
      <c r="A168" s="50">
        <f t="shared" si="3"/>
        <v>44728</v>
      </c>
      <c r="B168" s="53">
        <v>25665.360000000001</v>
      </c>
      <c r="C168" s="53">
        <v>1062.93</v>
      </c>
    </row>
    <row r="169" spans="1:3" x14ac:dyDescent="0.2">
      <c r="A169" s="50">
        <f t="shared" si="3"/>
        <v>44729</v>
      </c>
      <c r="B169" s="53">
        <v>24736.489999999998</v>
      </c>
      <c r="C169" s="53">
        <v>1041.96</v>
      </c>
    </row>
    <row r="170" spans="1:3" x14ac:dyDescent="0.2">
      <c r="A170" s="50">
        <f t="shared" si="3"/>
        <v>44730</v>
      </c>
      <c r="B170" s="53">
        <v>25014.45</v>
      </c>
      <c r="C170" s="53">
        <v>1037.8500000000001</v>
      </c>
    </row>
    <row r="171" spans="1:3" x14ac:dyDescent="0.2">
      <c r="A171" s="50">
        <f t="shared" si="3"/>
        <v>44731</v>
      </c>
      <c r="B171" s="53">
        <v>23240</v>
      </c>
      <c r="C171" s="53">
        <v>917.2399999999999</v>
      </c>
    </row>
    <row r="172" spans="1:3" x14ac:dyDescent="0.2">
      <c r="A172" s="50">
        <f t="shared" si="3"/>
        <v>44732</v>
      </c>
      <c r="B172" s="53">
        <v>24160.98</v>
      </c>
      <c r="C172" s="53">
        <v>932.01</v>
      </c>
    </row>
    <row r="173" spans="1:3" x14ac:dyDescent="0.2">
      <c r="A173" s="50">
        <f t="shared" si="3"/>
        <v>44733</v>
      </c>
      <c r="B173" s="53">
        <v>25849.699999999997</v>
      </c>
      <c r="C173" s="53">
        <v>1021.5500000000001</v>
      </c>
    </row>
    <row r="174" spans="1:3" x14ac:dyDescent="0.2">
      <c r="A174" s="50">
        <f t="shared" si="3"/>
        <v>44734</v>
      </c>
      <c r="B174" s="53">
        <v>25675.810000000005</v>
      </c>
      <c r="C174" s="53">
        <v>1013.89</v>
      </c>
    </row>
    <row r="175" spans="1:3" x14ac:dyDescent="0.2">
      <c r="A175" s="50">
        <f t="shared" si="3"/>
        <v>44735</v>
      </c>
      <c r="B175" s="53">
        <v>25625</v>
      </c>
      <c r="C175" s="53">
        <v>1034.95</v>
      </c>
    </row>
    <row r="176" spans="1:3" x14ac:dyDescent="0.2">
      <c r="A176" s="50">
        <f t="shared" si="3"/>
        <v>44736</v>
      </c>
      <c r="B176" s="53">
        <v>23748.917999999998</v>
      </c>
      <c r="C176" s="53">
        <v>1054.5800000000002</v>
      </c>
    </row>
    <row r="177" spans="1:3" x14ac:dyDescent="0.2">
      <c r="A177" s="50">
        <f t="shared" si="3"/>
        <v>44737</v>
      </c>
      <c r="B177" s="53">
        <v>24749.29</v>
      </c>
      <c r="C177" s="53">
        <v>965.92000000000007</v>
      </c>
    </row>
    <row r="178" spans="1:3" x14ac:dyDescent="0.2">
      <c r="A178" s="50">
        <f t="shared" si="3"/>
        <v>44738</v>
      </c>
      <c r="B178" s="53">
        <v>25697.15</v>
      </c>
      <c r="C178" s="53">
        <v>859.9</v>
      </c>
    </row>
    <row r="179" spans="1:3" x14ac:dyDescent="0.2">
      <c r="A179" s="50">
        <f t="shared" si="3"/>
        <v>44739</v>
      </c>
      <c r="B179" s="53">
        <v>25161</v>
      </c>
      <c r="C179" s="53">
        <v>1030.9099999999999</v>
      </c>
    </row>
    <row r="180" spans="1:3" x14ac:dyDescent="0.2">
      <c r="A180" s="50">
        <f t="shared" si="3"/>
        <v>44740</v>
      </c>
      <c r="B180" s="53">
        <v>25279.35</v>
      </c>
      <c r="C180" s="53">
        <v>1085.1000000000001</v>
      </c>
    </row>
    <row r="181" spans="1:3" x14ac:dyDescent="0.2">
      <c r="A181" s="50">
        <f t="shared" si="3"/>
        <v>44741</v>
      </c>
      <c r="B181" s="53">
        <v>25539.719999999998</v>
      </c>
      <c r="C181" s="53">
        <v>1024.7</v>
      </c>
    </row>
    <row r="182" spans="1:3" x14ac:dyDescent="0.2">
      <c r="A182" s="50">
        <f t="shared" si="3"/>
        <v>44742</v>
      </c>
      <c r="B182" s="53">
        <v>25060.07</v>
      </c>
      <c r="C182" s="53">
        <v>1024.3900000000001</v>
      </c>
    </row>
    <row r="183" spans="1:3" x14ac:dyDescent="0.2">
      <c r="A183" s="50">
        <f t="shared" si="3"/>
        <v>44743</v>
      </c>
      <c r="B183" s="53">
        <v>24770</v>
      </c>
      <c r="C183" s="53">
        <v>1034.8399999999999</v>
      </c>
    </row>
    <row r="184" spans="1:3" x14ac:dyDescent="0.2">
      <c r="A184" s="50">
        <f t="shared" si="3"/>
        <v>44744</v>
      </c>
      <c r="B184" s="53">
        <v>21168.89</v>
      </c>
      <c r="C184" s="53">
        <v>997.43999999999983</v>
      </c>
    </row>
    <row r="185" spans="1:3" x14ac:dyDescent="0.2">
      <c r="A185" s="50">
        <f t="shared" si="3"/>
        <v>44745</v>
      </c>
      <c r="B185" s="53">
        <v>18501.079999999998</v>
      </c>
      <c r="C185" s="53">
        <v>432.13</v>
      </c>
    </row>
    <row r="186" spans="1:3" x14ac:dyDescent="0.2">
      <c r="A186" s="50">
        <f t="shared" si="3"/>
        <v>44746</v>
      </c>
      <c r="B186" s="53">
        <v>22386.61</v>
      </c>
      <c r="C186" s="53">
        <v>1092.0900000000001</v>
      </c>
    </row>
    <row r="187" spans="1:3" x14ac:dyDescent="0.2">
      <c r="A187" s="50">
        <f t="shared" si="3"/>
        <v>44747</v>
      </c>
      <c r="B187" s="53">
        <v>25034</v>
      </c>
      <c r="C187" s="53">
        <v>1008.8899999999999</v>
      </c>
    </row>
    <row r="188" spans="1:3" x14ac:dyDescent="0.2">
      <c r="A188" s="50">
        <f t="shared" si="3"/>
        <v>44748</v>
      </c>
      <c r="B188" s="53">
        <v>24248.93</v>
      </c>
      <c r="C188" s="53">
        <v>1020.79</v>
      </c>
    </row>
    <row r="189" spans="1:3" x14ac:dyDescent="0.2">
      <c r="A189" s="50">
        <f t="shared" si="3"/>
        <v>44749</v>
      </c>
      <c r="B189" s="53">
        <v>24350.500000000004</v>
      </c>
      <c r="C189" s="53">
        <v>958.22</v>
      </c>
    </row>
    <row r="190" spans="1:3" x14ac:dyDescent="0.2">
      <c r="A190" s="50">
        <f t="shared" si="3"/>
        <v>44750</v>
      </c>
      <c r="B190" s="53">
        <v>23327.14</v>
      </c>
      <c r="C190" s="53">
        <v>925.39</v>
      </c>
    </row>
    <row r="191" spans="1:3" x14ac:dyDescent="0.2">
      <c r="A191" s="50">
        <f t="shared" si="3"/>
        <v>44751</v>
      </c>
      <c r="B191" s="53">
        <v>19587</v>
      </c>
      <c r="C191" s="53">
        <v>356.35999999999996</v>
      </c>
    </row>
    <row r="192" spans="1:3" x14ac:dyDescent="0.2">
      <c r="A192" s="50">
        <f t="shared" si="3"/>
        <v>44752</v>
      </c>
      <c r="B192" s="53">
        <v>20925.789999999997</v>
      </c>
      <c r="C192" s="53">
        <v>855.15000000000009</v>
      </c>
    </row>
    <row r="193" spans="1:3" x14ac:dyDescent="0.2">
      <c r="A193" s="50">
        <f t="shared" si="3"/>
        <v>44753</v>
      </c>
      <c r="B193" s="53">
        <v>24046.190000000002</v>
      </c>
      <c r="C193" s="53">
        <v>1004.55</v>
      </c>
    </row>
    <row r="194" spans="1:3" x14ac:dyDescent="0.2">
      <c r="A194" s="50">
        <f t="shared" si="3"/>
        <v>44754</v>
      </c>
      <c r="B194" s="53">
        <v>23012.719999999998</v>
      </c>
      <c r="C194" s="53">
        <v>974.15000000000009</v>
      </c>
    </row>
    <row r="195" spans="1:3" x14ac:dyDescent="0.2">
      <c r="A195" s="50">
        <f t="shared" si="3"/>
        <v>44755</v>
      </c>
      <c r="B195" s="53">
        <v>24067</v>
      </c>
      <c r="C195" s="53">
        <v>955.08</v>
      </c>
    </row>
    <row r="196" spans="1:3" x14ac:dyDescent="0.2">
      <c r="A196" s="50">
        <f t="shared" si="3"/>
        <v>44756</v>
      </c>
      <c r="B196" s="53">
        <v>25700.14</v>
      </c>
      <c r="C196" s="53">
        <v>900.69</v>
      </c>
    </row>
    <row r="197" spans="1:3" x14ac:dyDescent="0.2">
      <c r="A197" s="50">
        <f t="shared" si="3"/>
        <v>44757</v>
      </c>
      <c r="B197" s="53">
        <v>24913.88</v>
      </c>
      <c r="C197" s="53">
        <v>955.18</v>
      </c>
    </row>
    <row r="198" spans="1:3" x14ac:dyDescent="0.2">
      <c r="A198" s="50">
        <f t="shared" si="3"/>
        <v>44758</v>
      </c>
      <c r="B198" s="53">
        <v>22923.58</v>
      </c>
      <c r="C198" s="53">
        <v>758.40000000000009</v>
      </c>
    </row>
    <row r="199" spans="1:3" x14ac:dyDescent="0.2">
      <c r="A199" s="50">
        <f t="shared" si="3"/>
        <v>44759</v>
      </c>
      <c r="B199" s="53">
        <v>14627</v>
      </c>
      <c r="C199" s="53">
        <v>310.78999999999996</v>
      </c>
    </row>
    <row r="200" spans="1:3" x14ac:dyDescent="0.2">
      <c r="A200" s="50">
        <f t="shared" si="3"/>
        <v>44760</v>
      </c>
      <c r="B200" s="53">
        <v>22485.140000000003</v>
      </c>
      <c r="C200" s="53">
        <v>952.22</v>
      </c>
    </row>
    <row r="201" spans="1:3" x14ac:dyDescent="0.2">
      <c r="A201" s="50">
        <f t="shared" si="3"/>
        <v>44761</v>
      </c>
      <c r="B201" s="53">
        <v>22739.65</v>
      </c>
      <c r="C201" s="53">
        <v>928.42000000000007</v>
      </c>
    </row>
    <row r="202" spans="1:3" x14ac:dyDescent="0.2">
      <c r="A202" s="50">
        <f t="shared" si="3"/>
        <v>44762</v>
      </c>
      <c r="B202" s="53">
        <v>22179.719999999998</v>
      </c>
      <c r="C202" s="53">
        <v>993.51</v>
      </c>
    </row>
    <row r="203" spans="1:3" x14ac:dyDescent="0.2">
      <c r="A203" s="50">
        <f t="shared" si="3"/>
        <v>44763</v>
      </c>
      <c r="B203" s="53">
        <v>24094</v>
      </c>
      <c r="C203" s="53">
        <v>997.49</v>
      </c>
    </row>
    <row r="204" spans="1:3" x14ac:dyDescent="0.2">
      <c r="A204" s="50">
        <f t="shared" si="3"/>
        <v>44764</v>
      </c>
      <c r="B204" s="53">
        <v>24934.61</v>
      </c>
      <c r="C204" s="53">
        <v>1017.6500000000002</v>
      </c>
    </row>
    <row r="205" spans="1:3" x14ac:dyDescent="0.2">
      <c r="A205" s="50">
        <f t="shared" si="3"/>
        <v>44765</v>
      </c>
      <c r="B205" s="53">
        <v>20290.079999999998</v>
      </c>
      <c r="C205" s="53">
        <v>489.94</v>
      </c>
    </row>
    <row r="206" spans="1:3" x14ac:dyDescent="0.2">
      <c r="A206" s="50">
        <f t="shared" si="3"/>
        <v>44766</v>
      </c>
      <c r="B206" s="53">
        <v>19976.289999999997</v>
      </c>
      <c r="C206" s="53">
        <v>858.48</v>
      </c>
    </row>
    <row r="207" spans="1:3" x14ac:dyDescent="0.2">
      <c r="A207" s="50">
        <f t="shared" si="3"/>
        <v>44767</v>
      </c>
      <c r="B207" s="53">
        <v>25047</v>
      </c>
      <c r="C207" s="53">
        <v>996.05</v>
      </c>
    </row>
    <row r="208" spans="1:3" x14ac:dyDescent="0.2">
      <c r="A208" s="50">
        <f t="shared" si="3"/>
        <v>44768</v>
      </c>
      <c r="B208" s="53">
        <v>24834.489999999998</v>
      </c>
      <c r="C208" s="53">
        <v>930.08</v>
      </c>
    </row>
    <row r="209" spans="1:3" x14ac:dyDescent="0.2">
      <c r="A209" s="50">
        <f t="shared" si="3"/>
        <v>44769</v>
      </c>
      <c r="B209" s="53">
        <v>24535.79</v>
      </c>
      <c r="C209" s="53">
        <v>803.41</v>
      </c>
    </row>
    <row r="210" spans="1:3" x14ac:dyDescent="0.2">
      <c r="A210" s="50">
        <f t="shared" si="3"/>
        <v>44770</v>
      </c>
      <c r="B210" s="53">
        <v>24050.06</v>
      </c>
      <c r="C210" s="53">
        <v>885.28000000000009</v>
      </c>
    </row>
    <row r="211" spans="1:3" x14ac:dyDescent="0.2">
      <c r="A211" s="50">
        <f t="shared" si="3"/>
        <v>44771</v>
      </c>
      <c r="B211" s="53">
        <v>25697</v>
      </c>
      <c r="C211" s="53">
        <v>935.61999999999989</v>
      </c>
    </row>
    <row r="212" spans="1:3" x14ac:dyDescent="0.2">
      <c r="A212" s="50">
        <f t="shared" si="3"/>
        <v>44772</v>
      </c>
      <c r="B212" s="53">
        <v>23859.02</v>
      </c>
      <c r="C212" s="53">
        <v>910.37999999999988</v>
      </c>
    </row>
    <row r="213" spans="1:3" x14ac:dyDescent="0.2">
      <c r="A213" s="50">
        <f t="shared" si="3"/>
        <v>44773</v>
      </c>
      <c r="B213" s="53">
        <v>18773.53</v>
      </c>
      <c r="C213" s="53">
        <v>567.92999999999995</v>
      </c>
    </row>
    <row r="214" spans="1:3" x14ac:dyDescent="0.2">
      <c r="A214" s="50">
        <f t="shared" si="3"/>
        <v>44774</v>
      </c>
      <c r="B214" s="53">
        <v>23134.69</v>
      </c>
      <c r="C214" s="53">
        <v>938.28</v>
      </c>
    </row>
    <row r="215" spans="1:3" x14ac:dyDescent="0.2">
      <c r="A215" s="50">
        <f t="shared" si="3"/>
        <v>44775</v>
      </c>
      <c r="B215" s="53">
        <v>26207</v>
      </c>
      <c r="C215" s="53">
        <v>864.74999999999989</v>
      </c>
    </row>
    <row r="216" spans="1:3" x14ac:dyDescent="0.2">
      <c r="A216" s="50">
        <f t="shared" si="3"/>
        <v>44776</v>
      </c>
      <c r="B216" s="53">
        <v>23295.71</v>
      </c>
      <c r="C216" s="53">
        <v>856.25</v>
      </c>
    </row>
    <row r="217" spans="1:3" x14ac:dyDescent="0.2">
      <c r="A217" s="50">
        <f t="shared" si="3"/>
        <v>44777</v>
      </c>
      <c r="B217" s="53">
        <v>22353.25</v>
      </c>
      <c r="C217" s="53">
        <v>834.53000000000009</v>
      </c>
    </row>
    <row r="218" spans="1:3" x14ac:dyDescent="0.2">
      <c r="A218" s="50">
        <f t="shared" si="3"/>
        <v>44778</v>
      </c>
      <c r="B218" s="53">
        <v>23301.510000000002</v>
      </c>
      <c r="C218" s="53">
        <v>751.24</v>
      </c>
    </row>
    <row r="219" spans="1:3" x14ac:dyDescent="0.2">
      <c r="A219" s="50">
        <f t="shared" si="3"/>
        <v>44779</v>
      </c>
      <c r="B219" s="53">
        <v>17690</v>
      </c>
      <c r="C219" s="53">
        <v>222.83999999999997</v>
      </c>
    </row>
    <row r="220" spans="1:3" x14ac:dyDescent="0.2">
      <c r="A220" s="50">
        <f t="shared" si="3"/>
        <v>44780</v>
      </c>
      <c r="B220" s="53">
        <v>17818.500000000004</v>
      </c>
      <c r="C220" s="53">
        <v>538.80999999999995</v>
      </c>
    </row>
    <row r="221" spans="1:3" x14ac:dyDescent="0.2">
      <c r="A221" s="50">
        <f t="shared" si="3"/>
        <v>44781</v>
      </c>
      <c r="B221" s="53">
        <v>22804.33</v>
      </c>
      <c r="C221" s="53">
        <v>842.18</v>
      </c>
    </row>
    <row r="222" spans="1:3" x14ac:dyDescent="0.2">
      <c r="A222" s="50">
        <f t="shared" si="3"/>
        <v>44782</v>
      </c>
      <c r="B222" s="53">
        <v>22912.32</v>
      </c>
      <c r="C222" s="53">
        <v>767.24000000000012</v>
      </c>
    </row>
    <row r="223" spans="1:3" x14ac:dyDescent="0.2">
      <c r="A223" s="50">
        <f t="shared" si="3"/>
        <v>44783</v>
      </c>
      <c r="B223" s="53">
        <v>22073.06</v>
      </c>
      <c r="C223" s="53">
        <v>705.65999999999985</v>
      </c>
    </row>
    <row r="224" spans="1:3" x14ac:dyDescent="0.2">
      <c r="A224" s="50">
        <f t="shared" ref="A224:A287" si="4">A223+1</f>
        <v>44784</v>
      </c>
      <c r="B224" s="53">
        <v>21879.489999999998</v>
      </c>
      <c r="C224" s="53">
        <v>587.46</v>
      </c>
    </row>
    <row r="225" spans="1:3" x14ac:dyDescent="0.2">
      <c r="A225" s="50">
        <f t="shared" si="4"/>
        <v>44785</v>
      </c>
      <c r="B225" s="53">
        <v>17105.190000000002</v>
      </c>
      <c r="C225" s="53">
        <v>342.2</v>
      </c>
    </row>
    <row r="226" spans="1:3" x14ac:dyDescent="0.2">
      <c r="A226" s="50">
        <f t="shared" si="4"/>
        <v>44786</v>
      </c>
      <c r="B226" s="53">
        <v>13743.039999999999</v>
      </c>
      <c r="C226" s="53">
        <v>77.650000000000006</v>
      </c>
    </row>
    <row r="227" spans="1:3" x14ac:dyDescent="0.2">
      <c r="A227" s="50">
        <f t="shared" si="4"/>
        <v>44787</v>
      </c>
      <c r="B227" s="53">
        <v>10705.009999999998</v>
      </c>
      <c r="C227" s="53">
        <v>60.32</v>
      </c>
    </row>
    <row r="228" spans="1:3" x14ac:dyDescent="0.2">
      <c r="A228" s="50">
        <f t="shared" si="4"/>
        <v>44788</v>
      </c>
      <c r="B228" s="53">
        <v>18377.63</v>
      </c>
      <c r="C228" s="53">
        <v>980.80000000000007</v>
      </c>
    </row>
    <row r="229" spans="1:3" x14ac:dyDescent="0.2">
      <c r="A229" s="50">
        <f t="shared" si="4"/>
        <v>44789</v>
      </c>
      <c r="B229" s="53">
        <v>21702.09</v>
      </c>
      <c r="C229" s="53">
        <v>820.87000000000012</v>
      </c>
    </row>
    <row r="230" spans="1:3" x14ac:dyDescent="0.2">
      <c r="A230" s="50">
        <f t="shared" si="4"/>
        <v>44790</v>
      </c>
      <c r="B230" s="53">
        <v>21038.379999999997</v>
      </c>
      <c r="C230" s="53">
        <v>813.18999999999994</v>
      </c>
    </row>
    <row r="231" spans="1:3" x14ac:dyDescent="0.2">
      <c r="A231" s="50">
        <f t="shared" si="4"/>
        <v>44791</v>
      </c>
      <c r="B231" s="53">
        <v>20386.78</v>
      </c>
      <c r="C231" s="53">
        <v>689.65</v>
      </c>
    </row>
    <row r="232" spans="1:3" x14ac:dyDescent="0.2">
      <c r="A232" s="50">
        <f t="shared" si="4"/>
        <v>44792</v>
      </c>
      <c r="B232" s="53">
        <v>18395.61</v>
      </c>
      <c r="C232" s="53">
        <v>442.97</v>
      </c>
    </row>
    <row r="233" spans="1:3" x14ac:dyDescent="0.2">
      <c r="A233" s="50">
        <f t="shared" si="4"/>
        <v>44793</v>
      </c>
      <c r="B233" s="53">
        <v>12579.820000000002</v>
      </c>
      <c r="C233" s="53">
        <v>147.69000000000003</v>
      </c>
    </row>
    <row r="234" spans="1:3" x14ac:dyDescent="0.2">
      <c r="A234" s="50">
        <f t="shared" si="4"/>
        <v>44794</v>
      </c>
      <c r="B234" s="53">
        <v>8999.1299999999992</v>
      </c>
      <c r="C234" s="53">
        <v>55.15</v>
      </c>
    </row>
    <row r="235" spans="1:3" x14ac:dyDescent="0.2">
      <c r="A235" s="50">
        <f t="shared" si="4"/>
        <v>44795</v>
      </c>
      <c r="B235" s="53">
        <v>19133</v>
      </c>
      <c r="C235" s="53">
        <v>853.78</v>
      </c>
    </row>
    <row r="236" spans="1:3" x14ac:dyDescent="0.2">
      <c r="A236" s="50">
        <f t="shared" si="4"/>
        <v>44796</v>
      </c>
      <c r="B236" s="53">
        <v>21999.840000000004</v>
      </c>
      <c r="C236" s="53">
        <v>725.73</v>
      </c>
    </row>
    <row r="237" spans="1:3" x14ac:dyDescent="0.2">
      <c r="A237" s="50">
        <f t="shared" si="4"/>
        <v>44797</v>
      </c>
      <c r="B237" s="53">
        <v>20619.32</v>
      </c>
      <c r="C237" s="53">
        <v>583.1</v>
      </c>
    </row>
    <row r="238" spans="1:3" x14ac:dyDescent="0.2">
      <c r="A238" s="50">
        <f t="shared" si="4"/>
        <v>44798</v>
      </c>
      <c r="B238" s="53">
        <v>18151.530000000002</v>
      </c>
      <c r="C238" s="53">
        <v>419.14</v>
      </c>
    </row>
    <row r="239" spans="1:3" x14ac:dyDescent="0.2">
      <c r="A239" s="50">
        <f t="shared" si="4"/>
        <v>44799</v>
      </c>
      <c r="B239" s="53">
        <v>18591</v>
      </c>
      <c r="C239" s="53">
        <v>680.89</v>
      </c>
    </row>
    <row r="240" spans="1:3" x14ac:dyDescent="0.2">
      <c r="A240" s="50">
        <f t="shared" si="4"/>
        <v>44800</v>
      </c>
      <c r="B240" s="53">
        <v>19712.420000000002</v>
      </c>
      <c r="C240" s="53">
        <v>800.43000000000006</v>
      </c>
    </row>
    <row r="241" spans="1:3" x14ac:dyDescent="0.2">
      <c r="A241" s="50">
        <f t="shared" si="4"/>
        <v>44801</v>
      </c>
      <c r="B241" s="53">
        <v>17669.820000000003</v>
      </c>
      <c r="C241" s="53">
        <v>744.21</v>
      </c>
    </row>
    <row r="242" spans="1:3" x14ac:dyDescent="0.2">
      <c r="A242" s="50">
        <f t="shared" si="4"/>
        <v>44802</v>
      </c>
      <c r="B242" s="53">
        <v>20124.600000000002</v>
      </c>
      <c r="C242" s="53">
        <v>810.62</v>
      </c>
    </row>
    <row r="243" spans="1:3" x14ac:dyDescent="0.2">
      <c r="A243" s="50">
        <f t="shared" si="4"/>
        <v>44803</v>
      </c>
      <c r="B243" s="53">
        <v>21432</v>
      </c>
      <c r="C243" s="53">
        <v>877.41000000000008</v>
      </c>
    </row>
    <row r="244" spans="1:3" x14ac:dyDescent="0.2">
      <c r="A244" s="50">
        <f t="shared" si="4"/>
        <v>44804</v>
      </c>
      <c r="B244" s="53">
        <v>20191.900000000001</v>
      </c>
      <c r="C244" s="53">
        <v>841.25</v>
      </c>
    </row>
    <row r="245" spans="1:3" x14ac:dyDescent="0.2">
      <c r="A245" s="50">
        <f t="shared" si="4"/>
        <v>44805</v>
      </c>
      <c r="B245" s="53">
        <v>21342.230000000003</v>
      </c>
      <c r="C245" s="53">
        <v>775.36999999999989</v>
      </c>
    </row>
    <row r="246" spans="1:3" x14ac:dyDescent="0.2">
      <c r="A246" s="50">
        <f t="shared" si="4"/>
        <v>44806</v>
      </c>
      <c r="B246" s="53">
        <v>19320.309999999998</v>
      </c>
      <c r="C246" s="53">
        <v>396.13</v>
      </c>
    </row>
    <row r="247" spans="1:3" x14ac:dyDescent="0.2">
      <c r="A247" s="50">
        <f t="shared" si="4"/>
        <v>44807</v>
      </c>
      <c r="B247" s="53">
        <v>11092</v>
      </c>
      <c r="C247" s="53">
        <v>164.82</v>
      </c>
    </row>
    <row r="248" spans="1:3" x14ac:dyDescent="0.2">
      <c r="A248" s="50">
        <f t="shared" si="4"/>
        <v>44808</v>
      </c>
      <c r="B248" s="53">
        <v>11140.61</v>
      </c>
      <c r="C248" s="53">
        <v>171.04000000000002</v>
      </c>
    </row>
    <row r="249" spans="1:3" x14ac:dyDescent="0.2">
      <c r="A249" s="50">
        <f t="shared" si="4"/>
        <v>44809</v>
      </c>
      <c r="B249" s="53">
        <v>18630.27</v>
      </c>
      <c r="C249" s="53">
        <v>933.04000000000008</v>
      </c>
    </row>
    <row r="250" spans="1:3" x14ac:dyDescent="0.2">
      <c r="A250" s="50">
        <f t="shared" si="4"/>
        <v>44810</v>
      </c>
      <c r="B250" s="53">
        <v>21276.520000000004</v>
      </c>
      <c r="C250" s="53">
        <v>743.47</v>
      </c>
    </row>
    <row r="251" spans="1:3" x14ac:dyDescent="0.2">
      <c r="A251" s="50">
        <f t="shared" si="4"/>
        <v>44811</v>
      </c>
      <c r="B251" s="53">
        <v>19582</v>
      </c>
      <c r="C251" s="53">
        <v>696.7</v>
      </c>
    </row>
    <row r="252" spans="1:3" x14ac:dyDescent="0.2">
      <c r="A252" s="50">
        <f t="shared" si="4"/>
        <v>44812</v>
      </c>
      <c r="B252" s="53">
        <v>20262.990000000002</v>
      </c>
      <c r="C252" s="53">
        <v>745.38999999999987</v>
      </c>
    </row>
    <row r="253" spans="1:3" x14ac:dyDescent="0.2">
      <c r="A253" s="50">
        <f t="shared" si="4"/>
        <v>44813</v>
      </c>
      <c r="B253" s="53">
        <v>20997.599999999999</v>
      </c>
      <c r="C253" s="53">
        <v>642.4799999999999</v>
      </c>
    </row>
    <row r="254" spans="1:3" x14ac:dyDescent="0.2">
      <c r="A254" s="50">
        <f t="shared" si="4"/>
        <v>44814</v>
      </c>
      <c r="B254" s="53">
        <v>14365.55</v>
      </c>
      <c r="C254" s="53">
        <v>303.92</v>
      </c>
    </row>
    <row r="255" spans="1:3" x14ac:dyDescent="0.2">
      <c r="A255" s="50">
        <f t="shared" si="4"/>
        <v>44815</v>
      </c>
      <c r="B255" s="53">
        <v>14092</v>
      </c>
      <c r="C255" s="53">
        <v>346.11999999999995</v>
      </c>
    </row>
    <row r="256" spans="1:3" x14ac:dyDescent="0.2">
      <c r="A256" s="50">
        <f t="shared" si="4"/>
        <v>44816</v>
      </c>
      <c r="B256" s="53">
        <v>21682.170000000002</v>
      </c>
      <c r="C256" s="53">
        <v>996.87999999999988</v>
      </c>
    </row>
    <row r="257" spans="1:3" x14ac:dyDescent="0.2">
      <c r="A257" s="50">
        <f t="shared" si="4"/>
        <v>44817</v>
      </c>
      <c r="B257" s="53">
        <v>22819.21</v>
      </c>
      <c r="C257" s="53">
        <v>949.08</v>
      </c>
    </row>
    <row r="258" spans="1:3" x14ac:dyDescent="0.2">
      <c r="A258" s="50">
        <f t="shared" si="4"/>
        <v>44818</v>
      </c>
      <c r="B258" s="53">
        <v>23450.679999999997</v>
      </c>
      <c r="C258" s="53">
        <v>878.85</v>
      </c>
    </row>
    <row r="259" spans="1:3" x14ac:dyDescent="0.2">
      <c r="A259" s="50">
        <f t="shared" si="4"/>
        <v>44819</v>
      </c>
      <c r="B259" s="53">
        <v>21885</v>
      </c>
      <c r="C259" s="53">
        <v>844.18000000000006</v>
      </c>
    </row>
    <row r="260" spans="1:3" x14ac:dyDescent="0.2">
      <c r="A260" s="50">
        <f t="shared" si="4"/>
        <v>44820</v>
      </c>
      <c r="B260" s="53">
        <v>23262.29</v>
      </c>
      <c r="C260" s="53">
        <v>889.43999999999994</v>
      </c>
    </row>
    <row r="261" spans="1:3" x14ac:dyDescent="0.2">
      <c r="A261" s="50">
        <f t="shared" si="4"/>
        <v>44821</v>
      </c>
      <c r="B261" s="53">
        <v>18823.850000000002</v>
      </c>
      <c r="C261" s="53">
        <v>477.86009999999999</v>
      </c>
    </row>
    <row r="262" spans="1:3" x14ac:dyDescent="0.2">
      <c r="A262" s="50">
        <f t="shared" si="4"/>
        <v>44822</v>
      </c>
      <c r="B262" s="53">
        <v>14775.400000000001</v>
      </c>
      <c r="C262" s="53">
        <v>406.48009999999999</v>
      </c>
    </row>
    <row r="263" spans="1:3" x14ac:dyDescent="0.2">
      <c r="A263" s="50">
        <f t="shared" si="4"/>
        <v>44823</v>
      </c>
      <c r="B263" s="53">
        <v>20976</v>
      </c>
      <c r="C263" s="53">
        <v>973.75</v>
      </c>
    </row>
    <row r="264" spans="1:3" x14ac:dyDescent="0.2">
      <c r="A264" s="50">
        <f t="shared" si="4"/>
        <v>44824</v>
      </c>
      <c r="B264" s="53">
        <v>23403.89</v>
      </c>
      <c r="C264" s="53">
        <v>917.46</v>
      </c>
    </row>
    <row r="265" spans="1:3" x14ac:dyDescent="0.2">
      <c r="A265" s="50">
        <f t="shared" si="4"/>
        <v>44825</v>
      </c>
      <c r="B265" s="53">
        <v>23582.080000000002</v>
      </c>
      <c r="C265" s="53">
        <v>919.17999999999984</v>
      </c>
    </row>
    <row r="266" spans="1:3" x14ac:dyDescent="0.2">
      <c r="A266" s="50">
        <f t="shared" si="4"/>
        <v>44826</v>
      </c>
      <c r="B266" s="53">
        <v>21556.07</v>
      </c>
      <c r="C266" s="53">
        <v>813.2</v>
      </c>
    </row>
    <row r="267" spans="1:3" x14ac:dyDescent="0.2">
      <c r="A267" s="50">
        <f t="shared" si="4"/>
        <v>44827</v>
      </c>
      <c r="B267" s="53">
        <v>20328</v>
      </c>
      <c r="C267" s="53">
        <v>873.95999999999981</v>
      </c>
    </row>
    <row r="268" spans="1:3" x14ac:dyDescent="0.2">
      <c r="A268" s="50">
        <f t="shared" si="4"/>
        <v>44828</v>
      </c>
      <c r="B268" s="53">
        <v>17633.27</v>
      </c>
      <c r="C268" s="53">
        <v>781.12</v>
      </c>
    </row>
    <row r="269" spans="1:3" x14ac:dyDescent="0.2">
      <c r="A269" s="50">
        <f t="shared" si="4"/>
        <v>44829</v>
      </c>
      <c r="B269" s="53">
        <v>17610.759999999998</v>
      </c>
      <c r="C269" s="53">
        <v>550.34999999999991</v>
      </c>
    </row>
    <row r="270" spans="1:3" x14ac:dyDescent="0.2">
      <c r="A270" s="50">
        <f t="shared" si="4"/>
        <v>44830</v>
      </c>
      <c r="B270" s="53">
        <v>20402.02</v>
      </c>
      <c r="C270" s="53">
        <v>745.92000000000007</v>
      </c>
    </row>
    <row r="271" spans="1:3" x14ac:dyDescent="0.2">
      <c r="A271" s="50">
        <f t="shared" si="4"/>
        <v>44831</v>
      </c>
      <c r="B271" s="53">
        <v>20897</v>
      </c>
      <c r="C271" s="53">
        <v>706.29</v>
      </c>
    </row>
    <row r="272" spans="1:3" x14ac:dyDescent="0.2">
      <c r="A272" s="50">
        <f t="shared" si="4"/>
        <v>44832</v>
      </c>
      <c r="B272" s="53">
        <v>21717.43</v>
      </c>
      <c r="C272" s="53">
        <v>752.37</v>
      </c>
    </row>
    <row r="273" spans="1:3" x14ac:dyDescent="0.2">
      <c r="A273" s="50">
        <f t="shared" si="4"/>
        <v>44833</v>
      </c>
      <c r="B273" s="53">
        <v>19620.560000000001</v>
      </c>
      <c r="C273" s="53">
        <v>634.72</v>
      </c>
    </row>
    <row r="274" spans="1:3" x14ac:dyDescent="0.2">
      <c r="A274" s="50">
        <f t="shared" si="4"/>
        <v>44834</v>
      </c>
      <c r="B274" s="53">
        <v>18611.329999999998</v>
      </c>
      <c r="C274" s="53">
        <v>574.58999999999992</v>
      </c>
    </row>
    <row r="275" spans="1:3" x14ac:dyDescent="0.2">
      <c r="A275" s="50">
        <f t="shared" si="4"/>
        <v>44835</v>
      </c>
      <c r="B275" s="53">
        <v>8608.5400000000009</v>
      </c>
      <c r="C275" s="53">
        <v>0</v>
      </c>
    </row>
    <row r="276" spans="1:3" x14ac:dyDescent="0.2">
      <c r="A276" s="50">
        <f t="shared" si="4"/>
        <v>44836</v>
      </c>
      <c r="B276" s="53">
        <v>5551.44</v>
      </c>
      <c r="C276" s="53">
        <v>0</v>
      </c>
    </row>
    <row r="277" spans="1:3" x14ac:dyDescent="0.2">
      <c r="A277" s="50">
        <f t="shared" si="4"/>
        <v>44837</v>
      </c>
      <c r="B277" s="53">
        <v>15391.379999999997</v>
      </c>
      <c r="C277" s="53">
        <v>605.38</v>
      </c>
    </row>
    <row r="278" spans="1:3" x14ac:dyDescent="0.2">
      <c r="A278" s="50">
        <f t="shared" si="4"/>
        <v>44838</v>
      </c>
      <c r="B278" s="53">
        <v>20457.95</v>
      </c>
      <c r="C278" s="53">
        <v>791.23</v>
      </c>
    </row>
    <row r="279" spans="1:3" x14ac:dyDescent="0.2">
      <c r="A279" s="50">
        <f t="shared" si="4"/>
        <v>44839</v>
      </c>
      <c r="B279" s="53">
        <v>21316</v>
      </c>
      <c r="C279" s="53">
        <v>790.04000000000008</v>
      </c>
    </row>
    <row r="280" spans="1:3" x14ac:dyDescent="0.2">
      <c r="A280" s="50">
        <f t="shared" si="4"/>
        <v>44840</v>
      </c>
      <c r="B280" s="53">
        <v>21893.200000000001</v>
      </c>
      <c r="C280" s="53">
        <v>812.58</v>
      </c>
    </row>
    <row r="281" spans="1:3" x14ac:dyDescent="0.2">
      <c r="A281" s="50">
        <f t="shared" si="4"/>
        <v>44841</v>
      </c>
      <c r="B281" s="53">
        <v>21297.03</v>
      </c>
      <c r="C281" s="53">
        <v>822.31</v>
      </c>
    </row>
    <row r="282" spans="1:3" x14ac:dyDescent="0.2">
      <c r="A282" s="50">
        <f t="shared" si="4"/>
        <v>44842</v>
      </c>
      <c r="B282" s="53">
        <v>21133.82</v>
      </c>
      <c r="C282" s="53">
        <v>710.34</v>
      </c>
    </row>
    <row r="283" spans="1:3" x14ac:dyDescent="0.2">
      <c r="A283" s="50">
        <f t="shared" si="4"/>
        <v>44843</v>
      </c>
      <c r="B283" s="53">
        <v>20530</v>
      </c>
      <c r="C283" s="53">
        <v>760.59</v>
      </c>
    </row>
    <row r="284" spans="1:3" x14ac:dyDescent="0.2">
      <c r="A284" s="50">
        <f t="shared" si="4"/>
        <v>44844</v>
      </c>
      <c r="B284" s="53">
        <v>19402.899999999998</v>
      </c>
      <c r="C284" s="53">
        <v>778.12000000000012</v>
      </c>
    </row>
    <row r="285" spans="1:3" x14ac:dyDescent="0.2">
      <c r="A285" s="50">
        <f t="shared" si="4"/>
        <v>44845</v>
      </c>
      <c r="B285" s="53">
        <v>21200.260000000002</v>
      </c>
      <c r="C285" s="53">
        <v>768.41000000000008</v>
      </c>
    </row>
    <row r="286" spans="1:3" x14ac:dyDescent="0.2">
      <c r="A286" s="50">
        <f t="shared" si="4"/>
        <v>44846</v>
      </c>
      <c r="B286" s="53">
        <v>18812.599999999999</v>
      </c>
      <c r="C286" s="53">
        <v>636.77</v>
      </c>
    </row>
    <row r="287" spans="1:3" x14ac:dyDescent="0.2">
      <c r="A287" s="50">
        <f t="shared" si="4"/>
        <v>44847</v>
      </c>
      <c r="B287" s="53">
        <v>18833</v>
      </c>
      <c r="C287" s="53">
        <v>540.25</v>
      </c>
    </row>
    <row r="288" spans="1:3" x14ac:dyDescent="0.2">
      <c r="A288" s="50">
        <f t="shared" ref="A288:A351" si="5">A287+1</f>
        <v>44848</v>
      </c>
      <c r="B288" s="53">
        <v>18620.97</v>
      </c>
      <c r="C288" s="53">
        <v>616.11</v>
      </c>
    </row>
    <row r="289" spans="1:3" x14ac:dyDescent="0.2">
      <c r="A289" s="50">
        <f t="shared" si="5"/>
        <v>44849</v>
      </c>
      <c r="B289" s="53">
        <v>16703.29</v>
      </c>
      <c r="C289" s="53">
        <v>572.75999999999988</v>
      </c>
    </row>
    <row r="290" spans="1:3" x14ac:dyDescent="0.2">
      <c r="A290" s="50">
        <f t="shared" si="5"/>
        <v>44850</v>
      </c>
      <c r="B290" s="53">
        <v>16114.039999999997</v>
      </c>
      <c r="C290" s="53">
        <v>624.02</v>
      </c>
    </row>
    <row r="291" spans="1:3" x14ac:dyDescent="0.2">
      <c r="A291" s="50">
        <f t="shared" si="5"/>
        <v>44851</v>
      </c>
      <c r="B291" s="53">
        <v>20372</v>
      </c>
      <c r="C291" s="53">
        <v>686.87</v>
      </c>
    </row>
    <row r="292" spans="1:3" x14ac:dyDescent="0.2">
      <c r="A292" s="50">
        <f t="shared" si="5"/>
        <v>44852</v>
      </c>
      <c r="B292" s="53">
        <v>20137.910000000003</v>
      </c>
      <c r="C292" s="53">
        <v>662.38999999999987</v>
      </c>
    </row>
    <row r="293" spans="1:3" x14ac:dyDescent="0.2">
      <c r="A293" s="50">
        <f t="shared" si="5"/>
        <v>44853</v>
      </c>
      <c r="B293" s="53">
        <v>20673.870000000003</v>
      </c>
      <c r="C293" s="53">
        <v>803.41</v>
      </c>
    </row>
    <row r="294" spans="1:3" x14ac:dyDescent="0.2">
      <c r="A294" s="50">
        <f t="shared" si="5"/>
        <v>44854</v>
      </c>
      <c r="B294" s="53">
        <v>20163.39</v>
      </c>
      <c r="C294" s="53">
        <v>744.5100000000001</v>
      </c>
    </row>
    <row r="295" spans="1:3" x14ac:dyDescent="0.2">
      <c r="A295" s="50">
        <f t="shared" si="5"/>
        <v>44855</v>
      </c>
      <c r="B295" s="53">
        <v>19457</v>
      </c>
      <c r="C295" s="53">
        <v>714.12</v>
      </c>
    </row>
    <row r="296" spans="1:3" x14ac:dyDescent="0.2">
      <c r="A296" s="50">
        <f t="shared" si="5"/>
        <v>44856</v>
      </c>
      <c r="B296" s="53">
        <v>16817.530000000002</v>
      </c>
      <c r="C296" s="53">
        <v>754.05</v>
      </c>
    </row>
    <row r="297" spans="1:3" x14ac:dyDescent="0.2">
      <c r="A297" s="50">
        <f t="shared" si="5"/>
        <v>44857</v>
      </c>
      <c r="B297" s="53">
        <v>16645.099999999999</v>
      </c>
      <c r="C297" s="53">
        <v>641.28000000000009</v>
      </c>
    </row>
    <row r="298" spans="1:3" x14ac:dyDescent="0.2">
      <c r="A298" s="50">
        <f t="shared" si="5"/>
        <v>44858</v>
      </c>
      <c r="B298" s="53">
        <v>20885.769999999997</v>
      </c>
      <c r="C298" s="53">
        <v>805.5200000000001</v>
      </c>
    </row>
    <row r="299" spans="1:3" x14ac:dyDescent="0.2">
      <c r="A299" s="50">
        <f t="shared" si="5"/>
        <v>44859</v>
      </c>
      <c r="B299" s="53">
        <v>21774</v>
      </c>
      <c r="C299" s="53">
        <v>839.66</v>
      </c>
    </row>
    <row r="300" spans="1:3" x14ac:dyDescent="0.2">
      <c r="A300" s="50">
        <f t="shared" si="5"/>
        <v>44860</v>
      </c>
      <c r="B300" s="53">
        <v>24616.749999999996</v>
      </c>
      <c r="C300" s="53">
        <v>960.53000000000009</v>
      </c>
    </row>
    <row r="301" spans="1:3" x14ac:dyDescent="0.2">
      <c r="A301" s="50">
        <f t="shared" si="5"/>
        <v>44861</v>
      </c>
      <c r="B301" s="53">
        <v>24902.030000000002</v>
      </c>
      <c r="C301" s="53">
        <v>943.37999999999988</v>
      </c>
    </row>
    <row r="302" spans="1:3" x14ac:dyDescent="0.2">
      <c r="A302" s="50">
        <f t="shared" si="5"/>
        <v>44862</v>
      </c>
      <c r="B302" s="53">
        <v>24039.83</v>
      </c>
      <c r="C302" s="53">
        <v>1048.8800000000001</v>
      </c>
    </row>
    <row r="303" spans="1:3" x14ac:dyDescent="0.2">
      <c r="A303" s="50">
        <f t="shared" si="5"/>
        <v>44863</v>
      </c>
      <c r="B303" s="53">
        <v>24205</v>
      </c>
      <c r="C303" s="53">
        <v>988.71999999999991</v>
      </c>
    </row>
    <row r="304" spans="1:3" x14ac:dyDescent="0.2">
      <c r="A304" s="50">
        <f t="shared" si="5"/>
        <v>44864</v>
      </c>
      <c r="B304" s="53">
        <v>23056.65</v>
      </c>
      <c r="C304" s="53">
        <v>965.43000000000006</v>
      </c>
    </row>
    <row r="305" spans="1:3" x14ac:dyDescent="0.2">
      <c r="A305" s="50">
        <f t="shared" si="5"/>
        <v>44865</v>
      </c>
      <c r="B305" s="53">
        <v>23659.620000000003</v>
      </c>
      <c r="C305" s="53">
        <v>971.75000000000011</v>
      </c>
    </row>
    <row r="306" spans="1:3" x14ac:dyDescent="0.2">
      <c r="A306" s="50">
        <f t="shared" si="5"/>
        <v>44866</v>
      </c>
      <c r="B306" s="53">
        <v>25822.04</v>
      </c>
      <c r="C306" s="53">
        <v>857.7</v>
      </c>
    </row>
    <row r="307" spans="1:3" x14ac:dyDescent="0.2">
      <c r="A307" s="50">
        <f t="shared" si="5"/>
        <v>44867</v>
      </c>
      <c r="B307" s="53">
        <v>27213</v>
      </c>
      <c r="C307" s="53">
        <v>897.04</v>
      </c>
    </row>
    <row r="308" spans="1:3" x14ac:dyDescent="0.2">
      <c r="A308" s="50">
        <f t="shared" si="5"/>
        <v>44868</v>
      </c>
      <c r="B308" s="53">
        <v>24638.43</v>
      </c>
      <c r="C308" s="53">
        <v>931.68999999999994</v>
      </c>
    </row>
    <row r="309" spans="1:3" x14ac:dyDescent="0.2">
      <c r="A309" s="50">
        <f t="shared" si="5"/>
        <v>44869</v>
      </c>
      <c r="B309" s="53">
        <v>23610.28</v>
      </c>
      <c r="C309" s="53">
        <v>910.19</v>
      </c>
    </row>
    <row r="310" spans="1:3" x14ac:dyDescent="0.2">
      <c r="A310" s="50">
        <f t="shared" si="5"/>
        <v>44870</v>
      </c>
      <c r="B310" s="53">
        <v>23212.670000000002</v>
      </c>
      <c r="C310" s="53">
        <v>882.92</v>
      </c>
    </row>
    <row r="311" spans="1:3" x14ac:dyDescent="0.2">
      <c r="A311" s="50">
        <f t="shared" si="5"/>
        <v>44871</v>
      </c>
      <c r="B311" s="53">
        <v>22765</v>
      </c>
      <c r="C311" s="53">
        <v>668.02</v>
      </c>
    </row>
    <row r="312" spans="1:3" x14ac:dyDescent="0.2">
      <c r="A312" s="50">
        <f t="shared" si="5"/>
        <v>44872</v>
      </c>
      <c r="B312" s="53">
        <v>23652.5</v>
      </c>
      <c r="C312" s="53">
        <v>851.35000000000014</v>
      </c>
    </row>
    <row r="313" spans="1:3" x14ac:dyDescent="0.2">
      <c r="A313" s="50">
        <f t="shared" si="5"/>
        <v>44873</v>
      </c>
      <c r="B313" s="53">
        <v>25141.000000000004</v>
      </c>
      <c r="C313" s="53">
        <v>967.85</v>
      </c>
    </row>
    <row r="314" spans="1:3" x14ac:dyDescent="0.2">
      <c r="A314" s="50">
        <f t="shared" si="5"/>
        <v>44874</v>
      </c>
      <c r="B314" s="53">
        <v>23205.040000000001</v>
      </c>
      <c r="C314" s="53">
        <v>957.89</v>
      </c>
    </row>
    <row r="315" spans="1:3" x14ac:dyDescent="0.2">
      <c r="A315" s="50">
        <f t="shared" si="5"/>
        <v>44875</v>
      </c>
      <c r="B315" s="53">
        <v>23763</v>
      </c>
      <c r="C315" s="53">
        <v>885.72</v>
      </c>
    </row>
    <row r="316" spans="1:3" x14ac:dyDescent="0.2">
      <c r="A316" s="50">
        <f t="shared" si="5"/>
        <v>44876</v>
      </c>
      <c r="B316" s="53">
        <v>24753.81</v>
      </c>
      <c r="C316" s="53">
        <v>867.66</v>
      </c>
    </row>
    <row r="317" spans="1:3" x14ac:dyDescent="0.2">
      <c r="A317" s="50">
        <f t="shared" si="5"/>
        <v>44877</v>
      </c>
      <c r="B317" s="53">
        <v>24769.279999999999</v>
      </c>
      <c r="C317" s="53">
        <v>815.59</v>
      </c>
    </row>
    <row r="318" spans="1:3" x14ac:dyDescent="0.2">
      <c r="A318" s="50">
        <f t="shared" si="5"/>
        <v>44878</v>
      </c>
      <c r="B318" s="53">
        <v>22940.320000000003</v>
      </c>
      <c r="C318" s="53">
        <v>827.7299999999999</v>
      </c>
    </row>
    <row r="319" spans="1:3" x14ac:dyDescent="0.2">
      <c r="A319" s="50">
        <f t="shared" si="5"/>
        <v>44879</v>
      </c>
      <c r="B319" s="53">
        <v>25175</v>
      </c>
      <c r="C319" s="53">
        <v>826.99</v>
      </c>
    </row>
    <row r="320" spans="1:3" x14ac:dyDescent="0.2">
      <c r="A320" s="50">
        <f t="shared" si="5"/>
        <v>44880</v>
      </c>
      <c r="B320" s="53">
        <v>25939.009999999995</v>
      </c>
      <c r="C320" s="53">
        <v>959.43</v>
      </c>
    </row>
    <row r="321" spans="1:3" x14ac:dyDescent="0.2">
      <c r="A321" s="50">
        <f t="shared" si="5"/>
        <v>44881</v>
      </c>
      <c r="B321" s="53">
        <v>26330.9</v>
      </c>
      <c r="C321" s="53">
        <v>965.81999999999994</v>
      </c>
    </row>
    <row r="322" spans="1:3" x14ac:dyDescent="0.2">
      <c r="A322" s="50">
        <f t="shared" si="5"/>
        <v>44882</v>
      </c>
      <c r="B322" s="53">
        <v>26068.400000000001</v>
      </c>
      <c r="C322" s="53">
        <v>901.04</v>
      </c>
    </row>
    <row r="323" spans="1:3" x14ac:dyDescent="0.2">
      <c r="A323" s="50">
        <f t="shared" si="5"/>
        <v>44883</v>
      </c>
      <c r="B323" s="53">
        <v>26300</v>
      </c>
      <c r="C323" s="53">
        <v>763.24</v>
      </c>
    </row>
    <row r="324" spans="1:3" x14ac:dyDescent="0.2">
      <c r="A324" s="50">
        <f t="shared" si="5"/>
        <v>44884</v>
      </c>
      <c r="B324" s="53">
        <v>23945.279999999999</v>
      </c>
      <c r="C324" s="53">
        <v>791.69</v>
      </c>
    </row>
    <row r="325" spans="1:3" x14ac:dyDescent="0.2">
      <c r="A325" s="50">
        <f t="shared" si="5"/>
        <v>44885</v>
      </c>
      <c r="B325" s="53">
        <v>24844.350000000006</v>
      </c>
      <c r="C325" s="53">
        <v>827.74</v>
      </c>
    </row>
    <row r="326" spans="1:3" x14ac:dyDescent="0.2">
      <c r="A326" s="50">
        <f t="shared" si="5"/>
        <v>44886</v>
      </c>
      <c r="B326" s="53">
        <v>25530.33</v>
      </c>
      <c r="C326" s="53">
        <v>851.93</v>
      </c>
    </row>
    <row r="327" spans="1:3" x14ac:dyDescent="0.2">
      <c r="A327" s="50">
        <f t="shared" si="5"/>
        <v>44887</v>
      </c>
      <c r="B327" s="53">
        <v>27096.47</v>
      </c>
      <c r="C327" s="53">
        <v>934.83</v>
      </c>
    </row>
    <row r="328" spans="1:3" x14ac:dyDescent="0.2">
      <c r="A328" s="50">
        <f t="shared" si="5"/>
        <v>44888</v>
      </c>
      <c r="B328" s="53">
        <v>25711.109999999997</v>
      </c>
      <c r="C328" s="53">
        <v>918.71</v>
      </c>
    </row>
    <row r="329" spans="1:3" x14ac:dyDescent="0.2">
      <c r="A329" s="50">
        <f t="shared" si="5"/>
        <v>44889</v>
      </c>
      <c r="B329" s="53">
        <v>26736.11</v>
      </c>
      <c r="C329" s="53">
        <v>953.06000000000006</v>
      </c>
    </row>
    <row r="330" spans="1:3" x14ac:dyDescent="0.2">
      <c r="A330" s="50">
        <f t="shared" si="5"/>
        <v>44890</v>
      </c>
      <c r="B330" s="53">
        <v>26436.869999999995</v>
      </c>
      <c r="C330" s="53">
        <v>899.85</v>
      </c>
    </row>
    <row r="331" spans="1:3" x14ac:dyDescent="0.2">
      <c r="A331" s="50">
        <f t="shared" si="5"/>
        <v>44891</v>
      </c>
      <c r="B331" s="53">
        <v>25023.98</v>
      </c>
      <c r="C331" s="53">
        <v>824.5200000000001</v>
      </c>
    </row>
    <row r="332" spans="1:3" x14ac:dyDescent="0.2">
      <c r="A332" s="50">
        <f t="shared" si="5"/>
        <v>44892</v>
      </c>
      <c r="B332" s="53">
        <v>21975.8</v>
      </c>
      <c r="C332" s="53">
        <v>706.60000000000014</v>
      </c>
    </row>
    <row r="333" spans="1:3" x14ac:dyDescent="0.2">
      <c r="A333" s="50">
        <f t="shared" si="5"/>
        <v>44893</v>
      </c>
      <c r="B333" s="53">
        <v>26412.22</v>
      </c>
      <c r="C333" s="53">
        <v>899.53</v>
      </c>
    </row>
    <row r="334" spans="1:3" x14ac:dyDescent="0.2">
      <c r="A334" s="50">
        <f t="shared" si="5"/>
        <v>44894</v>
      </c>
      <c r="B334" s="53">
        <v>27743.969999999998</v>
      </c>
      <c r="C334" s="53">
        <v>926.24</v>
      </c>
    </row>
    <row r="335" spans="1:3" x14ac:dyDescent="0.2">
      <c r="A335" s="50">
        <f t="shared" si="5"/>
        <v>44895</v>
      </c>
      <c r="B335" s="53">
        <v>29146.92</v>
      </c>
      <c r="C335" s="53">
        <v>938.23000000000013</v>
      </c>
    </row>
    <row r="336" spans="1:3" x14ac:dyDescent="0.2">
      <c r="A336" s="50">
        <f t="shared" si="5"/>
        <v>44896</v>
      </c>
      <c r="B336" s="53">
        <v>26770.68</v>
      </c>
      <c r="C336" s="53">
        <v>919.31000000000017</v>
      </c>
    </row>
    <row r="337" spans="1:3" x14ac:dyDescent="0.2">
      <c r="A337" s="50">
        <f t="shared" si="5"/>
        <v>44897</v>
      </c>
      <c r="B337" s="53">
        <v>31193.680000000004</v>
      </c>
      <c r="C337" s="53">
        <v>965.06000000000006</v>
      </c>
    </row>
    <row r="338" spans="1:3" x14ac:dyDescent="0.2">
      <c r="A338" s="50">
        <f t="shared" si="5"/>
        <v>44898</v>
      </c>
      <c r="B338" s="53">
        <v>31551.14</v>
      </c>
      <c r="C338" s="53">
        <v>884.15000000000009</v>
      </c>
    </row>
    <row r="339" spans="1:3" x14ac:dyDescent="0.2">
      <c r="A339" s="50">
        <f t="shared" si="5"/>
        <v>44899</v>
      </c>
      <c r="B339" s="53">
        <v>30450.760000000002</v>
      </c>
      <c r="C339" s="53">
        <v>914.56</v>
      </c>
    </row>
    <row r="340" spans="1:3" x14ac:dyDescent="0.2">
      <c r="A340" s="50">
        <f t="shared" si="5"/>
        <v>44900</v>
      </c>
      <c r="B340" s="53">
        <v>30118.030000000002</v>
      </c>
      <c r="C340" s="53">
        <v>950.96999999999991</v>
      </c>
    </row>
    <row r="341" spans="1:3" x14ac:dyDescent="0.2">
      <c r="A341" s="50">
        <f t="shared" si="5"/>
        <v>44901</v>
      </c>
      <c r="B341" s="53">
        <v>32272.160000000003</v>
      </c>
      <c r="C341" s="53">
        <v>876.4799999999999</v>
      </c>
    </row>
    <row r="342" spans="1:3" x14ac:dyDescent="0.2">
      <c r="A342" s="50">
        <f t="shared" si="5"/>
        <v>44902</v>
      </c>
      <c r="B342" s="53">
        <v>31588.969999999998</v>
      </c>
      <c r="C342" s="53">
        <v>891.96</v>
      </c>
    </row>
    <row r="343" spans="1:3" x14ac:dyDescent="0.2">
      <c r="A343" s="50">
        <f t="shared" si="5"/>
        <v>44903</v>
      </c>
      <c r="B343" s="53">
        <v>30436.57</v>
      </c>
      <c r="C343" s="53">
        <v>803.45999999999992</v>
      </c>
    </row>
    <row r="344" spans="1:3" x14ac:dyDescent="0.2">
      <c r="A344" s="50">
        <f t="shared" si="5"/>
        <v>44904</v>
      </c>
      <c r="B344" s="53">
        <v>28787.579999999998</v>
      </c>
      <c r="C344" s="53">
        <v>789.25</v>
      </c>
    </row>
    <row r="345" spans="1:3" x14ac:dyDescent="0.2">
      <c r="A345" s="50">
        <f t="shared" si="5"/>
        <v>44905</v>
      </c>
      <c r="B345" s="53">
        <v>27297.870000000003</v>
      </c>
      <c r="C345" s="53">
        <v>756.8900000000001</v>
      </c>
    </row>
    <row r="346" spans="1:3" x14ac:dyDescent="0.2">
      <c r="A346" s="50">
        <f t="shared" si="5"/>
        <v>44906</v>
      </c>
      <c r="B346" s="53">
        <v>27044.600000000002</v>
      </c>
      <c r="C346" s="53">
        <v>725.37</v>
      </c>
    </row>
    <row r="347" spans="1:3" x14ac:dyDescent="0.2">
      <c r="A347" s="50">
        <f t="shared" si="5"/>
        <v>44907</v>
      </c>
      <c r="B347" s="53">
        <v>27304.94</v>
      </c>
      <c r="C347" s="53">
        <v>861.83</v>
      </c>
    </row>
    <row r="348" spans="1:3" x14ac:dyDescent="0.2">
      <c r="A348" s="50">
        <f t="shared" si="5"/>
        <v>44908</v>
      </c>
      <c r="B348" s="53">
        <v>28390.799999999996</v>
      </c>
      <c r="C348" s="53">
        <v>820.05</v>
      </c>
    </row>
    <row r="349" spans="1:3" x14ac:dyDescent="0.2">
      <c r="A349" s="50">
        <f t="shared" si="5"/>
        <v>44909</v>
      </c>
      <c r="B349" s="53">
        <v>28682.489999999998</v>
      </c>
      <c r="C349" s="53">
        <v>826.66000000000008</v>
      </c>
    </row>
    <row r="350" spans="1:3" x14ac:dyDescent="0.2">
      <c r="A350" s="50">
        <f t="shared" si="5"/>
        <v>44910</v>
      </c>
      <c r="B350" s="53">
        <v>29931.019999999997</v>
      </c>
      <c r="C350" s="53">
        <v>794.75000000000011</v>
      </c>
    </row>
    <row r="351" spans="1:3" x14ac:dyDescent="0.2">
      <c r="A351" s="50">
        <f t="shared" si="5"/>
        <v>44911</v>
      </c>
      <c r="B351" s="53">
        <v>28542</v>
      </c>
      <c r="C351" s="53">
        <v>822.76</v>
      </c>
    </row>
    <row r="352" spans="1:3" x14ac:dyDescent="0.2">
      <c r="A352" s="50">
        <f t="shared" ref="A352:A366" si="6">A351+1</f>
        <v>44912</v>
      </c>
      <c r="B352" s="53">
        <v>24587.299999999996</v>
      </c>
      <c r="C352" s="53">
        <v>818.14</v>
      </c>
    </row>
    <row r="353" spans="1:3" x14ac:dyDescent="0.2">
      <c r="A353" s="50">
        <f t="shared" si="6"/>
        <v>44913</v>
      </c>
      <c r="B353" s="53">
        <v>25868.5</v>
      </c>
      <c r="C353" s="53">
        <v>871.5300000000002</v>
      </c>
    </row>
    <row r="354" spans="1:3" x14ac:dyDescent="0.2">
      <c r="A354" s="50">
        <f t="shared" si="6"/>
        <v>44914</v>
      </c>
      <c r="B354" s="53">
        <v>26794.78</v>
      </c>
      <c r="C354" s="53">
        <v>911.29</v>
      </c>
    </row>
    <row r="355" spans="1:3" x14ac:dyDescent="0.2">
      <c r="A355" s="50">
        <f t="shared" si="6"/>
        <v>44915</v>
      </c>
      <c r="B355" s="53">
        <v>28704</v>
      </c>
      <c r="C355" s="53">
        <v>850.12</v>
      </c>
    </row>
    <row r="356" spans="1:3" x14ac:dyDescent="0.2">
      <c r="A356" s="50">
        <f t="shared" si="6"/>
        <v>44916</v>
      </c>
      <c r="B356" s="53">
        <v>29845.03</v>
      </c>
      <c r="C356" s="53">
        <v>845.65</v>
      </c>
    </row>
    <row r="357" spans="1:3" x14ac:dyDescent="0.2">
      <c r="A357" s="50">
        <f t="shared" si="6"/>
        <v>44917</v>
      </c>
      <c r="B357" s="53">
        <v>29979.980000000003</v>
      </c>
      <c r="C357" s="53">
        <v>866.69999999999993</v>
      </c>
    </row>
    <row r="358" spans="1:3" x14ac:dyDescent="0.2">
      <c r="A358" s="50">
        <f t="shared" si="6"/>
        <v>44918</v>
      </c>
      <c r="B358" s="53">
        <v>27547.739999999998</v>
      </c>
      <c r="C358" s="53">
        <v>831.88</v>
      </c>
    </row>
    <row r="359" spans="1:3" x14ac:dyDescent="0.2">
      <c r="A359" s="50">
        <f t="shared" si="6"/>
        <v>44919</v>
      </c>
      <c r="B359" s="53">
        <v>25898</v>
      </c>
      <c r="C359" s="53">
        <v>796.03999999999985</v>
      </c>
    </row>
    <row r="360" spans="1:3" x14ac:dyDescent="0.2">
      <c r="A360" s="50">
        <f t="shared" si="6"/>
        <v>44920</v>
      </c>
      <c r="B360" s="53">
        <v>22530.74</v>
      </c>
      <c r="C360" s="53">
        <v>617.39</v>
      </c>
    </row>
    <row r="361" spans="1:3" x14ac:dyDescent="0.2">
      <c r="A361" s="50">
        <f t="shared" si="6"/>
        <v>44921</v>
      </c>
      <c r="B361" s="53">
        <v>26772.18</v>
      </c>
      <c r="C361" s="53">
        <v>833.31999999999994</v>
      </c>
    </row>
    <row r="362" spans="1:3" x14ac:dyDescent="0.2">
      <c r="A362" s="50">
        <f t="shared" si="6"/>
        <v>44922</v>
      </c>
      <c r="B362" s="53">
        <v>28768.679999999997</v>
      </c>
      <c r="C362" s="53">
        <v>812.82999999999993</v>
      </c>
    </row>
    <row r="363" spans="1:3" x14ac:dyDescent="0.2">
      <c r="A363" s="50">
        <f t="shared" si="6"/>
        <v>44923</v>
      </c>
      <c r="B363" s="53">
        <v>25925</v>
      </c>
      <c r="C363" s="53">
        <v>566.93999999999994</v>
      </c>
    </row>
    <row r="364" spans="1:3" x14ac:dyDescent="0.2">
      <c r="A364" s="50">
        <f t="shared" si="6"/>
        <v>44924</v>
      </c>
      <c r="B364" s="53">
        <v>20278.129999999997</v>
      </c>
      <c r="C364" s="53">
        <v>138.16</v>
      </c>
    </row>
    <row r="365" spans="1:3" x14ac:dyDescent="0.2">
      <c r="A365" s="50">
        <f>A364+1</f>
        <v>44925</v>
      </c>
      <c r="B365" s="53">
        <v>10258.869999999999</v>
      </c>
      <c r="C365" s="53">
        <v>0</v>
      </c>
    </row>
    <row r="366" spans="1:3" x14ac:dyDescent="0.2">
      <c r="A366" s="50">
        <f t="shared" si="6"/>
        <v>44926</v>
      </c>
      <c r="B366" s="53">
        <v>3522.0299999999997</v>
      </c>
      <c r="C366" s="53">
        <v>0</v>
      </c>
    </row>
  </sheetData>
  <conditionalFormatting sqref="A31:A346">
    <cfRule type="expression" dxfId="9" priority="3" stopIfTrue="1">
      <formula>WEEKDAY(A31:A51,2)&gt;5</formula>
    </cfRule>
  </conditionalFormatting>
  <conditionalFormatting sqref="A2:A30">
    <cfRule type="expression" dxfId="8" priority="1" stopIfTrue="1">
      <formula>WEEKDAY(A2:A22,2)&gt;5</formula>
    </cfRule>
  </conditionalFormatting>
  <conditionalFormatting sqref="A347">
    <cfRule type="expression" dxfId="7" priority="6" stopIfTrue="1">
      <formula>WEEKDAY(A347:A366,2)&gt;5</formula>
    </cfRule>
  </conditionalFormatting>
  <conditionalFormatting sqref="A350:A366">
    <cfRule type="expression" dxfId="6" priority="8" stopIfTrue="1">
      <formula>WEEKDAY(A350:A367,2)&gt;5</formula>
    </cfRule>
  </conditionalFormatting>
  <conditionalFormatting sqref="A348:A349">
    <cfRule type="expression" dxfId="5" priority="9" stopIfTrue="1">
      <formula>WEEKDAY(A348:A366,2)&gt;5</formula>
    </cfRule>
  </conditionalFormatting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366"/>
  <sheetViews>
    <sheetView topLeftCell="A349" zoomScaleNormal="100" workbookViewId="0">
      <selection activeCell="B2" sqref="B2:B366"/>
    </sheetView>
  </sheetViews>
  <sheetFormatPr defaultRowHeight="12.75" x14ac:dyDescent="0.2"/>
  <cols>
    <col min="1" max="1" width="9.140625" style="44"/>
    <col min="2" max="2" width="13.85546875" style="62" customWidth="1"/>
    <col min="3" max="3" width="13.85546875" style="44" customWidth="1"/>
    <col min="4" max="250" width="9.140625" style="44"/>
    <col min="251" max="251" width="10.85546875" style="44" customWidth="1"/>
    <col min="252" max="252" width="10.28515625" style="44" customWidth="1"/>
    <col min="253" max="253" width="9.85546875" style="44" customWidth="1"/>
    <col min="254" max="254" width="10.5703125" style="44" customWidth="1"/>
    <col min="255" max="255" width="10" style="44" customWidth="1"/>
    <col min="256" max="256" width="9.85546875" style="44" customWidth="1"/>
    <col min="257" max="257" width="10.140625" style="44" customWidth="1"/>
    <col min="258" max="258" width="13.85546875" style="44" customWidth="1"/>
    <col min="259" max="259" width="12.5703125" style="44" customWidth="1"/>
    <col min="260" max="506" width="9.140625" style="44"/>
    <col min="507" max="507" width="10.85546875" style="44" customWidth="1"/>
    <col min="508" max="508" width="10.28515625" style="44" customWidth="1"/>
    <col min="509" max="509" width="9.85546875" style="44" customWidth="1"/>
    <col min="510" max="510" width="10.5703125" style="44" customWidth="1"/>
    <col min="511" max="511" width="10" style="44" customWidth="1"/>
    <col min="512" max="512" width="9.85546875" style="44" customWidth="1"/>
    <col min="513" max="513" width="10.140625" style="44" customWidth="1"/>
    <col min="514" max="514" width="13.85546875" style="44" customWidth="1"/>
    <col min="515" max="515" width="12.5703125" style="44" customWidth="1"/>
    <col min="516" max="762" width="9.140625" style="44"/>
    <col min="763" max="763" width="10.85546875" style="44" customWidth="1"/>
    <col min="764" max="764" width="10.28515625" style="44" customWidth="1"/>
    <col min="765" max="765" width="9.85546875" style="44" customWidth="1"/>
    <col min="766" max="766" width="10.5703125" style="44" customWidth="1"/>
    <col min="767" max="767" width="10" style="44" customWidth="1"/>
    <col min="768" max="768" width="9.85546875" style="44" customWidth="1"/>
    <col min="769" max="769" width="10.140625" style="44" customWidth="1"/>
    <col min="770" max="770" width="13.85546875" style="44" customWidth="1"/>
    <col min="771" max="771" width="12.5703125" style="44" customWidth="1"/>
    <col min="772" max="1018" width="9.140625" style="44"/>
    <col min="1019" max="1019" width="10.85546875" style="44" customWidth="1"/>
    <col min="1020" max="1020" width="10.28515625" style="44" customWidth="1"/>
    <col min="1021" max="1021" width="9.85546875" style="44" customWidth="1"/>
    <col min="1022" max="1022" width="10.5703125" style="44" customWidth="1"/>
    <col min="1023" max="1023" width="10" style="44" customWidth="1"/>
    <col min="1024" max="1024" width="9.85546875" style="44" customWidth="1"/>
    <col min="1025" max="1025" width="10.140625" style="44" customWidth="1"/>
    <col min="1026" max="1026" width="13.85546875" style="44" customWidth="1"/>
    <col min="1027" max="1027" width="12.5703125" style="44" customWidth="1"/>
    <col min="1028" max="1274" width="9.140625" style="44"/>
    <col min="1275" max="1275" width="10.85546875" style="44" customWidth="1"/>
    <col min="1276" max="1276" width="10.28515625" style="44" customWidth="1"/>
    <col min="1277" max="1277" width="9.85546875" style="44" customWidth="1"/>
    <col min="1278" max="1278" width="10.5703125" style="44" customWidth="1"/>
    <col min="1279" max="1279" width="10" style="44" customWidth="1"/>
    <col min="1280" max="1280" width="9.85546875" style="44" customWidth="1"/>
    <col min="1281" max="1281" width="10.140625" style="44" customWidth="1"/>
    <col min="1282" max="1282" width="13.85546875" style="44" customWidth="1"/>
    <col min="1283" max="1283" width="12.5703125" style="44" customWidth="1"/>
    <col min="1284" max="1530" width="9.140625" style="44"/>
    <col min="1531" max="1531" width="10.85546875" style="44" customWidth="1"/>
    <col min="1532" max="1532" width="10.28515625" style="44" customWidth="1"/>
    <col min="1533" max="1533" width="9.85546875" style="44" customWidth="1"/>
    <col min="1534" max="1534" width="10.5703125" style="44" customWidth="1"/>
    <col min="1535" max="1535" width="10" style="44" customWidth="1"/>
    <col min="1536" max="1536" width="9.85546875" style="44" customWidth="1"/>
    <col min="1537" max="1537" width="10.140625" style="44" customWidth="1"/>
    <col min="1538" max="1538" width="13.85546875" style="44" customWidth="1"/>
    <col min="1539" max="1539" width="12.5703125" style="44" customWidth="1"/>
    <col min="1540" max="1786" width="9.140625" style="44"/>
    <col min="1787" max="1787" width="10.85546875" style="44" customWidth="1"/>
    <col min="1788" max="1788" width="10.28515625" style="44" customWidth="1"/>
    <col min="1789" max="1789" width="9.85546875" style="44" customWidth="1"/>
    <col min="1790" max="1790" width="10.5703125" style="44" customWidth="1"/>
    <col min="1791" max="1791" width="10" style="44" customWidth="1"/>
    <col min="1792" max="1792" width="9.85546875" style="44" customWidth="1"/>
    <col min="1793" max="1793" width="10.140625" style="44" customWidth="1"/>
    <col min="1794" max="1794" width="13.85546875" style="44" customWidth="1"/>
    <col min="1795" max="1795" width="12.5703125" style="44" customWidth="1"/>
    <col min="1796" max="2042" width="9.140625" style="44"/>
    <col min="2043" max="2043" width="10.85546875" style="44" customWidth="1"/>
    <col min="2044" max="2044" width="10.28515625" style="44" customWidth="1"/>
    <col min="2045" max="2045" width="9.85546875" style="44" customWidth="1"/>
    <col min="2046" max="2046" width="10.5703125" style="44" customWidth="1"/>
    <col min="2047" max="2047" width="10" style="44" customWidth="1"/>
    <col min="2048" max="2048" width="9.85546875" style="44" customWidth="1"/>
    <col min="2049" max="2049" width="10.140625" style="44" customWidth="1"/>
    <col min="2050" max="2050" width="13.85546875" style="44" customWidth="1"/>
    <col min="2051" max="2051" width="12.5703125" style="44" customWidth="1"/>
    <col min="2052" max="2298" width="9.140625" style="44"/>
    <col min="2299" max="2299" width="10.85546875" style="44" customWidth="1"/>
    <col min="2300" max="2300" width="10.28515625" style="44" customWidth="1"/>
    <col min="2301" max="2301" width="9.85546875" style="44" customWidth="1"/>
    <col min="2302" max="2302" width="10.5703125" style="44" customWidth="1"/>
    <col min="2303" max="2303" width="10" style="44" customWidth="1"/>
    <col min="2304" max="2304" width="9.85546875" style="44" customWidth="1"/>
    <col min="2305" max="2305" width="10.140625" style="44" customWidth="1"/>
    <col min="2306" max="2306" width="13.85546875" style="44" customWidth="1"/>
    <col min="2307" max="2307" width="12.5703125" style="44" customWidth="1"/>
    <col min="2308" max="2554" width="9.140625" style="44"/>
    <col min="2555" max="2555" width="10.85546875" style="44" customWidth="1"/>
    <col min="2556" max="2556" width="10.28515625" style="44" customWidth="1"/>
    <col min="2557" max="2557" width="9.85546875" style="44" customWidth="1"/>
    <col min="2558" max="2558" width="10.5703125" style="44" customWidth="1"/>
    <col min="2559" max="2559" width="10" style="44" customWidth="1"/>
    <col min="2560" max="2560" width="9.85546875" style="44" customWidth="1"/>
    <col min="2561" max="2561" width="10.140625" style="44" customWidth="1"/>
    <col min="2562" max="2562" width="13.85546875" style="44" customWidth="1"/>
    <col min="2563" max="2563" width="12.5703125" style="44" customWidth="1"/>
    <col min="2564" max="2810" width="9.140625" style="44"/>
    <col min="2811" max="2811" width="10.85546875" style="44" customWidth="1"/>
    <col min="2812" max="2812" width="10.28515625" style="44" customWidth="1"/>
    <col min="2813" max="2813" width="9.85546875" style="44" customWidth="1"/>
    <col min="2814" max="2814" width="10.5703125" style="44" customWidth="1"/>
    <col min="2815" max="2815" width="10" style="44" customWidth="1"/>
    <col min="2816" max="2816" width="9.85546875" style="44" customWidth="1"/>
    <col min="2817" max="2817" width="10.140625" style="44" customWidth="1"/>
    <col min="2818" max="2818" width="13.85546875" style="44" customWidth="1"/>
    <col min="2819" max="2819" width="12.5703125" style="44" customWidth="1"/>
    <col min="2820" max="3066" width="9.140625" style="44"/>
    <col min="3067" max="3067" width="10.85546875" style="44" customWidth="1"/>
    <col min="3068" max="3068" width="10.28515625" style="44" customWidth="1"/>
    <col min="3069" max="3069" width="9.85546875" style="44" customWidth="1"/>
    <col min="3070" max="3070" width="10.5703125" style="44" customWidth="1"/>
    <col min="3071" max="3071" width="10" style="44" customWidth="1"/>
    <col min="3072" max="3072" width="9.85546875" style="44" customWidth="1"/>
    <col min="3073" max="3073" width="10.140625" style="44" customWidth="1"/>
    <col min="3074" max="3074" width="13.85546875" style="44" customWidth="1"/>
    <col min="3075" max="3075" width="12.5703125" style="44" customWidth="1"/>
    <col min="3076" max="3322" width="9.140625" style="44"/>
    <col min="3323" max="3323" width="10.85546875" style="44" customWidth="1"/>
    <col min="3324" max="3324" width="10.28515625" style="44" customWidth="1"/>
    <col min="3325" max="3325" width="9.85546875" style="44" customWidth="1"/>
    <col min="3326" max="3326" width="10.5703125" style="44" customWidth="1"/>
    <col min="3327" max="3327" width="10" style="44" customWidth="1"/>
    <col min="3328" max="3328" width="9.85546875" style="44" customWidth="1"/>
    <col min="3329" max="3329" width="10.140625" style="44" customWidth="1"/>
    <col min="3330" max="3330" width="13.85546875" style="44" customWidth="1"/>
    <col min="3331" max="3331" width="12.5703125" style="44" customWidth="1"/>
    <col min="3332" max="3578" width="9.140625" style="44"/>
    <col min="3579" max="3579" width="10.85546875" style="44" customWidth="1"/>
    <col min="3580" max="3580" width="10.28515625" style="44" customWidth="1"/>
    <col min="3581" max="3581" width="9.85546875" style="44" customWidth="1"/>
    <col min="3582" max="3582" width="10.5703125" style="44" customWidth="1"/>
    <col min="3583" max="3583" width="10" style="44" customWidth="1"/>
    <col min="3584" max="3584" width="9.85546875" style="44" customWidth="1"/>
    <col min="3585" max="3585" width="10.140625" style="44" customWidth="1"/>
    <col min="3586" max="3586" width="13.85546875" style="44" customWidth="1"/>
    <col min="3587" max="3587" width="12.5703125" style="44" customWidth="1"/>
    <col min="3588" max="3834" width="9.140625" style="44"/>
    <col min="3835" max="3835" width="10.85546875" style="44" customWidth="1"/>
    <col min="3836" max="3836" width="10.28515625" style="44" customWidth="1"/>
    <col min="3837" max="3837" width="9.85546875" style="44" customWidth="1"/>
    <col min="3838" max="3838" width="10.5703125" style="44" customWidth="1"/>
    <col min="3839" max="3839" width="10" style="44" customWidth="1"/>
    <col min="3840" max="3840" width="9.85546875" style="44" customWidth="1"/>
    <col min="3841" max="3841" width="10.140625" style="44" customWidth="1"/>
    <col min="3842" max="3842" width="13.85546875" style="44" customWidth="1"/>
    <col min="3843" max="3843" width="12.5703125" style="44" customWidth="1"/>
    <col min="3844" max="4090" width="9.140625" style="44"/>
    <col min="4091" max="4091" width="10.85546875" style="44" customWidth="1"/>
    <col min="4092" max="4092" width="10.28515625" style="44" customWidth="1"/>
    <col min="4093" max="4093" width="9.85546875" style="44" customWidth="1"/>
    <col min="4094" max="4094" width="10.5703125" style="44" customWidth="1"/>
    <col min="4095" max="4095" width="10" style="44" customWidth="1"/>
    <col min="4096" max="4096" width="9.85546875" style="44" customWidth="1"/>
    <col min="4097" max="4097" width="10.140625" style="44" customWidth="1"/>
    <col min="4098" max="4098" width="13.85546875" style="44" customWidth="1"/>
    <col min="4099" max="4099" width="12.5703125" style="44" customWidth="1"/>
    <col min="4100" max="4346" width="9.140625" style="44"/>
    <col min="4347" max="4347" width="10.85546875" style="44" customWidth="1"/>
    <col min="4348" max="4348" width="10.28515625" style="44" customWidth="1"/>
    <col min="4349" max="4349" width="9.85546875" style="44" customWidth="1"/>
    <col min="4350" max="4350" width="10.5703125" style="44" customWidth="1"/>
    <col min="4351" max="4351" width="10" style="44" customWidth="1"/>
    <col min="4352" max="4352" width="9.85546875" style="44" customWidth="1"/>
    <col min="4353" max="4353" width="10.140625" style="44" customWidth="1"/>
    <col min="4354" max="4354" width="13.85546875" style="44" customWidth="1"/>
    <col min="4355" max="4355" width="12.5703125" style="44" customWidth="1"/>
    <col min="4356" max="4602" width="9.140625" style="44"/>
    <col min="4603" max="4603" width="10.85546875" style="44" customWidth="1"/>
    <col min="4604" max="4604" width="10.28515625" style="44" customWidth="1"/>
    <col min="4605" max="4605" width="9.85546875" style="44" customWidth="1"/>
    <col min="4606" max="4606" width="10.5703125" style="44" customWidth="1"/>
    <col min="4607" max="4607" width="10" style="44" customWidth="1"/>
    <col min="4608" max="4608" width="9.85546875" style="44" customWidth="1"/>
    <col min="4609" max="4609" width="10.140625" style="44" customWidth="1"/>
    <col min="4610" max="4610" width="13.85546875" style="44" customWidth="1"/>
    <col min="4611" max="4611" width="12.5703125" style="44" customWidth="1"/>
    <col min="4612" max="4858" width="9.140625" style="44"/>
    <col min="4859" max="4859" width="10.85546875" style="44" customWidth="1"/>
    <col min="4860" max="4860" width="10.28515625" style="44" customWidth="1"/>
    <col min="4861" max="4861" width="9.85546875" style="44" customWidth="1"/>
    <col min="4862" max="4862" width="10.5703125" style="44" customWidth="1"/>
    <col min="4863" max="4863" width="10" style="44" customWidth="1"/>
    <col min="4864" max="4864" width="9.85546875" style="44" customWidth="1"/>
    <col min="4865" max="4865" width="10.140625" style="44" customWidth="1"/>
    <col min="4866" max="4866" width="13.85546875" style="44" customWidth="1"/>
    <col min="4867" max="4867" width="12.5703125" style="44" customWidth="1"/>
    <col min="4868" max="5114" width="9.140625" style="44"/>
    <col min="5115" max="5115" width="10.85546875" style="44" customWidth="1"/>
    <col min="5116" max="5116" width="10.28515625" style="44" customWidth="1"/>
    <col min="5117" max="5117" width="9.85546875" style="44" customWidth="1"/>
    <col min="5118" max="5118" width="10.5703125" style="44" customWidth="1"/>
    <col min="5119" max="5119" width="10" style="44" customWidth="1"/>
    <col min="5120" max="5120" width="9.85546875" style="44" customWidth="1"/>
    <col min="5121" max="5121" width="10.140625" style="44" customWidth="1"/>
    <col min="5122" max="5122" width="13.85546875" style="44" customWidth="1"/>
    <col min="5123" max="5123" width="12.5703125" style="44" customWidth="1"/>
    <col min="5124" max="5370" width="9.140625" style="44"/>
    <col min="5371" max="5371" width="10.85546875" style="44" customWidth="1"/>
    <col min="5372" max="5372" width="10.28515625" style="44" customWidth="1"/>
    <col min="5373" max="5373" width="9.85546875" style="44" customWidth="1"/>
    <col min="5374" max="5374" width="10.5703125" style="44" customWidth="1"/>
    <col min="5375" max="5375" width="10" style="44" customWidth="1"/>
    <col min="5376" max="5376" width="9.85546875" style="44" customWidth="1"/>
    <col min="5377" max="5377" width="10.140625" style="44" customWidth="1"/>
    <col min="5378" max="5378" width="13.85546875" style="44" customWidth="1"/>
    <col min="5379" max="5379" width="12.5703125" style="44" customWidth="1"/>
    <col min="5380" max="5626" width="9.140625" style="44"/>
    <col min="5627" max="5627" width="10.85546875" style="44" customWidth="1"/>
    <col min="5628" max="5628" width="10.28515625" style="44" customWidth="1"/>
    <col min="5629" max="5629" width="9.85546875" style="44" customWidth="1"/>
    <col min="5630" max="5630" width="10.5703125" style="44" customWidth="1"/>
    <col min="5631" max="5631" width="10" style="44" customWidth="1"/>
    <col min="5632" max="5632" width="9.85546875" style="44" customWidth="1"/>
    <col min="5633" max="5633" width="10.140625" style="44" customWidth="1"/>
    <col min="5634" max="5634" width="13.85546875" style="44" customWidth="1"/>
    <col min="5635" max="5635" width="12.5703125" style="44" customWidth="1"/>
    <col min="5636" max="5882" width="9.140625" style="44"/>
    <col min="5883" max="5883" width="10.85546875" style="44" customWidth="1"/>
    <col min="5884" max="5884" width="10.28515625" style="44" customWidth="1"/>
    <col min="5885" max="5885" width="9.85546875" style="44" customWidth="1"/>
    <col min="5886" max="5886" width="10.5703125" style="44" customWidth="1"/>
    <col min="5887" max="5887" width="10" style="44" customWidth="1"/>
    <col min="5888" max="5888" width="9.85546875" style="44" customWidth="1"/>
    <col min="5889" max="5889" width="10.140625" style="44" customWidth="1"/>
    <col min="5890" max="5890" width="13.85546875" style="44" customWidth="1"/>
    <col min="5891" max="5891" width="12.5703125" style="44" customWidth="1"/>
    <col min="5892" max="6138" width="9.140625" style="44"/>
    <col min="6139" max="6139" width="10.85546875" style="44" customWidth="1"/>
    <col min="6140" max="6140" width="10.28515625" style="44" customWidth="1"/>
    <col min="6141" max="6141" width="9.85546875" style="44" customWidth="1"/>
    <col min="6142" max="6142" width="10.5703125" style="44" customWidth="1"/>
    <col min="6143" max="6143" width="10" style="44" customWidth="1"/>
    <col min="6144" max="6144" width="9.85546875" style="44" customWidth="1"/>
    <col min="6145" max="6145" width="10.140625" style="44" customWidth="1"/>
    <col min="6146" max="6146" width="13.85546875" style="44" customWidth="1"/>
    <col min="6147" max="6147" width="12.5703125" style="44" customWidth="1"/>
    <col min="6148" max="6394" width="9.140625" style="44"/>
    <col min="6395" max="6395" width="10.85546875" style="44" customWidth="1"/>
    <col min="6396" max="6396" width="10.28515625" style="44" customWidth="1"/>
    <col min="6397" max="6397" width="9.85546875" style="44" customWidth="1"/>
    <col min="6398" max="6398" width="10.5703125" style="44" customWidth="1"/>
    <col min="6399" max="6399" width="10" style="44" customWidth="1"/>
    <col min="6400" max="6400" width="9.85546875" style="44" customWidth="1"/>
    <col min="6401" max="6401" width="10.140625" style="44" customWidth="1"/>
    <col min="6402" max="6402" width="13.85546875" style="44" customWidth="1"/>
    <col min="6403" max="6403" width="12.5703125" style="44" customWidth="1"/>
    <col min="6404" max="6650" width="9.140625" style="44"/>
    <col min="6651" max="6651" width="10.85546875" style="44" customWidth="1"/>
    <col min="6652" max="6652" width="10.28515625" style="44" customWidth="1"/>
    <col min="6653" max="6653" width="9.85546875" style="44" customWidth="1"/>
    <col min="6654" max="6654" width="10.5703125" style="44" customWidth="1"/>
    <col min="6655" max="6655" width="10" style="44" customWidth="1"/>
    <col min="6656" max="6656" width="9.85546875" style="44" customWidth="1"/>
    <col min="6657" max="6657" width="10.140625" style="44" customWidth="1"/>
    <col min="6658" max="6658" width="13.85546875" style="44" customWidth="1"/>
    <col min="6659" max="6659" width="12.5703125" style="44" customWidth="1"/>
    <col min="6660" max="6906" width="9.140625" style="44"/>
    <col min="6907" max="6907" width="10.85546875" style="44" customWidth="1"/>
    <col min="6908" max="6908" width="10.28515625" style="44" customWidth="1"/>
    <col min="6909" max="6909" width="9.85546875" style="44" customWidth="1"/>
    <col min="6910" max="6910" width="10.5703125" style="44" customWidth="1"/>
    <col min="6911" max="6911" width="10" style="44" customWidth="1"/>
    <col min="6912" max="6912" width="9.85546875" style="44" customWidth="1"/>
    <col min="6913" max="6913" width="10.140625" style="44" customWidth="1"/>
    <col min="6914" max="6914" width="13.85546875" style="44" customWidth="1"/>
    <col min="6915" max="6915" width="12.5703125" style="44" customWidth="1"/>
    <col min="6916" max="7162" width="9.140625" style="44"/>
    <col min="7163" max="7163" width="10.85546875" style="44" customWidth="1"/>
    <col min="7164" max="7164" width="10.28515625" style="44" customWidth="1"/>
    <col min="7165" max="7165" width="9.85546875" style="44" customWidth="1"/>
    <col min="7166" max="7166" width="10.5703125" style="44" customWidth="1"/>
    <col min="7167" max="7167" width="10" style="44" customWidth="1"/>
    <col min="7168" max="7168" width="9.85546875" style="44" customWidth="1"/>
    <col min="7169" max="7169" width="10.140625" style="44" customWidth="1"/>
    <col min="7170" max="7170" width="13.85546875" style="44" customWidth="1"/>
    <col min="7171" max="7171" width="12.5703125" style="44" customWidth="1"/>
    <col min="7172" max="7418" width="9.140625" style="44"/>
    <col min="7419" max="7419" width="10.85546875" style="44" customWidth="1"/>
    <col min="7420" max="7420" width="10.28515625" style="44" customWidth="1"/>
    <col min="7421" max="7421" width="9.85546875" style="44" customWidth="1"/>
    <col min="7422" max="7422" width="10.5703125" style="44" customWidth="1"/>
    <col min="7423" max="7423" width="10" style="44" customWidth="1"/>
    <col min="7424" max="7424" width="9.85546875" style="44" customWidth="1"/>
    <col min="7425" max="7425" width="10.140625" style="44" customWidth="1"/>
    <col min="7426" max="7426" width="13.85546875" style="44" customWidth="1"/>
    <col min="7427" max="7427" width="12.5703125" style="44" customWidth="1"/>
    <col min="7428" max="7674" width="9.140625" style="44"/>
    <col min="7675" max="7675" width="10.85546875" style="44" customWidth="1"/>
    <col min="7676" max="7676" width="10.28515625" style="44" customWidth="1"/>
    <col min="7677" max="7677" width="9.85546875" style="44" customWidth="1"/>
    <col min="7678" max="7678" width="10.5703125" style="44" customWidth="1"/>
    <col min="7679" max="7679" width="10" style="44" customWidth="1"/>
    <col min="7680" max="7680" width="9.85546875" style="44" customWidth="1"/>
    <col min="7681" max="7681" width="10.140625" style="44" customWidth="1"/>
    <col min="7682" max="7682" width="13.85546875" style="44" customWidth="1"/>
    <col min="7683" max="7683" width="12.5703125" style="44" customWidth="1"/>
    <col min="7684" max="7930" width="9.140625" style="44"/>
    <col min="7931" max="7931" width="10.85546875" style="44" customWidth="1"/>
    <col min="7932" max="7932" width="10.28515625" style="44" customWidth="1"/>
    <col min="7933" max="7933" width="9.85546875" style="44" customWidth="1"/>
    <col min="7934" max="7934" width="10.5703125" style="44" customWidth="1"/>
    <col min="7935" max="7935" width="10" style="44" customWidth="1"/>
    <col min="7936" max="7936" width="9.85546875" style="44" customWidth="1"/>
    <col min="7937" max="7937" width="10.140625" style="44" customWidth="1"/>
    <col min="7938" max="7938" width="13.85546875" style="44" customWidth="1"/>
    <col min="7939" max="7939" width="12.5703125" style="44" customWidth="1"/>
    <col min="7940" max="8186" width="9.140625" style="44"/>
    <col min="8187" max="8187" width="10.85546875" style="44" customWidth="1"/>
    <col min="8188" max="8188" width="10.28515625" style="44" customWidth="1"/>
    <col min="8189" max="8189" width="9.85546875" style="44" customWidth="1"/>
    <col min="8190" max="8190" width="10.5703125" style="44" customWidth="1"/>
    <col min="8191" max="8191" width="10" style="44" customWidth="1"/>
    <col min="8192" max="8192" width="9.85546875" style="44" customWidth="1"/>
    <col min="8193" max="8193" width="10.140625" style="44" customWidth="1"/>
    <col min="8194" max="8194" width="13.85546875" style="44" customWidth="1"/>
    <col min="8195" max="8195" width="12.5703125" style="44" customWidth="1"/>
    <col min="8196" max="8442" width="9.140625" style="44"/>
    <col min="8443" max="8443" width="10.85546875" style="44" customWidth="1"/>
    <col min="8444" max="8444" width="10.28515625" style="44" customWidth="1"/>
    <col min="8445" max="8445" width="9.85546875" style="44" customWidth="1"/>
    <col min="8446" max="8446" width="10.5703125" style="44" customWidth="1"/>
    <col min="8447" max="8447" width="10" style="44" customWidth="1"/>
    <col min="8448" max="8448" width="9.85546875" style="44" customWidth="1"/>
    <col min="8449" max="8449" width="10.140625" style="44" customWidth="1"/>
    <col min="8450" max="8450" width="13.85546875" style="44" customWidth="1"/>
    <col min="8451" max="8451" width="12.5703125" style="44" customWidth="1"/>
    <col min="8452" max="8698" width="9.140625" style="44"/>
    <col min="8699" max="8699" width="10.85546875" style="44" customWidth="1"/>
    <col min="8700" max="8700" width="10.28515625" style="44" customWidth="1"/>
    <col min="8701" max="8701" width="9.85546875" style="44" customWidth="1"/>
    <col min="8702" max="8702" width="10.5703125" style="44" customWidth="1"/>
    <col min="8703" max="8703" width="10" style="44" customWidth="1"/>
    <col min="8704" max="8704" width="9.85546875" style="44" customWidth="1"/>
    <col min="8705" max="8705" width="10.140625" style="44" customWidth="1"/>
    <col min="8706" max="8706" width="13.85546875" style="44" customWidth="1"/>
    <col min="8707" max="8707" width="12.5703125" style="44" customWidth="1"/>
    <col min="8708" max="8954" width="9.140625" style="44"/>
    <col min="8955" max="8955" width="10.85546875" style="44" customWidth="1"/>
    <col min="8956" max="8956" width="10.28515625" style="44" customWidth="1"/>
    <col min="8957" max="8957" width="9.85546875" style="44" customWidth="1"/>
    <col min="8958" max="8958" width="10.5703125" style="44" customWidth="1"/>
    <col min="8959" max="8959" width="10" style="44" customWidth="1"/>
    <col min="8960" max="8960" width="9.85546875" style="44" customWidth="1"/>
    <col min="8961" max="8961" width="10.140625" style="44" customWidth="1"/>
    <col min="8962" max="8962" width="13.85546875" style="44" customWidth="1"/>
    <col min="8963" max="8963" width="12.5703125" style="44" customWidth="1"/>
    <col min="8964" max="9210" width="9.140625" style="44"/>
    <col min="9211" max="9211" width="10.85546875" style="44" customWidth="1"/>
    <col min="9212" max="9212" width="10.28515625" style="44" customWidth="1"/>
    <col min="9213" max="9213" width="9.85546875" style="44" customWidth="1"/>
    <col min="9214" max="9214" width="10.5703125" style="44" customWidth="1"/>
    <col min="9215" max="9215" width="10" style="44" customWidth="1"/>
    <col min="9216" max="9216" width="9.85546875" style="44" customWidth="1"/>
    <col min="9217" max="9217" width="10.140625" style="44" customWidth="1"/>
    <col min="9218" max="9218" width="13.85546875" style="44" customWidth="1"/>
    <col min="9219" max="9219" width="12.5703125" style="44" customWidth="1"/>
    <col min="9220" max="9466" width="9.140625" style="44"/>
    <col min="9467" max="9467" width="10.85546875" style="44" customWidth="1"/>
    <col min="9468" max="9468" width="10.28515625" style="44" customWidth="1"/>
    <col min="9469" max="9469" width="9.85546875" style="44" customWidth="1"/>
    <col min="9470" max="9470" width="10.5703125" style="44" customWidth="1"/>
    <col min="9471" max="9471" width="10" style="44" customWidth="1"/>
    <col min="9472" max="9472" width="9.85546875" style="44" customWidth="1"/>
    <col min="9473" max="9473" width="10.140625" style="44" customWidth="1"/>
    <col min="9474" max="9474" width="13.85546875" style="44" customWidth="1"/>
    <col min="9475" max="9475" width="12.5703125" style="44" customWidth="1"/>
    <col min="9476" max="9722" width="9.140625" style="44"/>
    <col min="9723" max="9723" width="10.85546875" style="44" customWidth="1"/>
    <col min="9724" max="9724" width="10.28515625" style="44" customWidth="1"/>
    <col min="9725" max="9725" width="9.85546875" style="44" customWidth="1"/>
    <col min="9726" max="9726" width="10.5703125" style="44" customWidth="1"/>
    <col min="9727" max="9727" width="10" style="44" customWidth="1"/>
    <col min="9728" max="9728" width="9.85546875" style="44" customWidth="1"/>
    <col min="9729" max="9729" width="10.140625" style="44" customWidth="1"/>
    <col min="9730" max="9730" width="13.85546875" style="44" customWidth="1"/>
    <col min="9731" max="9731" width="12.5703125" style="44" customWidth="1"/>
    <col min="9732" max="9978" width="9.140625" style="44"/>
    <col min="9979" max="9979" width="10.85546875" style="44" customWidth="1"/>
    <col min="9980" max="9980" width="10.28515625" style="44" customWidth="1"/>
    <col min="9981" max="9981" width="9.85546875" style="44" customWidth="1"/>
    <col min="9982" max="9982" width="10.5703125" style="44" customWidth="1"/>
    <col min="9983" max="9983" width="10" style="44" customWidth="1"/>
    <col min="9984" max="9984" width="9.85546875" style="44" customWidth="1"/>
    <col min="9985" max="9985" width="10.140625" style="44" customWidth="1"/>
    <col min="9986" max="9986" width="13.85546875" style="44" customWidth="1"/>
    <col min="9987" max="9987" width="12.5703125" style="44" customWidth="1"/>
    <col min="9988" max="10234" width="9.140625" style="44"/>
    <col min="10235" max="10235" width="10.85546875" style="44" customWidth="1"/>
    <col min="10236" max="10236" width="10.28515625" style="44" customWidth="1"/>
    <col min="10237" max="10237" width="9.85546875" style="44" customWidth="1"/>
    <col min="10238" max="10238" width="10.5703125" style="44" customWidth="1"/>
    <col min="10239" max="10239" width="10" style="44" customWidth="1"/>
    <col min="10240" max="10240" width="9.85546875" style="44" customWidth="1"/>
    <col min="10241" max="10241" width="10.140625" style="44" customWidth="1"/>
    <col min="10242" max="10242" width="13.85546875" style="44" customWidth="1"/>
    <col min="10243" max="10243" width="12.5703125" style="44" customWidth="1"/>
    <col min="10244" max="10490" width="9.140625" style="44"/>
    <col min="10491" max="10491" width="10.85546875" style="44" customWidth="1"/>
    <col min="10492" max="10492" width="10.28515625" style="44" customWidth="1"/>
    <col min="10493" max="10493" width="9.85546875" style="44" customWidth="1"/>
    <col min="10494" max="10494" width="10.5703125" style="44" customWidth="1"/>
    <col min="10495" max="10495" width="10" style="44" customWidth="1"/>
    <col min="10496" max="10496" width="9.85546875" style="44" customWidth="1"/>
    <col min="10497" max="10497" width="10.140625" style="44" customWidth="1"/>
    <col min="10498" max="10498" width="13.85546875" style="44" customWidth="1"/>
    <col min="10499" max="10499" width="12.5703125" style="44" customWidth="1"/>
    <col min="10500" max="10746" width="9.140625" style="44"/>
    <col min="10747" max="10747" width="10.85546875" style="44" customWidth="1"/>
    <col min="10748" max="10748" width="10.28515625" style="44" customWidth="1"/>
    <col min="10749" max="10749" width="9.85546875" style="44" customWidth="1"/>
    <col min="10750" max="10750" width="10.5703125" style="44" customWidth="1"/>
    <col min="10751" max="10751" width="10" style="44" customWidth="1"/>
    <col min="10752" max="10752" width="9.85546875" style="44" customWidth="1"/>
    <col min="10753" max="10753" width="10.140625" style="44" customWidth="1"/>
    <col min="10754" max="10754" width="13.85546875" style="44" customWidth="1"/>
    <col min="10755" max="10755" width="12.5703125" style="44" customWidth="1"/>
    <col min="10756" max="11002" width="9.140625" style="44"/>
    <col min="11003" max="11003" width="10.85546875" style="44" customWidth="1"/>
    <col min="11004" max="11004" width="10.28515625" style="44" customWidth="1"/>
    <col min="11005" max="11005" width="9.85546875" style="44" customWidth="1"/>
    <col min="11006" max="11006" width="10.5703125" style="44" customWidth="1"/>
    <col min="11007" max="11007" width="10" style="44" customWidth="1"/>
    <col min="11008" max="11008" width="9.85546875" style="44" customWidth="1"/>
    <col min="11009" max="11009" width="10.140625" style="44" customWidth="1"/>
    <col min="11010" max="11010" width="13.85546875" style="44" customWidth="1"/>
    <col min="11011" max="11011" width="12.5703125" style="44" customWidth="1"/>
    <col min="11012" max="11258" width="9.140625" style="44"/>
    <col min="11259" max="11259" width="10.85546875" style="44" customWidth="1"/>
    <col min="11260" max="11260" width="10.28515625" style="44" customWidth="1"/>
    <col min="11261" max="11261" width="9.85546875" style="44" customWidth="1"/>
    <col min="11262" max="11262" width="10.5703125" style="44" customWidth="1"/>
    <col min="11263" max="11263" width="10" style="44" customWidth="1"/>
    <col min="11264" max="11264" width="9.85546875" style="44" customWidth="1"/>
    <col min="11265" max="11265" width="10.140625" style="44" customWidth="1"/>
    <col min="11266" max="11266" width="13.85546875" style="44" customWidth="1"/>
    <col min="11267" max="11267" width="12.5703125" style="44" customWidth="1"/>
    <col min="11268" max="11514" width="9.140625" style="44"/>
    <col min="11515" max="11515" width="10.85546875" style="44" customWidth="1"/>
    <col min="11516" max="11516" width="10.28515625" style="44" customWidth="1"/>
    <col min="11517" max="11517" width="9.85546875" style="44" customWidth="1"/>
    <col min="11518" max="11518" width="10.5703125" style="44" customWidth="1"/>
    <col min="11519" max="11519" width="10" style="44" customWidth="1"/>
    <col min="11520" max="11520" width="9.85546875" style="44" customWidth="1"/>
    <col min="11521" max="11521" width="10.140625" style="44" customWidth="1"/>
    <col min="11522" max="11522" width="13.85546875" style="44" customWidth="1"/>
    <col min="11523" max="11523" width="12.5703125" style="44" customWidth="1"/>
    <col min="11524" max="11770" width="9.140625" style="44"/>
    <col min="11771" max="11771" width="10.85546875" style="44" customWidth="1"/>
    <col min="11772" max="11772" width="10.28515625" style="44" customWidth="1"/>
    <col min="11773" max="11773" width="9.85546875" style="44" customWidth="1"/>
    <col min="11774" max="11774" width="10.5703125" style="44" customWidth="1"/>
    <col min="11775" max="11775" width="10" style="44" customWidth="1"/>
    <col min="11776" max="11776" width="9.85546875" style="44" customWidth="1"/>
    <col min="11777" max="11777" width="10.140625" style="44" customWidth="1"/>
    <col min="11778" max="11778" width="13.85546875" style="44" customWidth="1"/>
    <col min="11779" max="11779" width="12.5703125" style="44" customWidth="1"/>
    <col min="11780" max="12026" width="9.140625" style="44"/>
    <col min="12027" max="12027" width="10.85546875" style="44" customWidth="1"/>
    <col min="12028" max="12028" width="10.28515625" style="44" customWidth="1"/>
    <col min="12029" max="12029" width="9.85546875" style="44" customWidth="1"/>
    <col min="12030" max="12030" width="10.5703125" style="44" customWidth="1"/>
    <col min="12031" max="12031" width="10" style="44" customWidth="1"/>
    <col min="12032" max="12032" width="9.85546875" style="44" customWidth="1"/>
    <col min="12033" max="12033" width="10.140625" style="44" customWidth="1"/>
    <col min="12034" max="12034" width="13.85546875" style="44" customWidth="1"/>
    <col min="12035" max="12035" width="12.5703125" style="44" customWidth="1"/>
    <col min="12036" max="12282" width="9.140625" style="44"/>
    <col min="12283" max="12283" width="10.85546875" style="44" customWidth="1"/>
    <col min="12284" max="12284" width="10.28515625" style="44" customWidth="1"/>
    <col min="12285" max="12285" width="9.85546875" style="44" customWidth="1"/>
    <col min="12286" max="12286" width="10.5703125" style="44" customWidth="1"/>
    <col min="12287" max="12287" width="10" style="44" customWidth="1"/>
    <col min="12288" max="12288" width="9.85546875" style="44" customWidth="1"/>
    <col min="12289" max="12289" width="10.140625" style="44" customWidth="1"/>
    <col min="12290" max="12290" width="13.85546875" style="44" customWidth="1"/>
    <col min="12291" max="12291" width="12.5703125" style="44" customWidth="1"/>
    <col min="12292" max="12538" width="9.140625" style="44"/>
    <col min="12539" max="12539" width="10.85546875" style="44" customWidth="1"/>
    <col min="12540" max="12540" width="10.28515625" style="44" customWidth="1"/>
    <col min="12541" max="12541" width="9.85546875" style="44" customWidth="1"/>
    <col min="12542" max="12542" width="10.5703125" style="44" customWidth="1"/>
    <col min="12543" max="12543" width="10" style="44" customWidth="1"/>
    <col min="12544" max="12544" width="9.85546875" style="44" customWidth="1"/>
    <col min="12545" max="12545" width="10.140625" style="44" customWidth="1"/>
    <col min="12546" max="12546" width="13.85546875" style="44" customWidth="1"/>
    <col min="12547" max="12547" width="12.5703125" style="44" customWidth="1"/>
    <col min="12548" max="12794" width="9.140625" style="44"/>
    <col min="12795" max="12795" width="10.85546875" style="44" customWidth="1"/>
    <col min="12796" max="12796" width="10.28515625" style="44" customWidth="1"/>
    <col min="12797" max="12797" width="9.85546875" style="44" customWidth="1"/>
    <col min="12798" max="12798" width="10.5703125" style="44" customWidth="1"/>
    <col min="12799" max="12799" width="10" style="44" customWidth="1"/>
    <col min="12800" max="12800" width="9.85546875" style="44" customWidth="1"/>
    <col min="12801" max="12801" width="10.140625" style="44" customWidth="1"/>
    <col min="12802" max="12802" width="13.85546875" style="44" customWidth="1"/>
    <col min="12803" max="12803" width="12.5703125" style="44" customWidth="1"/>
    <col min="12804" max="13050" width="9.140625" style="44"/>
    <col min="13051" max="13051" width="10.85546875" style="44" customWidth="1"/>
    <col min="13052" max="13052" width="10.28515625" style="44" customWidth="1"/>
    <col min="13053" max="13053" width="9.85546875" style="44" customWidth="1"/>
    <col min="13054" max="13054" width="10.5703125" style="44" customWidth="1"/>
    <col min="13055" max="13055" width="10" style="44" customWidth="1"/>
    <col min="13056" max="13056" width="9.85546875" style="44" customWidth="1"/>
    <col min="13057" max="13057" width="10.140625" style="44" customWidth="1"/>
    <col min="13058" max="13058" width="13.85546875" style="44" customWidth="1"/>
    <col min="13059" max="13059" width="12.5703125" style="44" customWidth="1"/>
    <col min="13060" max="13306" width="9.140625" style="44"/>
    <col min="13307" max="13307" width="10.85546875" style="44" customWidth="1"/>
    <col min="13308" max="13308" width="10.28515625" style="44" customWidth="1"/>
    <col min="13309" max="13309" width="9.85546875" style="44" customWidth="1"/>
    <col min="13310" max="13310" width="10.5703125" style="44" customWidth="1"/>
    <col min="13311" max="13311" width="10" style="44" customWidth="1"/>
    <col min="13312" max="13312" width="9.85546875" style="44" customWidth="1"/>
    <col min="13313" max="13313" width="10.140625" style="44" customWidth="1"/>
    <col min="13314" max="13314" width="13.85546875" style="44" customWidth="1"/>
    <col min="13315" max="13315" width="12.5703125" style="44" customWidth="1"/>
    <col min="13316" max="13562" width="9.140625" style="44"/>
    <col min="13563" max="13563" width="10.85546875" style="44" customWidth="1"/>
    <col min="13564" max="13564" width="10.28515625" style="44" customWidth="1"/>
    <col min="13565" max="13565" width="9.85546875" style="44" customWidth="1"/>
    <col min="13566" max="13566" width="10.5703125" style="44" customWidth="1"/>
    <col min="13567" max="13567" width="10" style="44" customWidth="1"/>
    <col min="13568" max="13568" width="9.85546875" style="44" customWidth="1"/>
    <col min="13569" max="13569" width="10.140625" style="44" customWidth="1"/>
    <col min="13570" max="13570" width="13.85546875" style="44" customWidth="1"/>
    <col min="13571" max="13571" width="12.5703125" style="44" customWidth="1"/>
    <col min="13572" max="13818" width="9.140625" style="44"/>
    <col min="13819" max="13819" width="10.85546875" style="44" customWidth="1"/>
    <col min="13820" max="13820" width="10.28515625" style="44" customWidth="1"/>
    <col min="13821" max="13821" width="9.85546875" style="44" customWidth="1"/>
    <col min="13822" max="13822" width="10.5703125" style="44" customWidth="1"/>
    <col min="13823" max="13823" width="10" style="44" customWidth="1"/>
    <col min="13824" max="13824" width="9.85546875" style="44" customWidth="1"/>
    <col min="13825" max="13825" width="10.140625" style="44" customWidth="1"/>
    <col min="13826" max="13826" width="13.85546875" style="44" customWidth="1"/>
    <col min="13827" max="13827" width="12.5703125" style="44" customWidth="1"/>
    <col min="13828" max="14074" width="9.140625" style="44"/>
    <col min="14075" max="14075" width="10.85546875" style="44" customWidth="1"/>
    <col min="14076" max="14076" width="10.28515625" style="44" customWidth="1"/>
    <col min="14077" max="14077" width="9.85546875" style="44" customWidth="1"/>
    <col min="14078" max="14078" width="10.5703125" style="44" customWidth="1"/>
    <col min="14079" max="14079" width="10" style="44" customWidth="1"/>
    <col min="14080" max="14080" width="9.85546875" style="44" customWidth="1"/>
    <col min="14081" max="14081" width="10.140625" style="44" customWidth="1"/>
    <col min="14082" max="14082" width="13.85546875" style="44" customWidth="1"/>
    <col min="14083" max="14083" width="12.5703125" style="44" customWidth="1"/>
    <col min="14084" max="14330" width="9.140625" style="44"/>
    <col min="14331" max="14331" width="10.85546875" style="44" customWidth="1"/>
    <col min="14332" max="14332" width="10.28515625" style="44" customWidth="1"/>
    <col min="14333" max="14333" width="9.85546875" style="44" customWidth="1"/>
    <col min="14334" max="14334" width="10.5703125" style="44" customWidth="1"/>
    <col min="14335" max="14335" width="10" style="44" customWidth="1"/>
    <col min="14336" max="14336" width="9.85546875" style="44" customWidth="1"/>
    <col min="14337" max="14337" width="10.140625" style="44" customWidth="1"/>
    <col min="14338" max="14338" width="13.85546875" style="44" customWidth="1"/>
    <col min="14339" max="14339" width="12.5703125" style="44" customWidth="1"/>
    <col min="14340" max="14586" width="9.140625" style="44"/>
    <col min="14587" max="14587" width="10.85546875" style="44" customWidth="1"/>
    <col min="14588" max="14588" width="10.28515625" style="44" customWidth="1"/>
    <col min="14589" max="14589" width="9.85546875" style="44" customWidth="1"/>
    <col min="14590" max="14590" width="10.5703125" style="44" customWidth="1"/>
    <col min="14591" max="14591" width="10" style="44" customWidth="1"/>
    <col min="14592" max="14592" width="9.85546875" style="44" customWidth="1"/>
    <col min="14593" max="14593" width="10.140625" style="44" customWidth="1"/>
    <col min="14594" max="14594" width="13.85546875" style="44" customWidth="1"/>
    <col min="14595" max="14595" width="12.5703125" style="44" customWidth="1"/>
    <col min="14596" max="14842" width="9.140625" style="44"/>
    <col min="14843" max="14843" width="10.85546875" style="44" customWidth="1"/>
    <col min="14844" max="14844" width="10.28515625" style="44" customWidth="1"/>
    <col min="14845" max="14845" width="9.85546875" style="44" customWidth="1"/>
    <col min="14846" max="14846" width="10.5703125" style="44" customWidth="1"/>
    <col min="14847" max="14847" width="10" style="44" customWidth="1"/>
    <col min="14848" max="14848" width="9.85546875" style="44" customWidth="1"/>
    <col min="14849" max="14849" width="10.140625" style="44" customWidth="1"/>
    <col min="14850" max="14850" width="13.85546875" style="44" customWidth="1"/>
    <col min="14851" max="14851" width="12.5703125" style="44" customWidth="1"/>
    <col min="14852" max="15098" width="9.140625" style="44"/>
    <col min="15099" max="15099" width="10.85546875" style="44" customWidth="1"/>
    <col min="15100" max="15100" width="10.28515625" style="44" customWidth="1"/>
    <col min="15101" max="15101" width="9.85546875" style="44" customWidth="1"/>
    <col min="15102" max="15102" width="10.5703125" style="44" customWidth="1"/>
    <col min="15103" max="15103" width="10" style="44" customWidth="1"/>
    <col min="15104" max="15104" width="9.85546875" style="44" customWidth="1"/>
    <col min="15105" max="15105" width="10.140625" style="44" customWidth="1"/>
    <col min="15106" max="15106" width="13.85546875" style="44" customWidth="1"/>
    <col min="15107" max="15107" width="12.5703125" style="44" customWidth="1"/>
    <col min="15108" max="15354" width="9.140625" style="44"/>
    <col min="15355" max="15355" width="10.85546875" style="44" customWidth="1"/>
    <col min="15356" max="15356" width="10.28515625" style="44" customWidth="1"/>
    <col min="15357" max="15357" width="9.85546875" style="44" customWidth="1"/>
    <col min="15358" max="15358" width="10.5703125" style="44" customWidth="1"/>
    <col min="15359" max="15359" width="10" style="44" customWidth="1"/>
    <col min="15360" max="15360" width="9.85546875" style="44" customWidth="1"/>
    <col min="15361" max="15361" width="10.140625" style="44" customWidth="1"/>
    <col min="15362" max="15362" width="13.85546875" style="44" customWidth="1"/>
    <col min="15363" max="15363" width="12.5703125" style="44" customWidth="1"/>
    <col min="15364" max="15610" width="9.140625" style="44"/>
    <col min="15611" max="15611" width="10.85546875" style="44" customWidth="1"/>
    <col min="15612" max="15612" width="10.28515625" style="44" customWidth="1"/>
    <col min="15613" max="15613" width="9.85546875" style="44" customWidth="1"/>
    <col min="15614" max="15614" width="10.5703125" style="44" customWidth="1"/>
    <col min="15615" max="15615" width="10" style="44" customWidth="1"/>
    <col min="15616" max="15616" width="9.85546875" style="44" customWidth="1"/>
    <col min="15617" max="15617" width="10.140625" style="44" customWidth="1"/>
    <col min="15618" max="15618" width="13.85546875" style="44" customWidth="1"/>
    <col min="15619" max="15619" width="12.5703125" style="44" customWidth="1"/>
    <col min="15620" max="15866" width="9.140625" style="44"/>
    <col min="15867" max="15867" width="10.85546875" style="44" customWidth="1"/>
    <col min="15868" max="15868" width="10.28515625" style="44" customWidth="1"/>
    <col min="15869" max="15869" width="9.85546875" style="44" customWidth="1"/>
    <col min="15870" max="15870" width="10.5703125" style="44" customWidth="1"/>
    <col min="15871" max="15871" width="10" style="44" customWidth="1"/>
    <col min="15872" max="15872" width="9.85546875" style="44" customWidth="1"/>
    <col min="15873" max="15873" width="10.140625" style="44" customWidth="1"/>
    <col min="15874" max="15874" width="13.85546875" style="44" customWidth="1"/>
    <col min="15875" max="15875" width="12.5703125" style="44" customWidth="1"/>
    <col min="15876" max="16122" width="9.140625" style="44"/>
    <col min="16123" max="16123" width="10.85546875" style="44" customWidth="1"/>
    <col min="16124" max="16124" width="10.28515625" style="44" customWidth="1"/>
    <col min="16125" max="16125" width="9.85546875" style="44" customWidth="1"/>
    <col min="16126" max="16126" width="10.5703125" style="44" customWidth="1"/>
    <col min="16127" max="16127" width="10" style="44" customWidth="1"/>
    <col min="16128" max="16128" width="9.85546875" style="44" customWidth="1"/>
    <col min="16129" max="16129" width="10.140625" style="44" customWidth="1"/>
    <col min="16130" max="16130" width="13.85546875" style="44" customWidth="1"/>
    <col min="16131" max="16131" width="12.5703125" style="44" customWidth="1"/>
    <col min="16132" max="16384" width="9.140625" style="44"/>
  </cols>
  <sheetData>
    <row r="1" spans="1:5" ht="13.5" thickBot="1" x14ac:dyDescent="0.25">
      <c r="A1" s="40" t="s">
        <v>39</v>
      </c>
      <c r="B1" s="59" t="s">
        <v>38</v>
      </c>
      <c r="C1" s="43" t="s">
        <v>40</v>
      </c>
      <c r="D1" s="44" t="s">
        <v>38</v>
      </c>
      <c r="E1" s="44" t="s">
        <v>40</v>
      </c>
    </row>
    <row r="2" spans="1:5" x14ac:dyDescent="0.2">
      <c r="A2" s="45">
        <v>44562</v>
      </c>
      <c r="B2" s="60">
        <v>3954</v>
      </c>
      <c r="C2" s="48">
        <v>0</v>
      </c>
      <c r="D2" s="58">
        <f t="shared" ref="D2:D65" si="0">ROUND(B2,0)</f>
        <v>3954</v>
      </c>
      <c r="E2" s="58">
        <f t="shared" ref="E2:E65" si="1">ROUND(C2,0)</f>
        <v>0</v>
      </c>
    </row>
    <row r="3" spans="1:5" x14ac:dyDescent="0.2">
      <c r="A3" s="50">
        <f t="shared" ref="A3:A30" si="2">A2+1</f>
        <v>44563</v>
      </c>
      <c r="B3" s="61">
        <v>3715</v>
      </c>
      <c r="C3" s="53">
        <v>0</v>
      </c>
      <c r="D3" s="58">
        <f t="shared" si="0"/>
        <v>3715</v>
      </c>
      <c r="E3" s="58">
        <f t="shared" si="1"/>
        <v>0</v>
      </c>
    </row>
    <row r="4" spans="1:5" x14ac:dyDescent="0.2">
      <c r="A4" s="50">
        <f t="shared" si="2"/>
        <v>44564</v>
      </c>
      <c r="B4" s="61">
        <v>5455</v>
      </c>
      <c r="C4" s="53">
        <v>0</v>
      </c>
      <c r="D4" s="58">
        <f t="shared" si="0"/>
        <v>5455</v>
      </c>
      <c r="E4" s="58">
        <f t="shared" si="1"/>
        <v>0</v>
      </c>
    </row>
    <row r="5" spans="1:5" x14ac:dyDescent="0.2">
      <c r="A5" s="50">
        <f t="shared" si="2"/>
        <v>44565</v>
      </c>
      <c r="B5" s="61">
        <v>5673</v>
      </c>
      <c r="C5" s="53">
        <v>0</v>
      </c>
      <c r="D5" s="58">
        <f t="shared" si="0"/>
        <v>5673</v>
      </c>
      <c r="E5" s="58">
        <f t="shared" si="1"/>
        <v>0</v>
      </c>
    </row>
    <row r="6" spans="1:5" x14ac:dyDescent="0.2">
      <c r="A6" s="50">
        <f t="shared" si="2"/>
        <v>44566</v>
      </c>
      <c r="B6" s="61">
        <v>6395</v>
      </c>
      <c r="C6" s="53">
        <v>0</v>
      </c>
      <c r="D6" s="58">
        <f t="shared" si="0"/>
        <v>6395</v>
      </c>
      <c r="E6" s="58">
        <f t="shared" si="1"/>
        <v>0</v>
      </c>
    </row>
    <row r="7" spans="1:5" x14ac:dyDescent="0.2">
      <c r="A7" s="50">
        <f t="shared" si="2"/>
        <v>44567</v>
      </c>
      <c r="B7" s="61">
        <v>6655</v>
      </c>
      <c r="C7" s="53">
        <v>0</v>
      </c>
      <c r="D7" s="58">
        <f t="shared" si="0"/>
        <v>6655</v>
      </c>
      <c r="E7" s="58">
        <f t="shared" si="1"/>
        <v>0</v>
      </c>
    </row>
    <row r="8" spans="1:5" x14ac:dyDescent="0.2">
      <c r="A8" s="50">
        <f t="shared" si="2"/>
        <v>44568</v>
      </c>
      <c r="B8" s="61">
        <v>5743</v>
      </c>
      <c r="C8" s="53">
        <v>0</v>
      </c>
      <c r="D8" s="58">
        <f t="shared" si="0"/>
        <v>5743</v>
      </c>
      <c r="E8" s="58">
        <f t="shared" si="1"/>
        <v>0</v>
      </c>
    </row>
    <row r="9" spans="1:5" x14ac:dyDescent="0.2">
      <c r="A9" s="50">
        <f t="shared" si="2"/>
        <v>44569</v>
      </c>
      <c r="B9" s="61">
        <v>19595</v>
      </c>
      <c r="C9" s="53">
        <v>990</v>
      </c>
      <c r="D9" s="58">
        <f t="shared" si="0"/>
        <v>19595</v>
      </c>
      <c r="E9" s="58">
        <f t="shared" si="1"/>
        <v>990</v>
      </c>
    </row>
    <row r="10" spans="1:5" x14ac:dyDescent="0.2">
      <c r="A10" s="50">
        <f t="shared" si="2"/>
        <v>44570</v>
      </c>
      <c r="B10" s="61">
        <v>25108</v>
      </c>
      <c r="C10" s="53">
        <v>936</v>
      </c>
      <c r="D10" s="58">
        <f t="shared" si="0"/>
        <v>25108</v>
      </c>
      <c r="E10" s="58">
        <f t="shared" si="1"/>
        <v>936</v>
      </c>
    </row>
    <row r="11" spans="1:5" x14ac:dyDescent="0.2">
      <c r="A11" s="50">
        <f t="shared" si="2"/>
        <v>44571</v>
      </c>
      <c r="B11" s="61">
        <v>29395</v>
      </c>
      <c r="C11" s="53">
        <v>991</v>
      </c>
      <c r="D11" s="58">
        <f t="shared" si="0"/>
        <v>29395</v>
      </c>
      <c r="E11" s="58">
        <f t="shared" si="1"/>
        <v>991</v>
      </c>
    </row>
    <row r="12" spans="1:5" x14ac:dyDescent="0.2">
      <c r="A12" s="50">
        <f t="shared" si="2"/>
        <v>44572</v>
      </c>
      <c r="B12" s="61">
        <v>30020</v>
      </c>
      <c r="C12" s="53">
        <v>1117</v>
      </c>
      <c r="D12" s="58">
        <f t="shared" si="0"/>
        <v>30020</v>
      </c>
      <c r="E12" s="58">
        <f t="shared" si="1"/>
        <v>1117</v>
      </c>
    </row>
    <row r="13" spans="1:5" x14ac:dyDescent="0.2">
      <c r="A13" s="50">
        <f t="shared" si="2"/>
        <v>44573</v>
      </c>
      <c r="B13" s="61">
        <v>30180</v>
      </c>
      <c r="C13" s="53">
        <v>1099</v>
      </c>
      <c r="D13" s="58">
        <f t="shared" si="0"/>
        <v>30180</v>
      </c>
      <c r="E13" s="58">
        <f t="shared" si="1"/>
        <v>1099</v>
      </c>
    </row>
    <row r="14" spans="1:5" x14ac:dyDescent="0.2">
      <c r="A14" s="50">
        <f t="shared" si="2"/>
        <v>44574</v>
      </c>
      <c r="B14" s="61">
        <v>31158</v>
      </c>
      <c r="C14" s="53">
        <v>1078</v>
      </c>
      <c r="D14" s="58">
        <f t="shared" si="0"/>
        <v>31158</v>
      </c>
      <c r="E14" s="58">
        <f t="shared" si="1"/>
        <v>1078</v>
      </c>
    </row>
    <row r="15" spans="1:5" x14ac:dyDescent="0.2">
      <c r="A15" s="50">
        <f t="shared" si="2"/>
        <v>44575</v>
      </c>
      <c r="B15" s="61">
        <v>32301</v>
      </c>
      <c r="C15" s="53">
        <v>1117</v>
      </c>
      <c r="D15" s="58">
        <f t="shared" si="0"/>
        <v>32301</v>
      </c>
      <c r="E15" s="58">
        <f t="shared" si="1"/>
        <v>1117</v>
      </c>
    </row>
    <row r="16" spans="1:5" x14ac:dyDescent="0.2">
      <c r="A16" s="50">
        <f t="shared" si="2"/>
        <v>44576</v>
      </c>
      <c r="B16" s="61">
        <v>29758</v>
      </c>
      <c r="C16" s="53">
        <v>1035</v>
      </c>
      <c r="D16" s="58">
        <f t="shared" si="0"/>
        <v>29758</v>
      </c>
      <c r="E16" s="58">
        <f t="shared" si="1"/>
        <v>1035</v>
      </c>
    </row>
    <row r="17" spans="1:5" x14ac:dyDescent="0.2">
      <c r="A17" s="50">
        <f t="shared" si="2"/>
        <v>44577</v>
      </c>
      <c r="B17" s="61">
        <v>29549</v>
      </c>
      <c r="C17" s="53">
        <v>1071</v>
      </c>
      <c r="D17" s="58">
        <f t="shared" si="0"/>
        <v>29549</v>
      </c>
      <c r="E17" s="58">
        <f t="shared" si="1"/>
        <v>1071</v>
      </c>
    </row>
    <row r="18" spans="1:5" x14ac:dyDescent="0.2">
      <c r="A18" s="50">
        <f t="shared" si="2"/>
        <v>44578</v>
      </c>
      <c r="B18" s="61">
        <v>29271</v>
      </c>
      <c r="C18" s="53">
        <v>1110</v>
      </c>
      <c r="D18" s="58">
        <f t="shared" si="0"/>
        <v>29271</v>
      </c>
      <c r="E18" s="58">
        <f t="shared" si="1"/>
        <v>1110</v>
      </c>
    </row>
    <row r="19" spans="1:5" x14ac:dyDescent="0.2">
      <c r="A19" s="50">
        <f t="shared" si="2"/>
        <v>44579</v>
      </c>
      <c r="B19" s="61">
        <v>30410</v>
      </c>
      <c r="C19" s="53">
        <v>1123</v>
      </c>
      <c r="D19" s="58">
        <f t="shared" si="0"/>
        <v>30410</v>
      </c>
      <c r="E19" s="58">
        <f t="shared" si="1"/>
        <v>1123</v>
      </c>
    </row>
    <row r="20" spans="1:5" x14ac:dyDescent="0.2">
      <c r="A20" s="50">
        <f t="shared" si="2"/>
        <v>44580</v>
      </c>
      <c r="B20" s="61">
        <v>29226</v>
      </c>
      <c r="C20" s="53">
        <v>1110</v>
      </c>
      <c r="D20" s="58">
        <f t="shared" si="0"/>
        <v>29226</v>
      </c>
      <c r="E20" s="58">
        <f t="shared" si="1"/>
        <v>1110</v>
      </c>
    </row>
    <row r="21" spans="1:5" x14ac:dyDescent="0.2">
      <c r="A21" s="50">
        <f t="shared" si="2"/>
        <v>44581</v>
      </c>
      <c r="B21" s="61">
        <v>30149</v>
      </c>
      <c r="C21" s="53">
        <v>1173</v>
      </c>
      <c r="D21" s="58">
        <f t="shared" si="0"/>
        <v>30149</v>
      </c>
      <c r="E21" s="58">
        <f t="shared" si="1"/>
        <v>1173</v>
      </c>
    </row>
    <row r="22" spans="1:5" x14ac:dyDescent="0.2">
      <c r="A22" s="50">
        <f t="shared" si="2"/>
        <v>44582</v>
      </c>
      <c r="B22" s="61">
        <v>30915</v>
      </c>
      <c r="C22" s="53">
        <v>1104</v>
      </c>
      <c r="D22" s="58">
        <f t="shared" si="0"/>
        <v>30915</v>
      </c>
      <c r="E22" s="58">
        <f t="shared" si="1"/>
        <v>1104</v>
      </c>
    </row>
    <row r="23" spans="1:5" x14ac:dyDescent="0.2">
      <c r="A23" s="50">
        <f t="shared" si="2"/>
        <v>44583</v>
      </c>
      <c r="B23" s="61">
        <v>31502</v>
      </c>
      <c r="C23" s="53">
        <v>1122</v>
      </c>
      <c r="D23" s="58">
        <f t="shared" si="0"/>
        <v>31502</v>
      </c>
      <c r="E23" s="58">
        <f t="shared" si="1"/>
        <v>1122</v>
      </c>
    </row>
    <row r="24" spans="1:5" x14ac:dyDescent="0.2">
      <c r="A24" s="50">
        <f t="shared" si="2"/>
        <v>44584</v>
      </c>
      <c r="B24" s="61">
        <v>29564</v>
      </c>
      <c r="C24" s="53">
        <v>1102</v>
      </c>
      <c r="D24" s="58">
        <f t="shared" si="0"/>
        <v>29564</v>
      </c>
      <c r="E24" s="58">
        <f t="shared" si="1"/>
        <v>1102</v>
      </c>
    </row>
    <row r="25" spans="1:5" x14ac:dyDescent="0.2">
      <c r="A25" s="50">
        <f t="shared" si="2"/>
        <v>44585</v>
      </c>
      <c r="B25" s="61">
        <v>29003</v>
      </c>
      <c r="C25" s="53">
        <v>1171</v>
      </c>
      <c r="D25" s="58">
        <f t="shared" si="0"/>
        <v>29003</v>
      </c>
      <c r="E25" s="58">
        <f t="shared" si="1"/>
        <v>1171</v>
      </c>
    </row>
    <row r="26" spans="1:5" x14ac:dyDescent="0.2">
      <c r="A26" s="50">
        <f t="shared" si="2"/>
        <v>44586</v>
      </c>
      <c r="B26" s="61">
        <v>29657</v>
      </c>
      <c r="C26" s="53">
        <v>1101</v>
      </c>
      <c r="D26" s="58">
        <f t="shared" si="0"/>
        <v>29657</v>
      </c>
      <c r="E26" s="58">
        <f t="shared" si="1"/>
        <v>1101</v>
      </c>
    </row>
    <row r="27" spans="1:5" x14ac:dyDescent="0.2">
      <c r="A27" s="50">
        <f t="shared" si="2"/>
        <v>44587</v>
      </c>
      <c r="B27" s="61">
        <v>31918</v>
      </c>
      <c r="C27" s="53">
        <v>1155</v>
      </c>
      <c r="D27" s="58">
        <f t="shared" si="0"/>
        <v>31918</v>
      </c>
      <c r="E27" s="58">
        <f t="shared" si="1"/>
        <v>1155</v>
      </c>
    </row>
    <row r="28" spans="1:5" x14ac:dyDescent="0.2">
      <c r="A28" s="50">
        <f t="shared" si="2"/>
        <v>44588</v>
      </c>
      <c r="B28" s="61">
        <v>30533</v>
      </c>
      <c r="C28" s="53">
        <v>1133</v>
      </c>
      <c r="D28" s="58">
        <f t="shared" si="0"/>
        <v>30533</v>
      </c>
      <c r="E28" s="58">
        <f t="shared" si="1"/>
        <v>1133</v>
      </c>
    </row>
    <row r="29" spans="1:5" x14ac:dyDescent="0.2">
      <c r="A29" s="50">
        <f t="shared" si="2"/>
        <v>44589</v>
      </c>
      <c r="B29" s="61">
        <v>30768</v>
      </c>
      <c r="C29" s="53">
        <v>1146</v>
      </c>
      <c r="D29" s="58">
        <f t="shared" si="0"/>
        <v>30768</v>
      </c>
      <c r="E29" s="58">
        <f t="shared" si="1"/>
        <v>1146</v>
      </c>
    </row>
    <row r="30" spans="1:5" x14ac:dyDescent="0.2">
      <c r="A30" s="50">
        <f t="shared" si="2"/>
        <v>44590</v>
      </c>
      <c r="B30" s="61">
        <v>31520</v>
      </c>
      <c r="C30" s="53">
        <v>1202</v>
      </c>
      <c r="D30" s="58">
        <f t="shared" si="0"/>
        <v>31520</v>
      </c>
      <c r="E30" s="58">
        <f t="shared" si="1"/>
        <v>1202</v>
      </c>
    </row>
    <row r="31" spans="1:5" x14ac:dyDescent="0.2">
      <c r="A31" s="50">
        <f>A30+1</f>
        <v>44591</v>
      </c>
      <c r="B31" s="61">
        <v>30318</v>
      </c>
      <c r="C31" s="53">
        <v>1219</v>
      </c>
      <c r="D31" s="58">
        <f t="shared" si="0"/>
        <v>30318</v>
      </c>
      <c r="E31" s="58">
        <f t="shared" si="1"/>
        <v>1219</v>
      </c>
    </row>
    <row r="32" spans="1:5" x14ac:dyDescent="0.2">
      <c r="A32" s="50">
        <f t="shared" ref="A32:A95" si="3">A31+1</f>
        <v>44592</v>
      </c>
      <c r="B32" s="61">
        <v>30566</v>
      </c>
      <c r="C32" s="53">
        <v>1206</v>
      </c>
      <c r="D32" s="58">
        <f t="shared" si="0"/>
        <v>30566</v>
      </c>
      <c r="E32" s="58">
        <f t="shared" si="1"/>
        <v>1206</v>
      </c>
    </row>
    <row r="33" spans="1:5" x14ac:dyDescent="0.2">
      <c r="A33" s="50">
        <f t="shared" si="3"/>
        <v>44593</v>
      </c>
      <c r="B33" s="61">
        <v>31863</v>
      </c>
      <c r="C33" s="53">
        <v>1158</v>
      </c>
      <c r="D33" s="58">
        <f t="shared" si="0"/>
        <v>31863</v>
      </c>
      <c r="E33" s="58">
        <f t="shared" si="1"/>
        <v>1158</v>
      </c>
    </row>
    <row r="34" spans="1:5" x14ac:dyDescent="0.2">
      <c r="A34" s="50">
        <f t="shared" si="3"/>
        <v>44594</v>
      </c>
      <c r="B34" s="61">
        <v>31055</v>
      </c>
      <c r="C34" s="53">
        <v>1220</v>
      </c>
      <c r="D34" s="58">
        <f t="shared" si="0"/>
        <v>31055</v>
      </c>
      <c r="E34" s="58">
        <f t="shared" si="1"/>
        <v>1220</v>
      </c>
    </row>
    <row r="35" spans="1:5" x14ac:dyDescent="0.2">
      <c r="A35" s="50">
        <f t="shared" si="3"/>
        <v>44595</v>
      </c>
      <c r="B35" s="61">
        <v>32709</v>
      </c>
      <c r="C35" s="53">
        <v>1164</v>
      </c>
      <c r="D35" s="58">
        <f t="shared" si="0"/>
        <v>32709</v>
      </c>
      <c r="E35" s="58">
        <f t="shared" si="1"/>
        <v>1164</v>
      </c>
    </row>
    <row r="36" spans="1:5" x14ac:dyDescent="0.2">
      <c r="A36" s="50">
        <f t="shared" si="3"/>
        <v>44596</v>
      </c>
      <c r="B36" s="61">
        <v>30388</v>
      </c>
      <c r="C36" s="53">
        <v>1219</v>
      </c>
      <c r="D36" s="58">
        <f t="shared" si="0"/>
        <v>30388</v>
      </c>
      <c r="E36" s="58">
        <f t="shared" si="1"/>
        <v>1219</v>
      </c>
    </row>
    <row r="37" spans="1:5" x14ac:dyDescent="0.2">
      <c r="A37" s="50">
        <f t="shared" si="3"/>
        <v>44597</v>
      </c>
      <c r="B37" s="61">
        <v>30150</v>
      </c>
      <c r="C37" s="53">
        <v>1232</v>
      </c>
      <c r="D37" s="58">
        <f t="shared" si="0"/>
        <v>30150</v>
      </c>
      <c r="E37" s="58">
        <f t="shared" si="1"/>
        <v>1232</v>
      </c>
    </row>
    <row r="38" spans="1:5" x14ac:dyDescent="0.2">
      <c r="A38" s="50">
        <f t="shared" si="3"/>
        <v>44598</v>
      </c>
      <c r="B38" s="61">
        <v>29634</v>
      </c>
      <c r="C38" s="53">
        <v>1222</v>
      </c>
      <c r="D38" s="58">
        <f t="shared" si="0"/>
        <v>29634</v>
      </c>
      <c r="E38" s="58">
        <f t="shared" si="1"/>
        <v>1222</v>
      </c>
    </row>
    <row r="39" spans="1:5" x14ac:dyDescent="0.2">
      <c r="A39" s="50">
        <f t="shared" si="3"/>
        <v>44599</v>
      </c>
      <c r="B39" s="61">
        <v>33143</v>
      </c>
      <c r="C39" s="53">
        <v>1166</v>
      </c>
      <c r="D39" s="58">
        <f t="shared" si="0"/>
        <v>33143</v>
      </c>
      <c r="E39" s="58">
        <f t="shared" si="1"/>
        <v>1166</v>
      </c>
    </row>
    <row r="40" spans="1:5" x14ac:dyDescent="0.2">
      <c r="A40" s="50">
        <f t="shared" si="3"/>
        <v>44600</v>
      </c>
      <c r="B40" s="61">
        <v>31950</v>
      </c>
      <c r="C40" s="53">
        <v>1184</v>
      </c>
      <c r="D40" s="58">
        <f t="shared" si="0"/>
        <v>31950</v>
      </c>
      <c r="E40" s="58">
        <f t="shared" si="1"/>
        <v>1184</v>
      </c>
    </row>
    <row r="41" spans="1:5" x14ac:dyDescent="0.2">
      <c r="A41" s="50">
        <f t="shared" si="3"/>
        <v>44601</v>
      </c>
      <c r="B41" s="61">
        <v>31980</v>
      </c>
      <c r="C41" s="53">
        <v>1200</v>
      </c>
      <c r="D41" s="58">
        <f t="shared" si="0"/>
        <v>31980</v>
      </c>
      <c r="E41" s="58">
        <f t="shared" si="1"/>
        <v>1200</v>
      </c>
    </row>
    <row r="42" spans="1:5" x14ac:dyDescent="0.2">
      <c r="A42" s="50">
        <f t="shared" si="3"/>
        <v>44602</v>
      </c>
      <c r="B42" s="61">
        <v>31565</v>
      </c>
      <c r="C42" s="53">
        <v>1175</v>
      </c>
      <c r="D42" s="58">
        <f t="shared" si="0"/>
        <v>31565</v>
      </c>
      <c r="E42" s="58">
        <f t="shared" si="1"/>
        <v>1175</v>
      </c>
    </row>
    <row r="43" spans="1:5" x14ac:dyDescent="0.2">
      <c r="A43" s="50">
        <f t="shared" si="3"/>
        <v>44603</v>
      </c>
      <c r="B43" s="61">
        <v>35560</v>
      </c>
      <c r="C43" s="53">
        <v>1203</v>
      </c>
      <c r="D43" s="58">
        <f t="shared" si="0"/>
        <v>35560</v>
      </c>
      <c r="E43" s="58">
        <f t="shared" si="1"/>
        <v>1203</v>
      </c>
    </row>
    <row r="44" spans="1:5" x14ac:dyDescent="0.2">
      <c r="A44" s="50">
        <f t="shared" si="3"/>
        <v>44604</v>
      </c>
      <c r="B44" s="61">
        <v>32969</v>
      </c>
      <c r="C44" s="53">
        <v>1177</v>
      </c>
      <c r="D44" s="58">
        <f t="shared" si="0"/>
        <v>32969</v>
      </c>
      <c r="E44" s="58">
        <f t="shared" si="1"/>
        <v>1177</v>
      </c>
    </row>
    <row r="45" spans="1:5" x14ac:dyDescent="0.2">
      <c r="A45" s="50">
        <f t="shared" si="3"/>
        <v>44605</v>
      </c>
      <c r="B45" s="61">
        <v>32228</v>
      </c>
      <c r="C45" s="53">
        <v>1139</v>
      </c>
      <c r="D45" s="58">
        <f t="shared" si="0"/>
        <v>32228</v>
      </c>
      <c r="E45" s="58">
        <f t="shared" si="1"/>
        <v>1139</v>
      </c>
    </row>
    <row r="46" spans="1:5" x14ac:dyDescent="0.2">
      <c r="A46" s="50">
        <f t="shared" si="3"/>
        <v>44606</v>
      </c>
      <c r="B46" s="61">
        <v>32315</v>
      </c>
      <c r="C46" s="53">
        <v>1123</v>
      </c>
      <c r="D46" s="58">
        <f t="shared" si="0"/>
        <v>32315</v>
      </c>
      <c r="E46" s="58">
        <f t="shared" si="1"/>
        <v>1123</v>
      </c>
    </row>
    <row r="47" spans="1:5" x14ac:dyDescent="0.2">
      <c r="A47" s="50">
        <f t="shared" si="3"/>
        <v>44607</v>
      </c>
      <c r="B47" s="61">
        <v>33098</v>
      </c>
      <c r="C47" s="53">
        <v>1142</v>
      </c>
      <c r="D47" s="58">
        <f t="shared" si="0"/>
        <v>33098</v>
      </c>
      <c r="E47" s="58">
        <f t="shared" si="1"/>
        <v>1142</v>
      </c>
    </row>
    <row r="48" spans="1:5" x14ac:dyDescent="0.2">
      <c r="A48" s="50">
        <f t="shared" si="3"/>
        <v>44608</v>
      </c>
      <c r="B48" s="61">
        <v>31704</v>
      </c>
      <c r="C48" s="53">
        <v>1164</v>
      </c>
      <c r="D48" s="58">
        <f t="shared" si="0"/>
        <v>31704</v>
      </c>
      <c r="E48" s="58">
        <f t="shared" si="1"/>
        <v>1164</v>
      </c>
    </row>
    <row r="49" spans="1:5" x14ac:dyDescent="0.2">
      <c r="A49" s="50">
        <f t="shared" si="3"/>
        <v>44609</v>
      </c>
      <c r="B49" s="61">
        <v>31958</v>
      </c>
      <c r="C49" s="53">
        <v>1168</v>
      </c>
      <c r="D49" s="58">
        <f t="shared" si="0"/>
        <v>31958</v>
      </c>
      <c r="E49" s="58">
        <f t="shared" si="1"/>
        <v>1168</v>
      </c>
    </row>
    <row r="50" spans="1:5" x14ac:dyDescent="0.2">
      <c r="A50" s="50">
        <f t="shared" si="3"/>
        <v>44610</v>
      </c>
      <c r="B50" s="61">
        <v>33361</v>
      </c>
      <c r="C50" s="53">
        <v>1191</v>
      </c>
      <c r="D50" s="58">
        <f t="shared" si="0"/>
        <v>33361</v>
      </c>
      <c r="E50" s="58">
        <f t="shared" si="1"/>
        <v>1191</v>
      </c>
    </row>
    <row r="51" spans="1:5" x14ac:dyDescent="0.2">
      <c r="A51" s="50">
        <f t="shared" si="3"/>
        <v>44611</v>
      </c>
      <c r="B51" s="61">
        <v>33104</v>
      </c>
      <c r="C51" s="53">
        <v>1188</v>
      </c>
      <c r="D51" s="58">
        <f t="shared" si="0"/>
        <v>33104</v>
      </c>
      <c r="E51" s="58">
        <f t="shared" si="1"/>
        <v>1188</v>
      </c>
    </row>
    <row r="52" spans="1:5" x14ac:dyDescent="0.2">
      <c r="A52" s="50">
        <f t="shared" si="3"/>
        <v>44612</v>
      </c>
      <c r="B52" s="61">
        <v>31703</v>
      </c>
      <c r="C52" s="53">
        <v>1225</v>
      </c>
      <c r="D52" s="58">
        <f t="shared" si="0"/>
        <v>31703</v>
      </c>
      <c r="E52" s="58">
        <f t="shared" si="1"/>
        <v>1225</v>
      </c>
    </row>
    <row r="53" spans="1:5" x14ac:dyDescent="0.2">
      <c r="A53" s="50">
        <f t="shared" si="3"/>
        <v>44613</v>
      </c>
      <c r="B53" s="61">
        <v>31951</v>
      </c>
      <c r="C53" s="53">
        <v>1198</v>
      </c>
      <c r="D53" s="58">
        <f t="shared" si="0"/>
        <v>31951</v>
      </c>
      <c r="E53" s="58">
        <f t="shared" si="1"/>
        <v>1198</v>
      </c>
    </row>
    <row r="54" spans="1:5" x14ac:dyDescent="0.2">
      <c r="A54" s="50">
        <f t="shared" si="3"/>
        <v>44614</v>
      </c>
      <c r="B54" s="61">
        <v>32144</v>
      </c>
      <c r="C54" s="53">
        <v>1182</v>
      </c>
      <c r="D54" s="58">
        <f t="shared" si="0"/>
        <v>32144</v>
      </c>
      <c r="E54" s="58">
        <f t="shared" si="1"/>
        <v>1182</v>
      </c>
    </row>
    <row r="55" spans="1:5" x14ac:dyDescent="0.2">
      <c r="A55" s="50">
        <f t="shared" si="3"/>
        <v>44615</v>
      </c>
      <c r="B55" s="61">
        <v>32149</v>
      </c>
      <c r="C55" s="53">
        <v>1203</v>
      </c>
      <c r="D55" s="58">
        <f t="shared" si="0"/>
        <v>32149</v>
      </c>
      <c r="E55" s="58">
        <f t="shared" si="1"/>
        <v>1203</v>
      </c>
    </row>
    <row r="56" spans="1:5" x14ac:dyDescent="0.2">
      <c r="A56" s="50">
        <f t="shared" si="3"/>
        <v>44616</v>
      </c>
      <c r="B56" s="61">
        <v>30860</v>
      </c>
      <c r="C56" s="53">
        <v>1220</v>
      </c>
      <c r="D56" s="58">
        <f t="shared" si="0"/>
        <v>30860</v>
      </c>
      <c r="E56" s="58">
        <f t="shared" si="1"/>
        <v>1220</v>
      </c>
    </row>
    <row r="57" spans="1:5" x14ac:dyDescent="0.2">
      <c r="A57" s="50">
        <f t="shared" si="3"/>
        <v>44617</v>
      </c>
      <c r="B57" s="61">
        <v>32804</v>
      </c>
      <c r="C57" s="53">
        <v>1192</v>
      </c>
      <c r="D57" s="58">
        <f t="shared" si="0"/>
        <v>32804</v>
      </c>
      <c r="E57" s="58">
        <f t="shared" si="1"/>
        <v>1192</v>
      </c>
    </row>
    <row r="58" spans="1:5" x14ac:dyDescent="0.2">
      <c r="A58" s="50">
        <f t="shared" si="3"/>
        <v>44618</v>
      </c>
      <c r="B58" s="61">
        <v>30768</v>
      </c>
      <c r="C58" s="53">
        <v>1170</v>
      </c>
      <c r="D58" s="58">
        <f t="shared" si="0"/>
        <v>30768</v>
      </c>
      <c r="E58" s="58">
        <f t="shared" si="1"/>
        <v>1170</v>
      </c>
    </row>
    <row r="59" spans="1:5" x14ac:dyDescent="0.2">
      <c r="A59" s="50">
        <f t="shared" si="3"/>
        <v>44619</v>
      </c>
      <c r="B59" s="61">
        <v>31896</v>
      </c>
      <c r="C59" s="53">
        <v>1148</v>
      </c>
      <c r="D59" s="58">
        <f t="shared" si="0"/>
        <v>31896</v>
      </c>
      <c r="E59" s="58">
        <f t="shared" si="1"/>
        <v>1148</v>
      </c>
    </row>
    <row r="60" spans="1:5" x14ac:dyDescent="0.2">
      <c r="A60" s="50">
        <f t="shared" si="3"/>
        <v>44620</v>
      </c>
      <c r="B60" s="61">
        <v>30224</v>
      </c>
      <c r="C60" s="53">
        <v>1167</v>
      </c>
      <c r="D60" s="58">
        <f t="shared" si="0"/>
        <v>30224</v>
      </c>
      <c r="E60" s="58">
        <f t="shared" si="1"/>
        <v>1167</v>
      </c>
    </row>
    <row r="61" spans="1:5" x14ac:dyDescent="0.2">
      <c r="A61" s="50">
        <f t="shared" si="3"/>
        <v>44621</v>
      </c>
      <c r="B61" s="61">
        <v>29821</v>
      </c>
      <c r="C61" s="53">
        <v>1121</v>
      </c>
      <c r="D61" s="58">
        <f t="shared" si="0"/>
        <v>29821</v>
      </c>
      <c r="E61" s="58">
        <f t="shared" si="1"/>
        <v>1121</v>
      </c>
    </row>
    <row r="62" spans="1:5" x14ac:dyDescent="0.2">
      <c r="A62" s="50">
        <f t="shared" si="3"/>
        <v>44622</v>
      </c>
      <c r="B62" s="61">
        <v>30127</v>
      </c>
      <c r="C62" s="53">
        <v>1101</v>
      </c>
      <c r="D62" s="58">
        <f t="shared" si="0"/>
        <v>30127</v>
      </c>
      <c r="E62" s="58">
        <f t="shared" si="1"/>
        <v>1101</v>
      </c>
    </row>
    <row r="63" spans="1:5" x14ac:dyDescent="0.2">
      <c r="A63" s="50">
        <f t="shared" si="3"/>
        <v>44623</v>
      </c>
      <c r="B63" s="61">
        <v>29566</v>
      </c>
      <c r="C63" s="53">
        <v>1033</v>
      </c>
      <c r="D63" s="58">
        <f t="shared" si="0"/>
        <v>29566</v>
      </c>
      <c r="E63" s="58">
        <f t="shared" si="1"/>
        <v>1033</v>
      </c>
    </row>
    <row r="64" spans="1:5" x14ac:dyDescent="0.2">
      <c r="A64" s="50">
        <f t="shared" si="3"/>
        <v>44624</v>
      </c>
      <c r="B64" s="61">
        <v>28182</v>
      </c>
      <c r="C64" s="53">
        <v>1028</v>
      </c>
      <c r="D64" s="58">
        <f t="shared" si="0"/>
        <v>28182</v>
      </c>
      <c r="E64" s="58">
        <f t="shared" si="1"/>
        <v>1028</v>
      </c>
    </row>
    <row r="65" spans="1:5" x14ac:dyDescent="0.2">
      <c r="A65" s="50">
        <f t="shared" si="3"/>
        <v>44625</v>
      </c>
      <c r="B65" s="61">
        <v>28060</v>
      </c>
      <c r="C65" s="53">
        <v>1058</v>
      </c>
      <c r="D65" s="58">
        <f t="shared" si="0"/>
        <v>28060</v>
      </c>
      <c r="E65" s="58">
        <f t="shared" si="1"/>
        <v>1058</v>
      </c>
    </row>
    <row r="66" spans="1:5" x14ac:dyDescent="0.2">
      <c r="A66" s="50">
        <f t="shared" si="3"/>
        <v>44626</v>
      </c>
      <c r="B66" s="61">
        <v>28997</v>
      </c>
      <c r="C66" s="53">
        <v>997</v>
      </c>
      <c r="D66" s="58">
        <f t="shared" ref="D66:D129" si="4">ROUND(B66,0)</f>
        <v>28997</v>
      </c>
      <c r="E66" s="58">
        <f t="shared" ref="E66:E129" si="5">ROUND(C66,0)</f>
        <v>997</v>
      </c>
    </row>
    <row r="67" spans="1:5" x14ac:dyDescent="0.2">
      <c r="A67" s="50">
        <f t="shared" si="3"/>
        <v>44627</v>
      </c>
      <c r="B67" s="61">
        <v>30929</v>
      </c>
      <c r="C67" s="53">
        <v>1027</v>
      </c>
      <c r="D67" s="58">
        <f t="shared" si="4"/>
        <v>30929</v>
      </c>
      <c r="E67" s="58">
        <f t="shared" si="5"/>
        <v>1027</v>
      </c>
    </row>
    <row r="68" spans="1:5" x14ac:dyDescent="0.2">
      <c r="A68" s="50">
        <f t="shared" si="3"/>
        <v>44628</v>
      </c>
      <c r="B68" s="61">
        <v>31212</v>
      </c>
      <c r="C68" s="53">
        <v>1087</v>
      </c>
      <c r="D68" s="58">
        <f t="shared" si="4"/>
        <v>31212</v>
      </c>
      <c r="E68" s="58">
        <f t="shared" si="5"/>
        <v>1087</v>
      </c>
    </row>
    <row r="69" spans="1:5" x14ac:dyDescent="0.2">
      <c r="A69" s="50">
        <f t="shared" si="3"/>
        <v>44629</v>
      </c>
      <c r="B69" s="61">
        <v>30615</v>
      </c>
      <c r="C69" s="53">
        <v>1128</v>
      </c>
      <c r="D69" s="58">
        <f t="shared" si="4"/>
        <v>30615</v>
      </c>
      <c r="E69" s="58">
        <f t="shared" si="5"/>
        <v>1128</v>
      </c>
    </row>
    <row r="70" spans="1:5" x14ac:dyDescent="0.2">
      <c r="A70" s="50">
        <f t="shared" si="3"/>
        <v>44630</v>
      </c>
      <c r="B70" s="61">
        <v>31283</v>
      </c>
      <c r="C70" s="53">
        <v>1064</v>
      </c>
      <c r="D70" s="58">
        <f t="shared" si="4"/>
        <v>31283</v>
      </c>
      <c r="E70" s="58">
        <f t="shared" si="5"/>
        <v>1064</v>
      </c>
    </row>
    <row r="71" spans="1:5" x14ac:dyDescent="0.2">
      <c r="A71" s="50">
        <f t="shared" si="3"/>
        <v>44631</v>
      </c>
      <c r="B71" s="61">
        <v>31523</v>
      </c>
      <c r="C71" s="53">
        <v>1094</v>
      </c>
      <c r="D71" s="58">
        <f t="shared" si="4"/>
        <v>31523</v>
      </c>
      <c r="E71" s="58">
        <f t="shared" si="5"/>
        <v>1094</v>
      </c>
    </row>
    <row r="72" spans="1:5" x14ac:dyDescent="0.2">
      <c r="A72" s="50">
        <f t="shared" si="3"/>
        <v>44632</v>
      </c>
      <c r="B72" s="61">
        <v>31561</v>
      </c>
      <c r="C72" s="53">
        <v>1130</v>
      </c>
      <c r="D72" s="58">
        <f t="shared" si="4"/>
        <v>31561</v>
      </c>
      <c r="E72" s="58">
        <f t="shared" si="5"/>
        <v>1130</v>
      </c>
    </row>
    <row r="73" spans="1:5" x14ac:dyDescent="0.2">
      <c r="A73" s="50">
        <f t="shared" si="3"/>
        <v>44633</v>
      </c>
      <c r="B73" s="61">
        <v>30916</v>
      </c>
      <c r="C73" s="53">
        <v>1186</v>
      </c>
      <c r="D73" s="58">
        <f t="shared" si="4"/>
        <v>30916</v>
      </c>
      <c r="E73" s="58">
        <f t="shared" si="5"/>
        <v>1186</v>
      </c>
    </row>
    <row r="74" spans="1:5" x14ac:dyDescent="0.2">
      <c r="A74" s="50">
        <f t="shared" si="3"/>
        <v>44634</v>
      </c>
      <c r="B74" s="61">
        <v>31074</v>
      </c>
      <c r="C74" s="53">
        <v>1183</v>
      </c>
      <c r="D74" s="58">
        <f t="shared" si="4"/>
        <v>31074</v>
      </c>
      <c r="E74" s="58">
        <f t="shared" si="5"/>
        <v>1183</v>
      </c>
    </row>
    <row r="75" spans="1:5" x14ac:dyDescent="0.2">
      <c r="A75" s="50">
        <f t="shared" si="3"/>
        <v>44635</v>
      </c>
      <c r="B75" s="61">
        <v>30722</v>
      </c>
      <c r="C75" s="53">
        <v>1122</v>
      </c>
      <c r="D75" s="58">
        <f t="shared" si="4"/>
        <v>30722</v>
      </c>
      <c r="E75" s="58">
        <f t="shared" si="5"/>
        <v>1122</v>
      </c>
    </row>
    <row r="76" spans="1:5" x14ac:dyDescent="0.2">
      <c r="A76" s="50">
        <f t="shared" si="3"/>
        <v>44636</v>
      </c>
      <c r="B76" s="61">
        <v>30473</v>
      </c>
      <c r="C76" s="53">
        <v>1171</v>
      </c>
      <c r="D76" s="58">
        <f t="shared" si="4"/>
        <v>30473</v>
      </c>
      <c r="E76" s="58">
        <f t="shared" si="5"/>
        <v>1171</v>
      </c>
    </row>
    <row r="77" spans="1:5" x14ac:dyDescent="0.2">
      <c r="A77" s="50">
        <f t="shared" si="3"/>
        <v>44637</v>
      </c>
      <c r="B77" s="61">
        <v>32357</v>
      </c>
      <c r="C77" s="53">
        <v>1177</v>
      </c>
      <c r="D77" s="58">
        <f t="shared" si="4"/>
        <v>32357</v>
      </c>
      <c r="E77" s="58">
        <f t="shared" si="5"/>
        <v>1177</v>
      </c>
    </row>
    <row r="78" spans="1:5" x14ac:dyDescent="0.2">
      <c r="A78" s="50">
        <f t="shared" si="3"/>
        <v>44638</v>
      </c>
      <c r="B78" s="61">
        <v>29480</v>
      </c>
      <c r="C78" s="53">
        <v>1141</v>
      </c>
      <c r="D78" s="58">
        <f t="shared" si="4"/>
        <v>29480</v>
      </c>
      <c r="E78" s="58">
        <f t="shared" si="5"/>
        <v>1141</v>
      </c>
    </row>
    <row r="79" spans="1:5" x14ac:dyDescent="0.2">
      <c r="A79" s="50">
        <f t="shared" si="3"/>
        <v>44639</v>
      </c>
      <c r="B79" s="61">
        <v>31380</v>
      </c>
      <c r="C79" s="53">
        <v>1222</v>
      </c>
      <c r="D79" s="58">
        <f t="shared" si="4"/>
        <v>31380</v>
      </c>
      <c r="E79" s="58">
        <f t="shared" si="5"/>
        <v>1222</v>
      </c>
    </row>
    <row r="80" spans="1:5" x14ac:dyDescent="0.2">
      <c r="A80" s="50">
        <f t="shared" si="3"/>
        <v>44640</v>
      </c>
      <c r="B80" s="61">
        <v>30858</v>
      </c>
      <c r="C80" s="53">
        <v>1195</v>
      </c>
      <c r="D80" s="58">
        <f t="shared" si="4"/>
        <v>30858</v>
      </c>
      <c r="E80" s="58">
        <f t="shared" si="5"/>
        <v>1195</v>
      </c>
    </row>
    <row r="81" spans="1:5" x14ac:dyDescent="0.2">
      <c r="A81" s="50">
        <f t="shared" si="3"/>
        <v>44641</v>
      </c>
      <c r="B81" s="61">
        <v>31289</v>
      </c>
      <c r="C81" s="53">
        <v>1157</v>
      </c>
      <c r="D81" s="58">
        <f t="shared" si="4"/>
        <v>31289</v>
      </c>
      <c r="E81" s="58">
        <f t="shared" si="5"/>
        <v>1157</v>
      </c>
    </row>
    <row r="82" spans="1:5" x14ac:dyDescent="0.2">
      <c r="A82" s="50">
        <f t="shared" si="3"/>
        <v>44642</v>
      </c>
      <c r="B82" s="61">
        <v>32248</v>
      </c>
      <c r="C82" s="53">
        <v>1158</v>
      </c>
      <c r="D82" s="58">
        <f t="shared" si="4"/>
        <v>32248</v>
      </c>
      <c r="E82" s="58">
        <f t="shared" si="5"/>
        <v>1158</v>
      </c>
    </row>
    <row r="83" spans="1:5" x14ac:dyDescent="0.2">
      <c r="A83" s="50">
        <f t="shared" si="3"/>
        <v>44643</v>
      </c>
      <c r="B83" s="61">
        <v>32404</v>
      </c>
      <c r="C83" s="53">
        <v>1217</v>
      </c>
      <c r="D83" s="58">
        <f t="shared" si="4"/>
        <v>32404</v>
      </c>
      <c r="E83" s="58">
        <f t="shared" si="5"/>
        <v>1217</v>
      </c>
    </row>
    <row r="84" spans="1:5" x14ac:dyDescent="0.2">
      <c r="A84" s="50">
        <f t="shared" si="3"/>
        <v>44644</v>
      </c>
      <c r="B84" s="61">
        <v>31880</v>
      </c>
      <c r="C84" s="53">
        <v>1148</v>
      </c>
      <c r="D84" s="58">
        <f t="shared" si="4"/>
        <v>31880</v>
      </c>
      <c r="E84" s="58">
        <f t="shared" si="5"/>
        <v>1148</v>
      </c>
    </row>
    <row r="85" spans="1:5" x14ac:dyDescent="0.2">
      <c r="A85" s="50">
        <f t="shared" si="3"/>
        <v>44645</v>
      </c>
      <c r="B85" s="61">
        <v>31809</v>
      </c>
      <c r="C85" s="53">
        <v>1205</v>
      </c>
      <c r="D85" s="58">
        <f t="shared" si="4"/>
        <v>31809</v>
      </c>
      <c r="E85" s="58">
        <f t="shared" si="5"/>
        <v>1205</v>
      </c>
    </row>
    <row r="86" spans="1:5" x14ac:dyDescent="0.2">
      <c r="A86" s="50">
        <f t="shared" si="3"/>
        <v>44646</v>
      </c>
      <c r="B86" s="61">
        <v>31301</v>
      </c>
      <c r="C86" s="53">
        <v>1149</v>
      </c>
      <c r="D86" s="58">
        <f t="shared" si="4"/>
        <v>31301</v>
      </c>
      <c r="E86" s="58">
        <f t="shared" si="5"/>
        <v>1149</v>
      </c>
    </row>
    <row r="87" spans="1:5" x14ac:dyDescent="0.2">
      <c r="A87" s="50">
        <f t="shared" si="3"/>
        <v>44647</v>
      </c>
      <c r="B87" s="61">
        <v>30827</v>
      </c>
      <c r="C87" s="53">
        <v>1173</v>
      </c>
      <c r="D87" s="58">
        <f t="shared" si="4"/>
        <v>30827</v>
      </c>
      <c r="E87" s="58">
        <f t="shared" si="5"/>
        <v>1173</v>
      </c>
    </row>
    <row r="88" spans="1:5" x14ac:dyDescent="0.2">
      <c r="A88" s="50">
        <f t="shared" si="3"/>
        <v>44648</v>
      </c>
      <c r="B88" s="61">
        <v>28805</v>
      </c>
      <c r="C88" s="53">
        <v>1140</v>
      </c>
      <c r="D88" s="58">
        <f t="shared" si="4"/>
        <v>28805</v>
      </c>
      <c r="E88" s="58">
        <f t="shared" si="5"/>
        <v>1140</v>
      </c>
    </row>
    <row r="89" spans="1:5" x14ac:dyDescent="0.2">
      <c r="A89" s="50">
        <f t="shared" si="3"/>
        <v>44649</v>
      </c>
      <c r="B89" s="61">
        <v>32600</v>
      </c>
      <c r="C89" s="53">
        <v>1185</v>
      </c>
      <c r="D89" s="58">
        <f t="shared" si="4"/>
        <v>32600</v>
      </c>
      <c r="E89" s="58">
        <f t="shared" si="5"/>
        <v>1185</v>
      </c>
    </row>
    <row r="90" spans="1:5" x14ac:dyDescent="0.2">
      <c r="A90" s="50">
        <f t="shared" si="3"/>
        <v>44650</v>
      </c>
      <c r="B90" s="61">
        <v>31674</v>
      </c>
      <c r="C90" s="53">
        <v>1207</v>
      </c>
      <c r="D90" s="58">
        <f t="shared" si="4"/>
        <v>31674</v>
      </c>
      <c r="E90" s="58">
        <f t="shared" si="5"/>
        <v>1207</v>
      </c>
    </row>
    <row r="91" spans="1:5" x14ac:dyDescent="0.2">
      <c r="A91" s="50">
        <f t="shared" si="3"/>
        <v>44651</v>
      </c>
      <c r="B91" s="61">
        <v>31495</v>
      </c>
      <c r="C91" s="53">
        <v>1168</v>
      </c>
      <c r="D91" s="58">
        <f t="shared" si="4"/>
        <v>31495</v>
      </c>
      <c r="E91" s="58">
        <f t="shared" si="5"/>
        <v>1168</v>
      </c>
    </row>
    <row r="92" spans="1:5" x14ac:dyDescent="0.2">
      <c r="A92" s="50">
        <f t="shared" si="3"/>
        <v>44652</v>
      </c>
      <c r="B92" s="61">
        <v>30859</v>
      </c>
      <c r="C92" s="53">
        <v>1199</v>
      </c>
      <c r="D92" s="58">
        <f t="shared" si="4"/>
        <v>30859</v>
      </c>
      <c r="E92" s="58">
        <f t="shared" si="5"/>
        <v>1199</v>
      </c>
    </row>
    <row r="93" spans="1:5" x14ac:dyDescent="0.2">
      <c r="A93" s="50">
        <f t="shared" si="3"/>
        <v>44653</v>
      </c>
      <c r="B93" s="61">
        <v>30821</v>
      </c>
      <c r="C93" s="53">
        <v>1189</v>
      </c>
      <c r="D93" s="58">
        <f t="shared" si="4"/>
        <v>30821</v>
      </c>
      <c r="E93" s="58">
        <f t="shared" si="5"/>
        <v>1189</v>
      </c>
    </row>
    <row r="94" spans="1:5" x14ac:dyDescent="0.2">
      <c r="A94" s="50">
        <f t="shared" si="3"/>
        <v>44654</v>
      </c>
      <c r="B94" s="61">
        <v>29025</v>
      </c>
      <c r="C94" s="53">
        <v>1173</v>
      </c>
      <c r="D94" s="58">
        <f t="shared" si="4"/>
        <v>29025</v>
      </c>
      <c r="E94" s="58">
        <f t="shared" si="5"/>
        <v>1173</v>
      </c>
    </row>
    <row r="95" spans="1:5" x14ac:dyDescent="0.2">
      <c r="A95" s="50">
        <f t="shared" si="3"/>
        <v>44655</v>
      </c>
      <c r="B95" s="61">
        <v>28958</v>
      </c>
      <c r="C95" s="53">
        <v>1038</v>
      </c>
      <c r="D95" s="58">
        <f t="shared" si="4"/>
        <v>28958</v>
      </c>
      <c r="E95" s="58">
        <f t="shared" si="5"/>
        <v>1038</v>
      </c>
    </row>
    <row r="96" spans="1:5" x14ac:dyDescent="0.2">
      <c r="A96" s="50">
        <f t="shared" ref="A96:A159" si="6">A95+1</f>
        <v>44656</v>
      </c>
      <c r="B96" s="61">
        <v>30428</v>
      </c>
      <c r="C96" s="53">
        <v>1200</v>
      </c>
      <c r="D96" s="58">
        <f t="shared" si="4"/>
        <v>30428</v>
      </c>
      <c r="E96" s="58">
        <f t="shared" si="5"/>
        <v>1200</v>
      </c>
    </row>
    <row r="97" spans="1:5" x14ac:dyDescent="0.2">
      <c r="A97" s="50">
        <f t="shared" si="6"/>
        <v>44657</v>
      </c>
      <c r="B97" s="61">
        <v>29311</v>
      </c>
      <c r="C97" s="53">
        <v>1210</v>
      </c>
      <c r="D97" s="58">
        <f t="shared" si="4"/>
        <v>29311</v>
      </c>
      <c r="E97" s="58">
        <f t="shared" si="5"/>
        <v>1210</v>
      </c>
    </row>
    <row r="98" spans="1:5" x14ac:dyDescent="0.2">
      <c r="A98" s="50">
        <f t="shared" si="6"/>
        <v>44658</v>
      </c>
      <c r="B98" s="61">
        <v>30284</v>
      </c>
      <c r="C98" s="53">
        <v>1173</v>
      </c>
      <c r="D98" s="58">
        <f t="shared" si="4"/>
        <v>30284</v>
      </c>
      <c r="E98" s="58">
        <f t="shared" si="5"/>
        <v>1173</v>
      </c>
    </row>
    <row r="99" spans="1:5" x14ac:dyDescent="0.2">
      <c r="A99" s="50">
        <f t="shared" si="6"/>
        <v>44659</v>
      </c>
      <c r="B99" s="61">
        <v>31463</v>
      </c>
      <c r="C99" s="53">
        <v>1161</v>
      </c>
      <c r="D99" s="58">
        <f t="shared" si="4"/>
        <v>31463</v>
      </c>
      <c r="E99" s="58">
        <f t="shared" si="5"/>
        <v>1161</v>
      </c>
    </row>
    <row r="100" spans="1:5" x14ac:dyDescent="0.2">
      <c r="A100" s="50">
        <f t="shared" si="6"/>
        <v>44660</v>
      </c>
      <c r="B100" s="61">
        <v>29276</v>
      </c>
      <c r="C100" s="53">
        <v>1108</v>
      </c>
      <c r="D100" s="58">
        <f t="shared" si="4"/>
        <v>29276</v>
      </c>
      <c r="E100" s="58">
        <f t="shared" si="5"/>
        <v>1108</v>
      </c>
    </row>
    <row r="101" spans="1:5" x14ac:dyDescent="0.2">
      <c r="A101" s="50">
        <f t="shared" si="6"/>
        <v>44661</v>
      </c>
      <c r="B101" s="61">
        <v>28013</v>
      </c>
      <c r="C101" s="53">
        <v>924</v>
      </c>
      <c r="D101" s="58">
        <f t="shared" si="4"/>
        <v>28013</v>
      </c>
      <c r="E101" s="58">
        <f t="shared" si="5"/>
        <v>924</v>
      </c>
    </row>
    <row r="102" spans="1:5" x14ac:dyDescent="0.2">
      <c r="A102" s="50">
        <f t="shared" si="6"/>
        <v>44662</v>
      </c>
      <c r="B102" s="61">
        <v>29824</v>
      </c>
      <c r="C102" s="53">
        <v>1054</v>
      </c>
      <c r="D102" s="58">
        <f t="shared" si="4"/>
        <v>29824</v>
      </c>
      <c r="E102" s="58">
        <f t="shared" si="5"/>
        <v>1054</v>
      </c>
    </row>
    <row r="103" spans="1:5" x14ac:dyDescent="0.2">
      <c r="A103" s="50">
        <f t="shared" si="6"/>
        <v>44663</v>
      </c>
      <c r="B103" s="61">
        <v>29130</v>
      </c>
      <c r="C103" s="53">
        <v>1152</v>
      </c>
      <c r="D103" s="58">
        <f t="shared" si="4"/>
        <v>29130</v>
      </c>
      <c r="E103" s="58">
        <f t="shared" si="5"/>
        <v>1152</v>
      </c>
    </row>
    <row r="104" spans="1:5" x14ac:dyDescent="0.2">
      <c r="A104" s="50">
        <f t="shared" si="6"/>
        <v>44664</v>
      </c>
      <c r="B104" s="61">
        <v>27778</v>
      </c>
      <c r="C104" s="53">
        <v>1173</v>
      </c>
      <c r="D104" s="58">
        <f t="shared" si="4"/>
        <v>27778</v>
      </c>
      <c r="E104" s="58">
        <f t="shared" si="5"/>
        <v>1173</v>
      </c>
    </row>
    <row r="105" spans="1:5" x14ac:dyDescent="0.2">
      <c r="A105" s="50">
        <f t="shared" si="6"/>
        <v>44665</v>
      </c>
      <c r="B105" s="61">
        <v>29522</v>
      </c>
      <c r="C105" s="53">
        <v>1138</v>
      </c>
      <c r="D105" s="58">
        <f t="shared" si="4"/>
        <v>29522</v>
      </c>
      <c r="E105" s="58">
        <f t="shared" si="5"/>
        <v>1138</v>
      </c>
    </row>
    <row r="106" spans="1:5" x14ac:dyDescent="0.2">
      <c r="A106" s="50">
        <f t="shared" si="6"/>
        <v>44666</v>
      </c>
      <c r="B106" s="61">
        <v>27786</v>
      </c>
      <c r="C106" s="53">
        <v>1163</v>
      </c>
      <c r="D106" s="58">
        <f t="shared" si="4"/>
        <v>27786</v>
      </c>
      <c r="E106" s="58">
        <f t="shared" si="5"/>
        <v>1163</v>
      </c>
    </row>
    <row r="107" spans="1:5" x14ac:dyDescent="0.2">
      <c r="A107" s="50">
        <f t="shared" si="6"/>
        <v>44667</v>
      </c>
      <c r="B107" s="61">
        <v>27508</v>
      </c>
      <c r="C107" s="53">
        <v>1177</v>
      </c>
      <c r="D107" s="58">
        <f t="shared" si="4"/>
        <v>27508</v>
      </c>
      <c r="E107" s="58">
        <f t="shared" si="5"/>
        <v>1177</v>
      </c>
    </row>
    <row r="108" spans="1:5" x14ac:dyDescent="0.2">
      <c r="A108" s="50">
        <f t="shared" si="6"/>
        <v>44668</v>
      </c>
      <c r="B108" s="61">
        <v>27503</v>
      </c>
      <c r="C108" s="53">
        <v>1092</v>
      </c>
      <c r="D108" s="58">
        <f t="shared" si="4"/>
        <v>27503</v>
      </c>
      <c r="E108" s="58">
        <f t="shared" si="5"/>
        <v>1092</v>
      </c>
    </row>
    <row r="109" spans="1:5" x14ac:dyDescent="0.2">
      <c r="A109" s="50">
        <f t="shared" si="6"/>
        <v>44669</v>
      </c>
      <c r="B109" s="61">
        <v>25721</v>
      </c>
      <c r="C109" s="53">
        <v>835</v>
      </c>
      <c r="D109" s="58">
        <f t="shared" si="4"/>
        <v>25721</v>
      </c>
      <c r="E109" s="58">
        <f t="shared" si="5"/>
        <v>835</v>
      </c>
    </row>
    <row r="110" spans="1:5" x14ac:dyDescent="0.2">
      <c r="A110" s="50">
        <f t="shared" si="6"/>
        <v>44670</v>
      </c>
      <c r="B110" s="61">
        <v>27969</v>
      </c>
      <c r="C110" s="53">
        <v>1191</v>
      </c>
      <c r="D110" s="58">
        <f t="shared" si="4"/>
        <v>27969</v>
      </c>
      <c r="E110" s="58">
        <f t="shared" si="5"/>
        <v>1191</v>
      </c>
    </row>
    <row r="111" spans="1:5" x14ac:dyDescent="0.2">
      <c r="A111" s="50">
        <f t="shared" si="6"/>
        <v>44671</v>
      </c>
      <c r="B111" s="61">
        <v>28411</v>
      </c>
      <c r="C111" s="53">
        <v>1161</v>
      </c>
      <c r="D111" s="58">
        <f t="shared" si="4"/>
        <v>28411</v>
      </c>
      <c r="E111" s="58">
        <f t="shared" si="5"/>
        <v>1161</v>
      </c>
    </row>
    <row r="112" spans="1:5" x14ac:dyDescent="0.2">
      <c r="A112" s="50">
        <f t="shared" si="6"/>
        <v>44672</v>
      </c>
      <c r="B112" s="61">
        <v>29051</v>
      </c>
      <c r="C112" s="53">
        <v>1237</v>
      </c>
      <c r="D112" s="58">
        <f t="shared" si="4"/>
        <v>29051</v>
      </c>
      <c r="E112" s="58">
        <f t="shared" si="5"/>
        <v>1237</v>
      </c>
    </row>
    <row r="113" spans="1:5" x14ac:dyDescent="0.2">
      <c r="A113" s="50">
        <f t="shared" si="6"/>
        <v>44673</v>
      </c>
      <c r="B113" s="61">
        <v>29546</v>
      </c>
      <c r="C113" s="53">
        <v>1207</v>
      </c>
      <c r="D113" s="58">
        <f t="shared" si="4"/>
        <v>29546</v>
      </c>
      <c r="E113" s="58">
        <f t="shared" si="5"/>
        <v>1207</v>
      </c>
    </row>
    <row r="114" spans="1:5" x14ac:dyDescent="0.2">
      <c r="A114" s="50">
        <f t="shared" si="6"/>
        <v>44674</v>
      </c>
      <c r="B114" s="61">
        <v>30293</v>
      </c>
      <c r="C114" s="53">
        <v>1196</v>
      </c>
      <c r="D114" s="58">
        <f t="shared" si="4"/>
        <v>30293</v>
      </c>
      <c r="E114" s="58">
        <f t="shared" si="5"/>
        <v>1196</v>
      </c>
    </row>
    <row r="115" spans="1:5" x14ac:dyDescent="0.2">
      <c r="A115" s="50">
        <f t="shared" si="6"/>
        <v>44675</v>
      </c>
      <c r="B115" s="61">
        <v>27942</v>
      </c>
      <c r="C115" s="53">
        <v>1244</v>
      </c>
      <c r="D115" s="58">
        <f t="shared" si="4"/>
        <v>27942</v>
      </c>
      <c r="E115" s="58">
        <f t="shared" si="5"/>
        <v>1244</v>
      </c>
    </row>
    <row r="116" spans="1:5" x14ac:dyDescent="0.2">
      <c r="A116" s="50">
        <f t="shared" si="6"/>
        <v>44676</v>
      </c>
      <c r="B116" s="61">
        <v>28492</v>
      </c>
      <c r="C116" s="53">
        <v>1170</v>
      </c>
      <c r="D116" s="58">
        <f t="shared" si="4"/>
        <v>28492</v>
      </c>
      <c r="E116" s="58">
        <f t="shared" si="5"/>
        <v>1170</v>
      </c>
    </row>
    <row r="117" spans="1:5" x14ac:dyDescent="0.2">
      <c r="A117" s="50">
        <f t="shared" si="6"/>
        <v>44677</v>
      </c>
      <c r="B117" s="61">
        <v>28449</v>
      </c>
      <c r="C117" s="53">
        <v>1230</v>
      </c>
      <c r="D117" s="58">
        <f t="shared" si="4"/>
        <v>28449</v>
      </c>
      <c r="E117" s="58">
        <f t="shared" si="5"/>
        <v>1230</v>
      </c>
    </row>
    <row r="118" spans="1:5" x14ac:dyDescent="0.2">
      <c r="A118" s="50">
        <f t="shared" si="6"/>
        <v>44678</v>
      </c>
      <c r="B118" s="61">
        <v>26265</v>
      </c>
      <c r="C118" s="53">
        <v>1143</v>
      </c>
      <c r="D118" s="58">
        <f t="shared" si="4"/>
        <v>26265</v>
      </c>
      <c r="E118" s="58">
        <f t="shared" si="5"/>
        <v>1143</v>
      </c>
    </row>
    <row r="119" spans="1:5" x14ac:dyDescent="0.2">
      <c r="A119" s="50">
        <f t="shared" si="6"/>
        <v>44679</v>
      </c>
      <c r="B119" s="61">
        <v>27955</v>
      </c>
      <c r="C119" s="53">
        <v>1224</v>
      </c>
      <c r="D119" s="58">
        <f t="shared" si="4"/>
        <v>27955</v>
      </c>
      <c r="E119" s="58">
        <f t="shared" si="5"/>
        <v>1224</v>
      </c>
    </row>
    <row r="120" spans="1:5" x14ac:dyDescent="0.2">
      <c r="A120" s="50">
        <f t="shared" si="6"/>
        <v>44680</v>
      </c>
      <c r="B120" s="61">
        <v>27927</v>
      </c>
      <c r="C120" s="53">
        <v>1127</v>
      </c>
      <c r="D120" s="58">
        <f t="shared" si="4"/>
        <v>27927</v>
      </c>
      <c r="E120" s="58">
        <f t="shared" si="5"/>
        <v>1127</v>
      </c>
    </row>
    <row r="121" spans="1:5" x14ac:dyDescent="0.2">
      <c r="A121" s="50">
        <f t="shared" si="6"/>
        <v>44681</v>
      </c>
      <c r="B121" s="61">
        <v>30212</v>
      </c>
      <c r="C121" s="53">
        <v>1133</v>
      </c>
      <c r="D121" s="58">
        <f t="shared" si="4"/>
        <v>30212</v>
      </c>
      <c r="E121" s="58">
        <f t="shared" si="5"/>
        <v>1133</v>
      </c>
    </row>
    <row r="122" spans="1:5" x14ac:dyDescent="0.2">
      <c r="A122" s="50">
        <f t="shared" si="6"/>
        <v>44682</v>
      </c>
      <c r="B122" s="61">
        <v>28400</v>
      </c>
      <c r="C122" s="53">
        <v>1110</v>
      </c>
      <c r="D122" s="58">
        <f t="shared" si="4"/>
        <v>28400</v>
      </c>
      <c r="E122" s="58">
        <f t="shared" si="5"/>
        <v>1110</v>
      </c>
    </row>
    <row r="123" spans="1:5" x14ac:dyDescent="0.2">
      <c r="A123" s="50">
        <f t="shared" si="6"/>
        <v>44683</v>
      </c>
      <c r="B123" s="61">
        <v>28509</v>
      </c>
      <c r="C123" s="53">
        <v>1153</v>
      </c>
      <c r="D123" s="58">
        <f t="shared" si="4"/>
        <v>28509</v>
      </c>
      <c r="E123" s="58">
        <f t="shared" si="5"/>
        <v>1153</v>
      </c>
    </row>
    <row r="124" spans="1:5" x14ac:dyDescent="0.2">
      <c r="A124" s="50">
        <f t="shared" si="6"/>
        <v>44684</v>
      </c>
      <c r="B124" s="61">
        <v>28024</v>
      </c>
      <c r="C124" s="53">
        <v>1028</v>
      </c>
      <c r="D124" s="58">
        <f t="shared" si="4"/>
        <v>28024</v>
      </c>
      <c r="E124" s="58">
        <f t="shared" si="5"/>
        <v>1028</v>
      </c>
    </row>
    <row r="125" spans="1:5" x14ac:dyDescent="0.2">
      <c r="A125" s="50">
        <f t="shared" si="6"/>
        <v>44685</v>
      </c>
      <c r="B125" s="61">
        <v>28122</v>
      </c>
      <c r="C125" s="53">
        <v>1060</v>
      </c>
      <c r="D125" s="58">
        <f t="shared" si="4"/>
        <v>28122</v>
      </c>
      <c r="E125" s="58">
        <f t="shared" si="5"/>
        <v>1060</v>
      </c>
    </row>
    <row r="126" spans="1:5" x14ac:dyDescent="0.2">
      <c r="A126" s="50">
        <f t="shared" si="6"/>
        <v>44686</v>
      </c>
      <c r="B126" s="61">
        <v>28084</v>
      </c>
      <c r="C126" s="53">
        <v>1075</v>
      </c>
      <c r="D126" s="58">
        <f t="shared" si="4"/>
        <v>28084</v>
      </c>
      <c r="E126" s="58">
        <f t="shared" si="5"/>
        <v>1075</v>
      </c>
    </row>
    <row r="127" spans="1:5" x14ac:dyDescent="0.2">
      <c r="A127" s="50">
        <f t="shared" si="6"/>
        <v>44687</v>
      </c>
      <c r="B127" s="61">
        <v>28980</v>
      </c>
      <c r="C127" s="53">
        <v>1109</v>
      </c>
      <c r="D127" s="58">
        <f t="shared" si="4"/>
        <v>28980</v>
      </c>
      <c r="E127" s="58">
        <f t="shared" si="5"/>
        <v>1109</v>
      </c>
    </row>
    <row r="128" spans="1:5" x14ac:dyDescent="0.2">
      <c r="A128" s="50">
        <f t="shared" si="6"/>
        <v>44688</v>
      </c>
      <c r="B128" s="61">
        <v>27531</v>
      </c>
      <c r="C128" s="53">
        <v>1007</v>
      </c>
      <c r="D128" s="58">
        <f t="shared" si="4"/>
        <v>27531</v>
      </c>
      <c r="E128" s="58">
        <f t="shared" si="5"/>
        <v>1007</v>
      </c>
    </row>
    <row r="129" spans="1:5" x14ac:dyDescent="0.2">
      <c r="A129" s="50">
        <f t="shared" si="6"/>
        <v>44689</v>
      </c>
      <c r="B129" s="61">
        <v>27825</v>
      </c>
      <c r="C129" s="53">
        <v>981</v>
      </c>
      <c r="D129" s="58">
        <f t="shared" si="4"/>
        <v>27825</v>
      </c>
      <c r="E129" s="58">
        <f t="shared" si="5"/>
        <v>981</v>
      </c>
    </row>
    <row r="130" spans="1:5" x14ac:dyDescent="0.2">
      <c r="A130" s="50">
        <f t="shared" si="6"/>
        <v>44690</v>
      </c>
      <c r="B130" s="61">
        <v>26801</v>
      </c>
      <c r="C130" s="53">
        <v>1014</v>
      </c>
      <c r="D130" s="58">
        <f t="shared" ref="D130:D193" si="7">ROUND(B130,0)</f>
        <v>26801</v>
      </c>
      <c r="E130" s="58">
        <f t="shared" ref="E130:E193" si="8">ROUND(C130,0)</f>
        <v>1014</v>
      </c>
    </row>
    <row r="131" spans="1:5" x14ac:dyDescent="0.2">
      <c r="A131" s="50">
        <f t="shared" si="6"/>
        <v>44691</v>
      </c>
      <c r="B131" s="61">
        <v>27592</v>
      </c>
      <c r="C131" s="53">
        <v>1088</v>
      </c>
      <c r="D131" s="58">
        <f t="shared" si="7"/>
        <v>27592</v>
      </c>
      <c r="E131" s="58">
        <f t="shared" si="8"/>
        <v>1088</v>
      </c>
    </row>
    <row r="132" spans="1:5" x14ac:dyDescent="0.2">
      <c r="A132" s="50">
        <f t="shared" si="6"/>
        <v>44692</v>
      </c>
      <c r="B132" s="61">
        <v>28775</v>
      </c>
      <c r="C132" s="53">
        <v>1119</v>
      </c>
      <c r="D132" s="58">
        <f t="shared" si="7"/>
        <v>28775</v>
      </c>
      <c r="E132" s="58">
        <f t="shared" si="8"/>
        <v>1119</v>
      </c>
    </row>
    <row r="133" spans="1:5" x14ac:dyDescent="0.2">
      <c r="A133" s="50">
        <f t="shared" si="6"/>
        <v>44693</v>
      </c>
      <c r="B133" s="61">
        <v>29312</v>
      </c>
      <c r="C133" s="53">
        <v>1176</v>
      </c>
      <c r="D133" s="58">
        <f t="shared" si="7"/>
        <v>29312</v>
      </c>
      <c r="E133" s="58">
        <f t="shared" si="8"/>
        <v>1176</v>
      </c>
    </row>
    <row r="134" spans="1:5" x14ac:dyDescent="0.2">
      <c r="A134" s="50">
        <f t="shared" si="6"/>
        <v>44694</v>
      </c>
      <c r="B134" s="61">
        <v>28177</v>
      </c>
      <c r="C134" s="53">
        <v>1116</v>
      </c>
      <c r="D134" s="58">
        <f t="shared" si="7"/>
        <v>28177</v>
      </c>
      <c r="E134" s="58">
        <f t="shared" si="8"/>
        <v>1116</v>
      </c>
    </row>
    <row r="135" spans="1:5" x14ac:dyDescent="0.2">
      <c r="A135" s="50">
        <f t="shared" si="6"/>
        <v>44695</v>
      </c>
      <c r="B135" s="61">
        <v>26715</v>
      </c>
      <c r="C135" s="53">
        <v>1081</v>
      </c>
      <c r="D135" s="58">
        <f t="shared" si="7"/>
        <v>26715</v>
      </c>
      <c r="E135" s="58">
        <f t="shared" si="8"/>
        <v>1081</v>
      </c>
    </row>
    <row r="136" spans="1:5" x14ac:dyDescent="0.2">
      <c r="A136" s="50">
        <f t="shared" si="6"/>
        <v>44696</v>
      </c>
      <c r="B136" s="61">
        <v>25014</v>
      </c>
      <c r="C136" s="53">
        <v>865</v>
      </c>
      <c r="D136" s="58">
        <f t="shared" si="7"/>
        <v>25014</v>
      </c>
      <c r="E136" s="58">
        <f t="shared" si="8"/>
        <v>865</v>
      </c>
    </row>
    <row r="137" spans="1:5" x14ac:dyDescent="0.2">
      <c r="A137" s="50">
        <f t="shared" si="6"/>
        <v>44697</v>
      </c>
      <c r="B137" s="61">
        <v>27259</v>
      </c>
      <c r="C137" s="53">
        <v>1057</v>
      </c>
      <c r="D137" s="58">
        <f t="shared" si="7"/>
        <v>27259</v>
      </c>
      <c r="E137" s="58">
        <f t="shared" si="8"/>
        <v>1057</v>
      </c>
    </row>
    <row r="138" spans="1:5" x14ac:dyDescent="0.2">
      <c r="A138" s="50">
        <f t="shared" si="6"/>
        <v>44698</v>
      </c>
      <c r="B138" s="61">
        <v>28056</v>
      </c>
      <c r="C138" s="53">
        <v>1118</v>
      </c>
      <c r="D138" s="58">
        <f t="shared" si="7"/>
        <v>28056</v>
      </c>
      <c r="E138" s="58">
        <f t="shared" si="8"/>
        <v>1118</v>
      </c>
    </row>
    <row r="139" spans="1:5" x14ac:dyDescent="0.2">
      <c r="A139" s="50">
        <f t="shared" si="6"/>
        <v>44699</v>
      </c>
      <c r="B139" s="61">
        <v>28987</v>
      </c>
      <c r="C139" s="53">
        <v>1123</v>
      </c>
      <c r="D139" s="58">
        <f t="shared" si="7"/>
        <v>28987</v>
      </c>
      <c r="E139" s="58">
        <f t="shared" si="8"/>
        <v>1123</v>
      </c>
    </row>
    <row r="140" spans="1:5" x14ac:dyDescent="0.2">
      <c r="A140" s="50">
        <f t="shared" si="6"/>
        <v>44700</v>
      </c>
      <c r="B140" s="61">
        <v>27129</v>
      </c>
      <c r="C140" s="53">
        <v>1132</v>
      </c>
      <c r="D140" s="58">
        <f t="shared" si="7"/>
        <v>27129</v>
      </c>
      <c r="E140" s="58">
        <f t="shared" si="8"/>
        <v>1132</v>
      </c>
    </row>
    <row r="141" spans="1:5" x14ac:dyDescent="0.2">
      <c r="A141" s="50">
        <f t="shared" si="6"/>
        <v>44701</v>
      </c>
      <c r="B141" s="61">
        <v>28430</v>
      </c>
      <c r="C141" s="53">
        <v>1104</v>
      </c>
      <c r="D141" s="58">
        <f t="shared" si="7"/>
        <v>28430</v>
      </c>
      <c r="E141" s="58">
        <f t="shared" si="8"/>
        <v>1104</v>
      </c>
    </row>
    <row r="142" spans="1:5" x14ac:dyDescent="0.2">
      <c r="A142" s="50">
        <f t="shared" si="6"/>
        <v>44702</v>
      </c>
      <c r="B142" s="61">
        <v>28215</v>
      </c>
      <c r="C142" s="53">
        <v>1052</v>
      </c>
      <c r="D142" s="58">
        <f t="shared" si="7"/>
        <v>28215</v>
      </c>
      <c r="E142" s="58">
        <f t="shared" si="8"/>
        <v>1052</v>
      </c>
    </row>
    <row r="143" spans="1:5" x14ac:dyDescent="0.2">
      <c r="A143" s="50">
        <f t="shared" si="6"/>
        <v>44703</v>
      </c>
      <c r="B143" s="61">
        <v>29056</v>
      </c>
      <c r="C143" s="53">
        <v>1102</v>
      </c>
      <c r="D143" s="58">
        <f t="shared" si="7"/>
        <v>29056</v>
      </c>
      <c r="E143" s="58">
        <f t="shared" si="8"/>
        <v>1102</v>
      </c>
    </row>
    <row r="144" spans="1:5" x14ac:dyDescent="0.2">
      <c r="A144" s="50">
        <f t="shared" si="6"/>
        <v>44704</v>
      </c>
      <c r="B144" s="61">
        <v>30474</v>
      </c>
      <c r="C144" s="53">
        <v>1187</v>
      </c>
      <c r="D144" s="58">
        <f t="shared" si="7"/>
        <v>30474</v>
      </c>
      <c r="E144" s="58">
        <f t="shared" si="8"/>
        <v>1187</v>
      </c>
    </row>
    <row r="145" spans="1:5" x14ac:dyDescent="0.2">
      <c r="A145" s="50">
        <f t="shared" si="6"/>
        <v>44705</v>
      </c>
      <c r="B145" s="61">
        <v>30316</v>
      </c>
      <c r="C145" s="53">
        <v>1174</v>
      </c>
      <c r="D145" s="58">
        <f t="shared" si="7"/>
        <v>30316</v>
      </c>
      <c r="E145" s="58">
        <f t="shared" si="8"/>
        <v>1174</v>
      </c>
    </row>
    <row r="146" spans="1:5" x14ac:dyDescent="0.2">
      <c r="A146" s="50">
        <f t="shared" si="6"/>
        <v>44706</v>
      </c>
      <c r="B146" s="61">
        <v>30509</v>
      </c>
      <c r="C146" s="53">
        <v>1156</v>
      </c>
      <c r="D146" s="58">
        <f t="shared" si="7"/>
        <v>30509</v>
      </c>
      <c r="E146" s="58">
        <f t="shared" si="8"/>
        <v>1156</v>
      </c>
    </row>
    <row r="147" spans="1:5" x14ac:dyDescent="0.2">
      <c r="A147" s="50">
        <f t="shared" si="6"/>
        <v>44707</v>
      </c>
      <c r="B147" s="61">
        <v>29452</v>
      </c>
      <c r="C147" s="53">
        <v>1114</v>
      </c>
      <c r="D147" s="58">
        <f t="shared" si="7"/>
        <v>29452</v>
      </c>
      <c r="E147" s="58">
        <f t="shared" si="8"/>
        <v>1114</v>
      </c>
    </row>
    <row r="148" spans="1:5" x14ac:dyDescent="0.2">
      <c r="A148" s="50">
        <f t="shared" si="6"/>
        <v>44708</v>
      </c>
      <c r="B148" s="61">
        <v>27645</v>
      </c>
      <c r="C148" s="53">
        <v>1116</v>
      </c>
      <c r="D148" s="58">
        <f t="shared" si="7"/>
        <v>27645</v>
      </c>
      <c r="E148" s="58">
        <f t="shared" si="8"/>
        <v>1116</v>
      </c>
    </row>
    <row r="149" spans="1:5" x14ac:dyDescent="0.2">
      <c r="A149" s="50">
        <f t="shared" si="6"/>
        <v>44709</v>
      </c>
      <c r="B149" s="61">
        <v>27858</v>
      </c>
      <c r="C149" s="53">
        <v>992</v>
      </c>
      <c r="D149" s="58">
        <f t="shared" si="7"/>
        <v>27858</v>
      </c>
      <c r="E149" s="58">
        <f t="shared" si="8"/>
        <v>992</v>
      </c>
    </row>
    <row r="150" spans="1:5" x14ac:dyDescent="0.2">
      <c r="A150" s="50">
        <f t="shared" si="6"/>
        <v>44710</v>
      </c>
      <c r="B150" s="61">
        <v>24156</v>
      </c>
      <c r="C150" s="53">
        <v>1019</v>
      </c>
      <c r="D150" s="58">
        <f t="shared" si="7"/>
        <v>24156</v>
      </c>
      <c r="E150" s="58">
        <f t="shared" si="8"/>
        <v>1019</v>
      </c>
    </row>
    <row r="151" spans="1:5" x14ac:dyDescent="0.2">
      <c r="A151" s="50">
        <f t="shared" si="6"/>
        <v>44711</v>
      </c>
      <c r="B151" s="61">
        <v>25773</v>
      </c>
      <c r="C151" s="53">
        <v>1091</v>
      </c>
      <c r="D151" s="58">
        <f t="shared" si="7"/>
        <v>25773</v>
      </c>
      <c r="E151" s="58">
        <f t="shared" si="8"/>
        <v>1091</v>
      </c>
    </row>
    <row r="152" spans="1:5" x14ac:dyDescent="0.2">
      <c r="A152" s="50">
        <f t="shared" si="6"/>
        <v>44712</v>
      </c>
      <c r="B152" s="61">
        <v>27145</v>
      </c>
      <c r="C152" s="53">
        <v>1200</v>
      </c>
      <c r="D152" s="58">
        <f t="shared" si="7"/>
        <v>27145</v>
      </c>
      <c r="E152" s="58">
        <f t="shared" si="8"/>
        <v>1200</v>
      </c>
    </row>
    <row r="153" spans="1:5" x14ac:dyDescent="0.2">
      <c r="A153" s="50">
        <f t="shared" si="6"/>
        <v>44713</v>
      </c>
      <c r="B153" s="61">
        <v>27208</v>
      </c>
      <c r="C153" s="53">
        <v>1104</v>
      </c>
      <c r="D153" s="58">
        <f t="shared" si="7"/>
        <v>27208</v>
      </c>
      <c r="E153" s="58">
        <f t="shared" si="8"/>
        <v>1104</v>
      </c>
    </row>
    <row r="154" spans="1:5" x14ac:dyDescent="0.2">
      <c r="A154" s="50">
        <f t="shared" si="6"/>
        <v>44714</v>
      </c>
      <c r="B154" s="61">
        <v>25489</v>
      </c>
      <c r="C154" s="53">
        <v>1036</v>
      </c>
      <c r="D154" s="58">
        <f t="shared" si="7"/>
        <v>25489</v>
      </c>
      <c r="E154" s="58">
        <f t="shared" si="8"/>
        <v>1036</v>
      </c>
    </row>
    <row r="155" spans="1:5" x14ac:dyDescent="0.2">
      <c r="A155" s="50">
        <f t="shared" si="6"/>
        <v>44715</v>
      </c>
      <c r="B155" s="61">
        <v>24465</v>
      </c>
      <c r="C155" s="53">
        <v>915</v>
      </c>
      <c r="D155" s="58">
        <f t="shared" si="7"/>
        <v>24465</v>
      </c>
      <c r="E155" s="58">
        <f t="shared" si="8"/>
        <v>915</v>
      </c>
    </row>
    <row r="156" spans="1:5" x14ac:dyDescent="0.2">
      <c r="A156" s="50">
        <f t="shared" si="6"/>
        <v>44716</v>
      </c>
      <c r="B156" s="61">
        <v>23956</v>
      </c>
      <c r="C156" s="53">
        <v>798</v>
      </c>
      <c r="D156" s="58">
        <f t="shared" si="7"/>
        <v>23956</v>
      </c>
      <c r="E156" s="58">
        <f t="shared" si="8"/>
        <v>798</v>
      </c>
    </row>
    <row r="157" spans="1:5" x14ac:dyDescent="0.2">
      <c r="A157" s="50">
        <f t="shared" si="6"/>
        <v>44717</v>
      </c>
      <c r="B157" s="61">
        <v>20478</v>
      </c>
      <c r="C157" s="53">
        <v>539</v>
      </c>
      <c r="D157" s="58">
        <f t="shared" si="7"/>
        <v>20478</v>
      </c>
      <c r="E157" s="58">
        <f t="shared" si="8"/>
        <v>539</v>
      </c>
    </row>
    <row r="158" spans="1:5" x14ac:dyDescent="0.2">
      <c r="A158" s="50">
        <f t="shared" si="6"/>
        <v>44718</v>
      </c>
      <c r="B158" s="61">
        <v>21410</v>
      </c>
      <c r="C158" s="53">
        <v>977</v>
      </c>
      <c r="D158" s="58">
        <f t="shared" si="7"/>
        <v>21410</v>
      </c>
      <c r="E158" s="58">
        <f t="shared" si="8"/>
        <v>977</v>
      </c>
    </row>
    <row r="159" spans="1:5" x14ac:dyDescent="0.2">
      <c r="A159" s="50">
        <f t="shared" si="6"/>
        <v>44719</v>
      </c>
      <c r="B159" s="61">
        <v>24440</v>
      </c>
      <c r="C159" s="53">
        <v>944</v>
      </c>
      <c r="D159" s="58">
        <f t="shared" si="7"/>
        <v>24440</v>
      </c>
      <c r="E159" s="58">
        <f t="shared" si="8"/>
        <v>944</v>
      </c>
    </row>
    <row r="160" spans="1:5" x14ac:dyDescent="0.2">
      <c r="A160" s="50">
        <f t="shared" ref="A160:A223" si="9">A159+1</f>
        <v>44720</v>
      </c>
      <c r="B160" s="61">
        <v>23303</v>
      </c>
      <c r="C160" s="53">
        <v>935</v>
      </c>
      <c r="D160" s="58">
        <f t="shared" si="7"/>
        <v>23303</v>
      </c>
      <c r="E160" s="58">
        <f t="shared" si="8"/>
        <v>935</v>
      </c>
    </row>
    <row r="161" spans="1:5" x14ac:dyDescent="0.2">
      <c r="A161" s="50">
        <f t="shared" si="9"/>
        <v>44721</v>
      </c>
      <c r="B161" s="61">
        <v>23817</v>
      </c>
      <c r="C161" s="53">
        <v>935</v>
      </c>
      <c r="D161" s="58">
        <f t="shared" si="7"/>
        <v>23817</v>
      </c>
      <c r="E161" s="58">
        <f t="shared" si="8"/>
        <v>935</v>
      </c>
    </row>
    <row r="162" spans="1:5" x14ac:dyDescent="0.2">
      <c r="A162" s="50">
        <f t="shared" si="9"/>
        <v>44722</v>
      </c>
      <c r="B162" s="61">
        <v>22022</v>
      </c>
      <c r="C162" s="53">
        <v>471</v>
      </c>
      <c r="D162" s="58">
        <f t="shared" si="7"/>
        <v>22022</v>
      </c>
      <c r="E162" s="58">
        <f t="shared" si="8"/>
        <v>471</v>
      </c>
    </row>
    <row r="163" spans="1:5" x14ac:dyDescent="0.2">
      <c r="A163" s="50">
        <f t="shared" si="9"/>
        <v>44723</v>
      </c>
      <c r="B163" s="61">
        <v>7738</v>
      </c>
      <c r="C163" s="53">
        <v>0</v>
      </c>
      <c r="D163" s="58">
        <f t="shared" si="7"/>
        <v>7738</v>
      </c>
      <c r="E163" s="58">
        <f t="shared" si="8"/>
        <v>0</v>
      </c>
    </row>
    <row r="164" spans="1:5" x14ac:dyDescent="0.2">
      <c r="A164" s="50">
        <f t="shared" si="9"/>
        <v>44724</v>
      </c>
      <c r="B164" s="61">
        <v>18096</v>
      </c>
      <c r="C164" s="53">
        <v>1065</v>
      </c>
      <c r="D164" s="58">
        <f t="shared" si="7"/>
        <v>18096</v>
      </c>
      <c r="E164" s="58">
        <f t="shared" si="8"/>
        <v>1065</v>
      </c>
    </row>
    <row r="165" spans="1:5" x14ac:dyDescent="0.2">
      <c r="A165" s="50">
        <f t="shared" si="9"/>
        <v>44725</v>
      </c>
      <c r="B165" s="61">
        <v>23167</v>
      </c>
      <c r="C165" s="53">
        <v>979</v>
      </c>
      <c r="D165" s="58">
        <f t="shared" si="7"/>
        <v>23167</v>
      </c>
      <c r="E165" s="58">
        <f t="shared" si="8"/>
        <v>979</v>
      </c>
    </row>
    <row r="166" spans="1:5" x14ac:dyDescent="0.2">
      <c r="A166" s="50">
        <f t="shared" si="9"/>
        <v>44726</v>
      </c>
      <c r="B166" s="61">
        <v>25406</v>
      </c>
      <c r="C166" s="53">
        <v>1088</v>
      </c>
      <c r="D166" s="58">
        <f t="shared" si="7"/>
        <v>25406</v>
      </c>
      <c r="E166" s="58">
        <f t="shared" si="8"/>
        <v>1088</v>
      </c>
    </row>
    <row r="167" spans="1:5" x14ac:dyDescent="0.2">
      <c r="A167" s="50">
        <f t="shared" si="9"/>
        <v>44727</v>
      </c>
      <c r="B167" s="61">
        <v>24920</v>
      </c>
      <c r="C167" s="53">
        <v>1031</v>
      </c>
      <c r="D167" s="58">
        <f t="shared" si="7"/>
        <v>24920</v>
      </c>
      <c r="E167" s="58">
        <f t="shared" si="8"/>
        <v>1031</v>
      </c>
    </row>
    <row r="168" spans="1:5" x14ac:dyDescent="0.2">
      <c r="A168" s="50">
        <f t="shared" si="9"/>
        <v>44728</v>
      </c>
      <c r="B168" s="61">
        <v>25665</v>
      </c>
      <c r="C168" s="53">
        <v>1063</v>
      </c>
      <c r="D168" s="58">
        <f t="shared" si="7"/>
        <v>25665</v>
      </c>
      <c r="E168" s="58">
        <f t="shared" si="8"/>
        <v>1063</v>
      </c>
    </row>
    <row r="169" spans="1:5" x14ac:dyDescent="0.2">
      <c r="A169" s="50">
        <f t="shared" si="9"/>
        <v>44729</v>
      </c>
      <c r="B169" s="61">
        <v>24736</v>
      </c>
      <c r="C169" s="53">
        <v>1042</v>
      </c>
      <c r="D169" s="58">
        <f t="shared" si="7"/>
        <v>24736</v>
      </c>
      <c r="E169" s="58">
        <f t="shared" si="8"/>
        <v>1042</v>
      </c>
    </row>
    <row r="170" spans="1:5" x14ac:dyDescent="0.2">
      <c r="A170" s="50">
        <f t="shared" si="9"/>
        <v>44730</v>
      </c>
      <c r="B170" s="61">
        <v>25014</v>
      </c>
      <c r="C170" s="53">
        <v>1038</v>
      </c>
      <c r="D170" s="58">
        <f t="shared" si="7"/>
        <v>25014</v>
      </c>
      <c r="E170" s="58">
        <f t="shared" si="8"/>
        <v>1038</v>
      </c>
    </row>
    <row r="171" spans="1:5" x14ac:dyDescent="0.2">
      <c r="A171" s="50">
        <f t="shared" si="9"/>
        <v>44731</v>
      </c>
      <c r="B171" s="61">
        <v>23240</v>
      </c>
      <c r="C171" s="53">
        <v>917</v>
      </c>
      <c r="D171" s="58">
        <f t="shared" si="7"/>
        <v>23240</v>
      </c>
      <c r="E171" s="58">
        <f t="shared" si="8"/>
        <v>917</v>
      </c>
    </row>
    <row r="172" spans="1:5" x14ac:dyDescent="0.2">
      <c r="A172" s="50">
        <f t="shared" si="9"/>
        <v>44732</v>
      </c>
      <c r="B172" s="61">
        <v>24161</v>
      </c>
      <c r="C172" s="53">
        <v>932</v>
      </c>
      <c r="D172" s="58">
        <f t="shared" si="7"/>
        <v>24161</v>
      </c>
      <c r="E172" s="58">
        <f t="shared" si="8"/>
        <v>932</v>
      </c>
    </row>
    <row r="173" spans="1:5" x14ac:dyDescent="0.2">
      <c r="A173" s="50">
        <f t="shared" si="9"/>
        <v>44733</v>
      </c>
      <c r="B173" s="61">
        <v>25850</v>
      </c>
      <c r="C173" s="53">
        <v>1022</v>
      </c>
      <c r="D173" s="58">
        <f t="shared" si="7"/>
        <v>25850</v>
      </c>
      <c r="E173" s="58">
        <f t="shared" si="8"/>
        <v>1022</v>
      </c>
    </row>
    <row r="174" spans="1:5" x14ac:dyDescent="0.2">
      <c r="A174" s="50">
        <f t="shared" si="9"/>
        <v>44734</v>
      </c>
      <c r="B174" s="61">
        <v>25676</v>
      </c>
      <c r="C174" s="53">
        <v>1014</v>
      </c>
      <c r="D174" s="58">
        <f t="shared" si="7"/>
        <v>25676</v>
      </c>
      <c r="E174" s="58">
        <f t="shared" si="8"/>
        <v>1014</v>
      </c>
    </row>
    <row r="175" spans="1:5" x14ac:dyDescent="0.2">
      <c r="A175" s="50">
        <f t="shared" si="9"/>
        <v>44735</v>
      </c>
      <c r="B175" s="61">
        <v>25625</v>
      </c>
      <c r="C175" s="53">
        <v>1035</v>
      </c>
      <c r="D175" s="58">
        <f t="shared" si="7"/>
        <v>25625</v>
      </c>
      <c r="E175" s="58">
        <f t="shared" si="8"/>
        <v>1035</v>
      </c>
    </row>
    <row r="176" spans="1:5" x14ac:dyDescent="0.2">
      <c r="A176" s="50">
        <f t="shared" si="9"/>
        <v>44736</v>
      </c>
      <c r="B176" s="61">
        <v>23749</v>
      </c>
      <c r="C176" s="53">
        <v>1055</v>
      </c>
      <c r="D176" s="58">
        <f t="shared" si="7"/>
        <v>23749</v>
      </c>
      <c r="E176" s="58">
        <f t="shared" si="8"/>
        <v>1055</v>
      </c>
    </row>
    <row r="177" spans="1:5" x14ac:dyDescent="0.2">
      <c r="A177" s="50">
        <f t="shared" si="9"/>
        <v>44737</v>
      </c>
      <c r="B177" s="61">
        <v>24749</v>
      </c>
      <c r="C177" s="53">
        <v>966</v>
      </c>
      <c r="D177" s="58">
        <f t="shared" si="7"/>
        <v>24749</v>
      </c>
      <c r="E177" s="58">
        <f t="shared" si="8"/>
        <v>966</v>
      </c>
    </row>
    <row r="178" spans="1:5" x14ac:dyDescent="0.2">
      <c r="A178" s="50">
        <f t="shared" si="9"/>
        <v>44738</v>
      </c>
      <c r="B178" s="61">
        <v>25697</v>
      </c>
      <c r="C178" s="53">
        <v>860</v>
      </c>
      <c r="D178" s="58">
        <f t="shared" si="7"/>
        <v>25697</v>
      </c>
      <c r="E178" s="58">
        <f t="shared" si="8"/>
        <v>860</v>
      </c>
    </row>
    <row r="179" spans="1:5" x14ac:dyDescent="0.2">
      <c r="A179" s="50">
        <f t="shared" si="9"/>
        <v>44739</v>
      </c>
      <c r="B179" s="61">
        <v>25161</v>
      </c>
      <c r="C179" s="53">
        <v>1031</v>
      </c>
      <c r="D179" s="58">
        <f t="shared" si="7"/>
        <v>25161</v>
      </c>
      <c r="E179" s="58">
        <f t="shared" si="8"/>
        <v>1031</v>
      </c>
    </row>
    <row r="180" spans="1:5" x14ac:dyDescent="0.2">
      <c r="A180" s="50">
        <f t="shared" si="9"/>
        <v>44740</v>
      </c>
      <c r="B180" s="61">
        <v>25279</v>
      </c>
      <c r="C180" s="53">
        <v>1085</v>
      </c>
      <c r="D180" s="58">
        <f t="shared" si="7"/>
        <v>25279</v>
      </c>
      <c r="E180" s="58">
        <f t="shared" si="8"/>
        <v>1085</v>
      </c>
    </row>
    <row r="181" spans="1:5" x14ac:dyDescent="0.2">
      <c r="A181" s="50">
        <f t="shared" si="9"/>
        <v>44741</v>
      </c>
      <c r="B181" s="61">
        <v>25540</v>
      </c>
      <c r="C181" s="53">
        <v>1025</v>
      </c>
      <c r="D181" s="58">
        <f t="shared" si="7"/>
        <v>25540</v>
      </c>
      <c r="E181" s="58">
        <f t="shared" si="8"/>
        <v>1025</v>
      </c>
    </row>
    <row r="182" spans="1:5" x14ac:dyDescent="0.2">
      <c r="A182" s="50">
        <f t="shared" si="9"/>
        <v>44742</v>
      </c>
      <c r="B182" s="61">
        <v>25060</v>
      </c>
      <c r="C182" s="53">
        <v>1024</v>
      </c>
      <c r="D182" s="58">
        <f t="shared" si="7"/>
        <v>25060</v>
      </c>
      <c r="E182" s="58">
        <f t="shared" si="8"/>
        <v>1024</v>
      </c>
    </row>
    <row r="183" spans="1:5" x14ac:dyDescent="0.2">
      <c r="A183" s="50">
        <f t="shared" si="9"/>
        <v>44743</v>
      </c>
      <c r="B183" s="61">
        <v>24770</v>
      </c>
      <c r="C183" s="53">
        <v>1035</v>
      </c>
      <c r="D183" s="58">
        <f t="shared" si="7"/>
        <v>24770</v>
      </c>
      <c r="E183" s="58">
        <f t="shared" si="8"/>
        <v>1035</v>
      </c>
    </row>
    <row r="184" spans="1:5" x14ac:dyDescent="0.2">
      <c r="A184" s="50">
        <f t="shared" si="9"/>
        <v>44744</v>
      </c>
      <c r="B184" s="61">
        <v>21169</v>
      </c>
      <c r="C184" s="53">
        <v>997</v>
      </c>
      <c r="D184" s="58">
        <f t="shared" si="7"/>
        <v>21169</v>
      </c>
      <c r="E184" s="58">
        <f t="shared" si="8"/>
        <v>997</v>
      </c>
    </row>
    <row r="185" spans="1:5" x14ac:dyDescent="0.2">
      <c r="A185" s="50">
        <f t="shared" si="9"/>
        <v>44745</v>
      </c>
      <c r="B185" s="61">
        <v>18501</v>
      </c>
      <c r="C185" s="53">
        <v>432</v>
      </c>
      <c r="D185" s="58">
        <f t="shared" si="7"/>
        <v>18501</v>
      </c>
      <c r="E185" s="58">
        <f t="shared" si="8"/>
        <v>432</v>
      </c>
    </row>
    <row r="186" spans="1:5" x14ac:dyDescent="0.2">
      <c r="A186" s="50">
        <f t="shared" si="9"/>
        <v>44746</v>
      </c>
      <c r="B186" s="61">
        <v>22387</v>
      </c>
      <c r="C186" s="53">
        <v>1092</v>
      </c>
      <c r="D186" s="58">
        <f t="shared" si="7"/>
        <v>22387</v>
      </c>
      <c r="E186" s="58">
        <f t="shared" si="8"/>
        <v>1092</v>
      </c>
    </row>
    <row r="187" spans="1:5" x14ac:dyDescent="0.2">
      <c r="A187" s="50">
        <f t="shared" si="9"/>
        <v>44747</v>
      </c>
      <c r="B187" s="61">
        <v>25034</v>
      </c>
      <c r="C187" s="53">
        <v>1009</v>
      </c>
      <c r="D187" s="58">
        <f t="shared" si="7"/>
        <v>25034</v>
      </c>
      <c r="E187" s="58">
        <f t="shared" si="8"/>
        <v>1009</v>
      </c>
    </row>
    <row r="188" spans="1:5" x14ac:dyDescent="0.2">
      <c r="A188" s="50">
        <f t="shared" si="9"/>
        <v>44748</v>
      </c>
      <c r="B188" s="61">
        <v>24249</v>
      </c>
      <c r="C188" s="53">
        <v>1021</v>
      </c>
      <c r="D188" s="58">
        <f t="shared" si="7"/>
        <v>24249</v>
      </c>
      <c r="E188" s="58">
        <f t="shared" si="8"/>
        <v>1021</v>
      </c>
    </row>
    <row r="189" spans="1:5" x14ac:dyDescent="0.2">
      <c r="A189" s="50">
        <f t="shared" si="9"/>
        <v>44749</v>
      </c>
      <c r="B189" s="61">
        <v>24351</v>
      </c>
      <c r="C189" s="53">
        <v>958</v>
      </c>
      <c r="D189" s="58">
        <f t="shared" si="7"/>
        <v>24351</v>
      </c>
      <c r="E189" s="58">
        <f t="shared" si="8"/>
        <v>958</v>
      </c>
    </row>
    <row r="190" spans="1:5" x14ac:dyDescent="0.2">
      <c r="A190" s="50">
        <f t="shared" si="9"/>
        <v>44750</v>
      </c>
      <c r="B190" s="61">
        <v>23327</v>
      </c>
      <c r="C190" s="53">
        <v>925</v>
      </c>
      <c r="D190" s="58">
        <f t="shared" si="7"/>
        <v>23327</v>
      </c>
      <c r="E190" s="58">
        <f t="shared" si="8"/>
        <v>925</v>
      </c>
    </row>
    <row r="191" spans="1:5" x14ac:dyDescent="0.2">
      <c r="A191" s="50">
        <f t="shared" si="9"/>
        <v>44751</v>
      </c>
      <c r="B191" s="61">
        <v>19587</v>
      </c>
      <c r="C191" s="53">
        <v>356</v>
      </c>
      <c r="D191" s="58">
        <f t="shared" si="7"/>
        <v>19587</v>
      </c>
      <c r="E191" s="58">
        <f t="shared" si="8"/>
        <v>356</v>
      </c>
    </row>
    <row r="192" spans="1:5" x14ac:dyDescent="0.2">
      <c r="A192" s="50">
        <f t="shared" si="9"/>
        <v>44752</v>
      </c>
      <c r="B192" s="61">
        <v>20926</v>
      </c>
      <c r="C192" s="53">
        <v>855</v>
      </c>
      <c r="D192" s="58">
        <f t="shared" si="7"/>
        <v>20926</v>
      </c>
      <c r="E192" s="58">
        <f t="shared" si="8"/>
        <v>855</v>
      </c>
    </row>
    <row r="193" spans="1:5" x14ac:dyDescent="0.2">
      <c r="A193" s="50">
        <f t="shared" si="9"/>
        <v>44753</v>
      </c>
      <c r="B193" s="61">
        <v>24046</v>
      </c>
      <c r="C193" s="53">
        <v>1005</v>
      </c>
      <c r="D193" s="58">
        <f t="shared" si="7"/>
        <v>24046</v>
      </c>
      <c r="E193" s="58">
        <f t="shared" si="8"/>
        <v>1005</v>
      </c>
    </row>
    <row r="194" spans="1:5" x14ac:dyDescent="0.2">
      <c r="A194" s="50">
        <f t="shared" si="9"/>
        <v>44754</v>
      </c>
      <c r="B194" s="61">
        <v>23013</v>
      </c>
      <c r="C194" s="53">
        <v>974</v>
      </c>
      <c r="D194" s="58">
        <f t="shared" ref="D194:D257" si="10">ROUND(B194,0)</f>
        <v>23013</v>
      </c>
      <c r="E194" s="58">
        <f t="shared" ref="E194:E257" si="11">ROUND(C194,0)</f>
        <v>974</v>
      </c>
    </row>
    <row r="195" spans="1:5" x14ac:dyDescent="0.2">
      <c r="A195" s="50">
        <f t="shared" si="9"/>
        <v>44755</v>
      </c>
      <c r="B195" s="61">
        <v>24067</v>
      </c>
      <c r="C195" s="53">
        <v>955</v>
      </c>
      <c r="D195" s="58">
        <f t="shared" si="10"/>
        <v>24067</v>
      </c>
      <c r="E195" s="58">
        <f t="shared" si="11"/>
        <v>955</v>
      </c>
    </row>
    <row r="196" spans="1:5" x14ac:dyDescent="0.2">
      <c r="A196" s="50">
        <f t="shared" si="9"/>
        <v>44756</v>
      </c>
      <c r="B196" s="61">
        <v>25700</v>
      </c>
      <c r="C196" s="53">
        <v>901</v>
      </c>
      <c r="D196" s="58">
        <f t="shared" si="10"/>
        <v>25700</v>
      </c>
      <c r="E196" s="58">
        <f t="shared" si="11"/>
        <v>901</v>
      </c>
    </row>
    <row r="197" spans="1:5" x14ac:dyDescent="0.2">
      <c r="A197" s="50">
        <f t="shared" si="9"/>
        <v>44757</v>
      </c>
      <c r="B197" s="61">
        <v>24914</v>
      </c>
      <c r="C197" s="53">
        <v>955</v>
      </c>
      <c r="D197" s="58">
        <f t="shared" si="10"/>
        <v>24914</v>
      </c>
      <c r="E197" s="58">
        <f t="shared" si="11"/>
        <v>955</v>
      </c>
    </row>
    <row r="198" spans="1:5" x14ac:dyDescent="0.2">
      <c r="A198" s="50">
        <f t="shared" si="9"/>
        <v>44758</v>
      </c>
      <c r="B198" s="61">
        <v>22924</v>
      </c>
      <c r="C198" s="53">
        <v>758</v>
      </c>
      <c r="D198" s="58">
        <f t="shared" si="10"/>
        <v>22924</v>
      </c>
      <c r="E198" s="58">
        <f t="shared" si="11"/>
        <v>758</v>
      </c>
    </row>
    <row r="199" spans="1:5" x14ac:dyDescent="0.2">
      <c r="A199" s="50">
        <f t="shared" si="9"/>
        <v>44759</v>
      </c>
      <c r="B199" s="61">
        <v>14627</v>
      </c>
      <c r="C199" s="53">
        <v>311</v>
      </c>
      <c r="D199" s="58">
        <f t="shared" si="10"/>
        <v>14627</v>
      </c>
      <c r="E199" s="58">
        <f t="shared" si="11"/>
        <v>311</v>
      </c>
    </row>
    <row r="200" spans="1:5" x14ac:dyDescent="0.2">
      <c r="A200" s="50">
        <f t="shared" si="9"/>
        <v>44760</v>
      </c>
      <c r="B200" s="61">
        <v>22485</v>
      </c>
      <c r="C200" s="53">
        <v>952</v>
      </c>
      <c r="D200" s="58">
        <f t="shared" si="10"/>
        <v>22485</v>
      </c>
      <c r="E200" s="58">
        <f t="shared" si="11"/>
        <v>952</v>
      </c>
    </row>
    <row r="201" spans="1:5" x14ac:dyDescent="0.2">
      <c r="A201" s="50">
        <f t="shared" si="9"/>
        <v>44761</v>
      </c>
      <c r="B201" s="61">
        <v>22740</v>
      </c>
      <c r="C201" s="53">
        <v>928</v>
      </c>
      <c r="D201" s="58">
        <f t="shared" si="10"/>
        <v>22740</v>
      </c>
      <c r="E201" s="58">
        <f t="shared" si="11"/>
        <v>928</v>
      </c>
    </row>
    <row r="202" spans="1:5" x14ac:dyDescent="0.2">
      <c r="A202" s="50">
        <f t="shared" si="9"/>
        <v>44762</v>
      </c>
      <c r="B202" s="61">
        <v>22180</v>
      </c>
      <c r="C202" s="53">
        <v>994</v>
      </c>
      <c r="D202" s="58">
        <f t="shared" si="10"/>
        <v>22180</v>
      </c>
      <c r="E202" s="58">
        <f t="shared" si="11"/>
        <v>994</v>
      </c>
    </row>
    <row r="203" spans="1:5" x14ac:dyDescent="0.2">
      <c r="A203" s="50">
        <f t="shared" si="9"/>
        <v>44763</v>
      </c>
      <c r="B203" s="61">
        <v>24094</v>
      </c>
      <c r="C203" s="53">
        <v>997</v>
      </c>
      <c r="D203" s="58">
        <f t="shared" si="10"/>
        <v>24094</v>
      </c>
      <c r="E203" s="58">
        <f t="shared" si="11"/>
        <v>997</v>
      </c>
    </row>
    <row r="204" spans="1:5" x14ac:dyDescent="0.2">
      <c r="A204" s="50">
        <f t="shared" si="9"/>
        <v>44764</v>
      </c>
      <c r="B204" s="61">
        <v>24935</v>
      </c>
      <c r="C204" s="53">
        <v>1018</v>
      </c>
      <c r="D204" s="58">
        <f t="shared" si="10"/>
        <v>24935</v>
      </c>
      <c r="E204" s="58">
        <f t="shared" si="11"/>
        <v>1018</v>
      </c>
    </row>
    <row r="205" spans="1:5" x14ac:dyDescent="0.2">
      <c r="A205" s="50">
        <f t="shared" si="9"/>
        <v>44765</v>
      </c>
      <c r="B205" s="61">
        <v>20290</v>
      </c>
      <c r="C205" s="53">
        <v>490</v>
      </c>
      <c r="D205" s="58">
        <f t="shared" si="10"/>
        <v>20290</v>
      </c>
      <c r="E205" s="58">
        <f t="shared" si="11"/>
        <v>490</v>
      </c>
    </row>
    <row r="206" spans="1:5" x14ac:dyDescent="0.2">
      <c r="A206" s="50">
        <f t="shared" si="9"/>
        <v>44766</v>
      </c>
      <c r="B206" s="61">
        <v>19976</v>
      </c>
      <c r="C206" s="53">
        <v>858</v>
      </c>
      <c r="D206" s="58">
        <f t="shared" si="10"/>
        <v>19976</v>
      </c>
      <c r="E206" s="58">
        <f t="shared" si="11"/>
        <v>858</v>
      </c>
    </row>
    <row r="207" spans="1:5" x14ac:dyDescent="0.2">
      <c r="A207" s="50">
        <f t="shared" si="9"/>
        <v>44767</v>
      </c>
      <c r="B207" s="61">
        <v>25047</v>
      </c>
      <c r="C207" s="53">
        <v>996</v>
      </c>
      <c r="D207" s="58">
        <f t="shared" si="10"/>
        <v>25047</v>
      </c>
      <c r="E207" s="58">
        <f t="shared" si="11"/>
        <v>996</v>
      </c>
    </row>
    <row r="208" spans="1:5" x14ac:dyDescent="0.2">
      <c r="A208" s="50">
        <f t="shared" si="9"/>
        <v>44768</v>
      </c>
      <c r="B208" s="61">
        <v>24834</v>
      </c>
      <c r="C208" s="53">
        <v>930</v>
      </c>
      <c r="D208" s="58">
        <f t="shared" si="10"/>
        <v>24834</v>
      </c>
      <c r="E208" s="58">
        <f t="shared" si="11"/>
        <v>930</v>
      </c>
    </row>
    <row r="209" spans="1:5" x14ac:dyDescent="0.2">
      <c r="A209" s="50">
        <f t="shared" si="9"/>
        <v>44769</v>
      </c>
      <c r="B209" s="61">
        <v>24536</v>
      </c>
      <c r="C209" s="53">
        <v>803</v>
      </c>
      <c r="D209" s="58">
        <f t="shared" si="10"/>
        <v>24536</v>
      </c>
      <c r="E209" s="58">
        <f t="shared" si="11"/>
        <v>803</v>
      </c>
    </row>
    <row r="210" spans="1:5" x14ac:dyDescent="0.2">
      <c r="A210" s="50">
        <f t="shared" si="9"/>
        <v>44770</v>
      </c>
      <c r="B210" s="61">
        <v>24050</v>
      </c>
      <c r="C210" s="53">
        <v>885</v>
      </c>
      <c r="D210" s="58">
        <f t="shared" si="10"/>
        <v>24050</v>
      </c>
      <c r="E210" s="58">
        <f t="shared" si="11"/>
        <v>885</v>
      </c>
    </row>
    <row r="211" spans="1:5" x14ac:dyDescent="0.2">
      <c r="A211" s="50">
        <f t="shared" si="9"/>
        <v>44771</v>
      </c>
      <c r="B211" s="61">
        <v>25697</v>
      </c>
      <c r="C211" s="53">
        <v>936</v>
      </c>
      <c r="D211" s="58">
        <f t="shared" si="10"/>
        <v>25697</v>
      </c>
      <c r="E211" s="58">
        <f t="shared" si="11"/>
        <v>936</v>
      </c>
    </row>
    <row r="212" spans="1:5" x14ac:dyDescent="0.2">
      <c r="A212" s="50">
        <f t="shared" si="9"/>
        <v>44772</v>
      </c>
      <c r="B212" s="61">
        <v>23859</v>
      </c>
      <c r="C212" s="53">
        <v>910</v>
      </c>
      <c r="D212" s="58">
        <f t="shared" si="10"/>
        <v>23859</v>
      </c>
      <c r="E212" s="58">
        <f t="shared" si="11"/>
        <v>910</v>
      </c>
    </row>
    <row r="213" spans="1:5" x14ac:dyDescent="0.2">
      <c r="A213" s="50">
        <f t="shared" si="9"/>
        <v>44773</v>
      </c>
      <c r="B213" s="61">
        <v>18774</v>
      </c>
      <c r="C213" s="53">
        <v>568</v>
      </c>
      <c r="D213" s="58">
        <f t="shared" si="10"/>
        <v>18774</v>
      </c>
      <c r="E213" s="58">
        <f t="shared" si="11"/>
        <v>568</v>
      </c>
    </row>
    <row r="214" spans="1:5" x14ac:dyDescent="0.2">
      <c r="A214" s="50">
        <f t="shared" si="9"/>
        <v>44774</v>
      </c>
      <c r="B214" s="61">
        <v>23135</v>
      </c>
      <c r="C214" s="53">
        <v>938</v>
      </c>
      <c r="D214" s="58">
        <f t="shared" si="10"/>
        <v>23135</v>
      </c>
      <c r="E214" s="58">
        <f t="shared" si="11"/>
        <v>938</v>
      </c>
    </row>
    <row r="215" spans="1:5" x14ac:dyDescent="0.2">
      <c r="A215" s="50">
        <f t="shared" si="9"/>
        <v>44775</v>
      </c>
      <c r="B215" s="61">
        <v>26207</v>
      </c>
      <c r="C215" s="53">
        <v>865</v>
      </c>
      <c r="D215" s="58">
        <f t="shared" si="10"/>
        <v>26207</v>
      </c>
      <c r="E215" s="58">
        <f t="shared" si="11"/>
        <v>865</v>
      </c>
    </row>
    <row r="216" spans="1:5" x14ac:dyDescent="0.2">
      <c r="A216" s="50">
        <f t="shared" si="9"/>
        <v>44776</v>
      </c>
      <c r="B216" s="61">
        <v>23296</v>
      </c>
      <c r="C216" s="53">
        <v>856</v>
      </c>
      <c r="D216" s="58">
        <f t="shared" si="10"/>
        <v>23296</v>
      </c>
      <c r="E216" s="58">
        <f t="shared" si="11"/>
        <v>856</v>
      </c>
    </row>
    <row r="217" spans="1:5" x14ac:dyDescent="0.2">
      <c r="A217" s="50">
        <f t="shared" si="9"/>
        <v>44777</v>
      </c>
      <c r="B217" s="61">
        <v>22353</v>
      </c>
      <c r="C217" s="53">
        <v>835</v>
      </c>
      <c r="D217" s="58">
        <f t="shared" si="10"/>
        <v>22353</v>
      </c>
      <c r="E217" s="58">
        <f t="shared" si="11"/>
        <v>835</v>
      </c>
    </row>
    <row r="218" spans="1:5" x14ac:dyDescent="0.2">
      <c r="A218" s="50">
        <f t="shared" si="9"/>
        <v>44778</v>
      </c>
      <c r="B218" s="61">
        <v>23302</v>
      </c>
      <c r="C218" s="53">
        <v>751</v>
      </c>
      <c r="D218" s="58">
        <f t="shared" si="10"/>
        <v>23302</v>
      </c>
      <c r="E218" s="58">
        <f t="shared" si="11"/>
        <v>751</v>
      </c>
    </row>
    <row r="219" spans="1:5" x14ac:dyDescent="0.2">
      <c r="A219" s="50">
        <f t="shared" si="9"/>
        <v>44779</v>
      </c>
      <c r="B219" s="61">
        <v>17690</v>
      </c>
      <c r="C219" s="53">
        <v>223</v>
      </c>
      <c r="D219" s="58">
        <f t="shared" si="10"/>
        <v>17690</v>
      </c>
      <c r="E219" s="58">
        <f t="shared" si="11"/>
        <v>223</v>
      </c>
    </row>
    <row r="220" spans="1:5" x14ac:dyDescent="0.2">
      <c r="A220" s="50">
        <f t="shared" si="9"/>
        <v>44780</v>
      </c>
      <c r="B220" s="61">
        <v>17819</v>
      </c>
      <c r="C220" s="53">
        <v>539</v>
      </c>
      <c r="D220" s="58">
        <f t="shared" si="10"/>
        <v>17819</v>
      </c>
      <c r="E220" s="58">
        <f t="shared" si="11"/>
        <v>539</v>
      </c>
    </row>
    <row r="221" spans="1:5" x14ac:dyDescent="0.2">
      <c r="A221" s="50">
        <f t="shared" si="9"/>
        <v>44781</v>
      </c>
      <c r="B221" s="61">
        <v>22804</v>
      </c>
      <c r="C221" s="53">
        <v>842</v>
      </c>
      <c r="D221" s="58">
        <f t="shared" si="10"/>
        <v>22804</v>
      </c>
      <c r="E221" s="58">
        <f t="shared" si="11"/>
        <v>842</v>
      </c>
    </row>
    <row r="222" spans="1:5" x14ac:dyDescent="0.2">
      <c r="A222" s="50">
        <f t="shared" si="9"/>
        <v>44782</v>
      </c>
      <c r="B222" s="61">
        <v>22912</v>
      </c>
      <c r="C222" s="53">
        <v>767</v>
      </c>
      <c r="D222" s="58">
        <f t="shared" si="10"/>
        <v>22912</v>
      </c>
      <c r="E222" s="58">
        <f t="shared" si="11"/>
        <v>767</v>
      </c>
    </row>
    <row r="223" spans="1:5" x14ac:dyDescent="0.2">
      <c r="A223" s="50">
        <f t="shared" si="9"/>
        <v>44783</v>
      </c>
      <c r="B223" s="61">
        <v>22073</v>
      </c>
      <c r="C223" s="53">
        <v>706</v>
      </c>
      <c r="D223" s="58">
        <f t="shared" si="10"/>
        <v>22073</v>
      </c>
      <c r="E223" s="58">
        <f t="shared" si="11"/>
        <v>706</v>
      </c>
    </row>
    <row r="224" spans="1:5" x14ac:dyDescent="0.2">
      <c r="A224" s="50">
        <f t="shared" ref="A224:A287" si="12">A223+1</f>
        <v>44784</v>
      </c>
      <c r="B224" s="61">
        <v>21879</v>
      </c>
      <c r="C224" s="53">
        <v>587</v>
      </c>
      <c r="D224" s="58">
        <f t="shared" si="10"/>
        <v>21879</v>
      </c>
      <c r="E224" s="58">
        <f t="shared" si="11"/>
        <v>587</v>
      </c>
    </row>
    <row r="225" spans="1:5" x14ac:dyDescent="0.2">
      <c r="A225" s="50">
        <f t="shared" si="12"/>
        <v>44785</v>
      </c>
      <c r="B225" s="61">
        <v>17105</v>
      </c>
      <c r="C225" s="53">
        <v>342</v>
      </c>
      <c r="D225" s="58">
        <f t="shared" si="10"/>
        <v>17105</v>
      </c>
      <c r="E225" s="58">
        <f t="shared" si="11"/>
        <v>342</v>
      </c>
    </row>
    <row r="226" spans="1:5" x14ac:dyDescent="0.2">
      <c r="A226" s="50">
        <f t="shared" si="12"/>
        <v>44786</v>
      </c>
      <c r="B226" s="61">
        <v>13743</v>
      </c>
      <c r="C226" s="53">
        <v>78</v>
      </c>
      <c r="D226" s="58">
        <f t="shared" si="10"/>
        <v>13743</v>
      </c>
      <c r="E226" s="58">
        <f t="shared" si="11"/>
        <v>78</v>
      </c>
    </row>
    <row r="227" spans="1:5" x14ac:dyDescent="0.2">
      <c r="A227" s="50">
        <f t="shared" si="12"/>
        <v>44787</v>
      </c>
      <c r="B227" s="61">
        <v>10705</v>
      </c>
      <c r="C227" s="53">
        <v>60</v>
      </c>
      <c r="D227" s="58">
        <f t="shared" si="10"/>
        <v>10705</v>
      </c>
      <c r="E227" s="58">
        <f t="shared" si="11"/>
        <v>60</v>
      </c>
    </row>
    <row r="228" spans="1:5" x14ac:dyDescent="0.2">
      <c r="A228" s="50">
        <f t="shared" si="12"/>
        <v>44788</v>
      </c>
      <c r="B228" s="61">
        <v>18378</v>
      </c>
      <c r="C228" s="53">
        <v>981</v>
      </c>
      <c r="D228" s="58">
        <f t="shared" si="10"/>
        <v>18378</v>
      </c>
      <c r="E228" s="58">
        <f t="shared" si="11"/>
        <v>981</v>
      </c>
    </row>
    <row r="229" spans="1:5" x14ac:dyDescent="0.2">
      <c r="A229" s="50">
        <f t="shared" si="12"/>
        <v>44789</v>
      </c>
      <c r="B229" s="61">
        <v>21702</v>
      </c>
      <c r="C229" s="53">
        <v>821</v>
      </c>
      <c r="D229" s="58">
        <f t="shared" si="10"/>
        <v>21702</v>
      </c>
      <c r="E229" s="58">
        <f t="shared" si="11"/>
        <v>821</v>
      </c>
    </row>
    <row r="230" spans="1:5" x14ac:dyDescent="0.2">
      <c r="A230" s="50">
        <f t="shared" si="12"/>
        <v>44790</v>
      </c>
      <c r="B230" s="61">
        <v>21038</v>
      </c>
      <c r="C230" s="53">
        <v>813</v>
      </c>
      <c r="D230" s="58">
        <f t="shared" si="10"/>
        <v>21038</v>
      </c>
      <c r="E230" s="58">
        <f t="shared" si="11"/>
        <v>813</v>
      </c>
    </row>
    <row r="231" spans="1:5" x14ac:dyDescent="0.2">
      <c r="A231" s="50">
        <f t="shared" si="12"/>
        <v>44791</v>
      </c>
      <c r="B231" s="61">
        <v>20387</v>
      </c>
      <c r="C231" s="53">
        <v>690</v>
      </c>
      <c r="D231" s="58">
        <f t="shared" si="10"/>
        <v>20387</v>
      </c>
      <c r="E231" s="58">
        <f t="shared" si="11"/>
        <v>690</v>
      </c>
    </row>
    <row r="232" spans="1:5" x14ac:dyDescent="0.2">
      <c r="A232" s="50">
        <f t="shared" si="12"/>
        <v>44792</v>
      </c>
      <c r="B232" s="61">
        <v>18396</v>
      </c>
      <c r="C232" s="53">
        <v>443</v>
      </c>
      <c r="D232" s="58">
        <f t="shared" si="10"/>
        <v>18396</v>
      </c>
      <c r="E232" s="58">
        <f t="shared" si="11"/>
        <v>443</v>
      </c>
    </row>
    <row r="233" spans="1:5" x14ac:dyDescent="0.2">
      <c r="A233" s="50">
        <f t="shared" si="12"/>
        <v>44793</v>
      </c>
      <c r="B233" s="61">
        <v>12580</v>
      </c>
      <c r="C233" s="53">
        <v>148</v>
      </c>
      <c r="D233" s="58">
        <f t="shared" si="10"/>
        <v>12580</v>
      </c>
      <c r="E233" s="58">
        <f t="shared" si="11"/>
        <v>148</v>
      </c>
    </row>
    <row r="234" spans="1:5" x14ac:dyDescent="0.2">
      <c r="A234" s="50">
        <f t="shared" si="12"/>
        <v>44794</v>
      </c>
      <c r="B234" s="61">
        <v>8999</v>
      </c>
      <c r="C234" s="53">
        <v>55</v>
      </c>
      <c r="D234" s="58">
        <f t="shared" si="10"/>
        <v>8999</v>
      </c>
      <c r="E234" s="58">
        <f t="shared" si="11"/>
        <v>55</v>
      </c>
    </row>
    <row r="235" spans="1:5" x14ac:dyDescent="0.2">
      <c r="A235" s="50">
        <f t="shared" si="12"/>
        <v>44795</v>
      </c>
      <c r="B235" s="61">
        <v>19133</v>
      </c>
      <c r="C235" s="53">
        <v>854</v>
      </c>
      <c r="D235" s="58">
        <f t="shared" si="10"/>
        <v>19133</v>
      </c>
      <c r="E235" s="58">
        <f t="shared" si="11"/>
        <v>854</v>
      </c>
    </row>
    <row r="236" spans="1:5" x14ac:dyDescent="0.2">
      <c r="A236" s="50">
        <f t="shared" si="12"/>
        <v>44796</v>
      </c>
      <c r="B236" s="61">
        <v>22000</v>
      </c>
      <c r="C236" s="53">
        <v>726</v>
      </c>
      <c r="D236" s="58">
        <f t="shared" si="10"/>
        <v>22000</v>
      </c>
      <c r="E236" s="58">
        <f t="shared" si="11"/>
        <v>726</v>
      </c>
    </row>
    <row r="237" spans="1:5" x14ac:dyDescent="0.2">
      <c r="A237" s="50">
        <f t="shared" si="12"/>
        <v>44797</v>
      </c>
      <c r="B237" s="61">
        <v>20619</v>
      </c>
      <c r="C237" s="53">
        <v>583</v>
      </c>
      <c r="D237" s="58">
        <f t="shared" si="10"/>
        <v>20619</v>
      </c>
      <c r="E237" s="58">
        <f t="shared" si="11"/>
        <v>583</v>
      </c>
    </row>
    <row r="238" spans="1:5" x14ac:dyDescent="0.2">
      <c r="A238" s="50">
        <f t="shared" si="12"/>
        <v>44798</v>
      </c>
      <c r="B238" s="61">
        <v>18152</v>
      </c>
      <c r="C238" s="53">
        <v>419</v>
      </c>
      <c r="D238" s="58">
        <f t="shared" si="10"/>
        <v>18152</v>
      </c>
      <c r="E238" s="58">
        <f t="shared" si="11"/>
        <v>419</v>
      </c>
    </row>
    <row r="239" spans="1:5" x14ac:dyDescent="0.2">
      <c r="A239" s="50">
        <f t="shared" si="12"/>
        <v>44799</v>
      </c>
      <c r="B239" s="61">
        <v>18591</v>
      </c>
      <c r="C239" s="53">
        <v>681</v>
      </c>
      <c r="D239" s="58">
        <f t="shared" si="10"/>
        <v>18591</v>
      </c>
      <c r="E239" s="58">
        <f t="shared" si="11"/>
        <v>681</v>
      </c>
    </row>
    <row r="240" spans="1:5" x14ac:dyDescent="0.2">
      <c r="A240" s="50">
        <f t="shared" si="12"/>
        <v>44800</v>
      </c>
      <c r="B240" s="61">
        <v>19712</v>
      </c>
      <c r="C240" s="53">
        <v>800</v>
      </c>
      <c r="D240" s="58">
        <f t="shared" si="10"/>
        <v>19712</v>
      </c>
      <c r="E240" s="58">
        <f t="shared" si="11"/>
        <v>800</v>
      </c>
    </row>
    <row r="241" spans="1:5" x14ac:dyDescent="0.2">
      <c r="A241" s="50">
        <f t="shared" si="12"/>
        <v>44801</v>
      </c>
      <c r="B241" s="61">
        <v>17670</v>
      </c>
      <c r="C241" s="53">
        <v>744</v>
      </c>
      <c r="D241" s="58">
        <f t="shared" si="10"/>
        <v>17670</v>
      </c>
      <c r="E241" s="58">
        <f t="shared" si="11"/>
        <v>744</v>
      </c>
    </row>
    <row r="242" spans="1:5" x14ac:dyDescent="0.2">
      <c r="A242" s="50">
        <f t="shared" si="12"/>
        <v>44802</v>
      </c>
      <c r="B242" s="61">
        <v>20125</v>
      </c>
      <c r="C242" s="53">
        <v>811</v>
      </c>
      <c r="D242" s="58">
        <f t="shared" si="10"/>
        <v>20125</v>
      </c>
      <c r="E242" s="58">
        <f t="shared" si="11"/>
        <v>811</v>
      </c>
    </row>
    <row r="243" spans="1:5" x14ac:dyDescent="0.2">
      <c r="A243" s="50">
        <f t="shared" si="12"/>
        <v>44803</v>
      </c>
      <c r="B243" s="61">
        <v>21432</v>
      </c>
      <c r="C243" s="53">
        <v>877</v>
      </c>
      <c r="D243" s="58">
        <f t="shared" si="10"/>
        <v>21432</v>
      </c>
      <c r="E243" s="58">
        <f t="shared" si="11"/>
        <v>877</v>
      </c>
    </row>
    <row r="244" spans="1:5" x14ac:dyDescent="0.2">
      <c r="A244" s="50">
        <f t="shared" si="12"/>
        <v>44804</v>
      </c>
      <c r="B244" s="61">
        <v>20192</v>
      </c>
      <c r="C244" s="53">
        <v>841</v>
      </c>
      <c r="D244" s="58">
        <f t="shared" si="10"/>
        <v>20192</v>
      </c>
      <c r="E244" s="58">
        <f t="shared" si="11"/>
        <v>841</v>
      </c>
    </row>
    <row r="245" spans="1:5" x14ac:dyDescent="0.2">
      <c r="A245" s="50">
        <f t="shared" si="12"/>
        <v>44805</v>
      </c>
      <c r="B245" s="61">
        <v>21342</v>
      </c>
      <c r="C245" s="53">
        <v>775</v>
      </c>
      <c r="D245" s="58">
        <f t="shared" si="10"/>
        <v>21342</v>
      </c>
      <c r="E245" s="58">
        <f t="shared" si="11"/>
        <v>775</v>
      </c>
    </row>
    <row r="246" spans="1:5" x14ac:dyDescent="0.2">
      <c r="A246" s="50">
        <f t="shared" si="12"/>
        <v>44806</v>
      </c>
      <c r="B246" s="61">
        <v>19320</v>
      </c>
      <c r="C246" s="53">
        <v>396</v>
      </c>
      <c r="D246" s="58">
        <f t="shared" si="10"/>
        <v>19320</v>
      </c>
      <c r="E246" s="58">
        <f t="shared" si="11"/>
        <v>396</v>
      </c>
    </row>
    <row r="247" spans="1:5" x14ac:dyDescent="0.2">
      <c r="A247" s="50">
        <f t="shared" si="12"/>
        <v>44807</v>
      </c>
      <c r="B247" s="61">
        <v>11092</v>
      </c>
      <c r="C247" s="53">
        <v>165</v>
      </c>
      <c r="D247" s="58">
        <f t="shared" si="10"/>
        <v>11092</v>
      </c>
      <c r="E247" s="58">
        <f t="shared" si="11"/>
        <v>165</v>
      </c>
    </row>
    <row r="248" spans="1:5" x14ac:dyDescent="0.2">
      <c r="A248" s="50">
        <f t="shared" si="12"/>
        <v>44808</v>
      </c>
      <c r="B248" s="61">
        <v>11141</v>
      </c>
      <c r="C248" s="53">
        <v>171</v>
      </c>
      <c r="D248" s="58">
        <f t="shared" si="10"/>
        <v>11141</v>
      </c>
      <c r="E248" s="58">
        <f t="shared" si="11"/>
        <v>171</v>
      </c>
    </row>
    <row r="249" spans="1:5" x14ac:dyDescent="0.2">
      <c r="A249" s="50">
        <f t="shared" si="12"/>
        <v>44809</v>
      </c>
      <c r="B249" s="61">
        <v>18630</v>
      </c>
      <c r="C249" s="53">
        <v>933</v>
      </c>
      <c r="D249" s="58">
        <f t="shared" si="10"/>
        <v>18630</v>
      </c>
      <c r="E249" s="58">
        <f t="shared" si="11"/>
        <v>933</v>
      </c>
    </row>
    <row r="250" spans="1:5" x14ac:dyDescent="0.2">
      <c r="A250" s="50">
        <f t="shared" si="12"/>
        <v>44810</v>
      </c>
      <c r="B250" s="61">
        <v>21277</v>
      </c>
      <c r="C250" s="53">
        <v>743</v>
      </c>
      <c r="D250" s="58">
        <f t="shared" si="10"/>
        <v>21277</v>
      </c>
      <c r="E250" s="58">
        <f t="shared" si="11"/>
        <v>743</v>
      </c>
    </row>
    <row r="251" spans="1:5" x14ac:dyDescent="0.2">
      <c r="A251" s="50">
        <f t="shared" si="12"/>
        <v>44811</v>
      </c>
      <c r="B251" s="61">
        <v>19582</v>
      </c>
      <c r="C251" s="53">
        <v>697</v>
      </c>
      <c r="D251" s="58">
        <f t="shared" si="10"/>
        <v>19582</v>
      </c>
      <c r="E251" s="58">
        <f t="shared" si="11"/>
        <v>697</v>
      </c>
    </row>
    <row r="252" spans="1:5" x14ac:dyDescent="0.2">
      <c r="A252" s="50">
        <f t="shared" si="12"/>
        <v>44812</v>
      </c>
      <c r="B252" s="61">
        <v>20263</v>
      </c>
      <c r="C252" s="53">
        <v>745</v>
      </c>
      <c r="D252" s="58">
        <f t="shared" si="10"/>
        <v>20263</v>
      </c>
      <c r="E252" s="58">
        <f t="shared" si="11"/>
        <v>745</v>
      </c>
    </row>
    <row r="253" spans="1:5" x14ac:dyDescent="0.2">
      <c r="A253" s="50">
        <f t="shared" si="12"/>
        <v>44813</v>
      </c>
      <c r="B253" s="61">
        <v>20998</v>
      </c>
      <c r="C253" s="53">
        <v>642</v>
      </c>
      <c r="D253" s="58">
        <f t="shared" si="10"/>
        <v>20998</v>
      </c>
      <c r="E253" s="58">
        <f t="shared" si="11"/>
        <v>642</v>
      </c>
    </row>
    <row r="254" spans="1:5" x14ac:dyDescent="0.2">
      <c r="A254" s="50">
        <f t="shared" si="12"/>
        <v>44814</v>
      </c>
      <c r="B254" s="61">
        <v>14366</v>
      </c>
      <c r="C254" s="53">
        <v>304</v>
      </c>
      <c r="D254" s="58">
        <f t="shared" si="10"/>
        <v>14366</v>
      </c>
      <c r="E254" s="58">
        <f t="shared" si="11"/>
        <v>304</v>
      </c>
    </row>
    <row r="255" spans="1:5" x14ac:dyDescent="0.2">
      <c r="A255" s="50">
        <f t="shared" si="12"/>
        <v>44815</v>
      </c>
      <c r="B255" s="61">
        <v>14092</v>
      </c>
      <c r="C255" s="53">
        <v>346</v>
      </c>
      <c r="D255" s="58">
        <f t="shared" si="10"/>
        <v>14092</v>
      </c>
      <c r="E255" s="58">
        <f t="shared" si="11"/>
        <v>346</v>
      </c>
    </row>
    <row r="256" spans="1:5" x14ac:dyDescent="0.2">
      <c r="A256" s="50">
        <f t="shared" si="12"/>
        <v>44816</v>
      </c>
      <c r="B256" s="61">
        <v>21682</v>
      </c>
      <c r="C256" s="53">
        <v>997</v>
      </c>
      <c r="D256" s="58">
        <f t="shared" si="10"/>
        <v>21682</v>
      </c>
      <c r="E256" s="58">
        <f t="shared" si="11"/>
        <v>997</v>
      </c>
    </row>
    <row r="257" spans="1:5" x14ac:dyDescent="0.2">
      <c r="A257" s="50">
        <f t="shared" si="12"/>
        <v>44817</v>
      </c>
      <c r="B257" s="61">
        <v>22819</v>
      </c>
      <c r="C257" s="53">
        <v>949</v>
      </c>
      <c r="D257" s="58">
        <f t="shared" si="10"/>
        <v>22819</v>
      </c>
      <c r="E257" s="58">
        <f t="shared" si="11"/>
        <v>949</v>
      </c>
    </row>
    <row r="258" spans="1:5" x14ac:dyDescent="0.2">
      <c r="A258" s="50">
        <f t="shared" si="12"/>
        <v>44818</v>
      </c>
      <c r="B258" s="61">
        <v>23451</v>
      </c>
      <c r="C258" s="53">
        <v>879</v>
      </c>
      <c r="D258" s="58">
        <f t="shared" ref="D258:D321" si="13">ROUND(B258,0)</f>
        <v>23451</v>
      </c>
      <c r="E258" s="58">
        <f t="shared" ref="E258:E321" si="14">ROUND(C258,0)</f>
        <v>879</v>
      </c>
    </row>
    <row r="259" spans="1:5" x14ac:dyDescent="0.2">
      <c r="A259" s="50">
        <f t="shared" si="12"/>
        <v>44819</v>
      </c>
      <c r="B259" s="61">
        <v>21885</v>
      </c>
      <c r="C259" s="53">
        <v>844</v>
      </c>
      <c r="D259" s="58">
        <f t="shared" si="13"/>
        <v>21885</v>
      </c>
      <c r="E259" s="58">
        <f t="shared" si="14"/>
        <v>844</v>
      </c>
    </row>
    <row r="260" spans="1:5" x14ac:dyDescent="0.2">
      <c r="A260" s="50">
        <f t="shared" si="12"/>
        <v>44820</v>
      </c>
      <c r="B260" s="61">
        <v>23262</v>
      </c>
      <c r="C260" s="53">
        <v>889</v>
      </c>
      <c r="D260" s="58">
        <f t="shared" si="13"/>
        <v>23262</v>
      </c>
      <c r="E260" s="58">
        <f t="shared" si="14"/>
        <v>889</v>
      </c>
    </row>
    <row r="261" spans="1:5" x14ac:dyDescent="0.2">
      <c r="A261" s="50">
        <f t="shared" si="12"/>
        <v>44821</v>
      </c>
      <c r="B261" s="61">
        <v>18824</v>
      </c>
      <c r="C261" s="53">
        <v>478</v>
      </c>
      <c r="D261" s="58">
        <f t="shared" si="13"/>
        <v>18824</v>
      </c>
      <c r="E261" s="58">
        <f t="shared" si="14"/>
        <v>478</v>
      </c>
    </row>
    <row r="262" spans="1:5" x14ac:dyDescent="0.2">
      <c r="A262" s="50">
        <f t="shared" si="12"/>
        <v>44822</v>
      </c>
      <c r="B262" s="61">
        <v>14775</v>
      </c>
      <c r="C262" s="53">
        <v>406</v>
      </c>
      <c r="D262" s="58">
        <f t="shared" si="13"/>
        <v>14775</v>
      </c>
      <c r="E262" s="58">
        <f t="shared" si="14"/>
        <v>406</v>
      </c>
    </row>
    <row r="263" spans="1:5" x14ac:dyDescent="0.2">
      <c r="A263" s="50">
        <f t="shared" si="12"/>
        <v>44823</v>
      </c>
      <c r="B263" s="61">
        <v>20976</v>
      </c>
      <c r="C263" s="53">
        <v>974</v>
      </c>
      <c r="D263" s="58">
        <f t="shared" si="13"/>
        <v>20976</v>
      </c>
      <c r="E263" s="58">
        <f t="shared" si="14"/>
        <v>974</v>
      </c>
    </row>
    <row r="264" spans="1:5" x14ac:dyDescent="0.2">
      <c r="A264" s="50">
        <f t="shared" si="12"/>
        <v>44824</v>
      </c>
      <c r="B264" s="61">
        <v>23404</v>
      </c>
      <c r="C264" s="53">
        <v>917</v>
      </c>
      <c r="D264" s="58">
        <f t="shared" si="13"/>
        <v>23404</v>
      </c>
      <c r="E264" s="58">
        <f t="shared" si="14"/>
        <v>917</v>
      </c>
    </row>
    <row r="265" spans="1:5" x14ac:dyDescent="0.2">
      <c r="A265" s="50">
        <f t="shared" si="12"/>
        <v>44825</v>
      </c>
      <c r="B265" s="61">
        <v>23582</v>
      </c>
      <c r="C265" s="53">
        <v>919</v>
      </c>
      <c r="D265" s="58">
        <f t="shared" si="13"/>
        <v>23582</v>
      </c>
      <c r="E265" s="58">
        <f t="shared" si="14"/>
        <v>919</v>
      </c>
    </row>
    <row r="266" spans="1:5" x14ac:dyDescent="0.2">
      <c r="A266" s="50">
        <f t="shared" si="12"/>
        <v>44826</v>
      </c>
      <c r="B266" s="61">
        <v>21556</v>
      </c>
      <c r="C266" s="53">
        <v>813</v>
      </c>
      <c r="D266" s="58">
        <f t="shared" si="13"/>
        <v>21556</v>
      </c>
      <c r="E266" s="58">
        <f t="shared" si="14"/>
        <v>813</v>
      </c>
    </row>
    <row r="267" spans="1:5" x14ac:dyDescent="0.2">
      <c r="A267" s="50">
        <f t="shared" si="12"/>
        <v>44827</v>
      </c>
      <c r="B267" s="61">
        <v>20328</v>
      </c>
      <c r="C267" s="53">
        <v>874</v>
      </c>
      <c r="D267" s="58">
        <f t="shared" si="13"/>
        <v>20328</v>
      </c>
      <c r="E267" s="58">
        <f t="shared" si="14"/>
        <v>874</v>
      </c>
    </row>
    <row r="268" spans="1:5" x14ac:dyDescent="0.2">
      <c r="A268" s="50">
        <f t="shared" si="12"/>
        <v>44828</v>
      </c>
      <c r="B268" s="61">
        <v>17633</v>
      </c>
      <c r="C268" s="53">
        <v>781</v>
      </c>
      <c r="D268" s="58">
        <f t="shared" si="13"/>
        <v>17633</v>
      </c>
      <c r="E268" s="58">
        <f t="shared" si="14"/>
        <v>781</v>
      </c>
    </row>
    <row r="269" spans="1:5" x14ac:dyDescent="0.2">
      <c r="A269" s="50">
        <f t="shared" si="12"/>
        <v>44829</v>
      </c>
      <c r="B269" s="61">
        <v>17611</v>
      </c>
      <c r="C269" s="53">
        <v>550</v>
      </c>
      <c r="D269" s="58">
        <f t="shared" si="13"/>
        <v>17611</v>
      </c>
      <c r="E269" s="58">
        <f t="shared" si="14"/>
        <v>550</v>
      </c>
    </row>
    <row r="270" spans="1:5" x14ac:dyDescent="0.2">
      <c r="A270" s="50">
        <f t="shared" si="12"/>
        <v>44830</v>
      </c>
      <c r="B270" s="61">
        <v>20402</v>
      </c>
      <c r="C270" s="53">
        <v>746</v>
      </c>
      <c r="D270" s="58">
        <f t="shared" si="13"/>
        <v>20402</v>
      </c>
      <c r="E270" s="58">
        <f t="shared" si="14"/>
        <v>746</v>
      </c>
    </row>
    <row r="271" spans="1:5" x14ac:dyDescent="0.2">
      <c r="A271" s="50">
        <f t="shared" si="12"/>
        <v>44831</v>
      </c>
      <c r="B271" s="61">
        <v>20897</v>
      </c>
      <c r="C271" s="53">
        <v>706</v>
      </c>
      <c r="D271" s="58">
        <f t="shared" si="13"/>
        <v>20897</v>
      </c>
      <c r="E271" s="58">
        <f t="shared" si="14"/>
        <v>706</v>
      </c>
    </row>
    <row r="272" spans="1:5" x14ac:dyDescent="0.2">
      <c r="A272" s="50">
        <f t="shared" si="12"/>
        <v>44832</v>
      </c>
      <c r="B272" s="61">
        <v>21717</v>
      </c>
      <c r="C272" s="53">
        <v>752</v>
      </c>
      <c r="D272" s="58">
        <f t="shared" si="13"/>
        <v>21717</v>
      </c>
      <c r="E272" s="58">
        <f t="shared" si="14"/>
        <v>752</v>
      </c>
    </row>
    <row r="273" spans="1:5" x14ac:dyDescent="0.2">
      <c r="A273" s="50">
        <f t="shared" si="12"/>
        <v>44833</v>
      </c>
      <c r="B273" s="61">
        <v>19621</v>
      </c>
      <c r="C273" s="53">
        <v>635</v>
      </c>
      <c r="D273" s="58">
        <f t="shared" si="13"/>
        <v>19621</v>
      </c>
      <c r="E273" s="58">
        <f t="shared" si="14"/>
        <v>635</v>
      </c>
    </row>
    <row r="274" spans="1:5" x14ac:dyDescent="0.2">
      <c r="A274" s="50">
        <f t="shared" si="12"/>
        <v>44834</v>
      </c>
      <c r="B274" s="61">
        <v>18611</v>
      </c>
      <c r="C274" s="53">
        <v>575</v>
      </c>
      <c r="D274" s="58">
        <f t="shared" si="13"/>
        <v>18611</v>
      </c>
      <c r="E274" s="58">
        <f t="shared" si="14"/>
        <v>575</v>
      </c>
    </row>
    <row r="275" spans="1:5" x14ac:dyDescent="0.2">
      <c r="A275" s="50">
        <f t="shared" si="12"/>
        <v>44835</v>
      </c>
      <c r="B275" s="61">
        <v>8609</v>
      </c>
      <c r="C275" s="53">
        <v>0</v>
      </c>
      <c r="D275" s="58">
        <f t="shared" si="13"/>
        <v>8609</v>
      </c>
      <c r="E275" s="58">
        <f t="shared" si="14"/>
        <v>0</v>
      </c>
    </row>
    <row r="276" spans="1:5" x14ac:dyDescent="0.2">
      <c r="A276" s="50">
        <f t="shared" si="12"/>
        <v>44836</v>
      </c>
      <c r="B276" s="61">
        <v>5551</v>
      </c>
      <c r="C276" s="53">
        <v>0</v>
      </c>
      <c r="D276" s="58">
        <f t="shared" si="13"/>
        <v>5551</v>
      </c>
      <c r="E276" s="58">
        <f t="shared" si="14"/>
        <v>0</v>
      </c>
    </row>
    <row r="277" spans="1:5" x14ac:dyDescent="0.2">
      <c r="A277" s="50">
        <f t="shared" si="12"/>
        <v>44837</v>
      </c>
      <c r="B277" s="61">
        <v>15391</v>
      </c>
      <c r="C277" s="53">
        <v>605</v>
      </c>
      <c r="D277" s="58">
        <f t="shared" si="13"/>
        <v>15391</v>
      </c>
      <c r="E277" s="58">
        <f t="shared" si="14"/>
        <v>605</v>
      </c>
    </row>
    <row r="278" spans="1:5" x14ac:dyDescent="0.2">
      <c r="A278" s="50">
        <f t="shared" si="12"/>
        <v>44838</v>
      </c>
      <c r="B278" s="61">
        <v>20458</v>
      </c>
      <c r="C278" s="53">
        <v>791</v>
      </c>
      <c r="D278" s="58">
        <f t="shared" si="13"/>
        <v>20458</v>
      </c>
      <c r="E278" s="58">
        <f t="shared" si="14"/>
        <v>791</v>
      </c>
    </row>
    <row r="279" spans="1:5" x14ac:dyDescent="0.2">
      <c r="A279" s="50">
        <f t="shared" si="12"/>
        <v>44839</v>
      </c>
      <c r="B279" s="61">
        <v>21316</v>
      </c>
      <c r="C279" s="53">
        <v>790</v>
      </c>
      <c r="D279" s="58">
        <f t="shared" si="13"/>
        <v>21316</v>
      </c>
      <c r="E279" s="58">
        <f t="shared" si="14"/>
        <v>790</v>
      </c>
    </row>
    <row r="280" spans="1:5" x14ac:dyDescent="0.2">
      <c r="A280" s="50">
        <f t="shared" si="12"/>
        <v>44840</v>
      </c>
      <c r="B280" s="61">
        <v>21893</v>
      </c>
      <c r="C280" s="53">
        <v>813</v>
      </c>
      <c r="D280" s="58">
        <f t="shared" si="13"/>
        <v>21893</v>
      </c>
      <c r="E280" s="58">
        <f t="shared" si="14"/>
        <v>813</v>
      </c>
    </row>
    <row r="281" spans="1:5" x14ac:dyDescent="0.2">
      <c r="A281" s="50">
        <f t="shared" si="12"/>
        <v>44841</v>
      </c>
      <c r="B281" s="61">
        <v>21297</v>
      </c>
      <c r="C281" s="53">
        <v>822</v>
      </c>
      <c r="D281" s="58">
        <f t="shared" si="13"/>
        <v>21297</v>
      </c>
      <c r="E281" s="58">
        <f t="shared" si="14"/>
        <v>822</v>
      </c>
    </row>
    <row r="282" spans="1:5" x14ac:dyDescent="0.2">
      <c r="A282" s="50">
        <f t="shared" si="12"/>
        <v>44842</v>
      </c>
      <c r="B282" s="61">
        <v>21134</v>
      </c>
      <c r="C282" s="53">
        <v>710</v>
      </c>
      <c r="D282" s="58">
        <f t="shared" si="13"/>
        <v>21134</v>
      </c>
      <c r="E282" s="58">
        <f t="shared" si="14"/>
        <v>710</v>
      </c>
    </row>
    <row r="283" spans="1:5" x14ac:dyDescent="0.2">
      <c r="A283" s="50">
        <f t="shared" si="12"/>
        <v>44843</v>
      </c>
      <c r="B283" s="61">
        <v>20530</v>
      </c>
      <c r="C283" s="53">
        <v>761</v>
      </c>
      <c r="D283" s="58">
        <f t="shared" si="13"/>
        <v>20530</v>
      </c>
      <c r="E283" s="58">
        <f t="shared" si="14"/>
        <v>761</v>
      </c>
    </row>
    <row r="284" spans="1:5" x14ac:dyDescent="0.2">
      <c r="A284" s="50">
        <f t="shared" si="12"/>
        <v>44844</v>
      </c>
      <c r="B284" s="61">
        <v>19403</v>
      </c>
      <c r="C284" s="53">
        <v>778</v>
      </c>
      <c r="D284" s="58">
        <f t="shared" si="13"/>
        <v>19403</v>
      </c>
      <c r="E284" s="58">
        <f t="shared" si="14"/>
        <v>778</v>
      </c>
    </row>
    <row r="285" spans="1:5" x14ac:dyDescent="0.2">
      <c r="A285" s="50">
        <f t="shared" si="12"/>
        <v>44845</v>
      </c>
      <c r="B285" s="61">
        <v>21200</v>
      </c>
      <c r="C285" s="53">
        <v>768</v>
      </c>
      <c r="D285" s="58">
        <f t="shared" si="13"/>
        <v>21200</v>
      </c>
      <c r="E285" s="58">
        <f t="shared" si="14"/>
        <v>768</v>
      </c>
    </row>
    <row r="286" spans="1:5" x14ac:dyDescent="0.2">
      <c r="A286" s="50">
        <f t="shared" si="12"/>
        <v>44846</v>
      </c>
      <c r="B286" s="61">
        <v>18813</v>
      </c>
      <c r="C286" s="53">
        <v>637</v>
      </c>
      <c r="D286" s="58">
        <f t="shared" si="13"/>
        <v>18813</v>
      </c>
      <c r="E286" s="58">
        <f t="shared" si="14"/>
        <v>637</v>
      </c>
    </row>
    <row r="287" spans="1:5" x14ac:dyDescent="0.2">
      <c r="A287" s="50">
        <f t="shared" si="12"/>
        <v>44847</v>
      </c>
      <c r="B287" s="61">
        <v>18833</v>
      </c>
      <c r="C287" s="53">
        <v>540</v>
      </c>
      <c r="D287" s="58">
        <f t="shared" si="13"/>
        <v>18833</v>
      </c>
      <c r="E287" s="58">
        <f t="shared" si="14"/>
        <v>540</v>
      </c>
    </row>
    <row r="288" spans="1:5" x14ac:dyDescent="0.2">
      <c r="A288" s="50">
        <f t="shared" ref="A288:A351" si="15">A287+1</f>
        <v>44848</v>
      </c>
      <c r="B288" s="61">
        <v>18621</v>
      </c>
      <c r="C288" s="53">
        <v>616</v>
      </c>
      <c r="D288" s="58">
        <f t="shared" si="13"/>
        <v>18621</v>
      </c>
      <c r="E288" s="58">
        <f t="shared" si="14"/>
        <v>616</v>
      </c>
    </row>
    <row r="289" spans="1:5" x14ac:dyDescent="0.2">
      <c r="A289" s="50">
        <f t="shared" si="15"/>
        <v>44849</v>
      </c>
      <c r="B289" s="61">
        <v>16703</v>
      </c>
      <c r="C289" s="53">
        <v>573</v>
      </c>
      <c r="D289" s="58">
        <f t="shared" si="13"/>
        <v>16703</v>
      </c>
      <c r="E289" s="58">
        <f t="shared" si="14"/>
        <v>573</v>
      </c>
    </row>
    <row r="290" spans="1:5" x14ac:dyDescent="0.2">
      <c r="A290" s="50">
        <f t="shared" si="15"/>
        <v>44850</v>
      </c>
      <c r="B290" s="61">
        <v>16114</v>
      </c>
      <c r="C290" s="53">
        <v>624</v>
      </c>
      <c r="D290" s="58">
        <f t="shared" si="13"/>
        <v>16114</v>
      </c>
      <c r="E290" s="58">
        <f t="shared" si="14"/>
        <v>624</v>
      </c>
    </row>
    <row r="291" spans="1:5" x14ac:dyDescent="0.2">
      <c r="A291" s="50">
        <f t="shared" si="15"/>
        <v>44851</v>
      </c>
      <c r="B291" s="61">
        <v>20372</v>
      </c>
      <c r="C291" s="53">
        <v>687</v>
      </c>
      <c r="D291" s="58">
        <f t="shared" si="13"/>
        <v>20372</v>
      </c>
      <c r="E291" s="58">
        <f t="shared" si="14"/>
        <v>687</v>
      </c>
    </row>
    <row r="292" spans="1:5" x14ac:dyDescent="0.2">
      <c r="A292" s="50">
        <f t="shared" si="15"/>
        <v>44852</v>
      </c>
      <c r="B292" s="61">
        <v>20138</v>
      </c>
      <c r="C292" s="53">
        <v>662</v>
      </c>
      <c r="D292" s="58">
        <f t="shared" si="13"/>
        <v>20138</v>
      </c>
      <c r="E292" s="58">
        <f t="shared" si="14"/>
        <v>662</v>
      </c>
    </row>
    <row r="293" spans="1:5" x14ac:dyDescent="0.2">
      <c r="A293" s="50">
        <f t="shared" si="15"/>
        <v>44853</v>
      </c>
      <c r="B293" s="61">
        <v>20674</v>
      </c>
      <c r="C293" s="53">
        <v>803</v>
      </c>
      <c r="D293" s="58">
        <f t="shared" si="13"/>
        <v>20674</v>
      </c>
      <c r="E293" s="58">
        <f t="shared" si="14"/>
        <v>803</v>
      </c>
    </row>
    <row r="294" spans="1:5" x14ac:dyDescent="0.2">
      <c r="A294" s="50">
        <f t="shared" si="15"/>
        <v>44854</v>
      </c>
      <c r="B294" s="61">
        <v>20163</v>
      </c>
      <c r="C294" s="53">
        <v>745</v>
      </c>
      <c r="D294" s="58">
        <f t="shared" si="13"/>
        <v>20163</v>
      </c>
      <c r="E294" s="58">
        <f t="shared" si="14"/>
        <v>745</v>
      </c>
    </row>
    <row r="295" spans="1:5" x14ac:dyDescent="0.2">
      <c r="A295" s="50">
        <f t="shared" si="15"/>
        <v>44855</v>
      </c>
      <c r="B295" s="61">
        <v>19457</v>
      </c>
      <c r="C295" s="53">
        <v>714</v>
      </c>
      <c r="D295" s="58">
        <f t="shared" si="13"/>
        <v>19457</v>
      </c>
      <c r="E295" s="58">
        <f t="shared" si="14"/>
        <v>714</v>
      </c>
    </row>
    <row r="296" spans="1:5" x14ac:dyDescent="0.2">
      <c r="A296" s="50">
        <f t="shared" si="15"/>
        <v>44856</v>
      </c>
      <c r="B296" s="61">
        <v>16818</v>
      </c>
      <c r="C296" s="53">
        <v>754</v>
      </c>
      <c r="D296" s="58">
        <f t="shared" si="13"/>
        <v>16818</v>
      </c>
      <c r="E296" s="58">
        <f t="shared" si="14"/>
        <v>754</v>
      </c>
    </row>
    <row r="297" spans="1:5" x14ac:dyDescent="0.2">
      <c r="A297" s="50">
        <f t="shared" si="15"/>
        <v>44857</v>
      </c>
      <c r="B297" s="61">
        <v>16645</v>
      </c>
      <c r="C297" s="53">
        <v>641</v>
      </c>
      <c r="D297" s="58">
        <f t="shared" si="13"/>
        <v>16645</v>
      </c>
      <c r="E297" s="58">
        <f t="shared" si="14"/>
        <v>641</v>
      </c>
    </row>
    <row r="298" spans="1:5" x14ac:dyDescent="0.2">
      <c r="A298" s="50">
        <f t="shared" si="15"/>
        <v>44858</v>
      </c>
      <c r="B298" s="61">
        <v>20886</v>
      </c>
      <c r="C298" s="53">
        <v>806</v>
      </c>
      <c r="D298" s="58">
        <f t="shared" si="13"/>
        <v>20886</v>
      </c>
      <c r="E298" s="58">
        <f t="shared" si="14"/>
        <v>806</v>
      </c>
    </row>
    <row r="299" spans="1:5" x14ac:dyDescent="0.2">
      <c r="A299" s="50">
        <f t="shared" si="15"/>
        <v>44859</v>
      </c>
      <c r="B299" s="61">
        <v>21774</v>
      </c>
      <c r="C299" s="53">
        <v>840</v>
      </c>
      <c r="D299" s="58">
        <f t="shared" si="13"/>
        <v>21774</v>
      </c>
      <c r="E299" s="58">
        <f t="shared" si="14"/>
        <v>840</v>
      </c>
    </row>
    <row r="300" spans="1:5" x14ac:dyDescent="0.2">
      <c r="A300" s="50">
        <f t="shared" si="15"/>
        <v>44860</v>
      </c>
      <c r="B300" s="61">
        <v>24617</v>
      </c>
      <c r="C300" s="53">
        <v>961</v>
      </c>
      <c r="D300" s="58">
        <f t="shared" si="13"/>
        <v>24617</v>
      </c>
      <c r="E300" s="58">
        <f t="shared" si="14"/>
        <v>961</v>
      </c>
    </row>
    <row r="301" spans="1:5" x14ac:dyDescent="0.2">
      <c r="A301" s="50">
        <f t="shared" si="15"/>
        <v>44861</v>
      </c>
      <c r="B301" s="61">
        <v>24902</v>
      </c>
      <c r="C301" s="53">
        <v>943</v>
      </c>
      <c r="D301" s="58">
        <f t="shared" si="13"/>
        <v>24902</v>
      </c>
      <c r="E301" s="58">
        <f t="shared" si="14"/>
        <v>943</v>
      </c>
    </row>
    <row r="302" spans="1:5" x14ac:dyDescent="0.2">
      <c r="A302" s="50">
        <f t="shared" si="15"/>
        <v>44862</v>
      </c>
      <c r="B302" s="61">
        <v>24040</v>
      </c>
      <c r="C302" s="53">
        <v>1049</v>
      </c>
      <c r="D302" s="58">
        <f t="shared" si="13"/>
        <v>24040</v>
      </c>
      <c r="E302" s="58">
        <f t="shared" si="14"/>
        <v>1049</v>
      </c>
    </row>
    <row r="303" spans="1:5" x14ac:dyDescent="0.2">
      <c r="A303" s="50">
        <f t="shared" si="15"/>
        <v>44863</v>
      </c>
      <c r="B303" s="61">
        <v>24205</v>
      </c>
      <c r="C303" s="53">
        <v>989</v>
      </c>
      <c r="D303" s="58">
        <f t="shared" si="13"/>
        <v>24205</v>
      </c>
      <c r="E303" s="58">
        <f t="shared" si="14"/>
        <v>989</v>
      </c>
    </row>
    <row r="304" spans="1:5" x14ac:dyDescent="0.2">
      <c r="A304" s="50">
        <f t="shared" si="15"/>
        <v>44864</v>
      </c>
      <c r="B304" s="61">
        <v>23057</v>
      </c>
      <c r="C304" s="53">
        <v>965</v>
      </c>
      <c r="D304" s="58">
        <f t="shared" si="13"/>
        <v>23057</v>
      </c>
      <c r="E304" s="58">
        <f t="shared" si="14"/>
        <v>965</v>
      </c>
    </row>
    <row r="305" spans="1:5" x14ac:dyDescent="0.2">
      <c r="A305" s="50">
        <f t="shared" si="15"/>
        <v>44865</v>
      </c>
      <c r="B305" s="61">
        <v>23660</v>
      </c>
      <c r="C305" s="53">
        <v>972</v>
      </c>
      <c r="D305" s="58">
        <f t="shared" si="13"/>
        <v>23660</v>
      </c>
      <c r="E305" s="58">
        <f t="shared" si="14"/>
        <v>972</v>
      </c>
    </row>
    <row r="306" spans="1:5" x14ac:dyDescent="0.2">
      <c r="A306" s="50">
        <f t="shared" si="15"/>
        <v>44866</v>
      </c>
      <c r="B306" s="61">
        <v>25822</v>
      </c>
      <c r="C306" s="53">
        <v>858</v>
      </c>
      <c r="D306" s="58">
        <f t="shared" si="13"/>
        <v>25822</v>
      </c>
      <c r="E306" s="58">
        <f t="shared" si="14"/>
        <v>858</v>
      </c>
    </row>
    <row r="307" spans="1:5" x14ac:dyDescent="0.2">
      <c r="A307" s="50">
        <f t="shared" si="15"/>
        <v>44867</v>
      </c>
      <c r="B307" s="61">
        <v>27213</v>
      </c>
      <c r="C307" s="53">
        <v>897</v>
      </c>
      <c r="D307" s="58">
        <f t="shared" si="13"/>
        <v>27213</v>
      </c>
      <c r="E307" s="58">
        <f t="shared" si="14"/>
        <v>897</v>
      </c>
    </row>
    <row r="308" spans="1:5" x14ac:dyDescent="0.2">
      <c r="A308" s="50">
        <f t="shared" si="15"/>
        <v>44868</v>
      </c>
      <c r="B308" s="61">
        <v>24638</v>
      </c>
      <c r="C308" s="53">
        <v>932</v>
      </c>
      <c r="D308" s="58">
        <f t="shared" si="13"/>
        <v>24638</v>
      </c>
      <c r="E308" s="58">
        <f t="shared" si="14"/>
        <v>932</v>
      </c>
    </row>
    <row r="309" spans="1:5" x14ac:dyDescent="0.2">
      <c r="A309" s="50">
        <f t="shared" si="15"/>
        <v>44869</v>
      </c>
      <c r="B309" s="61">
        <v>23610</v>
      </c>
      <c r="C309" s="53">
        <v>910</v>
      </c>
      <c r="D309" s="58">
        <f t="shared" si="13"/>
        <v>23610</v>
      </c>
      <c r="E309" s="58">
        <f t="shared" si="14"/>
        <v>910</v>
      </c>
    </row>
    <row r="310" spans="1:5" x14ac:dyDescent="0.2">
      <c r="A310" s="50">
        <f t="shared" si="15"/>
        <v>44870</v>
      </c>
      <c r="B310" s="61">
        <v>23213</v>
      </c>
      <c r="C310" s="53">
        <v>883</v>
      </c>
      <c r="D310" s="58">
        <f t="shared" si="13"/>
        <v>23213</v>
      </c>
      <c r="E310" s="58">
        <f t="shared" si="14"/>
        <v>883</v>
      </c>
    </row>
    <row r="311" spans="1:5" x14ac:dyDescent="0.2">
      <c r="A311" s="50">
        <f t="shared" si="15"/>
        <v>44871</v>
      </c>
      <c r="B311" s="61">
        <v>22765</v>
      </c>
      <c r="C311" s="53">
        <v>668</v>
      </c>
      <c r="D311" s="58">
        <f t="shared" si="13"/>
        <v>22765</v>
      </c>
      <c r="E311" s="58">
        <f t="shared" si="14"/>
        <v>668</v>
      </c>
    </row>
    <row r="312" spans="1:5" x14ac:dyDescent="0.2">
      <c r="A312" s="50">
        <f t="shared" si="15"/>
        <v>44872</v>
      </c>
      <c r="B312" s="61">
        <v>23653</v>
      </c>
      <c r="C312" s="53">
        <v>851</v>
      </c>
      <c r="D312" s="58">
        <f t="shared" si="13"/>
        <v>23653</v>
      </c>
      <c r="E312" s="58">
        <f t="shared" si="14"/>
        <v>851</v>
      </c>
    </row>
    <row r="313" spans="1:5" x14ac:dyDescent="0.2">
      <c r="A313" s="50">
        <f t="shared" si="15"/>
        <v>44873</v>
      </c>
      <c r="B313" s="61">
        <v>25141</v>
      </c>
      <c r="C313" s="53">
        <v>968</v>
      </c>
      <c r="D313" s="58">
        <f t="shared" si="13"/>
        <v>25141</v>
      </c>
      <c r="E313" s="58">
        <f t="shared" si="14"/>
        <v>968</v>
      </c>
    </row>
    <row r="314" spans="1:5" x14ac:dyDescent="0.2">
      <c r="A314" s="50">
        <f t="shared" si="15"/>
        <v>44874</v>
      </c>
      <c r="B314" s="61">
        <v>23205</v>
      </c>
      <c r="C314" s="53">
        <v>958</v>
      </c>
      <c r="D314" s="58">
        <f t="shared" si="13"/>
        <v>23205</v>
      </c>
      <c r="E314" s="58">
        <f t="shared" si="14"/>
        <v>958</v>
      </c>
    </row>
    <row r="315" spans="1:5" x14ac:dyDescent="0.2">
      <c r="A315" s="50">
        <f t="shared" si="15"/>
        <v>44875</v>
      </c>
      <c r="B315" s="61">
        <v>23763</v>
      </c>
      <c r="C315" s="53">
        <v>886</v>
      </c>
      <c r="D315" s="58">
        <f t="shared" si="13"/>
        <v>23763</v>
      </c>
      <c r="E315" s="58">
        <f t="shared" si="14"/>
        <v>886</v>
      </c>
    </row>
    <row r="316" spans="1:5" x14ac:dyDescent="0.2">
      <c r="A316" s="50">
        <f t="shared" si="15"/>
        <v>44876</v>
      </c>
      <c r="B316" s="61">
        <v>24754</v>
      </c>
      <c r="C316" s="53">
        <v>868</v>
      </c>
      <c r="D316" s="58">
        <f t="shared" si="13"/>
        <v>24754</v>
      </c>
      <c r="E316" s="58">
        <f t="shared" si="14"/>
        <v>868</v>
      </c>
    </row>
    <row r="317" spans="1:5" x14ac:dyDescent="0.2">
      <c r="A317" s="50">
        <f t="shared" si="15"/>
        <v>44877</v>
      </c>
      <c r="B317" s="61">
        <v>24769</v>
      </c>
      <c r="C317" s="53">
        <v>816</v>
      </c>
      <c r="D317" s="58">
        <f t="shared" si="13"/>
        <v>24769</v>
      </c>
      <c r="E317" s="58">
        <f t="shared" si="14"/>
        <v>816</v>
      </c>
    </row>
    <row r="318" spans="1:5" x14ac:dyDescent="0.2">
      <c r="A318" s="50">
        <f t="shared" si="15"/>
        <v>44878</v>
      </c>
      <c r="B318" s="61">
        <v>22940</v>
      </c>
      <c r="C318" s="53">
        <v>828</v>
      </c>
      <c r="D318" s="58">
        <f t="shared" si="13"/>
        <v>22940</v>
      </c>
      <c r="E318" s="58">
        <f t="shared" si="14"/>
        <v>828</v>
      </c>
    </row>
    <row r="319" spans="1:5" x14ac:dyDescent="0.2">
      <c r="A319" s="50">
        <f t="shared" si="15"/>
        <v>44879</v>
      </c>
      <c r="B319" s="61">
        <v>25175</v>
      </c>
      <c r="C319" s="53">
        <v>827</v>
      </c>
      <c r="D319" s="58">
        <f t="shared" si="13"/>
        <v>25175</v>
      </c>
      <c r="E319" s="58">
        <f t="shared" si="14"/>
        <v>827</v>
      </c>
    </row>
    <row r="320" spans="1:5" x14ac:dyDescent="0.2">
      <c r="A320" s="50">
        <f t="shared" si="15"/>
        <v>44880</v>
      </c>
      <c r="B320" s="61">
        <v>25939</v>
      </c>
      <c r="C320" s="53">
        <v>959</v>
      </c>
      <c r="D320" s="58">
        <f t="shared" si="13"/>
        <v>25939</v>
      </c>
      <c r="E320" s="58">
        <f t="shared" si="14"/>
        <v>959</v>
      </c>
    </row>
    <row r="321" spans="1:5" x14ac:dyDescent="0.2">
      <c r="A321" s="50">
        <f t="shared" si="15"/>
        <v>44881</v>
      </c>
      <c r="B321" s="61">
        <v>26331</v>
      </c>
      <c r="C321" s="53">
        <v>966</v>
      </c>
      <c r="D321" s="58">
        <f t="shared" si="13"/>
        <v>26331</v>
      </c>
      <c r="E321" s="58">
        <f t="shared" si="14"/>
        <v>966</v>
      </c>
    </row>
    <row r="322" spans="1:5" x14ac:dyDescent="0.2">
      <c r="A322" s="50">
        <f t="shared" si="15"/>
        <v>44882</v>
      </c>
      <c r="B322" s="61">
        <v>26068</v>
      </c>
      <c r="C322" s="53">
        <v>901</v>
      </c>
      <c r="D322" s="58">
        <f t="shared" ref="D322:D366" si="16">ROUND(B322,0)</f>
        <v>26068</v>
      </c>
      <c r="E322" s="58">
        <f t="shared" ref="E322:E366" si="17">ROUND(C322,0)</f>
        <v>901</v>
      </c>
    </row>
    <row r="323" spans="1:5" x14ac:dyDescent="0.2">
      <c r="A323" s="50">
        <f t="shared" si="15"/>
        <v>44883</v>
      </c>
      <c r="B323" s="61">
        <v>26300</v>
      </c>
      <c r="C323" s="53">
        <v>763</v>
      </c>
      <c r="D323" s="58">
        <f t="shared" si="16"/>
        <v>26300</v>
      </c>
      <c r="E323" s="58">
        <f t="shared" si="17"/>
        <v>763</v>
      </c>
    </row>
    <row r="324" spans="1:5" x14ac:dyDescent="0.2">
      <c r="A324" s="50">
        <f t="shared" si="15"/>
        <v>44884</v>
      </c>
      <c r="B324" s="61">
        <v>23945</v>
      </c>
      <c r="C324" s="53">
        <v>792</v>
      </c>
      <c r="D324" s="58">
        <f t="shared" si="16"/>
        <v>23945</v>
      </c>
      <c r="E324" s="58">
        <f t="shared" si="17"/>
        <v>792</v>
      </c>
    </row>
    <row r="325" spans="1:5" x14ac:dyDescent="0.2">
      <c r="A325" s="50">
        <f t="shared" si="15"/>
        <v>44885</v>
      </c>
      <c r="B325" s="61">
        <v>24844</v>
      </c>
      <c r="C325" s="53">
        <v>828</v>
      </c>
      <c r="D325" s="58">
        <f t="shared" si="16"/>
        <v>24844</v>
      </c>
      <c r="E325" s="58">
        <f t="shared" si="17"/>
        <v>828</v>
      </c>
    </row>
    <row r="326" spans="1:5" x14ac:dyDescent="0.2">
      <c r="A326" s="50">
        <f t="shared" si="15"/>
        <v>44886</v>
      </c>
      <c r="B326" s="61">
        <v>25530</v>
      </c>
      <c r="C326" s="53">
        <v>852</v>
      </c>
      <c r="D326" s="58">
        <f t="shared" si="16"/>
        <v>25530</v>
      </c>
      <c r="E326" s="58">
        <f t="shared" si="17"/>
        <v>852</v>
      </c>
    </row>
    <row r="327" spans="1:5" x14ac:dyDescent="0.2">
      <c r="A327" s="50">
        <f t="shared" si="15"/>
        <v>44887</v>
      </c>
      <c r="B327" s="61">
        <v>27096</v>
      </c>
      <c r="C327" s="53">
        <v>935</v>
      </c>
      <c r="D327" s="58">
        <f t="shared" si="16"/>
        <v>27096</v>
      </c>
      <c r="E327" s="58">
        <f t="shared" si="17"/>
        <v>935</v>
      </c>
    </row>
    <row r="328" spans="1:5" x14ac:dyDescent="0.2">
      <c r="A328" s="50">
        <f t="shared" si="15"/>
        <v>44888</v>
      </c>
      <c r="B328" s="61">
        <v>25711</v>
      </c>
      <c r="C328" s="53">
        <v>919</v>
      </c>
      <c r="D328" s="58">
        <f t="shared" si="16"/>
        <v>25711</v>
      </c>
      <c r="E328" s="58">
        <f t="shared" si="17"/>
        <v>919</v>
      </c>
    </row>
    <row r="329" spans="1:5" x14ac:dyDescent="0.2">
      <c r="A329" s="50">
        <f t="shared" si="15"/>
        <v>44889</v>
      </c>
      <c r="B329" s="61">
        <v>26736</v>
      </c>
      <c r="C329" s="53">
        <v>953</v>
      </c>
      <c r="D329" s="58">
        <f t="shared" si="16"/>
        <v>26736</v>
      </c>
      <c r="E329" s="58">
        <f t="shared" si="17"/>
        <v>953</v>
      </c>
    </row>
    <row r="330" spans="1:5" x14ac:dyDescent="0.2">
      <c r="A330" s="50">
        <f t="shared" si="15"/>
        <v>44890</v>
      </c>
      <c r="B330" s="61">
        <v>26437</v>
      </c>
      <c r="C330" s="53">
        <v>900</v>
      </c>
      <c r="D330" s="58">
        <f t="shared" si="16"/>
        <v>26437</v>
      </c>
      <c r="E330" s="58">
        <f t="shared" si="17"/>
        <v>900</v>
      </c>
    </row>
    <row r="331" spans="1:5" x14ac:dyDescent="0.2">
      <c r="A331" s="50">
        <f t="shared" si="15"/>
        <v>44891</v>
      </c>
      <c r="B331" s="61">
        <v>25024</v>
      </c>
      <c r="C331" s="53">
        <v>825</v>
      </c>
      <c r="D331" s="58">
        <f t="shared" si="16"/>
        <v>25024</v>
      </c>
      <c r="E331" s="58">
        <f t="shared" si="17"/>
        <v>825</v>
      </c>
    </row>
    <row r="332" spans="1:5" x14ac:dyDescent="0.2">
      <c r="A332" s="50">
        <f t="shared" si="15"/>
        <v>44892</v>
      </c>
      <c r="B332" s="61">
        <v>21976</v>
      </c>
      <c r="C332" s="53">
        <v>707</v>
      </c>
      <c r="D332" s="58">
        <f t="shared" si="16"/>
        <v>21976</v>
      </c>
      <c r="E332" s="58">
        <f t="shared" si="17"/>
        <v>707</v>
      </c>
    </row>
    <row r="333" spans="1:5" x14ac:dyDescent="0.2">
      <c r="A333" s="50">
        <f t="shared" si="15"/>
        <v>44893</v>
      </c>
      <c r="B333" s="61">
        <v>26412</v>
      </c>
      <c r="C333" s="53">
        <v>900</v>
      </c>
      <c r="D333" s="58">
        <f t="shared" si="16"/>
        <v>26412</v>
      </c>
      <c r="E333" s="58">
        <f t="shared" si="17"/>
        <v>900</v>
      </c>
    </row>
    <row r="334" spans="1:5" x14ac:dyDescent="0.2">
      <c r="A334" s="50">
        <f t="shared" si="15"/>
        <v>44894</v>
      </c>
      <c r="B334" s="61">
        <v>27744</v>
      </c>
      <c r="C334" s="53">
        <v>926</v>
      </c>
      <c r="D334" s="58">
        <f t="shared" si="16"/>
        <v>27744</v>
      </c>
      <c r="E334" s="58">
        <f t="shared" si="17"/>
        <v>926</v>
      </c>
    </row>
    <row r="335" spans="1:5" x14ac:dyDescent="0.2">
      <c r="A335" s="50">
        <f t="shared" si="15"/>
        <v>44895</v>
      </c>
      <c r="B335" s="61">
        <v>29147</v>
      </c>
      <c r="C335" s="53">
        <v>938</v>
      </c>
      <c r="D335" s="58">
        <f t="shared" si="16"/>
        <v>29147</v>
      </c>
      <c r="E335" s="58">
        <f t="shared" si="17"/>
        <v>938</v>
      </c>
    </row>
    <row r="336" spans="1:5" x14ac:dyDescent="0.2">
      <c r="A336" s="50">
        <f t="shared" si="15"/>
        <v>44896</v>
      </c>
      <c r="B336" s="61">
        <v>26771</v>
      </c>
      <c r="C336" s="53">
        <v>919</v>
      </c>
      <c r="D336" s="58">
        <f t="shared" si="16"/>
        <v>26771</v>
      </c>
      <c r="E336" s="58">
        <f t="shared" si="17"/>
        <v>919</v>
      </c>
    </row>
    <row r="337" spans="1:5" x14ac:dyDescent="0.2">
      <c r="A337" s="50">
        <f t="shared" si="15"/>
        <v>44897</v>
      </c>
      <c r="B337" s="61">
        <v>31194</v>
      </c>
      <c r="C337" s="53">
        <v>965</v>
      </c>
      <c r="D337" s="58">
        <f t="shared" si="16"/>
        <v>31194</v>
      </c>
      <c r="E337" s="58">
        <f t="shared" si="17"/>
        <v>965</v>
      </c>
    </row>
    <row r="338" spans="1:5" x14ac:dyDescent="0.2">
      <c r="A338" s="50">
        <f t="shared" si="15"/>
        <v>44898</v>
      </c>
      <c r="B338" s="61">
        <v>31551</v>
      </c>
      <c r="C338" s="53">
        <v>884</v>
      </c>
      <c r="D338" s="58">
        <f t="shared" si="16"/>
        <v>31551</v>
      </c>
      <c r="E338" s="58">
        <f t="shared" si="17"/>
        <v>884</v>
      </c>
    </row>
    <row r="339" spans="1:5" x14ac:dyDescent="0.2">
      <c r="A339" s="50">
        <f t="shared" si="15"/>
        <v>44899</v>
      </c>
      <c r="B339" s="61">
        <v>30451</v>
      </c>
      <c r="C339" s="53">
        <v>915</v>
      </c>
      <c r="D339" s="58">
        <f t="shared" si="16"/>
        <v>30451</v>
      </c>
      <c r="E339" s="58">
        <f t="shared" si="17"/>
        <v>915</v>
      </c>
    </row>
    <row r="340" spans="1:5" x14ac:dyDescent="0.2">
      <c r="A340" s="50">
        <f t="shared" si="15"/>
        <v>44900</v>
      </c>
      <c r="B340" s="61">
        <v>30118</v>
      </c>
      <c r="C340" s="53">
        <v>951</v>
      </c>
      <c r="D340" s="58">
        <f t="shared" si="16"/>
        <v>30118</v>
      </c>
      <c r="E340" s="58">
        <f t="shared" si="17"/>
        <v>951</v>
      </c>
    </row>
    <row r="341" spans="1:5" x14ac:dyDescent="0.2">
      <c r="A341" s="50">
        <f t="shared" si="15"/>
        <v>44901</v>
      </c>
      <c r="B341" s="61">
        <v>32272</v>
      </c>
      <c r="C341" s="53">
        <v>876</v>
      </c>
      <c r="D341" s="58">
        <f t="shared" si="16"/>
        <v>32272</v>
      </c>
      <c r="E341" s="58">
        <f t="shared" si="17"/>
        <v>876</v>
      </c>
    </row>
    <row r="342" spans="1:5" x14ac:dyDescent="0.2">
      <c r="A342" s="50">
        <f t="shared" si="15"/>
        <v>44902</v>
      </c>
      <c r="B342" s="61">
        <v>31589</v>
      </c>
      <c r="C342" s="53">
        <v>892</v>
      </c>
      <c r="D342" s="58">
        <f t="shared" si="16"/>
        <v>31589</v>
      </c>
      <c r="E342" s="58">
        <f t="shared" si="17"/>
        <v>892</v>
      </c>
    </row>
    <row r="343" spans="1:5" x14ac:dyDescent="0.2">
      <c r="A343" s="50">
        <f t="shared" si="15"/>
        <v>44903</v>
      </c>
      <c r="B343" s="61">
        <v>30437</v>
      </c>
      <c r="C343" s="53">
        <v>803</v>
      </c>
      <c r="D343" s="58">
        <f t="shared" si="16"/>
        <v>30437</v>
      </c>
      <c r="E343" s="58">
        <f t="shared" si="17"/>
        <v>803</v>
      </c>
    </row>
    <row r="344" spans="1:5" x14ac:dyDescent="0.2">
      <c r="A344" s="50">
        <f t="shared" si="15"/>
        <v>44904</v>
      </c>
      <c r="B344" s="61">
        <v>28788</v>
      </c>
      <c r="C344" s="53">
        <v>789</v>
      </c>
      <c r="D344" s="58">
        <f t="shared" si="16"/>
        <v>28788</v>
      </c>
      <c r="E344" s="58">
        <f t="shared" si="17"/>
        <v>789</v>
      </c>
    </row>
    <row r="345" spans="1:5" x14ac:dyDescent="0.2">
      <c r="A345" s="50">
        <f t="shared" si="15"/>
        <v>44905</v>
      </c>
      <c r="B345" s="61">
        <v>27298</v>
      </c>
      <c r="C345" s="53">
        <v>757</v>
      </c>
      <c r="D345" s="58">
        <f t="shared" si="16"/>
        <v>27298</v>
      </c>
      <c r="E345" s="58">
        <f t="shared" si="17"/>
        <v>757</v>
      </c>
    </row>
    <row r="346" spans="1:5" x14ac:dyDescent="0.2">
      <c r="A346" s="50">
        <f t="shared" si="15"/>
        <v>44906</v>
      </c>
      <c r="B346" s="61">
        <v>27045</v>
      </c>
      <c r="C346" s="53">
        <v>725</v>
      </c>
      <c r="D346" s="58">
        <f t="shared" si="16"/>
        <v>27045</v>
      </c>
      <c r="E346" s="58">
        <f t="shared" si="17"/>
        <v>725</v>
      </c>
    </row>
    <row r="347" spans="1:5" x14ac:dyDescent="0.2">
      <c r="A347" s="50">
        <f t="shared" si="15"/>
        <v>44907</v>
      </c>
      <c r="B347" s="61">
        <v>27305</v>
      </c>
      <c r="C347" s="53">
        <v>862</v>
      </c>
      <c r="D347" s="58">
        <f t="shared" si="16"/>
        <v>27305</v>
      </c>
      <c r="E347" s="58">
        <f t="shared" si="17"/>
        <v>862</v>
      </c>
    </row>
    <row r="348" spans="1:5" x14ac:dyDescent="0.2">
      <c r="A348" s="50">
        <f t="shared" si="15"/>
        <v>44908</v>
      </c>
      <c r="B348" s="61">
        <v>28391</v>
      </c>
      <c r="C348" s="53">
        <v>820</v>
      </c>
      <c r="D348" s="58">
        <f t="shared" si="16"/>
        <v>28391</v>
      </c>
      <c r="E348" s="58">
        <f t="shared" si="17"/>
        <v>820</v>
      </c>
    </row>
    <row r="349" spans="1:5" x14ac:dyDescent="0.2">
      <c r="A349" s="50">
        <f t="shared" si="15"/>
        <v>44909</v>
      </c>
      <c r="B349" s="61">
        <v>28682</v>
      </c>
      <c r="C349" s="53">
        <v>827</v>
      </c>
      <c r="D349" s="58">
        <f t="shared" si="16"/>
        <v>28682</v>
      </c>
      <c r="E349" s="58">
        <f t="shared" si="17"/>
        <v>827</v>
      </c>
    </row>
    <row r="350" spans="1:5" x14ac:dyDescent="0.2">
      <c r="A350" s="50">
        <f t="shared" si="15"/>
        <v>44910</v>
      </c>
      <c r="B350" s="61">
        <v>29931</v>
      </c>
      <c r="C350" s="53">
        <v>795</v>
      </c>
      <c r="D350" s="58">
        <f t="shared" si="16"/>
        <v>29931</v>
      </c>
      <c r="E350" s="58">
        <f t="shared" si="17"/>
        <v>795</v>
      </c>
    </row>
    <row r="351" spans="1:5" x14ac:dyDescent="0.2">
      <c r="A351" s="50">
        <f t="shared" si="15"/>
        <v>44911</v>
      </c>
      <c r="B351" s="61">
        <v>28542</v>
      </c>
      <c r="C351" s="53">
        <v>823</v>
      </c>
      <c r="D351" s="58">
        <f t="shared" si="16"/>
        <v>28542</v>
      </c>
      <c r="E351" s="58">
        <f t="shared" si="17"/>
        <v>823</v>
      </c>
    </row>
    <row r="352" spans="1:5" x14ac:dyDescent="0.2">
      <c r="A352" s="50">
        <f t="shared" ref="A352:A366" si="18">A351+1</f>
        <v>44912</v>
      </c>
      <c r="B352" s="61">
        <v>24587</v>
      </c>
      <c r="C352" s="53">
        <v>818</v>
      </c>
      <c r="D352" s="58">
        <f t="shared" si="16"/>
        <v>24587</v>
      </c>
      <c r="E352" s="58">
        <f t="shared" si="17"/>
        <v>818</v>
      </c>
    </row>
    <row r="353" spans="1:5" x14ac:dyDescent="0.2">
      <c r="A353" s="50">
        <f t="shared" si="18"/>
        <v>44913</v>
      </c>
      <c r="B353" s="61">
        <v>25869</v>
      </c>
      <c r="C353" s="53">
        <v>872</v>
      </c>
      <c r="D353" s="58">
        <f t="shared" si="16"/>
        <v>25869</v>
      </c>
      <c r="E353" s="58">
        <f t="shared" si="17"/>
        <v>872</v>
      </c>
    </row>
    <row r="354" spans="1:5" x14ac:dyDescent="0.2">
      <c r="A354" s="50">
        <f t="shared" si="18"/>
        <v>44914</v>
      </c>
      <c r="B354" s="61">
        <v>26795</v>
      </c>
      <c r="C354" s="53">
        <v>911</v>
      </c>
      <c r="D354" s="58">
        <f t="shared" si="16"/>
        <v>26795</v>
      </c>
      <c r="E354" s="58">
        <f t="shared" si="17"/>
        <v>911</v>
      </c>
    </row>
    <row r="355" spans="1:5" x14ac:dyDescent="0.2">
      <c r="A355" s="50">
        <f t="shared" si="18"/>
        <v>44915</v>
      </c>
      <c r="B355" s="61">
        <v>28704</v>
      </c>
      <c r="C355" s="53">
        <v>850</v>
      </c>
      <c r="D355" s="58">
        <f t="shared" si="16"/>
        <v>28704</v>
      </c>
      <c r="E355" s="58">
        <f t="shared" si="17"/>
        <v>850</v>
      </c>
    </row>
    <row r="356" spans="1:5" x14ac:dyDescent="0.2">
      <c r="A356" s="50">
        <f t="shared" si="18"/>
        <v>44916</v>
      </c>
      <c r="B356" s="61">
        <v>29845</v>
      </c>
      <c r="C356" s="53">
        <v>846</v>
      </c>
      <c r="D356" s="58">
        <f t="shared" si="16"/>
        <v>29845</v>
      </c>
      <c r="E356" s="58">
        <f t="shared" si="17"/>
        <v>846</v>
      </c>
    </row>
    <row r="357" spans="1:5" x14ac:dyDescent="0.2">
      <c r="A357" s="50">
        <f t="shared" si="18"/>
        <v>44917</v>
      </c>
      <c r="B357" s="61">
        <v>29980</v>
      </c>
      <c r="C357" s="53">
        <v>867</v>
      </c>
      <c r="D357" s="58">
        <f t="shared" si="16"/>
        <v>29980</v>
      </c>
      <c r="E357" s="58">
        <f t="shared" si="17"/>
        <v>867</v>
      </c>
    </row>
    <row r="358" spans="1:5" x14ac:dyDescent="0.2">
      <c r="A358" s="50">
        <f t="shared" si="18"/>
        <v>44918</v>
      </c>
      <c r="B358" s="61">
        <v>27548</v>
      </c>
      <c r="C358" s="53">
        <v>832</v>
      </c>
      <c r="D358" s="58">
        <f t="shared" si="16"/>
        <v>27548</v>
      </c>
      <c r="E358" s="58">
        <f t="shared" si="17"/>
        <v>832</v>
      </c>
    </row>
    <row r="359" spans="1:5" x14ac:dyDescent="0.2">
      <c r="A359" s="50">
        <f t="shared" si="18"/>
        <v>44919</v>
      </c>
      <c r="B359" s="61">
        <v>25898</v>
      </c>
      <c r="C359" s="53">
        <v>796</v>
      </c>
      <c r="D359" s="58">
        <f t="shared" si="16"/>
        <v>25898</v>
      </c>
      <c r="E359" s="58">
        <f t="shared" si="17"/>
        <v>796</v>
      </c>
    </row>
    <row r="360" spans="1:5" x14ac:dyDescent="0.2">
      <c r="A360" s="50">
        <f t="shared" si="18"/>
        <v>44920</v>
      </c>
      <c r="B360" s="61">
        <v>22531</v>
      </c>
      <c r="C360" s="53">
        <v>617</v>
      </c>
      <c r="D360" s="58">
        <f t="shared" si="16"/>
        <v>22531</v>
      </c>
      <c r="E360" s="58">
        <f t="shared" si="17"/>
        <v>617</v>
      </c>
    </row>
    <row r="361" spans="1:5" x14ac:dyDescent="0.2">
      <c r="A361" s="50">
        <f t="shared" si="18"/>
        <v>44921</v>
      </c>
      <c r="B361" s="61">
        <v>26772</v>
      </c>
      <c r="C361" s="53">
        <v>833</v>
      </c>
      <c r="D361" s="58">
        <f t="shared" si="16"/>
        <v>26772</v>
      </c>
      <c r="E361" s="58">
        <f t="shared" si="17"/>
        <v>833</v>
      </c>
    </row>
    <row r="362" spans="1:5" x14ac:dyDescent="0.2">
      <c r="A362" s="50">
        <f t="shared" si="18"/>
        <v>44922</v>
      </c>
      <c r="B362" s="61">
        <v>28769</v>
      </c>
      <c r="C362" s="53">
        <v>813</v>
      </c>
      <c r="D362" s="58">
        <f t="shared" si="16"/>
        <v>28769</v>
      </c>
      <c r="E362" s="58">
        <f t="shared" si="17"/>
        <v>813</v>
      </c>
    </row>
    <row r="363" spans="1:5" x14ac:dyDescent="0.2">
      <c r="A363" s="50">
        <f t="shared" si="18"/>
        <v>44923</v>
      </c>
      <c r="B363" s="61">
        <v>25925</v>
      </c>
      <c r="C363" s="53">
        <v>567</v>
      </c>
      <c r="D363" s="58">
        <f t="shared" si="16"/>
        <v>25925</v>
      </c>
      <c r="E363" s="58">
        <f t="shared" si="17"/>
        <v>567</v>
      </c>
    </row>
    <row r="364" spans="1:5" x14ac:dyDescent="0.2">
      <c r="A364" s="50">
        <f t="shared" si="18"/>
        <v>44924</v>
      </c>
      <c r="B364" s="61">
        <v>20278</v>
      </c>
      <c r="C364" s="53">
        <v>138</v>
      </c>
      <c r="D364" s="58">
        <f t="shared" si="16"/>
        <v>20278</v>
      </c>
      <c r="E364" s="58">
        <f t="shared" si="17"/>
        <v>138</v>
      </c>
    </row>
    <row r="365" spans="1:5" x14ac:dyDescent="0.2">
      <c r="A365" s="50">
        <f>A364+1</f>
        <v>44925</v>
      </c>
      <c r="B365" s="61">
        <v>10259</v>
      </c>
      <c r="C365" s="53">
        <v>0</v>
      </c>
      <c r="D365" s="58">
        <f t="shared" si="16"/>
        <v>10259</v>
      </c>
      <c r="E365" s="58">
        <f t="shared" si="17"/>
        <v>0</v>
      </c>
    </row>
    <row r="366" spans="1:5" x14ac:dyDescent="0.2">
      <c r="A366" s="50">
        <f t="shared" si="18"/>
        <v>44926</v>
      </c>
      <c r="B366" s="61">
        <v>3522</v>
      </c>
      <c r="C366" s="53">
        <v>0</v>
      </c>
      <c r="D366" s="58">
        <f t="shared" si="16"/>
        <v>3522</v>
      </c>
      <c r="E366" s="58">
        <f t="shared" si="17"/>
        <v>0</v>
      </c>
    </row>
  </sheetData>
  <conditionalFormatting sqref="A31:A346">
    <cfRule type="expression" dxfId="4" priority="2" stopIfTrue="1">
      <formula>WEEKDAY(A31:A51,2)&gt;5</formula>
    </cfRule>
  </conditionalFormatting>
  <conditionalFormatting sqref="A2:A30">
    <cfRule type="expression" dxfId="3" priority="1" stopIfTrue="1">
      <formula>WEEKDAY(A2:A22,2)&gt;5</formula>
    </cfRule>
  </conditionalFormatting>
  <conditionalFormatting sqref="A347">
    <cfRule type="expression" dxfId="2" priority="3" stopIfTrue="1">
      <formula>WEEKDAY(A347:A366,2)&gt;5</formula>
    </cfRule>
  </conditionalFormatting>
  <conditionalFormatting sqref="A350:A366">
    <cfRule type="expression" dxfId="1" priority="4" stopIfTrue="1">
      <formula>WEEKDAY(A350:A367,2)&gt;5</formula>
    </cfRule>
  </conditionalFormatting>
  <conditionalFormatting sqref="A348:A349">
    <cfRule type="expression" dxfId="0" priority="5" stopIfTrue="1">
      <formula>WEEKDAY(A348:A366,2)&gt;5</formula>
    </cfRule>
  </conditionalFormatting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prod_17</vt:lpstr>
      <vt:lpstr>prod_18</vt:lpstr>
      <vt:lpstr>prod_19</vt:lpstr>
      <vt:lpstr>prod_20</vt:lpstr>
      <vt:lpstr>prod_21</vt:lpstr>
      <vt:lpstr>prod_22</vt:lpstr>
      <vt:lpstr>prod_23</vt:lpstr>
      <vt:lpstr>prod_24</vt:lpstr>
      <vt:lpstr>prod_25</vt:lpstr>
      <vt:lpstr>el_17</vt:lpstr>
      <vt:lpstr>el_18</vt:lpstr>
      <vt:lpstr>el_19</vt:lpstr>
      <vt:lpstr>el_20</vt:lpstr>
      <vt:lpstr>el_21</vt:lpstr>
      <vt:lpstr>el_22</vt:lpstr>
      <vt:lpstr>el_23</vt:lpstr>
      <vt:lpstr>el_24</vt:lpstr>
      <vt:lpstr>el_25</vt:lpstr>
      <vt:lpstr>2022г</vt:lpstr>
      <vt:lpstr>2023г</vt:lpstr>
      <vt:lpstr>2024г</vt:lpstr>
      <vt:lpstr>2025г</vt:lpstr>
      <vt:lpstr>total</vt:lpstr>
      <vt:lpstr>total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Валеева А.Н.</dc:creator>
  <cp:lastModifiedBy>Мандрыгин В.В.</cp:lastModifiedBy>
  <dcterms:created xsi:type="dcterms:W3CDTF">2025-08-27T11:09:12Z</dcterms:created>
  <dcterms:modified xsi:type="dcterms:W3CDTF">2025-11-21T06:43:30Z</dcterms:modified>
</cp:coreProperties>
</file>